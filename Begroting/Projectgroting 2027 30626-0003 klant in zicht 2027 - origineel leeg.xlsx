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citoazure.sharepoint.com/sites/BVA-Begroting2027/Gedeelde documenten/Begroting 2027/Financien/Productmanager/Niet product gebonden/"/>
    </mc:Choice>
  </mc:AlternateContent>
  <xr:revisionPtr revIDLastSave="0" documentId="8_{B19D7A28-3F74-4E21-B9DB-39F812D28827}" xr6:coauthVersionLast="47" xr6:coauthVersionMax="47" xr10:uidLastSave="{00000000-0000-0000-0000-000000000000}"/>
  <bookViews>
    <workbookView xWindow="-108" yWindow="-108" windowWidth="23256" windowHeight="13896" xr2:uid="{776A986E-44B6-44AF-8D91-01F5E722F587}"/>
  </bookViews>
  <sheets>
    <sheet name="Projectbegroting" sheetId="1" r:id="rId1"/>
    <sheet name="Stamgegevens projecten" sheetId="10" r:id="rId2"/>
    <sheet name="ETC regels projecten" sheetId="8" r:id="rId3"/>
    <sheet name="Probuto" sheetId="9" r:id="rId4"/>
    <sheet name="Lijsten" sheetId="7" r:id="rId5"/>
    <sheet name="report B_CategorieBoekjaar" sheetId="13" state="hidden" r:id="rId6"/>
    <sheet name="report B_Project" sheetId="11" r:id="rId7"/>
  </sheets>
  <definedNames>
    <definedName name="ExternalData_2" localSheetId="6" hidden="1">'report B_Project'!$A$1:$Z$2783</definedName>
    <definedName name="ExternalData_3" localSheetId="5" hidden="1">'report B_CategorieBoekjaar'!$A$1:$G$2387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26" i="13" l="1"/>
  <c r="H2127" i="13"/>
  <c r="H2128" i="13"/>
  <c r="H2129" i="13"/>
  <c r="H2130" i="13"/>
  <c r="H2131" i="13"/>
  <c r="H2132" i="13"/>
  <c r="H2133" i="13"/>
  <c r="H2134" i="13"/>
  <c r="H2135" i="13"/>
  <c r="H2136" i="13"/>
  <c r="H2137" i="13"/>
  <c r="H2138" i="13"/>
  <c r="H2139" i="13"/>
  <c r="H2140" i="13"/>
  <c r="H2141" i="13"/>
  <c r="H2142" i="13"/>
  <c r="H2143" i="13"/>
  <c r="H2144" i="13"/>
  <c r="H2145" i="13"/>
  <c r="H2146" i="13"/>
  <c r="H2147" i="13"/>
  <c r="H2148" i="13"/>
  <c r="H2149" i="13"/>
  <c r="H2150" i="13"/>
  <c r="H2151" i="13"/>
  <c r="H2152" i="13"/>
  <c r="H2153" i="13"/>
  <c r="H2154" i="13"/>
  <c r="H2155" i="13"/>
  <c r="H2156" i="13"/>
  <c r="H2157" i="13"/>
  <c r="H2158" i="13"/>
  <c r="H2159" i="13"/>
  <c r="H2160" i="13"/>
  <c r="H2161" i="13"/>
  <c r="H2162" i="13"/>
  <c r="H2163" i="13"/>
  <c r="H2164" i="13"/>
  <c r="H2165" i="13"/>
  <c r="H2166" i="13"/>
  <c r="H2167" i="13"/>
  <c r="H2168" i="13"/>
  <c r="H2169" i="13"/>
  <c r="H2170" i="13"/>
  <c r="H2171" i="13"/>
  <c r="H2172" i="13"/>
  <c r="H2173" i="13"/>
  <c r="H2174" i="13"/>
  <c r="H2175" i="13"/>
  <c r="H2176" i="13"/>
  <c r="H2177" i="13"/>
  <c r="H2178" i="13"/>
  <c r="H2179" i="13"/>
  <c r="H2180" i="13"/>
  <c r="H2181" i="13"/>
  <c r="H2182" i="13"/>
  <c r="H2183" i="13"/>
  <c r="H2184" i="13"/>
  <c r="H2185" i="13"/>
  <c r="H2186" i="13"/>
  <c r="H2187" i="13"/>
  <c r="H2188" i="13"/>
  <c r="H2189" i="13"/>
  <c r="H2190" i="13"/>
  <c r="H2191" i="13"/>
  <c r="H2192" i="13"/>
  <c r="H2193" i="13"/>
  <c r="H2194" i="13"/>
  <c r="H2195" i="13"/>
  <c r="H2196" i="13"/>
  <c r="H2197" i="13"/>
  <c r="H2198" i="13"/>
  <c r="H2199" i="13"/>
  <c r="H2200" i="13"/>
  <c r="H2201" i="13"/>
  <c r="H2202" i="13"/>
  <c r="H2203" i="13"/>
  <c r="H2204" i="13"/>
  <c r="H2205" i="13"/>
  <c r="H2206" i="13"/>
  <c r="H2207" i="13"/>
  <c r="H2208" i="13"/>
  <c r="H2209" i="13"/>
  <c r="H2210" i="13"/>
  <c r="H2211" i="13"/>
  <c r="H2212" i="13"/>
  <c r="H2213" i="13"/>
  <c r="H2214" i="13"/>
  <c r="H2215" i="13"/>
  <c r="H2216" i="13"/>
  <c r="H2217" i="13"/>
  <c r="H2218" i="13"/>
  <c r="H2219" i="13"/>
  <c r="H2220" i="13"/>
  <c r="H2221" i="13"/>
  <c r="H2222" i="13"/>
  <c r="H2223" i="13"/>
  <c r="H2224" i="13"/>
  <c r="H2225" i="13"/>
  <c r="H2226" i="13"/>
  <c r="H2227" i="13"/>
  <c r="H2228" i="13"/>
  <c r="H2229" i="13"/>
  <c r="H2230" i="13"/>
  <c r="H2231" i="13"/>
  <c r="H2232" i="13"/>
  <c r="H2233" i="13"/>
  <c r="H2234" i="13"/>
  <c r="H2235" i="13"/>
  <c r="H2236" i="13"/>
  <c r="H2237" i="13"/>
  <c r="H2238" i="13"/>
  <c r="H2239" i="13"/>
  <c r="H2240" i="13"/>
  <c r="H2241" i="13"/>
  <c r="H2242" i="13"/>
  <c r="H2243" i="13"/>
  <c r="H2244" i="13"/>
  <c r="H2245" i="13"/>
  <c r="H2246" i="13"/>
  <c r="H2247" i="13"/>
  <c r="H2248" i="13"/>
  <c r="H2249" i="13"/>
  <c r="H2250" i="13"/>
  <c r="H2251" i="13"/>
  <c r="H2252" i="13"/>
  <c r="H2253" i="13"/>
  <c r="H2254" i="13"/>
  <c r="H2255" i="13"/>
  <c r="H2256" i="13"/>
  <c r="H1864" i="13"/>
  <c r="H1865" i="13"/>
  <c r="H1866" i="13"/>
  <c r="H1867" i="13"/>
  <c r="H1868" i="13"/>
  <c r="H1869" i="13"/>
  <c r="H1870" i="13"/>
  <c r="H1871" i="13"/>
  <c r="H1872" i="13"/>
  <c r="H1873" i="13"/>
  <c r="H1874" i="13"/>
  <c r="H1875" i="13"/>
  <c r="H1876" i="13"/>
  <c r="H1877" i="13"/>
  <c r="H1878" i="13"/>
  <c r="H1879" i="13"/>
  <c r="H1880" i="13"/>
  <c r="H1881" i="13"/>
  <c r="H1882" i="13"/>
  <c r="H1883" i="13"/>
  <c r="H1884" i="13"/>
  <c r="H1885" i="13"/>
  <c r="H1886" i="13"/>
  <c r="H1887" i="13"/>
  <c r="H1888" i="13"/>
  <c r="H1889" i="13"/>
  <c r="H1890" i="13"/>
  <c r="H1891" i="13"/>
  <c r="H1892" i="13"/>
  <c r="H1893" i="13"/>
  <c r="H1894" i="13"/>
  <c r="H1895" i="13"/>
  <c r="H1896" i="13"/>
  <c r="H1897" i="13"/>
  <c r="H1898" i="13"/>
  <c r="H1899" i="13"/>
  <c r="H1900" i="13"/>
  <c r="H1901" i="13"/>
  <c r="H1902" i="13"/>
  <c r="H1903" i="13"/>
  <c r="H1904" i="13"/>
  <c r="H1905" i="13"/>
  <c r="H1906" i="13"/>
  <c r="H1907" i="13"/>
  <c r="H1908" i="13"/>
  <c r="H1909" i="13"/>
  <c r="H1910" i="13"/>
  <c r="H1911" i="13"/>
  <c r="H1912" i="13"/>
  <c r="H1913" i="13"/>
  <c r="H1914" i="13"/>
  <c r="H1915" i="13"/>
  <c r="H1916" i="13"/>
  <c r="H1917" i="13"/>
  <c r="H1918" i="13"/>
  <c r="H1919" i="13"/>
  <c r="H1920" i="13"/>
  <c r="H1921" i="13"/>
  <c r="H1922" i="13"/>
  <c r="H1923" i="13"/>
  <c r="H1924" i="13"/>
  <c r="H1925" i="13"/>
  <c r="H1926" i="13"/>
  <c r="H1927" i="13"/>
  <c r="H1928" i="13"/>
  <c r="H1929" i="13"/>
  <c r="H1930" i="13"/>
  <c r="H1931" i="13"/>
  <c r="H1932" i="13"/>
  <c r="H1933" i="13"/>
  <c r="H1934" i="13"/>
  <c r="H1935" i="13"/>
  <c r="H1936" i="13"/>
  <c r="H1937" i="13"/>
  <c r="H1938" i="13"/>
  <c r="H1939" i="13"/>
  <c r="H1940" i="13"/>
  <c r="H1941" i="13"/>
  <c r="H1942" i="13"/>
  <c r="H1943" i="13"/>
  <c r="H1944" i="13"/>
  <c r="H1945" i="13"/>
  <c r="H1946" i="13"/>
  <c r="H1947" i="13"/>
  <c r="H1948" i="13"/>
  <c r="H1949" i="13"/>
  <c r="H1950" i="13"/>
  <c r="H1951" i="13"/>
  <c r="H1952" i="13"/>
  <c r="H1953" i="13"/>
  <c r="H1954" i="13"/>
  <c r="H1955" i="13"/>
  <c r="H1956" i="13"/>
  <c r="H1957" i="13"/>
  <c r="H1958" i="13"/>
  <c r="H1959" i="13"/>
  <c r="H1960" i="13"/>
  <c r="H1961" i="13"/>
  <c r="H1962" i="13"/>
  <c r="H1963" i="13"/>
  <c r="H1964" i="13"/>
  <c r="H1965" i="13"/>
  <c r="H1966" i="13"/>
  <c r="H1967" i="13"/>
  <c r="H1968" i="13"/>
  <c r="H1969" i="13"/>
  <c r="H1970" i="13"/>
  <c r="H1971" i="13"/>
  <c r="H1972" i="13"/>
  <c r="H1973" i="13"/>
  <c r="H1974" i="13"/>
  <c r="H1975" i="13"/>
  <c r="H1976" i="13"/>
  <c r="H1977" i="13"/>
  <c r="H1978" i="13"/>
  <c r="H1979" i="13"/>
  <c r="H1980" i="13"/>
  <c r="H1981" i="13"/>
  <c r="H1982" i="13"/>
  <c r="H1983" i="13"/>
  <c r="H1984" i="13"/>
  <c r="H1985" i="13"/>
  <c r="H1986" i="13"/>
  <c r="H1987" i="13"/>
  <c r="H1988" i="13"/>
  <c r="H1989" i="13"/>
  <c r="H1990" i="13"/>
  <c r="H1991" i="13"/>
  <c r="H1992" i="13"/>
  <c r="H1993" i="13"/>
  <c r="H1994" i="13"/>
  <c r="H1602" i="13"/>
  <c r="H1603" i="13"/>
  <c r="H1604" i="13"/>
  <c r="H1605" i="13"/>
  <c r="H1606" i="13"/>
  <c r="H1607" i="13"/>
  <c r="H1608" i="13"/>
  <c r="H1609" i="13"/>
  <c r="H1610" i="13"/>
  <c r="H1611" i="13"/>
  <c r="H1612" i="13"/>
  <c r="H1613" i="13"/>
  <c r="H1614" i="13"/>
  <c r="H1615" i="13"/>
  <c r="H1616" i="13"/>
  <c r="H1617" i="13"/>
  <c r="H1618" i="13"/>
  <c r="H1619" i="13"/>
  <c r="H1620" i="13"/>
  <c r="H1621" i="13"/>
  <c r="H1622" i="13"/>
  <c r="H1623" i="13"/>
  <c r="H1624" i="13"/>
  <c r="H1625" i="13"/>
  <c r="H1626" i="13"/>
  <c r="H1627" i="13"/>
  <c r="H1628" i="13"/>
  <c r="H1629" i="13"/>
  <c r="H1630" i="13"/>
  <c r="H1631" i="13"/>
  <c r="H1632" i="13"/>
  <c r="H1633" i="13"/>
  <c r="H1634" i="13"/>
  <c r="H1635" i="13"/>
  <c r="H1636" i="13"/>
  <c r="H1637" i="13"/>
  <c r="H1638" i="13"/>
  <c r="H1639" i="13"/>
  <c r="H1640" i="13"/>
  <c r="H1641" i="13"/>
  <c r="H1642" i="13"/>
  <c r="H1643" i="13"/>
  <c r="H1644" i="13"/>
  <c r="H1645" i="13"/>
  <c r="H1646" i="13"/>
  <c r="H1647" i="13"/>
  <c r="H1648" i="13"/>
  <c r="H1649" i="13"/>
  <c r="H1650" i="13"/>
  <c r="H1651" i="13"/>
  <c r="H1652" i="13"/>
  <c r="H1653" i="13"/>
  <c r="H1654" i="13"/>
  <c r="H1655" i="13"/>
  <c r="H1656" i="13"/>
  <c r="H1657" i="13"/>
  <c r="H1658" i="13"/>
  <c r="H1659" i="13"/>
  <c r="H1660" i="13"/>
  <c r="H1661" i="13"/>
  <c r="H1662" i="13"/>
  <c r="H1663" i="13"/>
  <c r="H1664" i="13"/>
  <c r="H1665" i="13"/>
  <c r="H1666" i="13"/>
  <c r="H1667" i="13"/>
  <c r="H1668" i="13"/>
  <c r="H1669" i="13"/>
  <c r="H1670" i="13"/>
  <c r="H1671" i="13"/>
  <c r="H1672" i="13"/>
  <c r="H1673" i="13"/>
  <c r="H1674" i="13"/>
  <c r="H1675" i="13"/>
  <c r="H1676" i="13"/>
  <c r="H1677" i="13"/>
  <c r="H1678" i="13"/>
  <c r="H1679" i="13"/>
  <c r="H1680" i="13"/>
  <c r="H1681" i="13"/>
  <c r="H1682" i="13"/>
  <c r="H1683" i="13"/>
  <c r="H1684" i="13"/>
  <c r="H1685" i="13"/>
  <c r="H1686" i="13"/>
  <c r="H1687" i="13"/>
  <c r="H1688" i="13"/>
  <c r="H1689" i="13"/>
  <c r="H1690" i="13"/>
  <c r="H1691" i="13"/>
  <c r="H1692" i="13"/>
  <c r="H1693" i="13"/>
  <c r="H1694" i="13"/>
  <c r="H1695" i="13"/>
  <c r="H1696" i="13"/>
  <c r="H1697" i="13"/>
  <c r="H1698" i="13"/>
  <c r="H1699" i="13"/>
  <c r="H1700" i="13"/>
  <c r="H1701" i="13"/>
  <c r="H1702" i="13"/>
  <c r="H1703" i="13"/>
  <c r="H1704" i="13"/>
  <c r="H1705" i="13"/>
  <c r="H1706" i="13"/>
  <c r="H1707" i="13"/>
  <c r="H1708" i="13"/>
  <c r="H1709" i="13"/>
  <c r="H1710" i="13"/>
  <c r="H1711" i="13"/>
  <c r="H1712" i="13"/>
  <c r="H1713" i="13"/>
  <c r="H1714" i="13"/>
  <c r="H1715" i="13"/>
  <c r="H1716" i="13"/>
  <c r="H1717" i="13"/>
  <c r="H1718" i="13"/>
  <c r="H1719" i="13"/>
  <c r="H1720" i="13"/>
  <c r="H1721" i="13"/>
  <c r="H1722" i="13"/>
  <c r="H1723" i="13"/>
  <c r="H1724" i="13"/>
  <c r="H1725" i="13"/>
  <c r="H1726" i="13"/>
  <c r="H1727" i="13"/>
  <c r="H1728" i="13"/>
  <c r="H1729" i="13"/>
  <c r="H1730" i="13"/>
  <c r="H1731" i="13"/>
  <c r="H1732" i="13"/>
  <c r="H1340" i="13"/>
  <c r="H1341" i="13"/>
  <c r="H1342" i="13"/>
  <c r="H1343" i="13"/>
  <c r="H1344" i="13"/>
  <c r="H1345" i="13"/>
  <c r="H1346" i="13"/>
  <c r="H1347" i="13"/>
  <c r="H1348" i="13"/>
  <c r="H1349" i="13"/>
  <c r="H1350" i="13"/>
  <c r="H1351" i="13"/>
  <c r="H1352" i="13"/>
  <c r="H1353" i="13"/>
  <c r="H1354" i="13"/>
  <c r="H1355" i="13"/>
  <c r="H1356" i="13"/>
  <c r="H1357" i="13"/>
  <c r="H1358" i="13"/>
  <c r="H1359" i="13"/>
  <c r="H1360" i="13"/>
  <c r="H1361" i="13"/>
  <c r="H1362" i="13"/>
  <c r="H1363" i="13"/>
  <c r="H1364" i="13"/>
  <c r="H1365" i="13"/>
  <c r="H1366" i="13"/>
  <c r="H1367" i="13"/>
  <c r="H1368" i="13"/>
  <c r="H1369" i="13"/>
  <c r="H1370" i="13"/>
  <c r="H1371" i="13"/>
  <c r="H1372" i="13"/>
  <c r="H1373" i="13"/>
  <c r="H1374" i="13"/>
  <c r="H1375" i="13"/>
  <c r="H1376" i="13"/>
  <c r="H1377" i="13"/>
  <c r="H1378" i="13"/>
  <c r="H1379" i="13"/>
  <c r="H1380" i="13"/>
  <c r="H1381" i="13"/>
  <c r="H1382" i="13"/>
  <c r="H1383" i="13"/>
  <c r="H1384" i="13"/>
  <c r="H1385" i="13"/>
  <c r="H1386" i="13"/>
  <c r="H1387" i="13"/>
  <c r="H1388" i="13"/>
  <c r="H1389" i="13"/>
  <c r="H1390" i="13"/>
  <c r="H1391" i="13"/>
  <c r="H1392" i="13"/>
  <c r="H1393" i="13"/>
  <c r="H1394" i="13"/>
  <c r="H1395" i="13"/>
  <c r="H1396" i="13"/>
  <c r="H1397" i="13"/>
  <c r="H1398" i="13"/>
  <c r="H1399" i="13"/>
  <c r="H1400" i="13"/>
  <c r="H1401" i="13"/>
  <c r="H1402" i="13"/>
  <c r="H1403" i="13"/>
  <c r="H1404" i="13"/>
  <c r="H1405" i="13"/>
  <c r="H1406" i="13"/>
  <c r="H1407" i="13"/>
  <c r="H1408" i="13"/>
  <c r="H1409" i="13"/>
  <c r="H1410" i="13"/>
  <c r="H1411" i="13"/>
  <c r="H1412" i="13"/>
  <c r="H1413" i="13"/>
  <c r="H1414" i="13"/>
  <c r="H1415" i="13"/>
  <c r="H1416" i="13"/>
  <c r="H1417" i="13"/>
  <c r="H1418" i="13"/>
  <c r="H1419" i="13"/>
  <c r="H1420" i="13"/>
  <c r="H1421" i="13"/>
  <c r="H1422" i="13"/>
  <c r="H1423" i="13"/>
  <c r="H1424" i="13"/>
  <c r="H1425" i="13"/>
  <c r="H1426" i="13"/>
  <c r="H1427" i="13"/>
  <c r="H1428" i="13"/>
  <c r="H1429" i="13"/>
  <c r="H1430" i="13"/>
  <c r="H1431" i="13"/>
  <c r="H1432" i="13"/>
  <c r="H1433" i="13"/>
  <c r="H1434" i="13"/>
  <c r="H1435" i="13"/>
  <c r="H1436" i="13"/>
  <c r="H1437" i="13"/>
  <c r="H1438" i="13"/>
  <c r="H1439" i="13"/>
  <c r="H1440" i="13"/>
  <c r="H1441" i="13"/>
  <c r="H1442" i="13"/>
  <c r="H1443" i="13"/>
  <c r="H1444" i="13"/>
  <c r="H1445" i="13"/>
  <c r="H1446" i="13"/>
  <c r="H1447" i="13"/>
  <c r="H1448" i="13"/>
  <c r="H1449" i="13"/>
  <c r="H1450" i="13"/>
  <c r="H1451" i="13"/>
  <c r="H1452" i="13"/>
  <c r="H1453" i="13"/>
  <c r="H1454" i="13"/>
  <c r="H1455" i="13"/>
  <c r="H1456" i="13"/>
  <c r="H1457" i="13"/>
  <c r="H1458" i="13"/>
  <c r="H1459" i="13"/>
  <c r="H1460" i="13"/>
  <c r="H1461" i="13"/>
  <c r="H1462" i="13"/>
  <c r="H1463" i="13"/>
  <c r="H1464" i="13"/>
  <c r="H1465" i="13"/>
  <c r="H1466" i="13"/>
  <c r="H1467" i="13"/>
  <c r="H1468" i="13"/>
  <c r="H1469" i="13"/>
  <c r="H1470" i="13"/>
  <c r="H1074" i="13"/>
  <c r="H1075" i="13"/>
  <c r="H1076" i="13"/>
  <c r="H1077" i="13"/>
  <c r="H1078" i="13"/>
  <c r="H1079" i="13"/>
  <c r="H1080" i="13"/>
  <c r="H1081" i="13"/>
  <c r="H1082" i="13"/>
  <c r="H1083" i="13"/>
  <c r="H1084" i="13"/>
  <c r="H1085" i="13"/>
  <c r="H1086" i="13"/>
  <c r="H1087" i="13"/>
  <c r="H1088" i="13"/>
  <c r="H1089" i="13"/>
  <c r="H1090" i="13"/>
  <c r="H1091" i="13"/>
  <c r="H1092" i="13"/>
  <c r="H1093" i="13"/>
  <c r="H1094" i="13"/>
  <c r="H1095" i="13"/>
  <c r="H1096" i="13"/>
  <c r="H1097" i="13"/>
  <c r="H1098" i="13"/>
  <c r="H1099" i="13"/>
  <c r="H1100" i="13"/>
  <c r="H1101" i="13"/>
  <c r="H1102" i="13"/>
  <c r="H1103" i="13"/>
  <c r="H1104" i="13"/>
  <c r="H1105" i="13"/>
  <c r="H1106" i="13"/>
  <c r="H1107" i="13"/>
  <c r="H1108" i="13"/>
  <c r="H1109" i="13"/>
  <c r="H1110" i="13"/>
  <c r="H1111" i="13"/>
  <c r="H1112" i="13"/>
  <c r="H1113" i="13"/>
  <c r="H1114" i="13"/>
  <c r="H1115" i="13"/>
  <c r="H1116" i="13"/>
  <c r="H1117" i="13"/>
  <c r="H1118" i="13"/>
  <c r="H1119" i="13"/>
  <c r="H1120" i="13"/>
  <c r="H1121" i="13"/>
  <c r="H1122" i="13"/>
  <c r="H1123" i="13"/>
  <c r="H1124" i="13"/>
  <c r="H1125" i="13"/>
  <c r="H1126" i="13"/>
  <c r="H1127" i="13"/>
  <c r="H1128" i="13"/>
  <c r="H1129" i="13"/>
  <c r="H1130" i="13"/>
  <c r="H1131" i="13"/>
  <c r="H1132" i="13"/>
  <c r="H1133" i="13"/>
  <c r="H1134" i="13"/>
  <c r="H1135" i="13"/>
  <c r="H1136" i="13"/>
  <c r="H1137" i="13"/>
  <c r="H1138" i="13"/>
  <c r="H1139" i="13"/>
  <c r="H1140" i="13"/>
  <c r="H1141" i="13"/>
  <c r="H1142" i="13"/>
  <c r="H1143" i="13"/>
  <c r="H1144" i="13"/>
  <c r="H1145" i="13"/>
  <c r="H1146" i="13"/>
  <c r="H1147" i="13"/>
  <c r="H1148" i="13"/>
  <c r="H1149" i="13"/>
  <c r="H1150" i="13"/>
  <c r="H1151" i="13"/>
  <c r="H1152" i="13"/>
  <c r="H1153" i="13"/>
  <c r="H1154" i="13"/>
  <c r="H1155" i="13"/>
  <c r="H1156" i="13"/>
  <c r="H1157" i="13"/>
  <c r="H1158" i="13"/>
  <c r="H1159" i="13"/>
  <c r="H1160" i="13"/>
  <c r="H1161" i="13"/>
  <c r="H1162" i="13"/>
  <c r="H1163" i="13"/>
  <c r="H1164" i="13"/>
  <c r="H1165" i="13"/>
  <c r="H1166" i="13"/>
  <c r="H1167" i="13"/>
  <c r="H1168" i="13"/>
  <c r="H1169" i="13"/>
  <c r="H1170" i="13"/>
  <c r="H1171" i="13"/>
  <c r="H1172" i="13"/>
  <c r="H1173" i="13"/>
  <c r="H1174" i="13"/>
  <c r="H1175" i="13"/>
  <c r="H1176" i="13"/>
  <c r="H1177" i="13"/>
  <c r="H1178" i="13"/>
  <c r="H1179" i="13"/>
  <c r="H1180" i="13"/>
  <c r="H1181" i="13"/>
  <c r="H1182" i="13"/>
  <c r="H1183" i="13"/>
  <c r="H1184" i="13"/>
  <c r="H1185" i="13"/>
  <c r="H1186" i="13"/>
  <c r="H1187" i="13"/>
  <c r="H1188" i="13"/>
  <c r="H1189" i="13"/>
  <c r="H1190" i="13"/>
  <c r="H1191" i="13"/>
  <c r="H1192" i="13"/>
  <c r="H1193" i="13"/>
  <c r="H1194" i="13"/>
  <c r="H1195" i="13"/>
  <c r="H1196" i="13"/>
  <c r="H1197" i="13"/>
  <c r="H1198" i="13"/>
  <c r="H1199" i="13"/>
  <c r="H1200" i="13"/>
  <c r="H1201" i="13"/>
  <c r="H1202" i="13"/>
  <c r="H1203" i="13"/>
  <c r="H1204" i="13"/>
  <c r="H1205" i="13"/>
  <c r="H1206"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60" i="13"/>
  <c r="H861" i="13"/>
  <c r="H862" i="13"/>
  <c r="H863" i="13"/>
  <c r="H864" i="13"/>
  <c r="H865" i="13"/>
  <c r="H866" i="13"/>
  <c r="H867" i="13"/>
  <c r="H868" i="13"/>
  <c r="H869" i="13"/>
  <c r="H870" i="13"/>
  <c r="H871" i="13"/>
  <c r="H872" i="13"/>
  <c r="H873" i="13"/>
  <c r="H874" i="13"/>
  <c r="H875" i="13"/>
  <c r="H876" i="13"/>
  <c r="H877" i="13"/>
  <c r="H878" i="13"/>
  <c r="H879" i="13"/>
  <c r="H880" i="13"/>
  <c r="H881" i="13"/>
  <c r="H882" i="13"/>
  <c r="H883" i="13"/>
  <c r="H884" i="13"/>
  <c r="H885" i="13"/>
  <c r="H886" i="13"/>
  <c r="H887" i="13"/>
  <c r="H888" i="13"/>
  <c r="H889" i="13"/>
  <c r="H890" i="13"/>
  <c r="H891" i="13"/>
  <c r="H892" i="13"/>
  <c r="H893" i="13"/>
  <c r="H894" i="13"/>
  <c r="H895" i="13"/>
  <c r="H896" i="13"/>
  <c r="H897" i="13"/>
  <c r="H898" i="13"/>
  <c r="H899" i="13"/>
  <c r="H900" i="13"/>
  <c r="H901" i="13"/>
  <c r="H902" i="13"/>
  <c r="H903" i="13"/>
  <c r="H904" i="13"/>
  <c r="H905" i="13"/>
  <c r="H906" i="13"/>
  <c r="H907" i="13"/>
  <c r="H908" i="13"/>
  <c r="H909" i="13"/>
  <c r="H910" i="13"/>
  <c r="H911" i="13"/>
  <c r="H912" i="13"/>
  <c r="H913" i="13"/>
  <c r="H914" i="13"/>
  <c r="H915" i="13"/>
  <c r="H916" i="13"/>
  <c r="H917" i="13"/>
  <c r="H918" i="13"/>
  <c r="H919" i="13"/>
  <c r="H920" i="13"/>
  <c r="H921" i="13"/>
  <c r="H922" i="13"/>
  <c r="H923" i="13"/>
  <c r="H924" i="13"/>
  <c r="H925" i="13"/>
  <c r="H926" i="13"/>
  <c r="H927" i="13"/>
  <c r="H928" i="13"/>
  <c r="H929" i="13"/>
  <c r="H930" i="13"/>
  <c r="H931" i="13"/>
  <c r="H932" i="13"/>
  <c r="H933" i="13"/>
  <c r="H934" i="13"/>
  <c r="H935" i="13"/>
  <c r="H936" i="13"/>
  <c r="H937" i="13"/>
  <c r="H938" i="13"/>
  <c r="H939" i="13"/>
  <c r="H940"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2257" i="13"/>
  <c r="H2258" i="13"/>
  <c r="H2259" i="13"/>
  <c r="H2260" i="13"/>
  <c r="H2261" i="13"/>
  <c r="H2262" i="13"/>
  <c r="H2263" i="13"/>
  <c r="H2264" i="13"/>
  <c r="H2265" i="13"/>
  <c r="H2266" i="13"/>
  <c r="H2267" i="13"/>
  <c r="H2268" i="13"/>
  <c r="H2269" i="13"/>
  <c r="H2270" i="13"/>
  <c r="H2271" i="13"/>
  <c r="H2272" i="13"/>
  <c r="H2273" i="13"/>
  <c r="H2274" i="13"/>
  <c r="H2275" i="13"/>
  <c r="H2276" i="13"/>
  <c r="H2277" i="13"/>
  <c r="H2278" i="13"/>
  <c r="H2279" i="13"/>
  <c r="H2280" i="13"/>
  <c r="H2281" i="13"/>
  <c r="H2282" i="13"/>
  <c r="H2283" i="13"/>
  <c r="H2284" i="13"/>
  <c r="H2285" i="13"/>
  <c r="H2286" i="13"/>
  <c r="H2287" i="13"/>
  <c r="H2288" i="13"/>
  <c r="H2289" i="13"/>
  <c r="H2290" i="13"/>
  <c r="H2291" i="13"/>
  <c r="H2292" i="13"/>
  <c r="H2293" i="13"/>
  <c r="H2294" i="13"/>
  <c r="H2295" i="13"/>
  <c r="H2296" i="13"/>
  <c r="H2297" i="13"/>
  <c r="H2298" i="13"/>
  <c r="H2299" i="13"/>
  <c r="H2300" i="13"/>
  <c r="H2301" i="13"/>
  <c r="H2302" i="13"/>
  <c r="H2303" i="13"/>
  <c r="H2304" i="13"/>
  <c r="H2305" i="13"/>
  <c r="H2306" i="13"/>
  <c r="H2307" i="13"/>
  <c r="H2308" i="13"/>
  <c r="H2309" i="13"/>
  <c r="H2310" i="13"/>
  <c r="H2311" i="13"/>
  <c r="H2312" i="13"/>
  <c r="H2313" i="13"/>
  <c r="H2314" i="13"/>
  <c r="H2315" i="13"/>
  <c r="H2316" i="13"/>
  <c r="H2317" i="13"/>
  <c r="H2318" i="13"/>
  <c r="H2319" i="13"/>
  <c r="H2320" i="13"/>
  <c r="H2321" i="13"/>
  <c r="H2322" i="13"/>
  <c r="H2323" i="13"/>
  <c r="H2324" i="13"/>
  <c r="H2325" i="13"/>
  <c r="H2326" i="13"/>
  <c r="H2327" i="13"/>
  <c r="H2328" i="13"/>
  <c r="H2329" i="13"/>
  <c r="H2330" i="13"/>
  <c r="H2331" i="13"/>
  <c r="H2332" i="13"/>
  <c r="H2333" i="13"/>
  <c r="H2334" i="13"/>
  <c r="H2335" i="13"/>
  <c r="H2336" i="13"/>
  <c r="H2337" i="13"/>
  <c r="H2338" i="13"/>
  <c r="H2339" i="13"/>
  <c r="H2340" i="13"/>
  <c r="H2341" i="13"/>
  <c r="H2342" i="13"/>
  <c r="H2343" i="13"/>
  <c r="H2344" i="13"/>
  <c r="H2345" i="13"/>
  <c r="H2346" i="13"/>
  <c r="H2347" i="13"/>
  <c r="H2348" i="13"/>
  <c r="H2349" i="13"/>
  <c r="H2350" i="13"/>
  <c r="H2351" i="13"/>
  <c r="H2352" i="13"/>
  <c r="H2353" i="13"/>
  <c r="H2354" i="13"/>
  <c r="H2355" i="13"/>
  <c r="H2356" i="13"/>
  <c r="H2357" i="13"/>
  <c r="H2358" i="13"/>
  <c r="H2359" i="13"/>
  <c r="H2360" i="13"/>
  <c r="H2361" i="13"/>
  <c r="H2362" i="13"/>
  <c r="H2363" i="13"/>
  <c r="H2364" i="13"/>
  <c r="H2365" i="13"/>
  <c r="H2366" i="13"/>
  <c r="H2367" i="13"/>
  <c r="H2368" i="13"/>
  <c r="H2369" i="13"/>
  <c r="H2370" i="13"/>
  <c r="H2371" i="13"/>
  <c r="H2372" i="13"/>
  <c r="H2373" i="13"/>
  <c r="H2374" i="13"/>
  <c r="H2375" i="13"/>
  <c r="H2376" i="13"/>
  <c r="H2377" i="13"/>
  <c r="H2378" i="13"/>
  <c r="H2379" i="13"/>
  <c r="H2380" i="13"/>
  <c r="H2381" i="13"/>
  <c r="H2382" i="13"/>
  <c r="H2383" i="13"/>
  <c r="H2384" i="13"/>
  <c r="H2385" i="13"/>
  <c r="H2386" i="13"/>
  <c r="H2387" i="13"/>
  <c r="H1995" i="13"/>
  <c r="H1996" i="13"/>
  <c r="H1997" i="13"/>
  <c r="H1998" i="13"/>
  <c r="H1999" i="13"/>
  <c r="H2000" i="13"/>
  <c r="H2001" i="13"/>
  <c r="H2002" i="13"/>
  <c r="H2003" i="13"/>
  <c r="H2004" i="13"/>
  <c r="H2005" i="13"/>
  <c r="H2006" i="13"/>
  <c r="H2007" i="13"/>
  <c r="H2008" i="13"/>
  <c r="H2009" i="13"/>
  <c r="H2010" i="13"/>
  <c r="H2011" i="13"/>
  <c r="H2012" i="13"/>
  <c r="H2013" i="13"/>
  <c r="H2014" i="13"/>
  <c r="H2015" i="13"/>
  <c r="H2016" i="13"/>
  <c r="H2017" i="13"/>
  <c r="H2018" i="13"/>
  <c r="H2019" i="13"/>
  <c r="H2020" i="13"/>
  <c r="H2021" i="13"/>
  <c r="H2022" i="13"/>
  <c r="H2023" i="13"/>
  <c r="H2024" i="13"/>
  <c r="H2025" i="13"/>
  <c r="H2026" i="13"/>
  <c r="H2027" i="13"/>
  <c r="H2028" i="13"/>
  <c r="H2029" i="13"/>
  <c r="H2030" i="13"/>
  <c r="H2031" i="13"/>
  <c r="H2032" i="13"/>
  <c r="H2033" i="13"/>
  <c r="H2034" i="13"/>
  <c r="H2035" i="13"/>
  <c r="H2036" i="13"/>
  <c r="H2037" i="13"/>
  <c r="H2038" i="13"/>
  <c r="H2039" i="13"/>
  <c r="H2040" i="13"/>
  <c r="H2041" i="13"/>
  <c r="H2042" i="13"/>
  <c r="H2043" i="13"/>
  <c r="H2044" i="13"/>
  <c r="H2045" i="13"/>
  <c r="H2046" i="13"/>
  <c r="H2047" i="13"/>
  <c r="H2048" i="13"/>
  <c r="H2049" i="13"/>
  <c r="H2050" i="13"/>
  <c r="H2051" i="13"/>
  <c r="H2052" i="13"/>
  <c r="H2053" i="13"/>
  <c r="H2054" i="13"/>
  <c r="H2055" i="13"/>
  <c r="H2056" i="13"/>
  <c r="H2057" i="13"/>
  <c r="H2058" i="13"/>
  <c r="H2059" i="13"/>
  <c r="H2060" i="13"/>
  <c r="H2061" i="13"/>
  <c r="H2062" i="13"/>
  <c r="H2063" i="13"/>
  <c r="H2064" i="13"/>
  <c r="H2065" i="13"/>
  <c r="H2066" i="13"/>
  <c r="H2067" i="13"/>
  <c r="H2068" i="13"/>
  <c r="H2069" i="13"/>
  <c r="H2070" i="13"/>
  <c r="H2071" i="13"/>
  <c r="H2072" i="13"/>
  <c r="H2073" i="13"/>
  <c r="H2074" i="13"/>
  <c r="H2075" i="13"/>
  <c r="H2076" i="13"/>
  <c r="H2077" i="13"/>
  <c r="H2078" i="13"/>
  <c r="H2079" i="13"/>
  <c r="H2080" i="13"/>
  <c r="H2081" i="13"/>
  <c r="H2082" i="13"/>
  <c r="H2083" i="13"/>
  <c r="H2084" i="13"/>
  <c r="H2085" i="13"/>
  <c r="H2086" i="13"/>
  <c r="H2087" i="13"/>
  <c r="H2088" i="13"/>
  <c r="H2089" i="13"/>
  <c r="H2090" i="13"/>
  <c r="H2091" i="13"/>
  <c r="H2092" i="13"/>
  <c r="H2093" i="13"/>
  <c r="H2094" i="13"/>
  <c r="H2095" i="13"/>
  <c r="H2096" i="13"/>
  <c r="H2097" i="13"/>
  <c r="H2098" i="13"/>
  <c r="H2099" i="13"/>
  <c r="H2100" i="13"/>
  <c r="H2101" i="13"/>
  <c r="H2102" i="13"/>
  <c r="H2103" i="13"/>
  <c r="H2104" i="13"/>
  <c r="H2105" i="13"/>
  <c r="H2106" i="13"/>
  <c r="H2107" i="13"/>
  <c r="H2108" i="13"/>
  <c r="H2109" i="13"/>
  <c r="H2110" i="13"/>
  <c r="H2111" i="13"/>
  <c r="H2112" i="13"/>
  <c r="H2113" i="13"/>
  <c r="H2114" i="13"/>
  <c r="H2115" i="13"/>
  <c r="H2116" i="13"/>
  <c r="H2117" i="13"/>
  <c r="H2118" i="13"/>
  <c r="H2119" i="13"/>
  <c r="H2120" i="13"/>
  <c r="H2121" i="13"/>
  <c r="H2122" i="13"/>
  <c r="H2123" i="13"/>
  <c r="H2124" i="13"/>
  <c r="H2125" i="13"/>
  <c r="H1733" i="13"/>
  <c r="H1734" i="13"/>
  <c r="H1735" i="13"/>
  <c r="H1736" i="13"/>
  <c r="H1737" i="13"/>
  <c r="H1738" i="13"/>
  <c r="H1739" i="13"/>
  <c r="H1740" i="13"/>
  <c r="H1741" i="13"/>
  <c r="H1742" i="13"/>
  <c r="H1743" i="13"/>
  <c r="H1744" i="13"/>
  <c r="H1745" i="13"/>
  <c r="H1746" i="13"/>
  <c r="H1747" i="13"/>
  <c r="H1748" i="13"/>
  <c r="H1749" i="13"/>
  <c r="H1750" i="13"/>
  <c r="H1751" i="13"/>
  <c r="H1752" i="13"/>
  <c r="H1753" i="13"/>
  <c r="H1754" i="13"/>
  <c r="H1755" i="13"/>
  <c r="H1756" i="13"/>
  <c r="H1757" i="13"/>
  <c r="H1758" i="13"/>
  <c r="H1759" i="13"/>
  <c r="H1760" i="13"/>
  <c r="H1761" i="13"/>
  <c r="H1762" i="13"/>
  <c r="H1763" i="13"/>
  <c r="H1764" i="13"/>
  <c r="H1765" i="13"/>
  <c r="H1766" i="13"/>
  <c r="H1767" i="13"/>
  <c r="H1768" i="13"/>
  <c r="H1769" i="13"/>
  <c r="H1770" i="13"/>
  <c r="H1771" i="13"/>
  <c r="H1772" i="13"/>
  <c r="H1773" i="13"/>
  <c r="H1774" i="13"/>
  <c r="H1775" i="13"/>
  <c r="H1776" i="13"/>
  <c r="H1777" i="13"/>
  <c r="H1778" i="13"/>
  <c r="H1779" i="13"/>
  <c r="H1780" i="13"/>
  <c r="H1781" i="13"/>
  <c r="H1782" i="13"/>
  <c r="H1783" i="13"/>
  <c r="H1784" i="13"/>
  <c r="H1785" i="13"/>
  <c r="H1786" i="13"/>
  <c r="H1787" i="13"/>
  <c r="H1788" i="13"/>
  <c r="H1789" i="13"/>
  <c r="H1790" i="13"/>
  <c r="H1791" i="13"/>
  <c r="H1792" i="13"/>
  <c r="H1793" i="13"/>
  <c r="H1794" i="13"/>
  <c r="H1795" i="13"/>
  <c r="H1796" i="13"/>
  <c r="H1797" i="13"/>
  <c r="H1798" i="13"/>
  <c r="H1799" i="13"/>
  <c r="H1800" i="13"/>
  <c r="H1801" i="13"/>
  <c r="H1802" i="13"/>
  <c r="H1803" i="13"/>
  <c r="H1804" i="13"/>
  <c r="H1805" i="13"/>
  <c r="H1806" i="13"/>
  <c r="H1807" i="13"/>
  <c r="H1808" i="13"/>
  <c r="H1809" i="13"/>
  <c r="H1810" i="13"/>
  <c r="H1811" i="13"/>
  <c r="H1812" i="13"/>
  <c r="H1813" i="13"/>
  <c r="H1814" i="13"/>
  <c r="H1815" i="13"/>
  <c r="H1816" i="13"/>
  <c r="H1817" i="13"/>
  <c r="H1818" i="13"/>
  <c r="H1819" i="13"/>
  <c r="H1820" i="13"/>
  <c r="H1821" i="13"/>
  <c r="H1822" i="13"/>
  <c r="H1823" i="13"/>
  <c r="H1824" i="13"/>
  <c r="H1825" i="13"/>
  <c r="H1826" i="13"/>
  <c r="H1827" i="13"/>
  <c r="H1828" i="13"/>
  <c r="H1829" i="13"/>
  <c r="H1830" i="13"/>
  <c r="H1831" i="13"/>
  <c r="H1832" i="13"/>
  <c r="H1833" i="13"/>
  <c r="H1834" i="13"/>
  <c r="H1835" i="13"/>
  <c r="H1836" i="13"/>
  <c r="H1837" i="13"/>
  <c r="H1838" i="13"/>
  <c r="H1839" i="13"/>
  <c r="H1840" i="13"/>
  <c r="H1841" i="13"/>
  <c r="H1842" i="13"/>
  <c r="H1843" i="13"/>
  <c r="H1844" i="13"/>
  <c r="H1845" i="13"/>
  <c r="H1846" i="13"/>
  <c r="H1847" i="13"/>
  <c r="H1848" i="13"/>
  <c r="H1849" i="13"/>
  <c r="H1850" i="13"/>
  <c r="H1851" i="13"/>
  <c r="H1852" i="13"/>
  <c r="H1853" i="13"/>
  <c r="H1854" i="13"/>
  <c r="H1855" i="13"/>
  <c r="H1856" i="13"/>
  <c r="H1857" i="13"/>
  <c r="H1858" i="13"/>
  <c r="H1859" i="13"/>
  <c r="H1860" i="13"/>
  <c r="H1861" i="13"/>
  <c r="H1862" i="13"/>
  <c r="H1863" i="13"/>
  <c r="H1471" i="13"/>
  <c r="H1472" i="13"/>
  <c r="H1473" i="13"/>
  <c r="H1474" i="13"/>
  <c r="H1475" i="13"/>
  <c r="H1476" i="13"/>
  <c r="H1477" i="13"/>
  <c r="H1478" i="13"/>
  <c r="H1479" i="13"/>
  <c r="H1480" i="13"/>
  <c r="H1481" i="13"/>
  <c r="H1482" i="13"/>
  <c r="H1483" i="13"/>
  <c r="H1484" i="13"/>
  <c r="H1485" i="13"/>
  <c r="H1486" i="13"/>
  <c r="H1487" i="13"/>
  <c r="H1488" i="13"/>
  <c r="H1489" i="13"/>
  <c r="H1490" i="13"/>
  <c r="H1491" i="13"/>
  <c r="H1492" i="13"/>
  <c r="H1493" i="13"/>
  <c r="H1494" i="13"/>
  <c r="H1495" i="13"/>
  <c r="H1496" i="13"/>
  <c r="H1497" i="13"/>
  <c r="H1498" i="13"/>
  <c r="H1499" i="13"/>
  <c r="H1500" i="13"/>
  <c r="H1501" i="13"/>
  <c r="H1502" i="13"/>
  <c r="H1503" i="13"/>
  <c r="H1504" i="13"/>
  <c r="H1505" i="13"/>
  <c r="H1506" i="13"/>
  <c r="H1507" i="13"/>
  <c r="H1508" i="13"/>
  <c r="H1509" i="13"/>
  <c r="H1510" i="13"/>
  <c r="H1511" i="13"/>
  <c r="H1512" i="13"/>
  <c r="H1513" i="13"/>
  <c r="H1514" i="13"/>
  <c r="H1515" i="13"/>
  <c r="H1516" i="13"/>
  <c r="H1517" i="13"/>
  <c r="H1518" i="13"/>
  <c r="H1519" i="13"/>
  <c r="H1520" i="13"/>
  <c r="H1521" i="13"/>
  <c r="H1522" i="13"/>
  <c r="H1523" i="13"/>
  <c r="H1524" i="13"/>
  <c r="H1525" i="13"/>
  <c r="H1526" i="13"/>
  <c r="H1527" i="13"/>
  <c r="H1528" i="13"/>
  <c r="H1529" i="13"/>
  <c r="H1530" i="13"/>
  <c r="H1531" i="13"/>
  <c r="H1532" i="13"/>
  <c r="H1533" i="13"/>
  <c r="H1534" i="13"/>
  <c r="H1535" i="13"/>
  <c r="H1536" i="13"/>
  <c r="H1537" i="13"/>
  <c r="H1538" i="13"/>
  <c r="H1539" i="13"/>
  <c r="H1540" i="13"/>
  <c r="H1541" i="13"/>
  <c r="H1542" i="13"/>
  <c r="H1543" i="13"/>
  <c r="H1544" i="13"/>
  <c r="H1545" i="13"/>
  <c r="H1546" i="13"/>
  <c r="H1547" i="13"/>
  <c r="H1548" i="13"/>
  <c r="H1549" i="13"/>
  <c r="H1550" i="13"/>
  <c r="H1551" i="13"/>
  <c r="H1552" i="13"/>
  <c r="H1553" i="13"/>
  <c r="H1554" i="13"/>
  <c r="H1555" i="13"/>
  <c r="H1556" i="13"/>
  <c r="H1557" i="13"/>
  <c r="H1558" i="13"/>
  <c r="H1559" i="13"/>
  <c r="H1560" i="13"/>
  <c r="H1561" i="13"/>
  <c r="H1562" i="13"/>
  <c r="H1563" i="13"/>
  <c r="H1564" i="13"/>
  <c r="H1565" i="13"/>
  <c r="H1566" i="13"/>
  <c r="H1567" i="13"/>
  <c r="H1568" i="13"/>
  <c r="H1569" i="13"/>
  <c r="H1570" i="13"/>
  <c r="H1571" i="13"/>
  <c r="H1572" i="13"/>
  <c r="H1573" i="13"/>
  <c r="H1574" i="13"/>
  <c r="H1575" i="13"/>
  <c r="H1576" i="13"/>
  <c r="H1577" i="13"/>
  <c r="H1578" i="13"/>
  <c r="H1579" i="13"/>
  <c r="H1580" i="13"/>
  <c r="H1581" i="13"/>
  <c r="H1582" i="13"/>
  <c r="H1583" i="13"/>
  <c r="H1584" i="13"/>
  <c r="H1585" i="13"/>
  <c r="H1586" i="13"/>
  <c r="H1587" i="13"/>
  <c r="H1588" i="13"/>
  <c r="H1589" i="13"/>
  <c r="H1590" i="13"/>
  <c r="H1591" i="13"/>
  <c r="H1592" i="13"/>
  <c r="H1593" i="13"/>
  <c r="H1594" i="13"/>
  <c r="H1595" i="13"/>
  <c r="H1596" i="13"/>
  <c r="H1597" i="13"/>
  <c r="H1598" i="13"/>
  <c r="H1599" i="13"/>
  <c r="H1600" i="13"/>
  <c r="H1601" i="13"/>
  <c r="H1207" i="13"/>
  <c r="H1208" i="13"/>
  <c r="H1209" i="13"/>
  <c r="H1210" i="13"/>
  <c r="H1211" i="13"/>
  <c r="H1212" i="13"/>
  <c r="H1213" i="13"/>
  <c r="H1214" i="13"/>
  <c r="H1215" i="13"/>
  <c r="H1216" i="13"/>
  <c r="H1217" i="13"/>
  <c r="H1218" i="13"/>
  <c r="H1219" i="13"/>
  <c r="H1220" i="13"/>
  <c r="H1221" i="13"/>
  <c r="H1222" i="13"/>
  <c r="H1223" i="13"/>
  <c r="H1224" i="13"/>
  <c r="H1225" i="13"/>
  <c r="H1226" i="13"/>
  <c r="H1227" i="13"/>
  <c r="H1228" i="13"/>
  <c r="H1229" i="13"/>
  <c r="H1230" i="13"/>
  <c r="H1231" i="13"/>
  <c r="H1232" i="13"/>
  <c r="H1233" i="13"/>
  <c r="H1234" i="13"/>
  <c r="H1235" i="13"/>
  <c r="H1236" i="13"/>
  <c r="H1237" i="13"/>
  <c r="H1238" i="13"/>
  <c r="H1239" i="13"/>
  <c r="H1240" i="13"/>
  <c r="H1241" i="13"/>
  <c r="H1242" i="13"/>
  <c r="H1243" i="13"/>
  <c r="H1244" i="13"/>
  <c r="H1245" i="13"/>
  <c r="H1246" i="13"/>
  <c r="H1247" i="13"/>
  <c r="H1248" i="13"/>
  <c r="H1249" i="13"/>
  <c r="H1250" i="13"/>
  <c r="H1251" i="13"/>
  <c r="H1252" i="13"/>
  <c r="H1253" i="13"/>
  <c r="H1254" i="13"/>
  <c r="H1255" i="13"/>
  <c r="H1256" i="13"/>
  <c r="H1257" i="13"/>
  <c r="H1258" i="13"/>
  <c r="H1259" i="13"/>
  <c r="H1260" i="13"/>
  <c r="H1261" i="13"/>
  <c r="H1262" i="13"/>
  <c r="H1263" i="13"/>
  <c r="H1264" i="13"/>
  <c r="H1265" i="13"/>
  <c r="H1266" i="13"/>
  <c r="H1267" i="13"/>
  <c r="H1268" i="13"/>
  <c r="H1269" i="13"/>
  <c r="H1270" i="13"/>
  <c r="H1271" i="13"/>
  <c r="H1272" i="13"/>
  <c r="H1273" i="13"/>
  <c r="H1274" i="13"/>
  <c r="H1275" i="13"/>
  <c r="H1276" i="13"/>
  <c r="H1277" i="13"/>
  <c r="H1278" i="13"/>
  <c r="H1279" i="13"/>
  <c r="H1280" i="13"/>
  <c r="H1281" i="13"/>
  <c r="H1282" i="13"/>
  <c r="H1283" i="13"/>
  <c r="H1284" i="13"/>
  <c r="H1285" i="13"/>
  <c r="H1286" i="13"/>
  <c r="H1287" i="13"/>
  <c r="H1288" i="13"/>
  <c r="H1289" i="13"/>
  <c r="H1290" i="13"/>
  <c r="H1291" i="13"/>
  <c r="H1292" i="13"/>
  <c r="H1293" i="13"/>
  <c r="H1294" i="13"/>
  <c r="H1295" i="13"/>
  <c r="H1296" i="13"/>
  <c r="H1297" i="13"/>
  <c r="H1298" i="13"/>
  <c r="H1299" i="13"/>
  <c r="H1300" i="13"/>
  <c r="H1301" i="13"/>
  <c r="H1302" i="13"/>
  <c r="H1303" i="13"/>
  <c r="H1304" i="13"/>
  <c r="H1305" i="13"/>
  <c r="H1306" i="13"/>
  <c r="H1307" i="13"/>
  <c r="H1308" i="13"/>
  <c r="H1309" i="13"/>
  <c r="H1310" i="13"/>
  <c r="H1311" i="13"/>
  <c r="H1312" i="13"/>
  <c r="H1313" i="13"/>
  <c r="H1314" i="13"/>
  <c r="H1315" i="13"/>
  <c r="H1316" i="13"/>
  <c r="H1317" i="13"/>
  <c r="H1318" i="13"/>
  <c r="H1319" i="13"/>
  <c r="H1320" i="13"/>
  <c r="H1321" i="13"/>
  <c r="H1322" i="13"/>
  <c r="H1323" i="13"/>
  <c r="H1324" i="13"/>
  <c r="H1325" i="13"/>
  <c r="H1326" i="13"/>
  <c r="H1327" i="13"/>
  <c r="H1328" i="13"/>
  <c r="H1329" i="13"/>
  <c r="H1330" i="13"/>
  <c r="H1331" i="13"/>
  <c r="H1332" i="13"/>
  <c r="H1333" i="13"/>
  <c r="H1334" i="13"/>
  <c r="H1335" i="13"/>
  <c r="H1336" i="13"/>
  <c r="H1337" i="13"/>
  <c r="H1338" i="13"/>
  <c r="H1339" i="13"/>
  <c r="H941" i="13"/>
  <c r="H942" i="13"/>
  <c r="H943" i="13"/>
  <c r="H944" i="13"/>
  <c r="H945" i="13"/>
  <c r="H946" i="13"/>
  <c r="H947" i="13"/>
  <c r="H948" i="13"/>
  <c r="H949" i="13"/>
  <c r="H950" i="13"/>
  <c r="H951" i="13"/>
  <c r="H952" i="13"/>
  <c r="H953" i="13"/>
  <c r="H954" i="13"/>
  <c r="H955" i="13"/>
  <c r="H956" i="13"/>
  <c r="H957" i="13"/>
  <c r="H958" i="13"/>
  <c r="H959" i="13"/>
  <c r="H960" i="13"/>
  <c r="H961" i="13"/>
  <c r="H962" i="13"/>
  <c r="H963" i="13"/>
  <c r="H964"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1003" i="13"/>
  <c r="H1004" i="13"/>
  <c r="H1005" i="13"/>
  <c r="H1006" i="13"/>
  <c r="H1007" i="13"/>
  <c r="H1008" i="13"/>
  <c r="H1009" i="13"/>
  <c r="H1010" i="13"/>
  <c r="H1011" i="13"/>
  <c r="H1012" i="13"/>
  <c r="H1013" i="13"/>
  <c r="H1014" i="13"/>
  <c r="H1015" i="13"/>
  <c r="H1016" i="13"/>
  <c r="H1017" i="13"/>
  <c r="H1018" i="13"/>
  <c r="H1019" i="13"/>
  <c r="H1020" i="13"/>
  <c r="H1021" i="13"/>
  <c r="H1022" i="13"/>
  <c r="H1023" i="13"/>
  <c r="H1024" i="13"/>
  <c r="H1025" i="13"/>
  <c r="H1026" i="13"/>
  <c r="H1027" i="13"/>
  <c r="H1028" i="13"/>
  <c r="H1029" i="13"/>
  <c r="H1030" i="13"/>
  <c r="H1031" i="13"/>
  <c r="H1032" i="13"/>
  <c r="H1033" i="13"/>
  <c r="H1034" i="13"/>
  <c r="H1035" i="13"/>
  <c r="H1036" i="13"/>
  <c r="H1037" i="13"/>
  <c r="H1038" i="13"/>
  <c r="H1039" i="13"/>
  <c r="H1040" i="13"/>
  <c r="H1041" i="13"/>
  <c r="H1042" i="13"/>
  <c r="H1043" i="13"/>
  <c r="H1044" i="13"/>
  <c r="H1045" i="13"/>
  <c r="H1046" i="13"/>
  <c r="H1047" i="13"/>
  <c r="H1048" i="13"/>
  <c r="H1049" i="13"/>
  <c r="H1050" i="13"/>
  <c r="H1051" i="13"/>
  <c r="H1052" i="13"/>
  <c r="H1053" i="13"/>
  <c r="H1054" i="13"/>
  <c r="H1055" i="13"/>
  <c r="H1056" i="13"/>
  <c r="H1057" i="13"/>
  <c r="H1058" i="13"/>
  <c r="H1059" i="13"/>
  <c r="H1060" i="13"/>
  <c r="H1061" i="13"/>
  <c r="H1062" i="13"/>
  <c r="H1063" i="13"/>
  <c r="H1064" i="13"/>
  <c r="H1065" i="13"/>
  <c r="H1066" i="13"/>
  <c r="H1067" i="13"/>
  <c r="H1068" i="13"/>
  <c r="H1069" i="13"/>
  <c r="H1070" i="13"/>
  <c r="H1071" i="13"/>
  <c r="H1072" i="13"/>
  <c r="H1073"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I2126" i="13"/>
  <c r="I2127" i="13"/>
  <c r="I2128" i="13"/>
  <c r="I2129" i="13"/>
  <c r="I2130" i="13"/>
  <c r="I2131" i="13"/>
  <c r="I2132" i="13"/>
  <c r="I2133" i="13"/>
  <c r="I2134" i="13"/>
  <c r="I2135" i="13"/>
  <c r="I2136" i="13"/>
  <c r="I2137" i="13"/>
  <c r="I2138" i="13"/>
  <c r="I2139" i="13"/>
  <c r="I2140" i="13"/>
  <c r="I2141" i="13"/>
  <c r="I2142" i="13"/>
  <c r="I2143" i="13"/>
  <c r="I2144" i="13"/>
  <c r="I2145" i="13"/>
  <c r="I2146" i="13"/>
  <c r="I2147" i="13"/>
  <c r="I2148" i="13"/>
  <c r="I2149" i="13"/>
  <c r="I2150" i="13"/>
  <c r="I2151" i="13"/>
  <c r="I2152" i="13"/>
  <c r="I2153" i="13"/>
  <c r="I2154" i="13"/>
  <c r="I2155" i="13"/>
  <c r="I2156" i="13"/>
  <c r="I2157" i="13"/>
  <c r="I2158" i="13"/>
  <c r="I2159" i="13"/>
  <c r="I2160" i="13"/>
  <c r="I2161" i="13"/>
  <c r="I2162" i="13"/>
  <c r="I2163" i="13"/>
  <c r="I2164" i="13"/>
  <c r="I2165" i="13"/>
  <c r="I2166" i="13"/>
  <c r="I2167" i="13"/>
  <c r="I2168" i="13"/>
  <c r="I2169" i="13"/>
  <c r="I2170" i="13"/>
  <c r="I2171" i="13"/>
  <c r="I2172" i="13"/>
  <c r="I2173" i="13"/>
  <c r="I2174" i="13"/>
  <c r="I2175" i="13"/>
  <c r="I2176" i="13"/>
  <c r="I2177" i="13"/>
  <c r="I2178" i="13"/>
  <c r="I2179" i="13"/>
  <c r="I2180" i="13"/>
  <c r="I2181" i="13"/>
  <c r="I2182" i="13"/>
  <c r="I2183" i="13"/>
  <c r="I2184" i="13"/>
  <c r="I2185" i="13"/>
  <c r="I2186" i="13"/>
  <c r="I2187" i="13"/>
  <c r="I2188" i="13"/>
  <c r="I2189" i="13"/>
  <c r="I2190" i="13"/>
  <c r="I2191" i="13"/>
  <c r="I2192" i="13"/>
  <c r="I2193" i="13"/>
  <c r="I2194" i="13"/>
  <c r="I2195" i="13"/>
  <c r="I2196" i="13"/>
  <c r="I2197" i="13"/>
  <c r="I2198" i="13"/>
  <c r="I2199" i="13"/>
  <c r="I2200" i="13"/>
  <c r="I2201" i="13"/>
  <c r="I2202" i="13"/>
  <c r="I2203" i="13"/>
  <c r="I2204" i="13"/>
  <c r="I2205" i="13"/>
  <c r="I2206" i="13"/>
  <c r="I2207" i="13"/>
  <c r="I2208" i="13"/>
  <c r="I2209" i="13"/>
  <c r="I2210" i="13"/>
  <c r="I2211" i="13"/>
  <c r="I2212" i="13"/>
  <c r="I2213" i="13"/>
  <c r="I2214" i="13"/>
  <c r="I2215" i="13"/>
  <c r="I2216" i="13"/>
  <c r="I2217" i="13"/>
  <c r="I2218" i="13"/>
  <c r="I2219" i="13"/>
  <c r="I2220" i="13"/>
  <c r="I2221" i="13"/>
  <c r="I2222" i="13"/>
  <c r="I2223" i="13"/>
  <c r="I2224" i="13"/>
  <c r="I2225" i="13"/>
  <c r="I2226" i="13"/>
  <c r="I2227" i="13"/>
  <c r="I2228" i="13"/>
  <c r="I2229" i="13"/>
  <c r="I2230" i="13"/>
  <c r="I2231" i="13"/>
  <c r="I2232" i="13"/>
  <c r="I2233" i="13"/>
  <c r="I2234" i="13"/>
  <c r="I2235" i="13"/>
  <c r="I2236" i="13"/>
  <c r="I2237" i="13"/>
  <c r="I2238" i="13"/>
  <c r="I2239" i="13"/>
  <c r="I2240" i="13"/>
  <c r="I2241" i="13"/>
  <c r="I2242" i="13"/>
  <c r="I2243" i="13"/>
  <c r="I2244" i="13"/>
  <c r="I2245" i="13"/>
  <c r="I2246" i="13"/>
  <c r="I2247" i="13"/>
  <c r="I2248" i="13"/>
  <c r="I2249" i="13"/>
  <c r="I2250" i="13"/>
  <c r="I2251" i="13"/>
  <c r="I2252" i="13"/>
  <c r="I2253" i="13"/>
  <c r="I2254" i="13"/>
  <c r="I2255" i="13"/>
  <c r="I2256" i="13"/>
  <c r="I1864" i="13"/>
  <c r="I1865" i="13"/>
  <c r="I1866" i="13"/>
  <c r="I1867" i="13"/>
  <c r="I1868" i="13"/>
  <c r="I1869" i="13"/>
  <c r="I1870" i="13"/>
  <c r="I1871" i="13"/>
  <c r="I1872" i="13"/>
  <c r="I1873" i="13"/>
  <c r="I1874" i="13"/>
  <c r="I1875" i="13"/>
  <c r="I1876" i="13"/>
  <c r="I1877" i="13"/>
  <c r="I1878" i="13"/>
  <c r="I1879" i="13"/>
  <c r="I1880" i="13"/>
  <c r="I1881" i="13"/>
  <c r="I1882" i="13"/>
  <c r="I1883" i="13"/>
  <c r="I1884" i="13"/>
  <c r="I1885" i="13"/>
  <c r="I1886" i="13"/>
  <c r="I1887" i="13"/>
  <c r="I1888" i="13"/>
  <c r="I1889" i="13"/>
  <c r="I1890" i="13"/>
  <c r="I1891" i="13"/>
  <c r="I1892" i="13"/>
  <c r="I1893" i="13"/>
  <c r="I1894" i="13"/>
  <c r="I1895" i="13"/>
  <c r="I1896" i="13"/>
  <c r="I1897" i="13"/>
  <c r="I1898" i="13"/>
  <c r="I1899" i="13"/>
  <c r="I1900" i="13"/>
  <c r="I1901" i="13"/>
  <c r="I1902" i="13"/>
  <c r="I1903" i="13"/>
  <c r="I1904" i="13"/>
  <c r="I1905" i="13"/>
  <c r="I1906" i="13"/>
  <c r="I1907" i="13"/>
  <c r="I1908" i="13"/>
  <c r="I1909" i="13"/>
  <c r="I1910" i="13"/>
  <c r="I1911" i="13"/>
  <c r="I1912" i="13"/>
  <c r="I1913" i="13"/>
  <c r="I1914" i="13"/>
  <c r="I1915" i="13"/>
  <c r="I1916" i="13"/>
  <c r="I1917" i="13"/>
  <c r="I1918" i="13"/>
  <c r="I1919" i="13"/>
  <c r="I1920" i="13"/>
  <c r="I1921" i="13"/>
  <c r="I1922" i="13"/>
  <c r="I1923" i="13"/>
  <c r="I1924" i="13"/>
  <c r="I1925" i="13"/>
  <c r="I1926" i="13"/>
  <c r="I1927" i="13"/>
  <c r="I1928" i="13"/>
  <c r="I1929" i="13"/>
  <c r="I1930" i="13"/>
  <c r="I1931" i="13"/>
  <c r="I1932" i="13"/>
  <c r="I1933" i="13"/>
  <c r="I1934" i="13"/>
  <c r="I1935" i="13"/>
  <c r="I1936" i="13"/>
  <c r="I1937" i="13"/>
  <c r="I1938" i="13"/>
  <c r="I1939" i="13"/>
  <c r="I1940" i="13"/>
  <c r="I1941" i="13"/>
  <c r="I1942" i="13"/>
  <c r="I1943" i="13"/>
  <c r="I1944" i="13"/>
  <c r="I1945" i="13"/>
  <c r="I1946" i="13"/>
  <c r="I1947" i="13"/>
  <c r="I1948" i="13"/>
  <c r="I1949" i="13"/>
  <c r="I1950" i="13"/>
  <c r="I1951" i="13"/>
  <c r="I1952" i="13"/>
  <c r="I1953" i="13"/>
  <c r="I1954" i="13"/>
  <c r="I1955" i="13"/>
  <c r="I1956" i="13"/>
  <c r="I1957" i="13"/>
  <c r="I1958" i="13"/>
  <c r="I1959" i="13"/>
  <c r="I1960" i="13"/>
  <c r="I1961" i="13"/>
  <c r="I1962" i="13"/>
  <c r="I1963" i="13"/>
  <c r="I1964" i="13"/>
  <c r="I1965" i="13"/>
  <c r="I1966" i="13"/>
  <c r="I1967" i="13"/>
  <c r="I1968" i="13"/>
  <c r="I1969" i="13"/>
  <c r="I1970" i="13"/>
  <c r="I1971" i="13"/>
  <c r="I1972" i="13"/>
  <c r="I1973" i="13"/>
  <c r="I1974" i="13"/>
  <c r="I1975" i="13"/>
  <c r="I1976" i="13"/>
  <c r="I1977" i="13"/>
  <c r="I1978" i="13"/>
  <c r="I1979" i="13"/>
  <c r="I1980" i="13"/>
  <c r="I1981" i="13"/>
  <c r="I1982" i="13"/>
  <c r="I1983" i="13"/>
  <c r="I1984" i="13"/>
  <c r="I1985" i="13"/>
  <c r="I1986" i="13"/>
  <c r="I1987" i="13"/>
  <c r="I1988" i="13"/>
  <c r="I1989" i="13"/>
  <c r="I1990" i="13"/>
  <c r="I1991" i="13"/>
  <c r="I1992" i="13"/>
  <c r="I1993" i="13"/>
  <c r="I1994" i="13"/>
  <c r="I1602" i="13"/>
  <c r="I1603" i="13"/>
  <c r="I1604" i="13"/>
  <c r="I1605" i="13"/>
  <c r="I1606" i="13"/>
  <c r="I1607" i="13"/>
  <c r="I1608" i="13"/>
  <c r="I1609" i="13"/>
  <c r="I1610" i="13"/>
  <c r="I1611" i="13"/>
  <c r="I1612" i="13"/>
  <c r="I1613" i="13"/>
  <c r="I1614" i="13"/>
  <c r="I1615" i="13"/>
  <c r="I1616" i="13"/>
  <c r="I1617" i="13"/>
  <c r="I1618" i="13"/>
  <c r="I1619" i="13"/>
  <c r="I1620" i="13"/>
  <c r="I1621" i="13"/>
  <c r="I1622" i="13"/>
  <c r="I1623" i="13"/>
  <c r="I1624" i="13"/>
  <c r="I1625" i="13"/>
  <c r="I1626" i="13"/>
  <c r="I1627" i="13"/>
  <c r="I1628" i="13"/>
  <c r="I1629" i="13"/>
  <c r="I1630" i="13"/>
  <c r="I1631" i="13"/>
  <c r="I1632" i="13"/>
  <c r="I1633" i="13"/>
  <c r="I1634" i="13"/>
  <c r="I1635" i="13"/>
  <c r="I1636" i="13"/>
  <c r="I1637" i="13"/>
  <c r="I1638" i="13"/>
  <c r="I1639" i="13"/>
  <c r="I1640" i="13"/>
  <c r="I1641" i="13"/>
  <c r="I1642" i="13"/>
  <c r="I1643" i="13"/>
  <c r="I1644" i="13"/>
  <c r="I1645" i="13"/>
  <c r="I1646" i="13"/>
  <c r="I1647" i="13"/>
  <c r="I1648" i="13"/>
  <c r="I1649" i="13"/>
  <c r="I1650" i="13"/>
  <c r="I1651" i="13"/>
  <c r="I1652" i="13"/>
  <c r="I1653" i="13"/>
  <c r="I1654" i="13"/>
  <c r="I1655" i="13"/>
  <c r="I1656" i="13"/>
  <c r="I1657" i="13"/>
  <c r="I1658" i="13"/>
  <c r="I1659" i="13"/>
  <c r="I1660" i="13"/>
  <c r="I1661" i="13"/>
  <c r="I1662" i="13"/>
  <c r="I1663" i="13"/>
  <c r="I1664" i="13"/>
  <c r="I1665" i="13"/>
  <c r="I1666" i="13"/>
  <c r="I1667" i="13"/>
  <c r="I1668" i="13"/>
  <c r="I1669" i="13"/>
  <c r="I1670" i="13"/>
  <c r="I1671" i="13"/>
  <c r="I1672" i="13"/>
  <c r="I1673" i="13"/>
  <c r="I1674" i="13"/>
  <c r="I1675" i="13"/>
  <c r="I1676" i="13"/>
  <c r="I1677" i="13"/>
  <c r="I1678" i="13"/>
  <c r="I1679" i="13"/>
  <c r="I1680" i="13"/>
  <c r="I1681" i="13"/>
  <c r="I1682" i="13"/>
  <c r="I1683" i="13"/>
  <c r="I1684" i="13"/>
  <c r="I1685" i="13"/>
  <c r="I1686" i="13"/>
  <c r="I1687" i="13"/>
  <c r="I1688" i="13"/>
  <c r="I1689" i="13"/>
  <c r="I1690" i="13"/>
  <c r="I1691" i="13"/>
  <c r="I1692" i="13"/>
  <c r="I1693" i="13"/>
  <c r="I1694" i="13"/>
  <c r="I1695" i="13"/>
  <c r="I1696" i="13"/>
  <c r="I1697" i="13"/>
  <c r="I1698" i="13"/>
  <c r="I1699" i="13"/>
  <c r="I1700" i="13"/>
  <c r="I1701" i="13"/>
  <c r="I1702" i="13"/>
  <c r="I1703" i="13"/>
  <c r="I1704" i="13"/>
  <c r="I1705" i="13"/>
  <c r="I1706" i="13"/>
  <c r="I1707" i="13"/>
  <c r="I1708" i="13"/>
  <c r="I1709" i="13"/>
  <c r="I1710" i="13"/>
  <c r="I1711" i="13"/>
  <c r="I1712" i="13"/>
  <c r="I1713" i="13"/>
  <c r="I1714" i="13"/>
  <c r="I1715" i="13"/>
  <c r="I1716" i="13"/>
  <c r="I1717" i="13"/>
  <c r="I1718" i="13"/>
  <c r="I1719" i="13"/>
  <c r="I1720" i="13"/>
  <c r="I1721" i="13"/>
  <c r="I1722" i="13"/>
  <c r="I1723" i="13"/>
  <c r="I1724" i="13"/>
  <c r="I1725" i="13"/>
  <c r="I1726" i="13"/>
  <c r="I1727" i="13"/>
  <c r="I1728" i="13"/>
  <c r="I1729" i="13"/>
  <c r="I1730" i="13"/>
  <c r="I1731" i="13"/>
  <c r="I1732" i="13"/>
  <c r="I1340" i="13"/>
  <c r="I1341" i="13"/>
  <c r="I1342" i="13"/>
  <c r="I1343" i="13"/>
  <c r="I1344" i="13"/>
  <c r="I1345" i="13"/>
  <c r="I1346" i="13"/>
  <c r="I1347" i="13"/>
  <c r="I1348" i="13"/>
  <c r="I1349" i="13"/>
  <c r="I1350" i="13"/>
  <c r="I1351" i="13"/>
  <c r="I1352" i="13"/>
  <c r="I1353" i="13"/>
  <c r="I1354" i="13"/>
  <c r="I1355" i="13"/>
  <c r="I1356" i="13"/>
  <c r="I1357" i="13"/>
  <c r="I1358" i="13"/>
  <c r="I1359" i="13"/>
  <c r="I1360" i="13"/>
  <c r="I1361" i="13"/>
  <c r="I1362" i="13"/>
  <c r="I1363" i="13"/>
  <c r="I1364" i="13"/>
  <c r="I1365" i="13"/>
  <c r="I1366" i="13"/>
  <c r="I1367" i="13"/>
  <c r="I1368" i="13"/>
  <c r="I1369" i="13"/>
  <c r="I1370" i="13"/>
  <c r="I1371" i="13"/>
  <c r="I1372" i="13"/>
  <c r="I1373" i="13"/>
  <c r="I1374" i="13"/>
  <c r="I1375" i="13"/>
  <c r="I1376" i="13"/>
  <c r="I1377" i="13"/>
  <c r="I1378" i="13"/>
  <c r="I1379" i="13"/>
  <c r="I1380" i="13"/>
  <c r="I1381" i="13"/>
  <c r="I1382" i="13"/>
  <c r="I1383" i="13"/>
  <c r="I1384" i="13"/>
  <c r="I1385" i="13"/>
  <c r="I1386" i="13"/>
  <c r="I1387" i="13"/>
  <c r="I1388" i="13"/>
  <c r="I1389" i="13"/>
  <c r="I1390" i="13"/>
  <c r="I1391" i="13"/>
  <c r="I1392" i="13"/>
  <c r="I1393" i="13"/>
  <c r="I1394" i="13"/>
  <c r="I1395" i="13"/>
  <c r="I1396" i="13"/>
  <c r="I1397" i="13"/>
  <c r="I1398" i="13"/>
  <c r="I1399" i="13"/>
  <c r="I1400" i="13"/>
  <c r="I1401" i="13"/>
  <c r="I1402" i="13"/>
  <c r="I1403" i="13"/>
  <c r="I1404" i="13"/>
  <c r="I1405" i="13"/>
  <c r="I1406" i="13"/>
  <c r="I1407" i="13"/>
  <c r="I1408" i="13"/>
  <c r="I1409" i="13"/>
  <c r="I1410" i="13"/>
  <c r="I1411" i="13"/>
  <c r="I1412" i="13"/>
  <c r="I1413" i="13"/>
  <c r="I1414" i="13"/>
  <c r="I1415" i="13"/>
  <c r="I1416" i="13"/>
  <c r="I1417" i="13"/>
  <c r="I1418" i="13"/>
  <c r="I1419" i="13"/>
  <c r="I1420" i="13"/>
  <c r="I1421" i="13"/>
  <c r="I1422" i="13"/>
  <c r="I1423" i="13"/>
  <c r="I1424" i="13"/>
  <c r="I1425" i="13"/>
  <c r="I1426" i="13"/>
  <c r="I1427" i="13"/>
  <c r="I1428" i="13"/>
  <c r="I1429" i="13"/>
  <c r="I1430" i="13"/>
  <c r="I1431" i="13"/>
  <c r="I1432" i="13"/>
  <c r="I1433" i="13"/>
  <c r="I1434" i="13"/>
  <c r="I1435" i="13"/>
  <c r="I1436" i="13"/>
  <c r="I1437" i="13"/>
  <c r="I1438" i="13"/>
  <c r="I1439" i="13"/>
  <c r="I1440" i="13"/>
  <c r="I1441" i="13"/>
  <c r="I1442" i="13"/>
  <c r="I1443" i="13"/>
  <c r="I1444" i="13"/>
  <c r="I1445" i="13"/>
  <c r="I1446" i="13"/>
  <c r="I1447" i="13"/>
  <c r="I1448" i="13"/>
  <c r="I1449" i="13"/>
  <c r="I1450" i="13"/>
  <c r="I1451" i="13"/>
  <c r="I1452" i="13"/>
  <c r="I1453" i="13"/>
  <c r="I1454" i="13"/>
  <c r="I1455" i="13"/>
  <c r="I1456" i="13"/>
  <c r="I1457" i="13"/>
  <c r="I1458" i="13"/>
  <c r="I1459" i="13"/>
  <c r="I1460" i="13"/>
  <c r="I1461" i="13"/>
  <c r="I1462" i="13"/>
  <c r="I1463" i="13"/>
  <c r="I1464" i="13"/>
  <c r="I1465" i="13"/>
  <c r="I1466" i="13"/>
  <c r="I1467" i="13"/>
  <c r="I1468" i="13"/>
  <c r="I1469" i="13"/>
  <c r="I1470"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2"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2257" i="13"/>
  <c r="I2258" i="13"/>
  <c r="I2259" i="13"/>
  <c r="I2260" i="13"/>
  <c r="I2261" i="13"/>
  <c r="I2262" i="13"/>
  <c r="I2263" i="13"/>
  <c r="I2264" i="13"/>
  <c r="I2265" i="13"/>
  <c r="I2266" i="13"/>
  <c r="I2267" i="13"/>
  <c r="I2268" i="13"/>
  <c r="I2269" i="13"/>
  <c r="I2270" i="13"/>
  <c r="I2271" i="13"/>
  <c r="I2272" i="13"/>
  <c r="I2273" i="13"/>
  <c r="I2274" i="13"/>
  <c r="I2275" i="13"/>
  <c r="I2276" i="13"/>
  <c r="I2277" i="13"/>
  <c r="I2278" i="13"/>
  <c r="I2279" i="13"/>
  <c r="I2280" i="13"/>
  <c r="I2281" i="13"/>
  <c r="I2282" i="13"/>
  <c r="I2283" i="13"/>
  <c r="I2284" i="13"/>
  <c r="I2285" i="13"/>
  <c r="I2286" i="13"/>
  <c r="I2287" i="13"/>
  <c r="I2288" i="13"/>
  <c r="I2289" i="13"/>
  <c r="I2290" i="13"/>
  <c r="I2291" i="13"/>
  <c r="I2292" i="13"/>
  <c r="I2293" i="13"/>
  <c r="I2294" i="13"/>
  <c r="I2295" i="13"/>
  <c r="I2296" i="13"/>
  <c r="I2297" i="13"/>
  <c r="I2298" i="13"/>
  <c r="I2299" i="13"/>
  <c r="I2300" i="13"/>
  <c r="I2301" i="13"/>
  <c r="I2302" i="13"/>
  <c r="I2303" i="13"/>
  <c r="I2304" i="13"/>
  <c r="I2305" i="13"/>
  <c r="I2306" i="13"/>
  <c r="I2307" i="13"/>
  <c r="I2308" i="13"/>
  <c r="I2309" i="13"/>
  <c r="I2310" i="13"/>
  <c r="I2311" i="13"/>
  <c r="I2312" i="13"/>
  <c r="I2313" i="13"/>
  <c r="I2314" i="13"/>
  <c r="I2315" i="13"/>
  <c r="I2316" i="13"/>
  <c r="I2317" i="13"/>
  <c r="I2318" i="13"/>
  <c r="I2319" i="13"/>
  <c r="I2320" i="13"/>
  <c r="I2321" i="13"/>
  <c r="I2322" i="13"/>
  <c r="I2323" i="13"/>
  <c r="I2324" i="13"/>
  <c r="I2325" i="13"/>
  <c r="I2326" i="13"/>
  <c r="I2327" i="13"/>
  <c r="I2328" i="13"/>
  <c r="I2329" i="13"/>
  <c r="I2330" i="13"/>
  <c r="I2331" i="13"/>
  <c r="I2332" i="13"/>
  <c r="I2333" i="13"/>
  <c r="I2334" i="13"/>
  <c r="I2335" i="13"/>
  <c r="I2336" i="13"/>
  <c r="I2337" i="13"/>
  <c r="I2338" i="13"/>
  <c r="I2339" i="13"/>
  <c r="I2340" i="13"/>
  <c r="I2341" i="13"/>
  <c r="I2342" i="13"/>
  <c r="I2343" i="13"/>
  <c r="I2344" i="13"/>
  <c r="I2345" i="13"/>
  <c r="I2346" i="13"/>
  <c r="I2347" i="13"/>
  <c r="I2348" i="13"/>
  <c r="I2349" i="13"/>
  <c r="I2350" i="13"/>
  <c r="I2351" i="13"/>
  <c r="I2352" i="13"/>
  <c r="I2353" i="13"/>
  <c r="I2354" i="13"/>
  <c r="I2355" i="13"/>
  <c r="I2356" i="13"/>
  <c r="I2357" i="13"/>
  <c r="I2358" i="13"/>
  <c r="I2359" i="13"/>
  <c r="I2360" i="13"/>
  <c r="I2361" i="13"/>
  <c r="I2362" i="13"/>
  <c r="I2363" i="13"/>
  <c r="I2364" i="13"/>
  <c r="I2365" i="13"/>
  <c r="I2366" i="13"/>
  <c r="I2367" i="13"/>
  <c r="I2368" i="13"/>
  <c r="I2369" i="13"/>
  <c r="I2370" i="13"/>
  <c r="I2371" i="13"/>
  <c r="I2372" i="13"/>
  <c r="I2373" i="13"/>
  <c r="I2374" i="13"/>
  <c r="I2375" i="13"/>
  <c r="I2376" i="13"/>
  <c r="I2377" i="13"/>
  <c r="I2378" i="13"/>
  <c r="I2379" i="13"/>
  <c r="I2380" i="13"/>
  <c r="I2381" i="13"/>
  <c r="I2382" i="13"/>
  <c r="I2383" i="13"/>
  <c r="I2384" i="13"/>
  <c r="I2385" i="13"/>
  <c r="I2386" i="13"/>
  <c r="I2387" i="13"/>
  <c r="I1995" i="13"/>
  <c r="I1996" i="13"/>
  <c r="I1997" i="13"/>
  <c r="I1998" i="13"/>
  <c r="I1999" i="13"/>
  <c r="I2000" i="13"/>
  <c r="I2001" i="13"/>
  <c r="I2002" i="13"/>
  <c r="I2003" i="13"/>
  <c r="I2004" i="13"/>
  <c r="I2005" i="13"/>
  <c r="I2006" i="13"/>
  <c r="I2007" i="13"/>
  <c r="I2008" i="13"/>
  <c r="I2009" i="13"/>
  <c r="I2010" i="13"/>
  <c r="I2011" i="13"/>
  <c r="I2012" i="13"/>
  <c r="I2013" i="13"/>
  <c r="I2014" i="13"/>
  <c r="I2015" i="13"/>
  <c r="I2016" i="13"/>
  <c r="I2017" i="13"/>
  <c r="I2018" i="13"/>
  <c r="I2019" i="13"/>
  <c r="I2020" i="13"/>
  <c r="I2021" i="13"/>
  <c r="I2022" i="13"/>
  <c r="I2023" i="13"/>
  <c r="I2024" i="13"/>
  <c r="I2025" i="13"/>
  <c r="I2026" i="13"/>
  <c r="I2027" i="13"/>
  <c r="I2028" i="13"/>
  <c r="I2029" i="13"/>
  <c r="I2030" i="13"/>
  <c r="I2031" i="13"/>
  <c r="I2032" i="13"/>
  <c r="I2033" i="13"/>
  <c r="I2034" i="13"/>
  <c r="I2035" i="13"/>
  <c r="I2036" i="13"/>
  <c r="I2037" i="13"/>
  <c r="I2038" i="13"/>
  <c r="I2039" i="13"/>
  <c r="I2040" i="13"/>
  <c r="I2041" i="13"/>
  <c r="I2042" i="13"/>
  <c r="I2043" i="13"/>
  <c r="I2044" i="13"/>
  <c r="I2045" i="13"/>
  <c r="I2046" i="13"/>
  <c r="I2047" i="13"/>
  <c r="I2048" i="13"/>
  <c r="I2049" i="13"/>
  <c r="I2050" i="13"/>
  <c r="I2051" i="13"/>
  <c r="I2052" i="13"/>
  <c r="I2053" i="13"/>
  <c r="I2054" i="13"/>
  <c r="I2055" i="13"/>
  <c r="I2056" i="13"/>
  <c r="I2057" i="13"/>
  <c r="I2058" i="13"/>
  <c r="I2059" i="13"/>
  <c r="I2060" i="13"/>
  <c r="I2061" i="13"/>
  <c r="I2062" i="13"/>
  <c r="I2063" i="13"/>
  <c r="I2064" i="13"/>
  <c r="I2065" i="13"/>
  <c r="I2066" i="13"/>
  <c r="I2067" i="13"/>
  <c r="I2068" i="13"/>
  <c r="I2069" i="13"/>
  <c r="I2070" i="13"/>
  <c r="I2071" i="13"/>
  <c r="I2072" i="13"/>
  <c r="I2073" i="13"/>
  <c r="I2074" i="13"/>
  <c r="I2075" i="13"/>
  <c r="I2076" i="13"/>
  <c r="I2077" i="13"/>
  <c r="I2078" i="13"/>
  <c r="I2079" i="13"/>
  <c r="I2080" i="13"/>
  <c r="I2081" i="13"/>
  <c r="I2082" i="13"/>
  <c r="I2083" i="13"/>
  <c r="I2084" i="13"/>
  <c r="I2085" i="13"/>
  <c r="I2086" i="13"/>
  <c r="I2087" i="13"/>
  <c r="I2088" i="13"/>
  <c r="I2089" i="13"/>
  <c r="I2090" i="13"/>
  <c r="I2091" i="13"/>
  <c r="I2092" i="13"/>
  <c r="I2093" i="13"/>
  <c r="I2094" i="13"/>
  <c r="I2095" i="13"/>
  <c r="I2096" i="13"/>
  <c r="I2097" i="13"/>
  <c r="I2098" i="13"/>
  <c r="I2099" i="13"/>
  <c r="I2100" i="13"/>
  <c r="I2101" i="13"/>
  <c r="I2102" i="13"/>
  <c r="I2103" i="13"/>
  <c r="I2104" i="13"/>
  <c r="I2105" i="13"/>
  <c r="I2106" i="13"/>
  <c r="I2107" i="13"/>
  <c r="I2108" i="13"/>
  <c r="I2109" i="13"/>
  <c r="I2110" i="13"/>
  <c r="I2111" i="13"/>
  <c r="I2112" i="13"/>
  <c r="I2113" i="13"/>
  <c r="I2114" i="13"/>
  <c r="I2115" i="13"/>
  <c r="I2116" i="13"/>
  <c r="I2117" i="13"/>
  <c r="I2118" i="13"/>
  <c r="I2119" i="13"/>
  <c r="I2120" i="13"/>
  <c r="I2121" i="13"/>
  <c r="I2122" i="13"/>
  <c r="I2123" i="13"/>
  <c r="I2124" i="13"/>
  <c r="I2125" i="13"/>
  <c r="I1733" i="13"/>
  <c r="I1734" i="13"/>
  <c r="I1735" i="13"/>
  <c r="I1736" i="13"/>
  <c r="I1737" i="13"/>
  <c r="I1738" i="13"/>
  <c r="I1739" i="13"/>
  <c r="I1740" i="13"/>
  <c r="I1741" i="13"/>
  <c r="I1742" i="13"/>
  <c r="I1743" i="13"/>
  <c r="I1744" i="13"/>
  <c r="I1745" i="13"/>
  <c r="I1746" i="13"/>
  <c r="I1747" i="13"/>
  <c r="I1748" i="13"/>
  <c r="I1749" i="13"/>
  <c r="I1750" i="13"/>
  <c r="I1751" i="13"/>
  <c r="I1752" i="13"/>
  <c r="I1753" i="13"/>
  <c r="I1754" i="13"/>
  <c r="I1755" i="13"/>
  <c r="I1756" i="13"/>
  <c r="I1757" i="13"/>
  <c r="I1758" i="13"/>
  <c r="I1759" i="13"/>
  <c r="I1760" i="13"/>
  <c r="I1761" i="13"/>
  <c r="I1762" i="13"/>
  <c r="I1763" i="13"/>
  <c r="I1764" i="13"/>
  <c r="I1765" i="13"/>
  <c r="I1766" i="13"/>
  <c r="I1767" i="13"/>
  <c r="I1768" i="13"/>
  <c r="I1769" i="13"/>
  <c r="I1770" i="13"/>
  <c r="I1771" i="13"/>
  <c r="I1772" i="13"/>
  <c r="I1773" i="13"/>
  <c r="I1774" i="13"/>
  <c r="I1775" i="13"/>
  <c r="I1776" i="13"/>
  <c r="I1777" i="13"/>
  <c r="I1778" i="13"/>
  <c r="I1779" i="13"/>
  <c r="I1780" i="13"/>
  <c r="I1781" i="13"/>
  <c r="I1782" i="13"/>
  <c r="I1783" i="13"/>
  <c r="I1784" i="13"/>
  <c r="I1785" i="13"/>
  <c r="I1786" i="13"/>
  <c r="I1787" i="13"/>
  <c r="I1788" i="13"/>
  <c r="I1789" i="13"/>
  <c r="I1790" i="13"/>
  <c r="I1791" i="13"/>
  <c r="I1792" i="13"/>
  <c r="I1793" i="13"/>
  <c r="I1794" i="13"/>
  <c r="I1795" i="13"/>
  <c r="I1796" i="13"/>
  <c r="I1797" i="13"/>
  <c r="I1798" i="13"/>
  <c r="I1799" i="13"/>
  <c r="I1800" i="13"/>
  <c r="I1801" i="13"/>
  <c r="I1802" i="13"/>
  <c r="I1803" i="13"/>
  <c r="I1804" i="13"/>
  <c r="I1805" i="13"/>
  <c r="I1806" i="13"/>
  <c r="I1807" i="13"/>
  <c r="I1808" i="13"/>
  <c r="I1809" i="13"/>
  <c r="I1810" i="13"/>
  <c r="I1811" i="13"/>
  <c r="I1812" i="13"/>
  <c r="I1813" i="13"/>
  <c r="I1814" i="13"/>
  <c r="I1815" i="13"/>
  <c r="I1816" i="13"/>
  <c r="I1817" i="13"/>
  <c r="I1818" i="13"/>
  <c r="I1819" i="13"/>
  <c r="I1820" i="13"/>
  <c r="I1821" i="13"/>
  <c r="I1822" i="13"/>
  <c r="I1823" i="13"/>
  <c r="I1824" i="13"/>
  <c r="I1825" i="13"/>
  <c r="I1826" i="13"/>
  <c r="I1827" i="13"/>
  <c r="I1828" i="13"/>
  <c r="I1829" i="13"/>
  <c r="I1830" i="13"/>
  <c r="I1831" i="13"/>
  <c r="I1832" i="13"/>
  <c r="I1833" i="13"/>
  <c r="I1834" i="13"/>
  <c r="I1835" i="13"/>
  <c r="I1836" i="13"/>
  <c r="I1837" i="13"/>
  <c r="I1838" i="13"/>
  <c r="I1839" i="13"/>
  <c r="I1840" i="13"/>
  <c r="I1841" i="13"/>
  <c r="I1842" i="13"/>
  <c r="I1843" i="13"/>
  <c r="I1844" i="13"/>
  <c r="I1845" i="13"/>
  <c r="I1846" i="13"/>
  <c r="I1847" i="13"/>
  <c r="I1848" i="13"/>
  <c r="I1849" i="13"/>
  <c r="I1850" i="13"/>
  <c r="I1851" i="13"/>
  <c r="I1852" i="13"/>
  <c r="I1853" i="13"/>
  <c r="I1854" i="13"/>
  <c r="I1855" i="13"/>
  <c r="I1856" i="13"/>
  <c r="I1857" i="13"/>
  <c r="I1858" i="13"/>
  <c r="I1859" i="13"/>
  <c r="I1860" i="13"/>
  <c r="I1861" i="13"/>
  <c r="I1862" i="13"/>
  <c r="I1863" i="13"/>
  <c r="I1471" i="13"/>
  <c r="I1472" i="13"/>
  <c r="I1473" i="13"/>
  <c r="I1474" i="13"/>
  <c r="I1475" i="13"/>
  <c r="I1476" i="13"/>
  <c r="I1477" i="13"/>
  <c r="I1478" i="13"/>
  <c r="I1479" i="13"/>
  <c r="I1480" i="13"/>
  <c r="I1481" i="13"/>
  <c r="I1482" i="13"/>
  <c r="I1483" i="13"/>
  <c r="I1484" i="13"/>
  <c r="I1485" i="13"/>
  <c r="I1486" i="13"/>
  <c r="I1487" i="13"/>
  <c r="I1488" i="13"/>
  <c r="I1489" i="13"/>
  <c r="I1490" i="13"/>
  <c r="I1491" i="13"/>
  <c r="I1492" i="13"/>
  <c r="I1493" i="13"/>
  <c r="I1494" i="13"/>
  <c r="I1495" i="13"/>
  <c r="I1496" i="13"/>
  <c r="I1497" i="13"/>
  <c r="I1498" i="13"/>
  <c r="I1499" i="13"/>
  <c r="I1500" i="13"/>
  <c r="I1501" i="13"/>
  <c r="I1502" i="13"/>
  <c r="I1503" i="13"/>
  <c r="I1504" i="13"/>
  <c r="I1505" i="13"/>
  <c r="I1506" i="13"/>
  <c r="I1507" i="13"/>
  <c r="I1508" i="13"/>
  <c r="I1509" i="13"/>
  <c r="I1510" i="13"/>
  <c r="I1511" i="13"/>
  <c r="I1512" i="13"/>
  <c r="I1513" i="13"/>
  <c r="I1514" i="13"/>
  <c r="I1515" i="13"/>
  <c r="I1516" i="13"/>
  <c r="I1517" i="13"/>
  <c r="I1518" i="13"/>
  <c r="I1519" i="13"/>
  <c r="I1520" i="13"/>
  <c r="I1521" i="13"/>
  <c r="I1522" i="13"/>
  <c r="I1523" i="13"/>
  <c r="I1524" i="13"/>
  <c r="I1525" i="13"/>
  <c r="I1526" i="13"/>
  <c r="I1527" i="13"/>
  <c r="I1528" i="13"/>
  <c r="I1529" i="13"/>
  <c r="I1530" i="13"/>
  <c r="I1531" i="13"/>
  <c r="I1532" i="13"/>
  <c r="I1533" i="13"/>
  <c r="I1534" i="13"/>
  <c r="I1535" i="13"/>
  <c r="I1536" i="13"/>
  <c r="I1537" i="13"/>
  <c r="I1538" i="13"/>
  <c r="I1539" i="13"/>
  <c r="I1540" i="13"/>
  <c r="I1541" i="13"/>
  <c r="I1542" i="13"/>
  <c r="I1543" i="13"/>
  <c r="I1544" i="13"/>
  <c r="I1545" i="13"/>
  <c r="I1546" i="13"/>
  <c r="I1547" i="13"/>
  <c r="I1548" i="13"/>
  <c r="I1549" i="13"/>
  <c r="I1550" i="13"/>
  <c r="I1551" i="13"/>
  <c r="I1552" i="13"/>
  <c r="I1553" i="13"/>
  <c r="I1554" i="13"/>
  <c r="I1555" i="13"/>
  <c r="I1556" i="13"/>
  <c r="I1557" i="13"/>
  <c r="I1558" i="13"/>
  <c r="I1559" i="13"/>
  <c r="I1560" i="13"/>
  <c r="I1561" i="13"/>
  <c r="I1562" i="13"/>
  <c r="I1563" i="13"/>
  <c r="I1564" i="13"/>
  <c r="I1565" i="13"/>
  <c r="I1566" i="13"/>
  <c r="I1567" i="13"/>
  <c r="I1568" i="13"/>
  <c r="I1569" i="13"/>
  <c r="I1570" i="13"/>
  <c r="I1571" i="13"/>
  <c r="I1572" i="13"/>
  <c r="I1573" i="13"/>
  <c r="I1574" i="13"/>
  <c r="I1575" i="13"/>
  <c r="I1576" i="13"/>
  <c r="I1577" i="13"/>
  <c r="I1578" i="13"/>
  <c r="I1579" i="13"/>
  <c r="I1580" i="13"/>
  <c r="I1581" i="13"/>
  <c r="I1582" i="13"/>
  <c r="I1583" i="13"/>
  <c r="I1584" i="13"/>
  <c r="I1585" i="13"/>
  <c r="I1586" i="13"/>
  <c r="I1587" i="13"/>
  <c r="I1588" i="13"/>
  <c r="I1589" i="13"/>
  <c r="I1590" i="13"/>
  <c r="I1591" i="13"/>
  <c r="I1592" i="13"/>
  <c r="I1593" i="13"/>
  <c r="I1594" i="13"/>
  <c r="I1595" i="13"/>
  <c r="I1596" i="13"/>
  <c r="I1597" i="13"/>
  <c r="I1598" i="13"/>
  <c r="I1599" i="13"/>
  <c r="I1600" i="13"/>
  <c r="I1601"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1287" i="13"/>
  <c r="I1288" i="13"/>
  <c r="I1289" i="13"/>
  <c r="I1290" i="13"/>
  <c r="I1291" i="13"/>
  <c r="I1292" i="13"/>
  <c r="I1293" i="13"/>
  <c r="I1294" i="13"/>
  <c r="I1295" i="13"/>
  <c r="I1296" i="13"/>
  <c r="I1297" i="13"/>
  <c r="I1298" i="13"/>
  <c r="I1299" i="13"/>
  <c r="I1300" i="13"/>
  <c r="I1301" i="13"/>
  <c r="I1302" i="13"/>
  <c r="I1303" i="13"/>
  <c r="I1304" i="13"/>
  <c r="I1305" i="13"/>
  <c r="I1306" i="13"/>
  <c r="I1307" i="13"/>
  <c r="I1308" i="13"/>
  <c r="I1309" i="13"/>
  <c r="I1310" i="13"/>
  <c r="I1311" i="13"/>
  <c r="I1312" i="13"/>
  <c r="I1313" i="13"/>
  <c r="I1314" i="13"/>
  <c r="I1315" i="13"/>
  <c r="I1316" i="13"/>
  <c r="I1317" i="13"/>
  <c r="I1318" i="13"/>
  <c r="I1319" i="13"/>
  <c r="I1320" i="13"/>
  <c r="I1321" i="13"/>
  <c r="I1322" i="13"/>
  <c r="I1323" i="13"/>
  <c r="I1324" i="13"/>
  <c r="I1325" i="13"/>
  <c r="I1326" i="13"/>
  <c r="I1327" i="13"/>
  <c r="I1328" i="13"/>
  <c r="I1329" i="13"/>
  <c r="I1330" i="13"/>
  <c r="I1331" i="13"/>
  <c r="I1332" i="13"/>
  <c r="I1333" i="13"/>
  <c r="I1334" i="13"/>
  <c r="I1335" i="13"/>
  <c r="I1336" i="13"/>
  <c r="I1337" i="13"/>
  <c r="I1338" i="13"/>
  <c r="I1339"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B15" i="1"/>
  <c r="B16" i="1"/>
  <c r="B14" i="1"/>
  <c r="E14" i="1" s="1"/>
  <c r="B13" i="1"/>
  <c r="B7" i="1"/>
  <c r="K55" i="8"/>
  <c r="K56" i="8"/>
  <c r="K57" i="8"/>
  <c r="K58" i="8"/>
  <c r="K59" i="8"/>
  <c r="K60" i="8"/>
  <c r="K61" i="8"/>
  <c r="K63" i="8"/>
  <c r="K64" i="8"/>
  <c r="K68"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2" i="8"/>
  <c r="C56" i="1"/>
  <c r="C57" i="1"/>
  <c r="C58" i="1"/>
  <c r="C59" i="1"/>
  <c r="C60" i="1"/>
  <c r="C61" i="1"/>
  <c r="C62" i="1"/>
  <c r="C63" i="1"/>
  <c r="C64" i="1"/>
  <c r="C65" i="1"/>
  <c r="C55" i="1"/>
  <c r="D56" i="1" l="1"/>
  <c r="D37" i="1"/>
  <c r="D50" i="1"/>
  <c r="D34" i="1"/>
  <c r="D52" i="1"/>
  <c r="D44" i="1"/>
  <c r="D36" i="1"/>
  <c r="D63" i="1"/>
  <c r="D42" i="1"/>
  <c r="D51" i="1"/>
  <c r="D43" i="1"/>
  <c r="D35" i="1"/>
  <c r="D62" i="1"/>
  <c r="D49" i="1"/>
  <c r="D41" i="1"/>
  <c r="D33" i="1"/>
  <c r="D60" i="1"/>
  <c r="D61" i="1"/>
  <c r="D48" i="1"/>
  <c r="D40" i="1"/>
  <c r="D32" i="1"/>
  <c r="D59" i="1"/>
  <c r="D31" i="1"/>
  <c r="D47" i="1"/>
  <c r="D39" i="1"/>
  <c r="D55" i="1"/>
  <c r="D58" i="1"/>
  <c r="D54" i="1"/>
  <c r="D46" i="1"/>
  <c r="D38" i="1"/>
  <c r="D65" i="1"/>
  <c r="D57" i="1"/>
  <c r="D53" i="1"/>
  <c r="D45" i="1"/>
  <c r="D64" i="1"/>
  <c r="D8" i="9" l="1"/>
  <c r="B8" i="9"/>
  <c r="C8" i="9"/>
  <c r="H27" i="1"/>
  <c r="H28" i="1" s="1"/>
  <c r="I27" i="1"/>
  <c r="J27" i="1"/>
  <c r="J28" i="1" s="1"/>
  <c r="K27" i="1"/>
  <c r="K28" i="1" s="1"/>
  <c r="L27" i="1"/>
  <c r="L28" i="1" s="1"/>
  <c r="M27" i="1"/>
  <c r="M28" i="1" s="1"/>
  <c r="N27" i="1"/>
  <c r="N28" i="1" s="1"/>
  <c r="O27" i="1"/>
  <c r="O28" i="1" s="1"/>
  <c r="P27" i="1"/>
  <c r="P28" i="1" s="1"/>
  <c r="Q27" i="1"/>
  <c r="Q28" i="1" s="1"/>
  <c r="R27" i="1"/>
  <c r="R28" i="1" s="1"/>
  <c r="G27" i="1"/>
  <c r="G28" i="1" s="1"/>
  <c r="R2" i="10"/>
  <c r="B2" i="10"/>
  <c r="A2" i="10"/>
  <c r="D3" i="8"/>
  <c r="D4" i="8"/>
  <c r="D5" i="8"/>
  <c r="D6" i="8"/>
  <c r="D7" i="8"/>
  <c r="A7" i="8" s="1"/>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2" i="8"/>
  <c r="E15" i="1"/>
  <c r="D2" i="10"/>
  <c r="C2" i="10"/>
  <c r="L2" i="10"/>
  <c r="B11" i="9" l="1"/>
  <c r="B10" i="9"/>
  <c r="S27" i="1"/>
  <c r="I28" i="1"/>
  <c r="D6" i="9"/>
  <c r="F2" i="10"/>
  <c r="C6" i="9"/>
  <c r="B6" i="9"/>
  <c r="A54" i="8"/>
  <c r="A14" i="8"/>
  <c r="A61" i="8"/>
  <c r="A53" i="8"/>
  <c r="A45" i="8"/>
  <c r="A37" i="8"/>
  <c r="A29" i="8"/>
  <c r="A21" i="8"/>
  <c r="A13" i="8"/>
  <c r="A5" i="8"/>
  <c r="A68" i="8"/>
  <c r="A60" i="8"/>
  <c r="A52" i="8"/>
  <c r="A44" i="8"/>
  <c r="A36" i="8"/>
  <c r="A28" i="8"/>
  <c r="A20" i="8"/>
  <c r="A12" i="8"/>
  <c r="A4" i="8"/>
  <c r="A30" i="8"/>
  <c r="A2" i="8"/>
  <c r="A3" i="8"/>
  <c r="A62" i="8"/>
  <c r="A22" i="8"/>
  <c r="A59" i="8"/>
  <c r="A27" i="8"/>
  <c r="A58" i="8"/>
  <c r="A34" i="8"/>
  <c r="A18" i="8"/>
  <c r="A10" i="8"/>
  <c r="A38" i="8"/>
  <c r="A67" i="8"/>
  <c r="A43" i="8"/>
  <c r="A19" i="8"/>
  <c r="A50" i="8"/>
  <c r="A26" i="8"/>
  <c r="A65" i="8"/>
  <c r="A57" i="8"/>
  <c r="A49" i="8"/>
  <c r="A41" i="8"/>
  <c r="A33" i="8"/>
  <c r="A25" i="8"/>
  <c r="A17" i="8"/>
  <c r="A9" i="8"/>
  <c r="A69" i="8"/>
  <c r="A46" i="8"/>
  <c r="A6" i="8"/>
  <c r="A51" i="8"/>
  <c r="A35" i="8"/>
  <c r="A11" i="8"/>
  <c r="A66" i="8"/>
  <c r="A42" i="8"/>
  <c r="A64" i="8"/>
  <c r="A56" i="8"/>
  <c r="A48" i="8"/>
  <c r="A40" i="8"/>
  <c r="A32" i="8"/>
  <c r="A24" i="8"/>
  <c r="A16" i="8"/>
  <c r="A8" i="8"/>
  <c r="A63" i="8"/>
  <c r="A55" i="8"/>
  <c r="A47" i="8"/>
  <c r="A39" i="8"/>
  <c r="A31" i="8"/>
  <c r="A23" i="8"/>
  <c r="A15" i="8"/>
  <c r="F108" i="1"/>
  <c r="K2" i="10" l="1"/>
  <c r="J2" i="10"/>
  <c r="B68" i="8"/>
  <c r="F101" i="1"/>
  <c r="F100" i="1"/>
  <c r="J16" i="8" l="1"/>
  <c r="J24" i="8"/>
  <c r="J14" i="8"/>
  <c r="J9" i="8"/>
  <c r="J17" i="8"/>
  <c r="J25" i="8"/>
  <c r="J6" i="8"/>
  <c r="J7" i="8"/>
  <c r="J10" i="8"/>
  <c r="J18" i="8"/>
  <c r="J2" i="8"/>
  <c r="J23" i="8"/>
  <c r="J3" i="8"/>
  <c r="J11" i="8"/>
  <c r="J19" i="8"/>
  <c r="J15" i="8"/>
  <c r="J4" i="8"/>
  <c r="J12" i="8"/>
  <c r="J20" i="8"/>
  <c r="J13" i="8"/>
  <c r="J26" i="8"/>
  <c r="J36" i="8"/>
  <c r="J35" i="8"/>
  <c r="J27" i="8"/>
  <c r="J28" i="8"/>
  <c r="J33" i="8"/>
  <c r="J29" i="8"/>
  <c r="J30" i="8"/>
  <c r="J34" i="8"/>
  <c r="J31" i="8"/>
  <c r="J32" i="8"/>
  <c r="F104" i="1"/>
  <c r="N2" i="10"/>
  <c r="E13" i="1"/>
  <c r="E98" i="1"/>
  <c r="K69" i="8" s="1"/>
  <c r="E66" i="1"/>
  <c r="K37" i="8" s="1"/>
  <c r="E67" i="1"/>
  <c r="B5" i="9"/>
  <c r="O2" i="10"/>
  <c r="S28" i="1"/>
  <c r="E68" i="1"/>
  <c r="E69" i="1"/>
  <c r="K40" i="8" s="1"/>
  <c r="E70" i="1"/>
  <c r="E71" i="1"/>
  <c r="E72" i="1"/>
  <c r="K43" i="8" s="1"/>
  <c r="E73" i="1"/>
  <c r="K44" i="8" s="1"/>
  <c r="E74" i="1"/>
  <c r="E75" i="1"/>
  <c r="E76" i="1"/>
  <c r="E77" i="1"/>
  <c r="K48" i="8" s="1"/>
  <c r="E78" i="1"/>
  <c r="E79" i="1"/>
  <c r="E80" i="1"/>
  <c r="K51" i="8" s="1"/>
  <c r="E81" i="1"/>
  <c r="E82" i="1"/>
  <c r="E83" i="1"/>
  <c r="K54" i="8" s="1"/>
  <c r="E84" i="1"/>
  <c r="E85" i="1"/>
  <c r="E86" i="1"/>
  <c r="N86" i="1" s="1"/>
  <c r="E87" i="1"/>
  <c r="E88" i="1"/>
  <c r="E89" i="1"/>
  <c r="J89" i="1" s="1"/>
  <c r="E90" i="1"/>
  <c r="N90" i="1" s="1"/>
  <c r="E91" i="1"/>
  <c r="E92" i="1"/>
  <c r="N92" i="1" s="1"/>
  <c r="E93" i="1"/>
  <c r="K93" i="1" s="1"/>
  <c r="E94" i="1"/>
  <c r="E95" i="1"/>
  <c r="K66" i="8" s="1"/>
  <c r="E96" i="1"/>
  <c r="E97" i="1"/>
  <c r="J97" i="1" s="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66" i="1"/>
  <c r="L91" i="1" l="1"/>
  <c r="K62" i="8"/>
  <c r="R70" i="1"/>
  <c r="K41" i="8"/>
  <c r="P71" i="1"/>
  <c r="K42" i="8"/>
  <c r="J82" i="1"/>
  <c r="K53" i="8"/>
  <c r="N81" i="1"/>
  <c r="K52" i="8"/>
  <c r="H68" i="1"/>
  <c r="K39" i="8"/>
  <c r="N79" i="1"/>
  <c r="K50" i="8"/>
  <c r="J78" i="1"/>
  <c r="K49" i="8"/>
  <c r="H76" i="1"/>
  <c r="K47" i="8"/>
  <c r="N75" i="1"/>
  <c r="K46" i="8"/>
  <c r="J74" i="1"/>
  <c r="K45" i="8"/>
  <c r="G67" i="1"/>
  <c r="K38" i="8"/>
  <c r="J96" i="1"/>
  <c r="K67" i="8"/>
  <c r="E50" i="1"/>
  <c r="K21" i="8" s="1"/>
  <c r="J21" i="8"/>
  <c r="E34" i="1"/>
  <c r="K34" i="1" s="1"/>
  <c r="J5" i="8"/>
  <c r="E51" i="1"/>
  <c r="K22" i="8" s="1"/>
  <c r="J22" i="8"/>
  <c r="E37" i="1"/>
  <c r="Q37" i="1" s="1"/>
  <c r="J8" i="8"/>
  <c r="L94" i="1"/>
  <c r="K65" i="8"/>
  <c r="H66" i="1"/>
  <c r="D4" i="9"/>
  <c r="D5" i="9"/>
  <c r="C4" i="9"/>
  <c r="C5" i="9"/>
  <c r="E61" i="1"/>
  <c r="K32" i="8" s="1"/>
  <c r="E58" i="1"/>
  <c r="K29" i="8" s="1"/>
  <c r="E65" i="1"/>
  <c r="K36" i="8" s="1"/>
  <c r="E60" i="1"/>
  <c r="K31" i="8" s="1"/>
  <c r="E62" i="1"/>
  <c r="E55" i="1"/>
  <c r="E57" i="1"/>
  <c r="K28" i="8" s="1"/>
  <c r="E63" i="1"/>
  <c r="K34" i="8" s="1"/>
  <c r="E64" i="1"/>
  <c r="K35" i="8" s="1"/>
  <c r="E59" i="1"/>
  <c r="K30" i="8" s="1"/>
  <c r="E56" i="1"/>
  <c r="B4" i="9"/>
  <c r="M2" i="10"/>
  <c r="E31" i="1"/>
  <c r="C3" i="9"/>
  <c r="C2" i="9"/>
  <c r="C7" i="9"/>
  <c r="D3" i="9"/>
  <c r="D2" i="9"/>
  <c r="D7" i="9"/>
  <c r="B3" i="9"/>
  <c r="B7" i="9"/>
  <c r="B9" i="9" s="1"/>
  <c r="B2" i="9"/>
  <c r="E32" i="1"/>
  <c r="E40" i="1"/>
  <c r="K11" i="8" s="1"/>
  <c r="E35" i="1"/>
  <c r="E52" i="1"/>
  <c r="K23" i="8" s="1"/>
  <c r="E45" i="1"/>
  <c r="K16" i="8" s="1"/>
  <c r="E48" i="1"/>
  <c r="K19" i="8" s="1"/>
  <c r="E43" i="1"/>
  <c r="K14" i="8" s="1"/>
  <c r="E53" i="1"/>
  <c r="K24" i="8" s="1"/>
  <c r="E39" i="1"/>
  <c r="E44" i="1"/>
  <c r="K15" i="8" s="1"/>
  <c r="E47" i="1"/>
  <c r="K18" i="8" s="1"/>
  <c r="E38" i="1"/>
  <c r="E42" i="1"/>
  <c r="K13" i="8" s="1"/>
  <c r="E46" i="1"/>
  <c r="K17" i="8" s="1"/>
  <c r="E33" i="1"/>
  <c r="E49" i="1"/>
  <c r="K20" i="8" s="1"/>
  <c r="E54" i="1"/>
  <c r="K25" i="8" s="1"/>
  <c r="E41" i="1"/>
  <c r="K12" i="8" s="1"/>
  <c r="E36" i="1"/>
  <c r="H67" i="1"/>
  <c r="E103" i="1"/>
  <c r="Q67" i="1"/>
  <c r="P67" i="1"/>
  <c r="M67" i="1"/>
  <c r="N67" i="1"/>
  <c r="L67" i="1"/>
  <c r="K67" i="1"/>
  <c r="J67" i="1"/>
  <c r="R67" i="1"/>
  <c r="I67" i="1"/>
  <c r="N96" i="1"/>
  <c r="L96" i="1"/>
  <c r="O67" i="1"/>
  <c r="K96" i="1"/>
  <c r="J94" i="1"/>
  <c r="H78" i="1"/>
  <c r="I76" i="1"/>
  <c r="L76" i="1"/>
  <c r="R93" i="1"/>
  <c r="M90" i="1"/>
  <c r="R96" i="1"/>
  <c r="L86" i="1"/>
  <c r="I95" i="1"/>
  <c r="Q95" i="1"/>
  <c r="K95" i="1"/>
  <c r="L95" i="1"/>
  <c r="M95" i="1"/>
  <c r="K80" i="1"/>
  <c r="H80" i="1"/>
  <c r="I80" i="1"/>
  <c r="L80" i="1"/>
  <c r="P80" i="1"/>
  <c r="Q80" i="1"/>
  <c r="N95" i="1"/>
  <c r="R80" i="1"/>
  <c r="K87" i="1"/>
  <c r="I87" i="1"/>
  <c r="J87" i="1"/>
  <c r="L87" i="1"/>
  <c r="K72" i="1"/>
  <c r="Q72" i="1"/>
  <c r="J72" i="1"/>
  <c r="P72" i="1"/>
  <c r="R72" i="1"/>
  <c r="K70" i="1"/>
  <c r="I70" i="1"/>
  <c r="Q70" i="1"/>
  <c r="H70" i="1"/>
  <c r="N85" i="1"/>
  <c r="M85" i="1"/>
  <c r="N77" i="1"/>
  <c r="M77" i="1"/>
  <c r="N69" i="1"/>
  <c r="M69" i="1"/>
  <c r="G95" i="1"/>
  <c r="L93" i="1"/>
  <c r="Q87" i="1"/>
  <c r="L70" i="1"/>
  <c r="G79" i="1"/>
  <c r="H79" i="1"/>
  <c r="L79" i="1"/>
  <c r="J95" i="1"/>
  <c r="J80" i="1"/>
  <c r="R91" i="1"/>
  <c r="H91" i="1"/>
  <c r="I91" i="1"/>
  <c r="J91" i="1"/>
  <c r="I84" i="1"/>
  <c r="L84" i="1"/>
  <c r="P84" i="1"/>
  <c r="Q84" i="1"/>
  <c r="P76" i="1"/>
  <c r="J76" i="1"/>
  <c r="Q76" i="1"/>
  <c r="R76" i="1"/>
  <c r="I68" i="1"/>
  <c r="P68" i="1"/>
  <c r="R68" i="1"/>
  <c r="R94" i="1"/>
  <c r="P87" i="1"/>
  <c r="R84" i="1"/>
  <c r="M79" i="1"/>
  <c r="M75" i="1"/>
  <c r="J70" i="1"/>
  <c r="M93" i="1"/>
  <c r="Q93" i="1"/>
  <c r="H93" i="1"/>
  <c r="I93" i="1"/>
  <c r="J93" i="1"/>
  <c r="R87" i="1"/>
  <c r="P79" i="1"/>
  <c r="P70" i="1"/>
  <c r="N83" i="1"/>
  <c r="M83" i="1"/>
  <c r="R95" i="1"/>
  <c r="N94" i="1"/>
  <c r="M92" i="1"/>
  <c r="H87" i="1"/>
  <c r="J84" i="1"/>
  <c r="Q78" i="1"/>
  <c r="L72" i="1"/>
  <c r="Q68" i="1"/>
  <c r="P93" i="1"/>
  <c r="O97" i="1"/>
  <c r="P95" i="1"/>
  <c r="Q91" i="1"/>
  <c r="H84" i="1"/>
  <c r="I72" i="1"/>
  <c r="L68" i="1"/>
  <c r="M94" i="1"/>
  <c r="G94" i="1"/>
  <c r="O94" i="1"/>
  <c r="H94" i="1"/>
  <c r="P94" i="1"/>
  <c r="I94" i="1"/>
  <c r="Q94" i="1"/>
  <c r="G86" i="1"/>
  <c r="H86" i="1"/>
  <c r="P86" i="1"/>
  <c r="G71" i="1"/>
  <c r="M71" i="1"/>
  <c r="H71" i="1"/>
  <c r="L71" i="1"/>
  <c r="N71" i="1"/>
  <c r="K78" i="1"/>
  <c r="P78" i="1"/>
  <c r="L78" i="1"/>
  <c r="R78" i="1"/>
  <c r="H95" i="1"/>
  <c r="M96" i="1"/>
  <c r="G96" i="1"/>
  <c r="O96" i="1"/>
  <c r="H96" i="1"/>
  <c r="P96" i="1"/>
  <c r="I96" i="1"/>
  <c r="Q96" i="1"/>
  <c r="N88" i="1"/>
  <c r="M88" i="1"/>
  <c r="N73" i="1"/>
  <c r="M73" i="1"/>
  <c r="G97" i="1"/>
  <c r="O95" i="1"/>
  <c r="K94" i="1"/>
  <c r="P91" i="1"/>
  <c r="M86" i="1"/>
  <c r="M81" i="1"/>
  <c r="I78" i="1"/>
  <c r="H72" i="1"/>
  <c r="J68" i="1"/>
  <c r="O66" i="1"/>
  <c r="Q97" i="1"/>
  <c r="I97" i="1"/>
  <c r="P97" i="1"/>
  <c r="H97" i="1"/>
  <c r="N97" i="1"/>
  <c r="M97" i="1"/>
  <c r="L97" i="1"/>
  <c r="K97" i="1"/>
  <c r="R97" i="1"/>
  <c r="P89" i="1"/>
  <c r="I89" i="1"/>
  <c r="Q82" i="1"/>
  <c r="L92" i="1"/>
  <c r="L88" i="1"/>
  <c r="L85" i="1"/>
  <c r="L83" i="1"/>
  <c r="L81" i="1"/>
  <c r="P74" i="1"/>
  <c r="H74" i="1"/>
  <c r="O93" i="1"/>
  <c r="G93" i="1"/>
  <c r="K92" i="1"/>
  <c r="O91" i="1"/>
  <c r="G91" i="1"/>
  <c r="K90" i="1"/>
  <c r="O89" i="1"/>
  <c r="G89" i="1"/>
  <c r="K88" i="1"/>
  <c r="O87" i="1"/>
  <c r="G87" i="1"/>
  <c r="K86" i="1"/>
  <c r="K85" i="1"/>
  <c r="O84" i="1"/>
  <c r="G84" i="1"/>
  <c r="K83" i="1"/>
  <c r="O82" i="1"/>
  <c r="G82" i="1"/>
  <c r="K81" i="1"/>
  <c r="O80" i="1"/>
  <c r="G80" i="1"/>
  <c r="K79" i="1"/>
  <c r="O78" i="1"/>
  <c r="G78" i="1"/>
  <c r="K77" i="1"/>
  <c r="O76" i="1"/>
  <c r="G76" i="1"/>
  <c r="K75" i="1"/>
  <c r="O74" i="1"/>
  <c r="G74" i="1"/>
  <c r="K73" i="1"/>
  <c r="O72" i="1"/>
  <c r="G72" i="1"/>
  <c r="K71" i="1"/>
  <c r="O70" i="1"/>
  <c r="G70" i="1"/>
  <c r="K69" i="1"/>
  <c r="O68" i="1"/>
  <c r="G68" i="1"/>
  <c r="H89" i="1"/>
  <c r="P82" i="1"/>
  <c r="L77" i="1"/>
  <c r="L75" i="1"/>
  <c r="L73" i="1"/>
  <c r="N93" i="1"/>
  <c r="R92" i="1"/>
  <c r="J92" i="1"/>
  <c r="N91" i="1"/>
  <c r="R90" i="1"/>
  <c r="J90" i="1"/>
  <c r="N89" i="1"/>
  <c r="R88" i="1"/>
  <c r="J88" i="1"/>
  <c r="N87" i="1"/>
  <c r="R86" i="1"/>
  <c r="J86" i="1"/>
  <c r="R85" i="1"/>
  <c r="J85" i="1"/>
  <c r="N84" i="1"/>
  <c r="R83" i="1"/>
  <c r="J83" i="1"/>
  <c r="N82" i="1"/>
  <c r="R81" i="1"/>
  <c r="J81" i="1"/>
  <c r="N80" i="1"/>
  <c r="R79" i="1"/>
  <c r="J79" i="1"/>
  <c r="N78" i="1"/>
  <c r="R77" i="1"/>
  <c r="J77" i="1"/>
  <c r="N76" i="1"/>
  <c r="R75" i="1"/>
  <c r="J75" i="1"/>
  <c r="N74" i="1"/>
  <c r="R73" i="1"/>
  <c r="J73" i="1"/>
  <c r="N72" i="1"/>
  <c r="R71" i="1"/>
  <c r="J71" i="1"/>
  <c r="N70" i="1"/>
  <c r="R69" i="1"/>
  <c r="J69" i="1"/>
  <c r="N68" i="1"/>
  <c r="L90" i="1"/>
  <c r="H82" i="1"/>
  <c r="L69" i="1"/>
  <c r="Q92" i="1"/>
  <c r="I92" i="1"/>
  <c r="M91" i="1"/>
  <c r="Q90" i="1"/>
  <c r="I90" i="1"/>
  <c r="M89" i="1"/>
  <c r="Q88" i="1"/>
  <c r="I88" i="1"/>
  <c r="M87" i="1"/>
  <c r="Q86" i="1"/>
  <c r="I86" i="1"/>
  <c r="Q85" i="1"/>
  <c r="I85" i="1"/>
  <c r="M84" i="1"/>
  <c r="Q83" i="1"/>
  <c r="I83" i="1"/>
  <c r="M82" i="1"/>
  <c r="Q81" i="1"/>
  <c r="I81" i="1"/>
  <c r="M80" i="1"/>
  <c r="Q79" i="1"/>
  <c r="I79" i="1"/>
  <c r="M78" i="1"/>
  <c r="Q77" i="1"/>
  <c r="I77" i="1"/>
  <c r="M76" i="1"/>
  <c r="Q75" i="1"/>
  <c r="I75" i="1"/>
  <c r="M74" i="1"/>
  <c r="Q73" i="1"/>
  <c r="I73" i="1"/>
  <c r="M72" i="1"/>
  <c r="Q71" i="1"/>
  <c r="I71" i="1"/>
  <c r="M70" i="1"/>
  <c r="Q69" i="1"/>
  <c r="I69" i="1"/>
  <c r="M68" i="1"/>
  <c r="Q89" i="1"/>
  <c r="I82" i="1"/>
  <c r="H92" i="1"/>
  <c r="P90" i="1"/>
  <c r="L89" i="1"/>
  <c r="H85" i="1"/>
  <c r="P83" i="1"/>
  <c r="L82" i="1"/>
  <c r="H81" i="1"/>
  <c r="P77" i="1"/>
  <c r="H77" i="1"/>
  <c r="H75" i="1"/>
  <c r="L74" i="1"/>
  <c r="P73" i="1"/>
  <c r="H73" i="1"/>
  <c r="P69" i="1"/>
  <c r="H69" i="1"/>
  <c r="I74" i="1"/>
  <c r="P92" i="1"/>
  <c r="H90" i="1"/>
  <c r="P88" i="1"/>
  <c r="H88" i="1"/>
  <c r="P85" i="1"/>
  <c r="H83" i="1"/>
  <c r="P81" i="1"/>
  <c r="P75" i="1"/>
  <c r="O92" i="1"/>
  <c r="G92" i="1"/>
  <c r="K91" i="1"/>
  <c r="O90" i="1"/>
  <c r="G90" i="1"/>
  <c r="K89" i="1"/>
  <c r="O88" i="1"/>
  <c r="G88" i="1"/>
  <c r="O86" i="1"/>
  <c r="O85" i="1"/>
  <c r="G85" i="1"/>
  <c r="K84" i="1"/>
  <c r="O83" i="1"/>
  <c r="G83" i="1"/>
  <c r="K82" i="1"/>
  <c r="O81" i="1"/>
  <c r="G81" i="1"/>
  <c r="O79" i="1"/>
  <c r="O77" i="1"/>
  <c r="G77" i="1"/>
  <c r="K76" i="1"/>
  <c r="O75" i="1"/>
  <c r="G75" i="1"/>
  <c r="K74" i="1"/>
  <c r="O73" i="1"/>
  <c r="G73" i="1"/>
  <c r="O71" i="1"/>
  <c r="O69" i="1"/>
  <c r="G69" i="1"/>
  <c r="K68" i="1"/>
  <c r="Q74" i="1"/>
  <c r="R89" i="1"/>
  <c r="R82" i="1"/>
  <c r="R74" i="1"/>
  <c r="G66" i="1"/>
  <c r="Q66" i="1"/>
  <c r="P66" i="1"/>
  <c r="M66" i="1"/>
  <c r="L66" i="1"/>
  <c r="N66" i="1"/>
  <c r="K66" i="1"/>
  <c r="R66" i="1"/>
  <c r="J66" i="1"/>
  <c r="I66" i="1"/>
  <c r="K2" i="8" l="1"/>
  <c r="G31" i="1"/>
  <c r="Q51" i="1"/>
  <c r="R34" i="1"/>
  <c r="N34" i="1"/>
  <c r="I34" i="1"/>
  <c r="O37" i="1"/>
  <c r="H34" i="1"/>
  <c r="O34" i="1"/>
  <c r="M34" i="1"/>
  <c r="M51" i="1"/>
  <c r="L34" i="1"/>
  <c r="G37" i="1"/>
  <c r="Q34" i="1"/>
  <c r="P34" i="1"/>
  <c r="K37" i="1"/>
  <c r="M37" i="1"/>
  <c r="N37" i="1"/>
  <c r="P37" i="1"/>
  <c r="L37" i="1"/>
  <c r="H37" i="1"/>
  <c r="I37" i="1"/>
  <c r="R37" i="1"/>
  <c r="Q50" i="1"/>
  <c r="I50" i="1"/>
  <c r="H50" i="1"/>
  <c r="O51" i="1"/>
  <c r="P50" i="1"/>
  <c r="N50" i="1"/>
  <c r="N51" i="1"/>
  <c r="O50" i="1"/>
  <c r="N62" i="1"/>
  <c r="K33" i="8"/>
  <c r="R50" i="1"/>
  <c r="I51" i="1"/>
  <c r="L50" i="1"/>
  <c r="J51" i="1"/>
  <c r="K50" i="1"/>
  <c r="I55" i="1"/>
  <c r="G6" i="9" s="1"/>
  <c r="K26" i="8"/>
  <c r="M50" i="1"/>
  <c r="K51" i="1"/>
  <c r="L51" i="1"/>
  <c r="J50" i="1"/>
  <c r="R51" i="1"/>
  <c r="H51" i="1"/>
  <c r="G56" i="1"/>
  <c r="K27" i="8"/>
  <c r="G34" i="1"/>
  <c r="P51" i="1"/>
  <c r="G51" i="1"/>
  <c r="G50" i="1"/>
  <c r="N36" i="1"/>
  <c r="K7" i="8"/>
  <c r="M33" i="1"/>
  <c r="K4" i="8"/>
  <c r="H38" i="1"/>
  <c r="K9" i="8"/>
  <c r="G39" i="1"/>
  <c r="K10" i="8"/>
  <c r="J35" i="1"/>
  <c r="K6" i="8"/>
  <c r="O32" i="1"/>
  <c r="K3" i="8"/>
  <c r="J37" i="1"/>
  <c r="K8" i="8"/>
  <c r="J34" i="1"/>
  <c r="K5" i="8"/>
  <c r="S66" i="1"/>
  <c r="M62" i="1"/>
  <c r="P56" i="1"/>
  <c r="I62" i="1"/>
  <c r="R62" i="1"/>
  <c r="O56" i="1"/>
  <c r="Q62" i="1"/>
  <c r="L62" i="1"/>
  <c r="K62" i="1"/>
  <c r="H62" i="1"/>
  <c r="O55" i="1"/>
  <c r="P62" i="1"/>
  <c r="M55" i="1"/>
  <c r="K6" i="9" s="1"/>
  <c r="G62" i="1"/>
  <c r="G55" i="1"/>
  <c r="L55" i="1"/>
  <c r="J6" i="9" s="1"/>
  <c r="H55" i="1"/>
  <c r="R55" i="1"/>
  <c r="P55" i="1"/>
  <c r="H56" i="1"/>
  <c r="R56" i="1"/>
  <c r="N56" i="1"/>
  <c r="M56" i="1"/>
  <c r="O62" i="1"/>
  <c r="J62" i="1"/>
  <c r="J55" i="1"/>
  <c r="H6" i="9" s="1"/>
  <c r="L56" i="1"/>
  <c r="Q55" i="1"/>
  <c r="K56" i="1"/>
  <c r="N55" i="1"/>
  <c r="L6" i="9" s="1"/>
  <c r="I56" i="1"/>
  <c r="L63" i="1"/>
  <c r="M63" i="1"/>
  <c r="H63" i="1"/>
  <c r="N63" i="1"/>
  <c r="O63" i="1"/>
  <c r="P63" i="1"/>
  <c r="I63" i="1"/>
  <c r="Q63" i="1"/>
  <c r="K63" i="1"/>
  <c r="G63" i="1"/>
  <c r="J63" i="1"/>
  <c r="R63" i="1"/>
  <c r="E101" i="1"/>
  <c r="J57" i="1"/>
  <c r="R57" i="1"/>
  <c r="K57" i="1"/>
  <c r="Q57" i="1"/>
  <c r="L57" i="1"/>
  <c r="G57" i="1"/>
  <c r="M57" i="1"/>
  <c r="N57" i="1"/>
  <c r="I57" i="1"/>
  <c r="O57" i="1"/>
  <c r="P57" i="1"/>
  <c r="H57" i="1"/>
  <c r="G65" i="1"/>
  <c r="P65" i="1"/>
  <c r="I65" i="1"/>
  <c r="Q65" i="1"/>
  <c r="O65" i="1"/>
  <c r="J65" i="1"/>
  <c r="R65" i="1"/>
  <c r="K65" i="1"/>
  <c r="H65" i="1"/>
  <c r="L65" i="1"/>
  <c r="M65" i="1"/>
  <c r="N65" i="1"/>
  <c r="J56" i="1"/>
  <c r="N59" i="1"/>
  <c r="H59" i="1"/>
  <c r="O59" i="1"/>
  <c r="P59" i="1"/>
  <c r="I59" i="1"/>
  <c r="Q59" i="1"/>
  <c r="J59" i="1"/>
  <c r="R59" i="1"/>
  <c r="M59" i="1"/>
  <c r="G59" i="1"/>
  <c r="K59" i="1"/>
  <c r="L59" i="1"/>
  <c r="L60" i="1"/>
  <c r="M60" i="1"/>
  <c r="H60" i="1"/>
  <c r="K60" i="1"/>
  <c r="N60" i="1"/>
  <c r="O60" i="1"/>
  <c r="P60" i="1"/>
  <c r="I60" i="1"/>
  <c r="Q60" i="1"/>
  <c r="G60" i="1"/>
  <c r="J60" i="1"/>
  <c r="R60" i="1"/>
  <c r="P58" i="1"/>
  <c r="O58" i="1"/>
  <c r="H58" i="1"/>
  <c r="I58" i="1"/>
  <c r="Q58" i="1"/>
  <c r="J58" i="1"/>
  <c r="R58" i="1"/>
  <c r="K58" i="1"/>
  <c r="G58" i="1"/>
  <c r="L58" i="1"/>
  <c r="M58" i="1"/>
  <c r="N58" i="1"/>
  <c r="K55" i="1"/>
  <c r="I6" i="9" s="1"/>
  <c r="Q56" i="1"/>
  <c r="J64" i="1"/>
  <c r="R64" i="1"/>
  <c r="I64" i="1"/>
  <c r="K64" i="1"/>
  <c r="G64" i="1"/>
  <c r="L64" i="1"/>
  <c r="H64" i="1"/>
  <c r="M64" i="1"/>
  <c r="N64" i="1"/>
  <c r="Q64" i="1"/>
  <c r="O64" i="1"/>
  <c r="P64" i="1"/>
  <c r="J61" i="1"/>
  <c r="R61" i="1"/>
  <c r="G61" i="1"/>
  <c r="I61" i="1"/>
  <c r="K61" i="1"/>
  <c r="L61" i="1"/>
  <c r="H61" i="1"/>
  <c r="M61" i="1"/>
  <c r="N61" i="1"/>
  <c r="Q61" i="1"/>
  <c r="O61" i="1"/>
  <c r="P61" i="1"/>
  <c r="K43" i="1"/>
  <c r="G46" i="1"/>
  <c r="O42" i="1"/>
  <c r="L53" i="1"/>
  <c r="M53" i="1"/>
  <c r="H53" i="1"/>
  <c r="N53" i="1"/>
  <c r="K53" i="1"/>
  <c r="O53" i="1"/>
  <c r="P53" i="1"/>
  <c r="G53" i="1"/>
  <c r="I53" i="1"/>
  <c r="Q53" i="1"/>
  <c r="J53" i="1"/>
  <c r="R53" i="1"/>
  <c r="H52" i="1"/>
  <c r="N52" i="1"/>
  <c r="O52" i="1"/>
  <c r="P52" i="1"/>
  <c r="M52" i="1"/>
  <c r="I52" i="1"/>
  <c r="Q52" i="1"/>
  <c r="G52" i="1"/>
  <c r="J52" i="1"/>
  <c r="R52" i="1"/>
  <c r="K52" i="1"/>
  <c r="L52" i="1"/>
  <c r="R47" i="1"/>
  <c r="J54" i="1"/>
  <c r="R54" i="1"/>
  <c r="K54" i="1"/>
  <c r="L54" i="1"/>
  <c r="H54" i="1"/>
  <c r="I54" i="1"/>
  <c r="Q54" i="1"/>
  <c r="M54" i="1"/>
  <c r="N54" i="1"/>
  <c r="O54" i="1"/>
  <c r="G54" i="1"/>
  <c r="P54" i="1"/>
  <c r="J48" i="1"/>
  <c r="P31" i="1"/>
  <c r="H31" i="1"/>
  <c r="G49" i="1"/>
  <c r="Q45" i="1"/>
  <c r="K40" i="1"/>
  <c r="I44" i="1"/>
  <c r="J41" i="1"/>
  <c r="K31" i="1"/>
  <c r="R39" i="1"/>
  <c r="P45" i="1"/>
  <c r="R31" i="1"/>
  <c r="O39" i="1"/>
  <c r="L39" i="1"/>
  <c r="N39" i="1"/>
  <c r="M39" i="1"/>
  <c r="Q31" i="1"/>
  <c r="I40" i="1"/>
  <c r="O31" i="1"/>
  <c r="J45" i="1"/>
  <c r="H40" i="1"/>
  <c r="I31" i="1"/>
  <c r="N45" i="1"/>
  <c r="L31" i="1"/>
  <c r="G40" i="1"/>
  <c r="N31" i="1"/>
  <c r="J31" i="1"/>
  <c r="I45" i="1"/>
  <c r="I49" i="1"/>
  <c r="M31" i="1"/>
  <c r="M40" i="1"/>
  <c r="O45" i="1"/>
  <c r="P40" i="1"/>
  <c r="Q39" i="1"/>
  <c r="J40" i="1"/>
  <c r="L45" i="1"/>
  <c r="P39" i="1"/>
  <c r="M49" i="1"/>
  <c r="Q49" i="1"/>
  <c r="O40" i="1"/>
  <c r="R45" i="1"/>
  <c r="H39" i="1"/>
  <c r="H45" i="1"/>
  <c r="K39" i="1"/>
  <c r="N40" i="1"/>
  <c r="K49" i="1"/>
  <c r="J39" i="1"/>
  <c r="L40" i="1"/>
  <c r="M45" i="1"/>
  <c r="H41" i="1"/>
  <c r="Q35" i="1"/>
  <c r="J49" i="1"/>
  <c r="I39" i="1"/>
  <c r="R40" i="1"/>
  <c r="K45" i="1"/>
  <c r="Q40" i="1"/>
  <c r="M32" i="1"/>
  <c r="I32" i="1"/>
  <c r="I36" i="1"/>
  <c r="Q33" i="1"/>
  <c r="P36" i="1"/>
  <c r="G33" i="1"/>
  <c r="N33" i="1"/>
  <c r="M38" i="1"/>
  <c r="H33" i="1"/>
  <c r="M36" i="1"/>
  <c r="R36" i="1"/>
  <c r="R38" i="1"/>
  <c r="G36" i="1"/>
  <c r="K33" i="1"/>
  <c r="L33" i="1"/>
  <c r="J33" i="1"/>
  <c r="P38" i="1"/>
  <c r="H36" i="1"/>
  <c r="P33" i="1"/>
  <c r="J38" i="1"/>
  <c r="K48" i="1"/>
  <c r="O36" i="1"/>
  <c r="N42" i="1"/>
  <c r="L38" i="1"/>
  <c r="H32" i="1"/>
  <c r="N32" i="1"/>
  <c r="R33" i="1"/>
  <c r="K36" i="1"/>
  <c r="L36" i="1"/>
  <c r="I38" i="1"/>
  <c r="K32" i="1"/>
  <c r="Q38" i="1"/>
  <c r="J36" i="1"/>
  <c r="G44" i="1"/>
  <c r="I33" i="1"/>
  <c r="G38" i="1"/>
  <c r="O38" i="1"/>
  <c r="J32" i="1"/>
  <c r="Q32" i="1"/>
  <c r="N38" i="1"/>
  <c r="G32" i="1"/>
  <c r="R32" i="1"/>
  <c r="Q36" i="1"/>
  <c r="O33" i="1"/>
  <c r="K38" i="1"/>
  <c r="L32" i="1"/>
  <c r="P32" i="1"/>
  <c r="K44" i="1"/>
  <c r="M44" i="1"/>
  <c r="L48" i="1"/>
  <c r="H48" i="1"/>
  <c r="O48" i="1"/>
  <c r="L44" i="1"/>
  <c r="M42" i="1"/>
  <c r="P42" i="1"/>
  <c r="H44" i="1"/>
  <c r="N44" i="1"/>
  <c r="P48" i="1"/>
  <c r="K42" i="1"/>
  <c r="J44" i="1"/>
  <c r="Q42" i="1"/>
  <c r="Q48" i="1"/>
  <c r="N48" i="1"/>
  <c r="G48" i="1"/>
  <c r="O44" i="1"/>
  <c r="Q44" i="1"/>
  <c r="R48" i="1"/>
  <c r="I48" i="1"/>
  <c r="P44" i="1"/>
  <c r="M48" i="1"/>
  <c r="P35" i="1"/>
  <c r="H35" i="1"/>
  <c r="E100" i="1"/>
  <c r="H46" i="1"/>
  <c r="Q41" i="1"/>
  <c r="R43" i="1"/>
  <c r="P46" i="1"/>
  <c r="R44" i="1"/>
  <c r="I43" i="1"/>
  <c r="H47" i="1"/>
  <c r="I41" i="1"/>
  <c r="L46" i="1"/>
  <c r="R35" i="1"/>
  <c r="Q47" i="1"/>
  <c r="K46" i="1"/>
  <c r="O43" i="1"/>
  <c r="I47" i="1"/>
  <c r="J42" i="1"/>
  <c r="G43" i="1"/>
  <c r="O41" i="1"/>
  <c r="R49" i="1"/>
  <c r="G47" i="1"/>
  <c r="L49" i="1"/>
  <c r="N35" i="1"/>
  <c r="G45" i="1"/>
  <c r="M46" i="1"/>
  <c r="I35" i="1"/>
  <c r="G8" i="9" s="1"/>
  <c r="N43" i="1"/>
  <c r="N41" i="1"/>
  <c r="J46" i="1"/>
  <c r="M35" i="1"/>
  <c r="L43" i="1"/>
  <c r="G42" i="1"/>
  <c r="H42" i="1"/>
  <c r="P43" i="1"/>
  <c r="M41" i="1"/>
  <c r="R46" i="1"/>
  <c r="O49" i="1"/>
  <c r="R42" i="1"/>
  <c r="N47" i="1"/>
  <c r="L35" i="1"/>
  <c r="J8" i="9" s="1"/>
  <c r="N46" i="1"/>
  <c r="O46" i="1"/>
  <c r="O47" i="1"/>
  <c r="M43" i="1"/>
  <c r="L42" i="1"/>
  <c r="H43" i="1"/>
  <c r="K41" i="1"/>
  <c r="K47" i="1"/>
  <c r="I46" i="1"/>
  <c r="P49" i="1"/>
  <c r="L47" i="1"/>
  <c r="G35" i="1"/>
  <c r="K35" i="1"/>
  <c r="I8" i="9" s="1"/>
  <c r="Q43" i="1"/>
  <c r="J47" i="1"/>
  <c r="L41" i="1"/>
  <c r="G41" i="1"/>
  <c r="N49" i="1"/>
  <c r="J43" i="1"/>
  <c r="O35" i="1"/>
  <c r="P41" i="1"/>
  <c r="Q46" i="1"/>
  <c r="H49" i="1"/>
  <c r="M47" i="1"/>
  <c r="P47" i="1"/>
  <c r="R41" i="1"/>
  <c r="I42" i="1"/>
  <c r="S67" i="1"/>
  <c r="S92" i="1"/>
  <c r="S76" i="1"/>
  <c r="S97" i="1"/>
  <c r="S87" i="1"/>
  <c r="S95" i="1"/>
  <c r="S96" i="1"/>
  <c r="S68" i="1"/>
  <c r="S94" i="1"/>
  <c r="S75" i="1"/>
  <c r="S81" i="1"/>
  <c r="S89" i="1"/>
  <c r="S84" i="1"/>
  <c r="S69" i="1"/>
  <c r="S90" i="1"/>
  <c r="S74" i="1"/>
  <c r="S72" i="1"/>
  <c r="S77" i="1"/>
  <c r="S85" i="1"/>
  <c r="S73" i="1"/>
  <c r="S88" i="1"/>
  <c r="S80" i="1"/>
  <c r="S79" i="1"/>
  <c r="S71" i="1"/>
  <c r="S91" i="1"/>
  <c r="S86" i="1"/>
  <c r="S82" i="1"/>
  <c r="S78" i="1"/>
  <c r="S83" i="1"/>
  <c r="S93" i="1"/>
  <c r="S70" i="1"/>
  <c r="F6" i="9" l="1"/>
  <c r="P8" i="9"/>
  <c r="P11" i="9" s="1"/>
  <c r="E8" i="9"/>
  <c r="E10" i="9" s="1"/>
  <c r="M6" i="9"/>
  <c r="E6" i="9"/>
  <c r="P6" i="9"/>
  <c r="O6" i="9"/>
  <c r="N6" i="9"/>
  <c r="N8" i="9"/>
  <c r="N11" i="9" s="1"/>
  <c r="L8" i="9"/>
  <c r="L11" i="9" s="1"/>
  <c r="M8" i="9"/>
  <c r="M10" i="9" s="1"/>
  <c r="O8" i="9"/>
  <c r="O11" i="9" s="1"/>
  <c r="H8" i="9"/>
  <c r="H10" i="9" s="1"/>
  <c r="K8" i="9"/>
  <c r="K10" i="9" s="1"/>
  <c r="F8" i="9"/>
  <c r="F11" i="9" s="1"/>
  <c r="I11" i="9"/>
  <c r="I10" i="9"/>
  <c r="J11" i="9"/>
  <c r="J10" i="9"/>
  <c r="G11" i="9"/>
  <c r="G10" i="9"/>
  <c r="N5" i="9"/>
  <c r="G4" i="9"/>
  <c r="S50" i="1"/>
  <c r="E108" i="1"/>
  <c r="S51" i="1"/>
  <c r="S37" i="1"/>
  <c r="S34" i="1"/>
  <c r="E4" i="9"/>
  <c r="N4" i="9"/>
  <c r="J4" i="9"/>
  <c r="J101" i="1"/>
  <c r="I4" i="9"/>
  <c r="M4" i="9"/>
  <c r="L4" i="9"/>
  <c r="K4" i="9"/>
  <c r="P4" i="9"/>
  <c r="H4" i="9"/>
  <c r="F4" i="9"/>
  <c r="O4" i="9"/>
  <c r="E5" i="9"/>
  <c r="I101" i="1"/>
  <c r="S56" i="1"/>
  <c r="S62" i="1"/>
  <c r="S55" i="1"/>
  <c r="P5" i="9"/>
  <c r="H101" i="1"/>
  <c r="M101" i="1"/>
  <c r="N101" i="1"/>
  <c r="S63" i="1"/>
  <c r="S48" i="1"/>
  <c r="F5" i="9"/>
  <c r="S57" i="1"/>
  <c r="O101" i="1"/>
  <c r="S64" i="1"/>
  <c r="L5" i="9"/>
  <c r="S59" i="1"/>
  <c r="P101" i="1"/>
  <c r="S58" i="1"/>
  <c r="M5" i="9"/>
  <c r="I5" i="9"/>
  <c r="R101" i="1"/>
  <c r="J5" i="9"/>
  <c r="K5" i="9"/>
  <c r="Q101" i="1"/>
  <c r="S61" i="1"/>
  <c r="S65" i="1"/>
  <c r="O5" i="9"/>
  <c r="L101" i="1"/>
  <c r="G101" i="1"/>
  <c r="G5" i="9"/>
  <c r="S60" i="1"/>
  <c r="H5" i="9"/>
  <c r="K101" i="1"/>
  <c r="S42" i="1"/>
  <c r="S45" i="1"/>
  <c r="S52" i="1"/>
  <c r="S54" i="1"/>
  <c r="S47" i="1"/>
  <c r="S49" i="1"/>
  <c r="S46" i="1"/>
  <c r="S43" i="1"/>
  <c r="S40" i="1"/>
  <c r="S53" i="1"/>
  <c r="S44" i="1"/>
  <c r="S41" i="1"/>
  <c r="S31" i="1"/>
  <c r="S39" i="1"/>
  <c r="S36" i="1"/>
  <c r="S33" i="1"/>
  <c r="N100" i="1"/>
  <c r="S32" i="1"/>
  <c r="S38" i="1"/>
  <c r="L7" i="9"/>
  <c r="P100" i="1"/>
  <c r="K100" i="1"/>
  <c r="G7" i="9"/>
  <c r="H7" i="9"/>
  <c r="E7" i="9"/>
  <c r="E9" i="9" s="1"/>
  <c r="P7" i="9"/>
  <c r="J7" i="9"/>
  <c r="F7" i="9"/>
  <c r="G100" i="1"/>
  <c r="M100" i="1"/>
  <c r="Q100" i="1"/>
  <c r="M7" i="9"/>
  <c r="M9" i="9" s="1"/>
  <c r="N7" i="9"/>
  <c r="H100" i="1"/>
  <c r="I7" i="9"/>
  <c r="I9" i="9" s="1"/>
  <c r="R100" i="1"/>
  <c r="O100" i="1"/>
  <c r="L100" i="1"/>
  <c r="J100" i="1"/>
  <c r="K7" i="9"/>
  <c r="O7" i="9"/>
  <c r="E3" i="9"/>
  <c r="O102" i="1"/>
  <c r="E102" i="1"/>
  <c r="E104" i="1" s="1"/>
  <c r="G102" i="1"/>
  <c r="P3" i="9"/>
  <c r="L3" i="9"/>
  <c r="I100" i="1"/>
  <c r="S35" i="1"/>
  <c r="O3" i="9"/>
  <c r="N3" i="9"/>
  <c r="I3" i="9"/>
  <c r="K3" i="9"/>
  <c r="F3" i="9"/>
  <c r="H3" i="9"/>
  <c r="G98" i="1"/>
  <c r="E2" i="9" s="1"/>
  <c r="Q98" i="1"/>
  <c r="O2" i="9" s="1"/>
  <c r="J102" i="1"/>
  <c r="E11" i="9" l="1"/>
  <c r="P10" i="9"/>
  <c r="H11" i="9"/>
  <c r="M11" i="9"/>
  <c r="L10" i="9"/>
  <c r="N10" i="9"/>
  <c r="K11" i="9"/>
  <c r="O10" i="9"/>
  <c r="F10" i="9"/>
  <c r="S101" i="1"/>
  <c r="E105" i="1"/>
  <c r="K9" i="9"/>
  <c r="H9" i="9"/>
  <c r="G9" i="9"/>
  <c r="F9" i="9"/>
  <c r="L9" i="9"/>
  <c r="J9" i="9"/>
  <c r="P9" i="9"/>
  <c r="O9" i="9"/>
  <c r="N9" i="9"/>
  <c r="M102" i="1"/>
  <c r="N102" i="1"/>
  <c r="R102" i="1"/>
  <c r="R98" i="1"/>
  <c r="P2" i="9" s="1"/>
  <c r="K102" i="1"/>
  <c r="O98" i="1"/>
  <c r="M2" i="9" s="1"/>
  <c r="S100" i="1"/>
  <c r="L102" i="1"/>
  <c r="J3" i="9"/>
  <c r="M3" i="9"/>
  <c r="I98" i="1"/>
  <c r="G2" i="9" s="1"/>
  <c r="G3" i="9"/>
  <c r="G103" i="1"/>
  <c r="Q102" i="1"/>
  <c r="I102" i="1"/>
  <c r="J98" i="1"/>
  <c r="H102" i="1"/>
  <c r="M98" i="1"/>
  <c r="N98" i="1"/>
  <c r="H98" i="1"/>
  <c r="F2" i="9" s="1"/>
  <c r="K98" i="1"/>
  <c r="P98" i="1"/>
  <c r="L98" i="1"/>
  <c r="J2" i="9" s="1"/>
  <c r="G104" i="1"/>
  <c r="G109" i="1" s="1"/>
  <c r="P102" i="1"/>
  <c r="Q103" i="1"/>
  <c r="Q104" i="1"/>
  <c r="Q109" i="1" s="1"/>
  <c r="I103" i="1" l="1"/>
  <c r="O103" i="1"/>
  <c r="O104" i="1"/>
  <c r="O109" i="1" s="1"/>
  <c r="H103" i="1"/>
  <c r="M104" i="1"/>
  <c r="K2" i="9"/>
  <c r="P104" i="1"/>
  <c r="N2" i="9"/>
  <c r="N104" i="1"/>
  <c r="L2" i="9"/>
  <c r="K103" i="1"/>
  <c r="I2" i="9"/>
  <c r="J104" i="1"/>
  <c r="H2" i="9"/>
  <c r="H104" i="1"/>
  <c r="H109" i="1" s="1"/>
  <c r="I104" i="1"/>
  <c r="I109" i="1" s="1"/>
  <c r="S102" i="1"/>
  <c r="K104" i="1"/>
  <c r="L103" i="1"/>
  <c r="N103" i="1"/>
  <c r="L104" i="1"/>
  <c r="L109" i="1" s="1"/>
  <c r="P103" i="1"/>
  <c r="M103" i="1"/>
  <c r="R103" i="1"/>
  <c r="J103" i="1"/>
  <c r="S98" i="1"/>
  <c r="R104" i="1"/>
  <c r="R109" i="1" s="1"/>
  <c r="J109" i="1" l="1"/>
  <c r="N109" i="1"/>
  <c r="K109" i="1"/>
  <c r="M109" i="1"/>
  <c r="P109" i="1"/>
  <c r="E109" i="1"/>
  <c r="S104" i="1"/>
  <c r="S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tc={8B2CD4D1-45CC-4C59-8B24-04CB06058FBB}</author>
    <author>tc={1DC1C65D-963D-4706-972F-7AAEC7CC8031}</author>
  </authors>
  <commentList>
    <comment ref="J1" authorId="0" shapeId="0" xr:uid="{8B2CD4D1-45CC-4C59-8B24-04CB06058FBB}">
      <text>
        <t>[Opmerkingenthread]
U kunt deze opmerkingenthread lezen in uw versie van Excel. Eventuele wijzigingen aan de thread gaan echter verloren als het bestand wordt geopend in een nieuwere versie van Excel. Meer informatie: https://go.microsoft.com/fwlink/?linkid=870924
Opmerking:
    Door 01-01-jaartal in te vullen wordt automatisch juiste tarief van jaar gevuld</t>
      </text>
    </comment>
    <comment ref="D94" authorId="1" shapeId="0" xr:uid="{1DC1C65D-963D-4706-972F-7AAEC7CC8031}">
      <text>
        <t>[Opmerkingenthread]
U kunt deze opmerkingenthread lezen in uw versie van Excel. Eventuele wijzigingen aan de thread gaan echter verloren als het bestand wordt geopend in een nieuwere versie van Excel. Meer informatie: https://go.microsoft.com/fwlink/?linkid=870924
Opmerking:
    checken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187628-4209-459B-A0FB-5AC6E5365481}" keepAlive="1" name="Query - report B_CategorieBoekjaar" description="Verbinding maken met de query report B_CategorieBoekjaar in de werkmap." type="5" refreshedVersion="8" background="1" saveData="1">
    <dbPr connection="Provider=Microsoft.Mashup.OleDb.1;Data Source=$Workbook$;Location=&quot;report B_CategorieBoekjaar&quot;;Extended Properties=&quot;&quot;" command="SELECT * FROM [report B_CategorieBoekjaar]"/>
  </connection>
  <connection id="2" xr16:uid="{60E353CC-D68E-428E-A4DB-FC5A91A21273}" keepAlive="1" name="Query - report B_Project" description="Verbinding maken met de query report B_Project in de werkmap." type="5" refreshedVersion="8" background="1" saveData="1">
    <dbPr connection="Provider=Microsoft.Mashup.OleDb.1;Data Source=$Workbook$;Location=&quot;report B_Project&quot;;Extended Properties=&quot;&quot;" command="SELECT * FROM [report B_Project]"/>
  </connection>
</connections>
</file>

<file path=xl/sharedStrings.xml><?xml version="1.0" encoding="utf-8"?>
<sst xmlns="http://schemas.openxmlformats.org/spreadsheetml/2006/main" count="75611" uniqueCount="9887">
  <si>
    <t>* Als vorig projectnummer wordt ingevuld worden automatisch de gegevens gevuld vanuit vorig jaar. Wil je hier vanaf wijken, kijk dan in de dopdownlijst in kolom C, voor de keuze en Vul deze in bij Kolom B.</t>
  </si>
  <si>
    <t>jaar</t>
  </si>
  <si>
    <t>Invulvelden</t>
  </si>
  <si>
    <t>Index</t>
  </si>
  <si>
    <t>Bedrijf</t>
  </si>
  <si>
    <t>BV</t>
  </si>
  <si>
    <t>Voorbeeldlijsten</t>
  </si>
  <si>
    <t>Vorig projectnummer</t>
  </si>
  <si>
    <t>Projectnaam vorig</t>
  </si>
  <si>
    <t>Projectnaam nieuw</t>
  </si>
  <si>
    <t>Projectnummer nieuw</t>
  </si>
  <si>
    <t>Startdatum</t>
  </si>
  <si>
    <t>Einddatum</t>
  </si>
  <si>
    <t>Projectleider</t>
  </si>
  <si>
    <t>persnummer</t>
  </si>
  <si>
    <t>Opdrachtgever</t>
  </si>
  <si>
    <t>Controller</t>
  </si>
  <si>
    <t>Handpoc / autopoc</t>
  </si>
  <si>
    <t>Projectgroep</t>
  </si>
  <si>
    <t>Invest</t>
  </si>
  <si>
    <t>Kostenplaats</t>
  </si>
  <si>
    <t>kostendrager</t>
  </si>
  <si>
    <t>variant</t>
  </si>
  <si>
    <t>BTW-code</t>
  </si>
  <si>
    <t>NL-B</t>
  </si>
  <si>
    <t>Klantrekening</t>
  </si>
  <si>
    <t>Klantnaam</t>
  </si>
  <si>
    <t>Cito</t>
  </si>
  <si>
    <t>Projectcontract</t>
  </si>
  <si>
    <t>jan</t>
  </si>
  <si>
    <t>feb</t>
  </si>
  <si>
    <t>maart</t>
  </si>
  <si>
    <t>april</t>
  </si>
  <si>
    <t>mei</t>
  </si>
  <si>
    <t>juni</t>
  </si>
  <si>
    <t>juli</t>
  </si>
  <si>
    <t>aug</t>
  </si>
  <si>
    <t>sept</t>
  </si>
  <si>
    <t>okt</t>
  </si>
  <si>
    <t>nov</t>
  </si>
  <si>
    <t>dec</t>
  </si>
  <si>
    <t>check</t>
  </si>
  <si>
    <t>Standaardpatroon</t>
  </si>
  <si>
    <t>Begroting</t>
  </si>
  <si>
    <t>Maandverdeling</t>
  </si>
  <si>
    <t>type</t>
  </si>
  <si>
    <t>code</t>
  </si>
  <si>
    <t>omschrijving</t>
  </si>
  <si>
    <t>tarief</t>
  </si>
  <si>
    <t>Begroting totaal</t>
  </si>
  <si>
    <t>aantal</t>
  </si>
  <si>
    <t>Eigen medewerkers</t>
  </si>
  <si>
    <t>AM</t>
  </si>
  <si>
    <t>Accountmanager</t>
  </si>
  <si>
    <t>BU</t>
  </si>
  <si>
    <t>Bureauredacteur/documentalist</t>
  </si>
  <si>
    <t>CM</t>
  </si>
  <si>
    <t>Campagne Marketeer</t>
  </si>
  <si>
    <t>CS</t>
  </si>
  <si>
    <t>Content Specialist</t>
  </si>
  <si>
    <t>DES</t>
  </si>
  <si>
    <t>Toetsdeskundige</t>
  </si>
  <si>
    <t>MCB</t>
  </si>
  <si>
    <t>Medewerker Commerciële Binnendienst</t>
  </si>
  <si>
    <t>MS</t>
  </si>
  <si>
    <t>Medewerker Media Support</t>
  </si>
  <si>
    <t>PDO</t>
  </si>
  <si>
    <t>Productowner</t>
  </si>
  <si>
    <t>PRO</t>
  </si>
  <si>
    <t>Procesondersteuner/procesconsultants</t>
  </si>
  <si>
    <t>PS</t>
  </si>
  <si>
    <t>Proces Support</t>
  </si>
  <si>
    <t>TOE</t>
  </si>
  <si>
    <t>Toetsing</t>
  </si>
  <si>
    <t>TOM</t>
  </si>
  <si>
    <t>Toetsondersteunend medewerker</t>
  </si>
  <si>
    <t>TRA</t>
  </si>
  <si>
    <t>Trainer</t>
  </si>
  <si>
    <t>WO</t>
  </si>
  <si>
    <t>Wetenschappelijk onderzoeker</t>
  </si>
  <si>
    <t>PDM</t>
  </si>
  <si>
    <t>Productmanager</t>
  </si>
  <si>
    <t>EA</t>
  </si>
  <si>
    <t>Enterprise Architect</t>
  </si>
  <si>
    <t>FUB</t>
  </si>
  <si>
    <t>Functioneel Beheerder</t>
  </si>
  <si>
    <t>ICTB</t>
  </si>
  <si>
    <t>ICT Beheerder</t>
  </si>
  <si>
    <t>ICTO</t>
  </si>
  <si>
    <t>ICT Ontwikkelaar</t>
  </si>
  <si>
    <t>ICTS</t>
  </si>
  <si>
    <t>ICT Support</t>
  </si>
  <si>
    <t>TEST</t>
  </si>
  <si>
    <t>Tester</t>
  </si>
  <si>
    <t>ICTE</t>
  </si>
  <si>
    <t>ICT medewerker Extern</t>
  </si>
  <si>
    <t>IA</t>
  </si>
  <si>
    <t>Businessanalist</t>
  </si>
  <si>
    <t>PJM</t>
  </si>
  <si>
    <t>Projectmanager</t>
  </si>
  <si>
    <t>Inleen medewerkers</t>
  </si>
  <si>
    <t>Onkosten</t>
  </si>
  <si>
    <t>310 - Zaalhuur en Catering (extern)</t>
  </si>
  <si>
    <t>350 - ICT hardware en software</t>
  </si>
  <si>
    <t>410 - Advies en Consultant</t>
  </si>
  <si>
    <t>470 - Internet en Telecommunicatie</t>
  </si>
  <si>
    <t>490 - Kantoorbenodigdheden</t>
  </si>
  <si>
    <t>491 - Lidmaatschappen, inschrijvingen en documentatie abonnementen</t>
  </si>
  <si>
    <t>510 - Verzendkosten</t>
  </si>
  <si>
    <t>520 - Drukwerk en verpakkingen</t>
  </si>
  <si>
    <t>542 - Multimedia(re)producties</t>
  </si>
  <si>
    <t>543 - ICT diensten</t>
  </si>
  <si>
    <t>560 - Examen- en itemconstructie (niet cg)</t>
  </si>
  <si>
    <t>562 - Examenbegeleiders, surveillanten</t>
  </si>
  <si>
    <t>563 - Correctiewerk (correctoren)</t>
  </si>
  <si>
    <t>566 - Examenconstructie / CG leden</t>
  </si>
  <si>
    <t>567 - Examencentra</t>
  </si>
  <si>
    <t>568 - Assessoren</t>
  </si>
  <si>
    <t>580 - Vertaalwerk en tekstschrijvers</t>
  </si>
  <si>
    <t>582 - Teken-, grafisch en fotowerk</t>
  </si>
  <si>
    <t>585 - Marktonderzoek</t>
  </si>
  <si>
    <t>586 - Trainers/Docenten</t>
  </si>
  <si>
    <t>610 - Citorant (doorberekend)</t>
  </si>
  <si>
    <t>630 - Reis en verblijfskosten eigen medewerkers</t>
  </si>
  <si>
    <t>631 - Reis en verblijfskosten externen</t>
  </si>
  <si>
    <t>640 - Beurs- en conferentiekosten</t>
  </si>
  <si>
    <t>642 - Advertentiekosten</t>
  </si>
  <si>
    <t>670 - Afdrachten en derden</t>
  </si>
  <si>
    <t>671 - Auteursrechten</t>
  </si>
  <si>
    <t>690 - Representatiekosten en attenties</t>
  </si>
  <si>
    <t>710 - Centraal kopieren Zwart Wit</t>
  </si>
  <si>
    <t>720 - Centraal kopieren kleur</t>
  </si>
  <si>
    <t>730 - Optisch lezen</t>
  </si>
  <si>
    <t>740 - Artikel verbruik</t>
  </si>
  <si>
    <t>Omzet</t>
  </si>
  <si>
    <t>inleen medewerkers</t>
  </si>
  <si>
    <t>Projectresultaat</t>
  </si>
  <si>
    <t>Marge</t>
  </si>
  <si>
    <t>Controle tabblad ETC regels projecten</t>
  </si>
  <si>
    <t>Controle tabblad probuto</t>
  </si>
  <si>
    <t>projectnaam</t>
  </si>
  <si>
    <t>projectnummer</t>
  </si>
  <si>
    <t>ingangsdatum</t>
  </si>
  <si>
    <t>einddatum</t>
  </si>
  <si>
    <t>koptekst project</t>
  </si>
  <si>
    <t>vertaling projectgroep</t>
  </si>
  <si>
    <t>vertaling PL</t>
  </si>
  <si>
    <t>vertaling controller</t>
  </si>
  <si>
    <t>vertaling verkoopleider</t>
  </si>
  <si>
    <t>klantrekening</t>
  </si>
  <si>
    <t>klantnaam</t>
  </si>
  <si>
    <t>projectcontract</t>
  </si>
  <si>
    <t>Dimensie</t>
  </si>
  <si>
    <t>BTW</t>
  </si>
  <si>
    <t>sorteerveld 1</t>
  </si>
  <si>
    <t>sorteerveld 2</t>
  </si>
  <si>
    <t>sorteerveld 3</t>
  </si>
  <si>
    <t>No</t>
  </si>
  <si>
    <t>* Let op als er geen hoofdproject is dan ook een hoofdproject op dit overzicht meenemen (dus geen projectnummers vorig jaar).</t>
  </si>
  <si>
    <t>hulpkolom</t>
  </si>
  <si>
    <t>Projectnaam</t>
  </si>
  <si>
    <t>AXnr</t>
  </si>
  <si>
    <t>Meerjarig</t>
  </si>
  <si>
    <t>Opmerkingen</t>
  </si>
  <si>
    <t>Categorie</t>
  </si>
  <si>
    <t>Aantal</t>
  </si>
  <si>
    <t>Prijs</t>
  </si>
  <si>
    <t>Bedrag</t>
  </si>
  <si>
    <t>DES-I</t>
  </si>
  <si>
    <t>EA-I</t>
  </si>
  <si>
    <t>FUB-I</t>
  </si>
  <si>
    <t>IA-I</t>
  </si>
  <si>
    <t>ICTB-I</t>
  </si>
  <si>
    <t>ICTE-I</t>
  </si>
  <si>
    <t>ICTO-I</t>
  </si>
  <si>
    <t>PJM-I</t>
  </si>
  <si>
    <t>WO-I</t>
  </si>
  <si>
    <t>PRO-I</t>
  </si>
  <si>
    <t>TOM-I</t>
  </si>
  <si>
    <t>310</t>
  </si>
  <si>
    <t>350</t>
  </si>
  <si>
    <t>410</t>
  </si>
  <si>
    <t>470</t>
  </si>
  <si>
    <t>490</t>
  </si>
  <si>
    <t>491</t>
  </si>
  <si>
    <t>510</t>
  </si>
  <si>
    <t>520</t>
  </si>
  <si>
    <t>542</t>
  </si>
  <si>
    <t>543</t>
  </si>
  <si>
    <t>560</t>
  </si>
  <si>
    <t>562</t>
  </si>
  <si>
    <t>563</t>
  </si>
  <si>
    <t>566</t>
  </si>
  <si>
    <t>567</t>
  </si>
  <si>
    <t>568</t>
  </si>
  <si>
    <t>580</t>
  </si>
  <si>
    <t>582</t>
  </si>
  <si>
    <t>585</t>
  </si>
  <si>
    <t>586</t>
  </si>
  <si>
    <t>610</t>
  </si>
  <si>
    <t>630</t>
  </si>
  <si>
    <t>631</t>
  </si>
  <si>
    <t>640</t>
  </si>
  <si>
    <t>642</t>
  </si>
  <si>
    <t>670</t>
  </si>
  <si>
    <t>671</t>
  </si>
  <si>
    <t>690</t>
  </si>
  <si>
    <t>710</t>
  </si>
  <si>
    <t>720</t>
  </si>
  <si>
    <t>730</t>
  </si>
  <si>
    <t>740</t>
  </si>
  <si>
    <t>Rekening</t>
  </si>
  <si>
    <t>Kostendrager</t>
  </si>
  <si>
    <t>sep</t>
  </si>
  <si>
    <t>Variant</t>
  </si>
  <si>
    <t>BTW-Code</t>
  </si>
  <si>
    <t>OiOvD</t>
  </si>
  <si>
    <t>Kosten</t>
  </si>
  <si>
    <t>Invest - Investeringsprojecten</t>
  </si>
  <si>
    <t>5110 - Uitgeverij PO Belast</t>
  </si>
  <si>
    <t>EU-B; export binnen eu belast</t>
  </si>
  <si>
    <t>Elise Borgers</t>
  </si>
  <si>
    <t>Anja de Wijs</t>
  </si>
  <si>
    <t>Alma van Til</t>
  </si>
  <si>
    <t>Kosten - Beheeractiviteiten</t>
  </si>
  <si>
    <t>5111 - Uitgeverij PO Vrijgesteld</t>
  </si>
  <si>
    <t>KIB</t>
  </si>
  <si>
    <t>DUI</t>
  </si>
  <si>
    <t>EX-B ; export buiten eu belast</t>
  </si>
  <si>
    <t>Steef Berkeljon</t>
  </si>
  <si>
    <t>Anne Hettema</t>
  </si>
  <si>
    <t>Frans van Dijk</t>
  </si>
  <si>
    <t>OiOvD - Ontwikkeling in opdracht van derden</t>
  </si>
  <si>
    <t>5120 - Uitgeverij VO Belast</t>
  </si>
  <si>
    <t>LIBDST</t>
  </si>
  <si>
    <t>ENG</t>
  </si>
  <si>
    <t>EX-V ; export buiten ex vrijgesteld</t>
  </si>
  <si>
    <t>George Pavel</t>
  </si>
  <si>
    <t>Antoinette van het Hul - Derksen</t>
  </si>
  <si>
    <t>Jasper Kwakkelstein</t>
  </si>
  <si>
    <t>5121 - Uitgeverij VO Vrijgesteld</t>
  </si>
  <si>
    <t>LIBLVS</t>
  </si>
  <si>
    <t>FRA</t>
  </si>
  <si>
    <t>NL-B ; btw belast hoog</t>
  </si>
  <si>
    <t>Asther den Boogert</t>
  </si>
  <si>
    <t>Joanne van Emmerik</t>
  </si>
  <si>
    <t>5310 - Professionals Belast</t>
  </si>
  <si>
    <t>TRAINCERTPO</t>
  </si>
  <si>
    <t>NED</t>
  </si>
  <si>
    <t>NL-P ; btw belast hoog prorata</t>
  </si>
  <si>
    <t>Marc van der Lee</t>
  </si>
  <si>
    <t>5311 - Professionals Vrijgesteld</t>
  </si>
  <si>
    <t>CVVO</t>
  </si>
  <si>
    <t>SPA</t>
  </si>
  <si>
    <t>NL-V ; btw vrijgesteld</t>
  </si>
  <si>
    <t>Hanneke Bouwmans - de Jong</t>
  </si>
  <si>
    <t>Rianne Hommelberg</t>
  </si>
  <si>
    <t>5520 - Proces support</t>
  </si>
  <si>
    <t>KLT</t>
  </si>
  <si>
    <t>PABOPAR</t>
  </si>
  <si>
    <t>Jasper de Vries</t>
  </si>
  <si>
    <t>Aufa Ramdani</t>
  </si>
  <si>
    <t>5530 - Media support</t>
  </si>
  <si>
    <t>TRAINCERTVO</t>
  </si>
  <si>
    <t>PABOVH</t>
  </si>
  <si>
    <t>Saila Kiriwenno - Dovermann</t>
  </si>
  <si>
    <t>5570 - Trainers</t>
  </si>
  <si>
    <t>BONDERW</t>
  </si>
  <si>
    <t>TRAINCERT</t>
  </si>
  <si>
    <t>Jill Linders</t>
  </si>
  <si>
    <t>Manon Heesen</t>
  </si>
  <si>
    <t>5621 - Buitendienst POVO</t>
  </si>
  <si>
    <t>ONDERZOEK</t>
  </si>
  <si>
    <t>PEIL</t>
  </si>
  <si>
    <t>Jan Spruijt</t>
  </si>
  <si>
    <t>5622 - Binnendienst POVO</t>
  </si>
  <si>
    <t>TALEN</t>
  </si>
  <si>
    <t>INBU</t>
  </si>
  <si>
    <t>Jossie Hunting</t>
  </si>
  <si>
    <t>Dennis van den Broek</t>
  </si>
  <si>
    <t>5630 - Klantenservice</t>
  </si>
  <si>
    <t>ZM</t>
  </si>
  <si>
    <t>STEX</t>
  </si>
  <si>
    <t>Kathelijn Zwols</t>
  </si>
  <si>
    <t>Marijn Krijgsman</t>
  </si>
  <si>
    <t>5720 - Staf</t>
  </si>
  <si>
    <t>NATURALISATIE</t>
  </si>
  <si>
    <t>Loes van den Heuvel</t>
  </si>
  <si>
    <t>Judith Vloedgraven</t>
  </si>
  <si>
    <t>6010 - Data &amp; Tech</t>
  </si>
  <si>
    <t>BODEM</t>
  </si>
  <si>
    <t>Bert Thijs de Jong</t>
  </si>
  <si>
    <t>7020 - Overhead Onbelast</t>
  </si>
  <si>
    <t>CDD</t>
  </si>
  <si>
    <t>Onne Smeets</t>
  </si>
  <si>
    <t>Cornelis Richter</t>
  </si>
  <si>
    <t>7040 - Overhead Belast</t>
  </si>
  <si>
    <t>ISSOEPA</t>
  </si>
  <si>
    <t>Nienke Elijzen</t>
  </si>
  <si>
    <t>Jorine Vermeulen</t>
  </si>
  <si>
    <t>9545 - IVIT BV (BTW vrij)</t>
  </si>
  <si>
    <t>ISSOLPA</t>
  </si>
  <si>
    <t>Peter van der Leek</t>
  </si>
  <si>
    <t>Leontine Derks</t>
  </si>
  <si>
    <t>9546 - IVIT BV (belast)</t>
  </si>
  <si>
    <t>LASSER</t>
  </si>
  <si>
    <t>MEDREK</t>
  </si>
  <si>
    <t>Rick te Kloeze</t>
  </si>
  <si>
    <t>Rick Godschalk</t>
  </si>
  <si>
    <t>NBA</t>
  </si>
  <si>
    <t>Rozanne Drexler</t>
  </si>
  <si>
    <t>Esther Scolten</t>
  </si>
  <si>
    <t>NCTV</t>
  </si>
  <si>
    <t>Sanne Lecluijze</t>
  </si>
  <si>
    <t>VAKMANROUTE</t>
  </si>
  <si>
    <t>Meike Hennekam</t>
  </si>
  <si>
    <t>Inge Mulder</t>
  </si>
  <si>
    <t>Charlotte van der Meer</t>
  </si>
  <si>
    <t>Jama Sarwar</t>
  </si>
  <si>
    <t>Josine Verhagen</t>
  </si>
  <si>
    <t>Pim de Burger</t>
  </si>
  <si>
    <t>BedrijfsCode</t>
  </si>
  <si>
    <t>Boekjaar</t>
  </si>
  <si>
    <t>CategorieCode</t>
  </si>
  <si>
    <t>CategorieNaam</t>
  </si>
  <si>
    <t>CategorieGroep</t>
  </si>
  <si>
    <t>PrijsInkoop</t>
  </si>
  <si>
    <t>PrijsVerkoop</t>
  </si>
  <si>
    <t>hulpkolom kostprijs</t>
  </si>
  <si>
    <t>Hulp kolom verkoopprijs</t>
  </si>
  <si>
    <t>001</t>
  </si>
  <si>
    <t>Zaalhuur en Catering (extern)</t>
  </si>
  <si>
    <t>ICT hardware en software</t>
  </si>
  <si>
    <t>Advies en Consultant</t>
  </si>
  <si>
    <t>Internet en Telecommunicatie</t>
  </si>
  <si>
    <t>Kantoorbenodigdheden</t>
  </si>
  <si>
    <t>Lidmaatschappen, inschrijvingen en documentatie abonnementen</t>
  </si>
  <si>
    <t>Verzendkosten</t>
  </si>
  <si>
    <t>Drukwerk en verpakkingen</t>
  </si>
  <si>
    <t>Multimedia(re)producties</t>
  </si>
  <si>
    <t>ICT diensten</t>
  </si>
  <si>
    <t>Examen- en itemconstructie (niet cg)</t>
  </si>
  <si>
    <t>Examenbegeleiders, surveillanten</t>
  </si>
  <si>
    <t>Correctiewerk (correctoren)</t>
  </si>
  <si>
    <t>Examenconstructie / CG leden</t>
  </si>
  <si>
    <t>Examencentra</t>
  </si>
  <si>
    <t>Assessoren</t>
  </si>
  <si>
    <t>Vertaalwerk en tekstschrijvers</t>
  </si>
  <si>
    <t>Teken-, grafisch en fotowerk</t>
  </si>
  <si>
    <t>584</t>
  </si>
  <si>
    <t>Fotowerk</t>
  </si>
  <si>
    <t>Marktonderzoek</t>
  </si>
  <si>
    <t>Trainers/Docenten</t>
  </si>
  <si>
    <t>590</t>
  </si>
  <si>
    <t>Intercompany doorbelasting</t>
  </si>
  <si>
    <t>Citorant (doorberekend)</t>
  </si>
  <si>
    <t>Reis en verblijfskosten eigen medewerkers</t>
  </si>
  <si>
    <t>Reis en verblijfskosten externen</t>
  </si>
  <si>
    <t>Beurs- en conferentiekosten</t>
  </si>
  <si>
    <t>Advertentiekosten</t>
  </si>
  <si>
    <t>Afdrachten en derden</t>
  </si>
  <si>
    <t>Auteursrechten</t>
  </si>
  <si>
    <t>Representatiekosten en attenties</t>
  </si>
  <si>
    <t>691</t>
  </si>
  <si>
    <t>Overige kosten</t>
  </si>
  <si>
    <t>Centraal kopieren Zwart Wit</t>
  </si>
  <si>
    <t>Centraal kopieren kleur</t>
  </si>
  <si>
    <t>Optisch lezen</t>
  </si>
  <si>
    <t>Artikel verbruik</t>
  </si>
  <si>
    <t>750</t>
  </si>
  <si>
    <t>Overhead SLOA</t>
  </si>
  <si>
    <t>841</t>
  </si>
  <si>
    <t>SLOA - balans</t>
  </si>
  <si>
    <t>843</t>
  </si>
  <si>
    <t>BV Projecten - balans</t>
  </si>
  <si>
    <t>845</t>
  </si>
  <si>
    <t>Overige producten en diensten - balans</t>
  </si>
  <si>
    <t>849</t>
  </si>
  <si>
    <t>Omzetcategorie niet van toepassing - balans</t>
  </si>
  <si>
    <t>ADM</t>
  </si>
  <si>
    <t>Administratief medewerker</t>
  </si>
  <si>
    <t>Uren</t>
  </si>
  <si>
    <t>ADM-I</t>
  </si>
  <si>
    <t>Administratief medewerker inleen</t>
  </si>
  <si>
    <t>Inhuur</t>
  </si>
  <si>
    <t>ADV</t>
  </si>
  <si>
    <t>Adviseur</t>
  </si>
  <si>
    <t>ADV-I</t>
  </si>
  <si>
    <t>Adviseur inleen</t>
  </si>
  <si>
    <t>AM-I</t>
  </si>
  <si>
    <t>Accountmanager inleen</t>
  </si>
  <si>
    <t>AN</t>
  </si>
  <si>
    <t>Analist</t>
  </si>
  <si>
    <t>AN-I</t>
  </si>
  <si>
    <t>Analist inleen</t>
  </si>
  <si>
    <t>BM</t>
  </si>
  <si>
    <t>Brand marketeer</t>
  </si>
  <si>
    <t>BM-I</t>
  </si>
  <si>
    <t>Brand marketeer inleen</t>
  </si>
  <si>
    <t>Bureauredacteur</t>
  </si>
  <si>
    <t>BU-I</t>
  </si>
  <si>
    <t>Bureauredacteur inleen</t>
  </si>
  <si>
    <t>Campagne marketeer</t>
  </si>
  <si>
    <t>CM-I</t>
  </si>
  <si>
    <t>Campagne marketeer inleen</t>
  </si>
  <si>
    <t>CON</t>
  </si>
  <si>
    <t>Content specialist</t>
  </si>
  <si>
    <t>CS-I</t>
  </si>
  <si>
    <t>Content specialist inleen</t>
  </si>
  <si>
    <t>Toetsdeskundige inleen</t>
  </si>
  <si>
    <t>DO</t>
  </si>
  <si>
    <t>Documentalist</t>
  </si>
  <si>
    <t>DS</t>
  </si>
  <si>
    <t>Data support</t>
  </si>
  <si>
    <t>DS-I</t>
  </si>
  <si>
    <t>Data support inleen</t>
  </si>
  <si>
    <t>Enterprise architect</t>
  </si>
  <si>
    <t>Enterprise architect inleen</t>
  </si>
  <si>
    <t>FT</t>
  </si>
  <si>
    <t>Fiscalist/treasurer</t>
  </si>
  <si>
    <t>Functioneel beheerder</t>
  </si>
  <si>
    <t>Functioneel Beheer inleen</t>
  </si>
  <si>
    <t>Informatie analist</t>
  </si>
  <si>
    <t>Informatie analist inleen</t>
  </si>
  <si>
    <t>ICT beheerder</t>
  </si>
  <si>
    <t>ICT beheerder inleen</t>
  </si>
  <si>
    <t>ICT medewerker extern</t>
  </si>
  <si>
    <t>ICT medewerker extern inleen</t>
  </si>
  <si>
    <t>ICT ontwikkelaar inleen</t>
  </si>
  <si>
    <t>ICTS-I</t>
  </si>
  <si>
    <t>ICT support inleen</t>
  </si>
  <si>
    <t>IM</t>
  </si>
  <si>
    <t>Informatiemanagement</t>
  </si>
  <si>
    <t>IM-I</t>
  </si>
  <si>
    <t>Informatiemanagement inleen</t>
  </si>
  <si>
    <t>INK</t>
  </si>
  <si>
    <t>Inkoper</t>
  </si>
  <si>
    <t>INK-I</t>
  </si>
  <si>
    <t>Inkoper inleen</t>
  </si>
  <si>
    <t>IS</t>
  </si>
  <si>
    <t>Interne services medewerker</t>
  </si>
  <si>
    <t>KCO</t>
  </si>
  <si>
    <t>Ketencoordinator</t>
  </si>
  <si>
    <t>KCO-I</t>
  </si>
  <si>
    <t>Ketencoördinator inleen</t>
  </si>
  <si>
    <t>KM</t>
  </si>
  <si>
    <t>Ketenmanager</t>
  </si>
  <si>
    <t>KM-I</t>
  </si>
  <si>
    <t>Ketenmanager inleen</t>
  </si>
  <si>
    <t>KS</t>
  </si>
  <si>
    <t>Klantenservice medewerker</t>
  </si>
  <si>
    <t>KS-I</t>
  </si>
  <si>
    <t>Klantenservice medewerker inleen</t>
  </si>
  <si>
    <t>LDG I</t>
  </si>
  <si>
    <t>Leidinggevende I</t>
  </si>
  <si>
    <t>LDG II</t>
  </si>
  <si>
    <t>Leidinggevende II</t>
  </si>
  <si>
    <t>LDG I-I</t>
  </si>
  <si>
    <t>Leidinggevende I inleen</t>
  </si>
  <si>
    <t>LDG III</t>
  </si>
  <si>
    <t>Leidinggevende III</t>
  </si>
  <si>
    <t>LDG II-I</t>
  </si>
  <si>
    <t>Leidinggevende II inleen</t>
  </si>
  <si>
    <t>LDG III-I</t>
  </si>
  <si>
    <t>Leidinggevende III inleen</t>
  </si>
  <si>
    <t>LS</t>
  </si>
  <si>
    <t>Logistiek support</t>
  </si>
  <si>
    <t>LS-I</t>
  </si>
  <si>
    <t>Logistiek support inleen</t>
  </si>
  <si>
    <t>MA</t>
  </si>
  <si>
    <t>Management assistent</t>
  </si>
  <si>
    <t>MA-I</t>
  </si>
  <si>
    <t>Management assistent inleen</t>
  </si>
  <si>
    <t>Medewerker commerciele binnendienst</t>
  </si>
  <si>
    <t>MCB-I</t>
  </si>
  <si>
    <t>Medewerker commerciele binnendienst inleen</t>
  </si>
  <si>
    <t>Media support</t>
  </si>
  <si>
    <t>MS-I</t>
  </si>
  <si>
    <t>Media support inleen</t>
  </si>
  <si>
    <t>PDM-I</t>
  </si>
  <si>
    <t>Productmanager inleen</t>
  </si>
  <si>
    <t>PDO-I</t>
  </si>
  <si>
    <t>Productowner inleen</t>
  </si>
  <si>
    <t>PJME</t>
  </si>
  <si>
    <t>Projectmanager extern</t>
  </si>
  <si>
    <t>PJME-I</t>
  </si>
  <si>
    <t>Projectmanager extern inleen</t>
  </si>
  <si>
    <t>Projectmanager inleen</t>
  </si>
  <si>
    <t>PRMAN</t>
  </si>
  <si>
    <t>Proces manager</t>
  </si>
  <si>
    <t>PRMAN-I</t>
  </si>
  <si>
    <t>Proces manager inleen</t>
  </si>
  <si>
    <t>Procesondersteuner</t>
  </si>
  <si>
    <t>Procesondersteuner inleen</t>
  </si>
  <si>
    <t>PROM</t>
  </si>
  <si>
    <t>Promovendi</t>
  </si>
  <si>
    <t>PROM-I</t>
  </si>
  <si>
    <t>Promovendi inleen</t>
  </si>
  <si>
    <t>Process support</t>
  </si>
  <si>
    <t>PS-I</t>
  </si>
  <si>
    <t>Process Support inleen</t>
  </si>
  <si>
    <t>RD</t>
  </si>
  <si>
    <t>R&amp;D specialist Citolab</t>
  </si>
  <si>
    <t>RD-I</t>
  </si>
  <si>
    <t>R&amp;D specialist Citolab Inleen</t>
  </si>
  <si>
    <t>RP</t>
  </si>
  <si>
    <t>Resourceplanner</t>
  </si>
  <si>
    <t>RP-I</t>
  </si>
  <si>
    <t>Resourceplanner inleen</t>
  </si>
  <si>
    <t>RvB</t>
  </si>
  <si>
    <t>Raad van Bestuur</t>
  </si>
  <si>
    <t>STAGE</t>
  </si>
  <si>
    <t>Stagiair</t>
  </si>
  <si>
    <t>ICT Testers</t>
  </si>
  <si>
    <t>TEST-I</t>
  </si>
  <si>
    <t>ICT testers inleen</t>
  </si>
  <si>
    <t>Medewerker Toetsing</t>
  </si>
  <si>
    <t>TOE-I</t>
  </si>
  <si>
    <t>Medewerker toetsing inleen</t>
  </si>
  <si>
    <t>Toetsondersteunend medewerker inleen</t>
  </si>
  <si>
    <t>TRA-I</t>
  </si>
  <si>
    <t>Trainer inleen</t>
  </si>
  <si>
    <t>VL</t>
  </si>
  <si>
    <t>Voorlichter</t>
  </si>
  <si>
    <t>Wetenschappelijk onderzoeker inleen</t>
  </si>
  <si>
    <t>002</t>
  </si>
  <si>
    <t>ProjectCode</t>
  </si>
  <si>
    <t>ProjectNaam</t>
  </si>
  <si>
    <t>HoofdProjectCode</t>
  </si>
  <si>
    <t>KlantNummer</t>
  </si>
  <si>
    <t>KlantNaam</t>
  </si>
  <si>
    <t>DatumBegin</t>
  </si>
  <si>
    <t>DatumEinde</t>
  </si>
  <si>
    <t>ProjectStatus</t>
  </si>
  <si>
    <t>ContractId</t>
  </si>
  <si>
    <t>BTWCode</t>
  </si>
  <si>
    <t>ProjectGroep</t>
  </si>
  <si>
    <t>PersoneelsNummerProjectLeider</t>
  </si>
  <si>
    <t>NaamProjectLeider</t>
  </si>
  <si>
    <t>PersoneelsNummerVerkoper</t>
  </si>
  <si>
    <t>NaamVerkoper</t>
  </si>
  <si>
    <t>PersoneelsNummerControler</t>
  </si>
  <si>
    <t>NaamController</t>
  </si>
  <si>
    <t>SorteerCode1</t>
  </si>
  <si>
    <t>SorteerCode2</t>
  </si>
  <si>
    <t>SorteerCode3</t>
  </si>
  <si>
    <t>GrootboekAccount</t>
  </si>
  <si>
    <t>Project</t>
  </si>
  <si>
    <t>LIBLVSALG</t>
  </si>
  <si>
    <t>Tijdproject Leerling in beeld volgsysteem PO</t>
  </si>
  <si>
    <t/>
  </si>
  <si>
    <t>In behandeling</t>
  </si>
  <si>
    <t>InternUur</t>
  </si>
  <si>
    <t>-5110-LIBLVS--LIBLVSALG</t>
  </si>
  <si>
    <t>5110</t>
  </si>
  <si>
    <t>Tijdproject Training en Certificering PO</t>
  </si>
  <si>
    <t>-5110-TRAINCERTPO--TRAINCERTPO</t>
  </si>
  <si>
    <t>TRAINCERTPO--TRAINCERTPO</t>
  </si>
  <si>
    <t>LIBDSTALG</t>
  </si>
  <si>
    <t>Tijdproject Leerling in beeld doorstroomtoets</t>
  </si>
  <si>
    <t>-5111-LIBDST--LIBDSTALG</t>
  </si>
  <si>
    <t>5111</t>
  </si>
  <si>
    <t>CVVOCOG</t>
  </si>
  <si>
    <t>Tijdproject CVVO Cognitief</t>
  </si>
  <si>
    <t>-5120-CVVO-COG-CVVOCOG</t>
  </si>
  <si>
    <t>5120</t>
  </si>
  <si>
    <t>COG</t>
  </si>
  <si>
    <t>CVVOALG</t>
  </si>
  <si>
    <t>Tijdproject CVVO Algemeen</t>
  </si>
  <si>
    <t>-5120-CVVO--CVVOALG</t>
  </si>
  <si>
    <t>CVVOT0</t>
  </si>
  <si>
    <t>Tijdproject CVVO Toets 0</t>
  </si>
  <si>
    <t>-5120-CVVO-T0-CVVOT0</t>
  </si>
  <si>
    <t>T0</t>
  </si>
  <si>
    <t>CVVOT1</t>
  </si>
  <si>
    <t>Tijdproject CVVO Toets 1</t>
  </si>
  <si>
    <t>-5120-CVVO-T1-CVVOT1</t>
  </si>
  <si>
    <t>T1</t>
  </si>
  <si>
    <t>CVVOT2</t>
  </si>
  <si>
    <t>Tijdproject CVVO Toets 2</t>
  </si>
  <si>
    <t>-5120-CVVO-T2-CVVOT2</t>
  </si>
  <si>
    <t>T2</t>
  </si>
  <si>
    <t>CVVOT3</t>
  </si>
  <si>
    <t>Tijdproject CVVO Toets 3</t>
  </si>
  <si>
    <t>-5120-CVVO-T3-CVVOT3</t>
  </si>
  <si>
    <t>T3</t>
  </si>
  <si>
    <t>CVVOVSO</t>
  </si>
  <si>
    <t>Tijdproject CVVO VSO en PRO</t>
  </si>
  <si>
    <t>-5120-CVVO-VSO-CVVOVSO</t>
  </si>
  <si>
    <t>VSO</t>
  </si>
  <si>
    <t>KLTDUI</t>
  </si>
  <si>
    <t>Tijdproject Kijk en luistertoets Duits</t>
  </si>
  <si>
    <t>-5120-KLT-DUI-KLTDUI</t>
  </si>
  <si>
    <t>KLTENG</t>
  </si>
  <si>
    <t>Tijdproject Kijk en luistertoets Engels</t>
  </si>
  <si>
    <t>-5120-KLT-ENG-KLTENG</t>
  </si>
  <si>
    <t>KLTFRA</t>
  </si>
  <si>
    <t>Tijdproject Kijk en luistertoets Frans</t>
  </si>
  <si>
    <t>-5120-KLT-FRA-KLTFRA</t>
  </si>
  <si>
    <t>KLTALG</t>
  </si>
  <si>
    <t>Tijdproject Kijk en luistertoets algemeen</t>
  </si>
  <si>
    <t>-5120-KLT--KLTALG</t>
  </si>
  <si>
    <t>KLTNED</t>
  </si>
  <si>
    <t>Tijdproject Kijk en luistertoets Nederlands</t>
  </si>
  <si>
    <t>-5120-KLT-NED-KLTNED</t>
  </si>
  <si>
    <t>KLTSPA</t>
  </si>
  <si>
    <t>Tijdproject Kijk en luistertoets Spaans</t>
  </si>
  <si>
    <t>-5120-KLT-SPA-KLTSPA</t>
  </si>
  <si>
    <t>Tijdproject Training en Certificering VO</t>
  </si>
  <si>
    <t>-5120-TRAINCERTVO--TRAINCERTVO</t>
  </si>
  <si>
    <t>TRAINCERTVO--TRAINCERTVO</t>
  </si>
  <si>
    <t>Tijdproject beroepsonderwijs algemeen</t>
  </si>
  <si>
    <t>-5310-BONDERW--BONDERW</t>
  </si>
  <si>
    <t>5310</t>
  </si>
  <si>
    <t>BONDERW--BONDERW</t>
  </si>
  <si>
    <t>Tijdproject beroepsonderwijs Pabo Particulier</t>
  </si>
  <si>
    <t>-5310-BONDERW-PABOPAR-PABOPAR</t>
  </si>
  <si>
    <t>PABOPAR-PABOPAR</t>
  </si>
  <si>
    <t>TRAINCERTHO</t>
  </si>
  <si>
    <t>Tijdproject Training en Certificering HO</t>
  </si>
  <si>
    <t>-5310-BONDERW-TRAINCERT-TRAINCERTHO</t>
  </si>
  <si>
    <t>TRAINCERTMBO</t>
  </si>
  <si>
    <t>Tijdproject Training en Certificering MBO</t>
  </si>
  <si>
    <t>-5310-BONDERW-TRAINCERT-TRAINCERTMBO</t>
  </si>
  <si>
    <t>TALENALG</t>
  </si>
  <si>
    <t>Tijdproject Talen Algemeen</t>
  </si>
  <si>
    <t>-5310-TALEN--TALENALG</t>
  </si>
  <si>
    <t>TRAINCERTALG</t>
  </si>
  <si>
    <t>Tijdproject Training en Certificering algemeen</t>
  </si>
  <si>
    <t>-5310-TRAINCERTVO--TRAINCERTALG</t>
  </si>
  <si>
    <t>ZMBODEM</t>
  </si>
  <si>
    <t>Tijdproject Zakelijke markt Bodemenergie</t>
  </si>
  <si>
    <t>-5310-ZM-BODEM-ZMBODEM</t>
  </si>
  <si>
    <t>ZMCDD</t>
  </si>
  <si>
    <t>Tijdproject Zakelijke Markt CDD</t>
  </si>
  <si>
    <t>NL</t>
  </si>
  <si>
    <t>-5310-ZM-CDD-ZMCDD</t>
  </si>
  <si>
    <t>ZMISSOEPA</t>
  </si>
  <si>
    <t>Tijdproject Zakelijke markt ISSO Energie prestatie</t>
  </si>
  <si>
    <t>-5310-ZM-ISSOEPA-ZMISSOEPA</t>
  </si>
  <si>
    <t>ZMMEDREK</t>
  </si>
  <si>
    <t>Tijdproject Zakelijke markt Medisch Rekenen</t>
  </si>
  <si>
    <t>-5310-ZM-MEDREK-ZMMEDREK</t>
  </si>
  <si>
    <t>ZMISSOLPA</t>
  </si>
  <si>
    <t>Tijdproject Zakelijke markt ISSO legionella preventie</t>
  </si>
  <si>
    <t>-5310-ZM-ISSOLPA-ZMISSOLPA</t>
  </si>
  <si>
    <t>ZMLASSER</t>
  </si>
  <si>
    <t>Tijdproject Zakelijke markt Certificering PE Lassers</t>
  </si>
  <si>
    <t>-5310-ZM-LASSER-ZMLASSER</t>
  </si>
  <si>
    <t>ZMNCTV</t>
  </si>
  <si>
    <t>Tijdproject Zakelijke markt BAL en BAST</t>
  </si>
  <si>
    <t>-5310-ZM-NCTV-ZMNCTV</t>
  </si>
  <si>
    <t>ZMNVHP</t>
  </si>
  <si>
    <t>Tijdproject Zakelijke markt NVHP</t>
  </si>
  <si>
    <t>-5310-ZM-NVHP-ZMNVHP</t>
  </si>
  <si>
    <t>NVHP</t>
  </si>
  <si>
    <t>ZMVAKMANROUTE</t>
  </si>
  <si>
    <t>Tijdproject Zakelijke markt ZM Vakmanschapsroutes</t>
  </si>
  <si>
    <t>-5310-ZM-VAKMANROUTE-ZMVAKMANROUTE</t>
  </si>
  <si>
    <t>ZMALG</t>
  </si>
  <si>
    <t>Tijdproject Zakelijke markt algemeen</t>
  </si>
  <si>
    <t>-5310-ZM--ZMALG</t>
  </si>
  <si>
    <t>10001</t>
  </si>
  <si>
    <t>1e generatie SO / SBO BL</t>
  </si>
  <si>
    <t>10021301</t>
  </si>
  <si>
    <t>Gereed</t>
  </si>
  <si>
    <t>2000000</t>
  </si>
  <si>
    <t>OVER</t>
  </si>
  <si>
    <t>--Uitgeverij--10001</t>
  </si>
  <si>
    <t>Uitgeverij</t>
  </si>
  <si>
    <t>10002</t>
  </si>
  <si>
    <t>1e generatie SO / SBO RW</t>
  </si>
  <si>
    <t>--Uitgeverij--10002</t>
  </si>
  <si>
    <t>10003</t>
  </si>
  <si>
    <t>1e generatie SO / SBO SP</t>
  </si>
  <si>
    <t>--Uitgeverij--10003</t>
  </si>
  <si>
    <t>10004</t>
  </si>
  <si>
    <t>2e generatie LOVS PO BL</t>
  </si>
  <si>
    <t>--Uitgeverij--10004</t>
  </si>
  <si>
    <t>10005</t>
  </si>
  <si>
    <t>2e generatie LOVS PO RW</t>
  </si>
  <si>
    <t>--Uitgeverij--10005</t>
  </si>
  <si>
    <t>10006</t>
  </si>
  <si>
    <t>2e generatie LOVS PO SP</t>
  </si>
  <si>
    <t>--Uitgeverij--10006</t>
  </si>
  <si>
    <t>10007</t>
  </si>
  <si>
    <t>Algemeen</t>
  </si>
  <si>
    <t>--Uitgeverij--10007</t>
  </si>
  <si>
    <t>10008</t>
  </si>
  <si>
    <t>B&amp;B</t>
  </si>
  <si>
    <t>--Uitgeverij--10008</t>
  </si>
  <si>
    <t>10009</t>
  </si>
  <si>
    <t>Basisbewerkingen RW</t>
  </si>
  <si>
    <t>--Uitgeverij--10009</t>
  </si>
  <si>
    <t>10010</t>
  </si>
  <si>
    <t>Begrijpend luisteren 3.0</t>
  </si>
  <si>
    <t>--Uitgeverij--10010</t>
  </si>
  <si>
    <t>10011</t>
  </si>
  <si>
    <t>Diversen</t>
  </si>
  <si>
    <t>--Uitgeverij--10011</t>
  </si>
  <si>
    <t>10012</t>
  </si>
  <si>
    <t>DMT-AVI 2.0</t>
  </si>
  <si>
    <t>--Uitgeverij--10012</t>
  </si>
  <si>
    <t>10013</t>
  </si>
  <si>
    <t>DMT-AVI 3.0</t>
  </si>
  <si>
    <t>--Uitgeverij--10013</t>
  </si>
  <si>
    <t>10014</t>
  </si>
  <si>
    <t>Dyslexie</t>
  </si>
  <si>
    <t>--Uitgeverij--10014</t>
  </si>
  <si>
    <t>10015</t>
  </si>
  <si>
    <t>EB Fries</t>
  </si>
  <si>
    <t>--Uitgeverij--10015</t>
  </si>
  <si>
    <t>10016</t>
  </si>
  <si>
    <t>ERK</t>
  </si>
  <si>
    <t>--Uitgeverij--10016</t>
  </si>
  <si>
    <t>10017</t>
  </si>
  <si>
    <t>ESM Dyslexie</t>
  </si>
  <si>
    <t>--Uitgeverij--10017</t>
  </si>
  <si>
    <t>10018</t>
  </si>
  <si>
    <t>ET 6, 2.0 (=nieuw)</t>
  </si>
  <si>
    <t>--Uitgeverij--10018</t>
  </si>
  <si>
    <t>10019</t>
  </si>
  <si>
    <t>Hulpmateriaal rekenen voor kleuters</t>
  </si>
  <si>
    <t>--Uitgeverij--10019</t>
  </si>
  <si>
    <t>10020</t>
  </si>
  <si>
    <t>Observatielijsten motoriek</t>
  </si>
  <si>
    <t>--Uitgeverij--10020</t>
  </si>
  <si>
    <t>10021</t>
  </si>
  <si>
    <t>Rekenen voor kleuters</t>
  </si>
  <si>
    <t>--Uitgeverij--10021</t>
  </si>
  <si>
    <t>10022</t>
  </si>
  <si>
    <t>SO / SBO SP cluster 1</t>
  </si>
  <si>
    <t>--Uitgeverij--10022</t>
  </si>
  <si>
    <t>10023</t>
  </si>
  <si>
    <t>SO / SBO ZML</t>
  </si>
  <si>
    <t>--Uitgeverij--10023</t>
  </si>
  <si>
    <t>10024</t>
  </si>
  <si>
    <t>Taalverzorging</t>
  </si>
  <si>
    <t>--Uitgeverij--10024</t>
  </si>
  <si>
    <t>10025</t>
  </si>
  <si>
    <t>Technisch lezen 2.0</t>
  </si>
  <si>
    <t>--Uitgeverij--10025</t>
  </si>
  <si>
    <t>10026</t>
  </si>
  <si>
    <t>Training &amp; Consultancy PO</t>
  </si>
  <si>
    <t>--Uitgeverij--10026</t>
  </si>
  <si>
    <t>10027</t>
  </si>
  <si>
    <t>Viseon 1.0</t>
  </si>
  <si>
    <t>--Uitgeverij--10027</t>
  </si>
  <si>
    <t>10028</t>
  </si>
  <si>
    <t>Viseon 2.0</t>
  </si>
  <si>
    <t>--Uitgeverij--10028</t>
  </si>
  <si>
    <t>10029</t>
  </si>
  <si>
    <t>Viseon kleuters</t>
  </si>
  <si>
    <t>--Uitgeverij--10029</t>
  </si>
  <si>
    <t>10030</t>
  </si>
  <si>
    <t>Volgsysteem Kleutertoetsen</t>
  </si>
  <si>
    <t>--Uitgeverij--10030</t>
  </si>
  <si>
    <t>10031</t>
  </si>
  <si>
    <t>Volgsysteem PO overig</t>
  </si>
  <si>
    <t>--Uitgeverij--10031</t>
  </si>
  <si>
    <t>10032</t>
  </si>
  <si>
    <t>Volgsysteem VO 2.0</t>
  </si>
  <si>
    <t>--Uitgeverij--10032</t>
  </si>
  <si>
    <t>10033</t>
  </si>
  <si>
    <t>Volgsysteem VVE</t>
  </si>
  <si>
    <t>--Uitgeverij--10033</t>
  </si>
  <si>
    <t>10034</t>
  </si>
  <si>
    <t>VSO arbeid &amp; dagbesteding</t>
  </si>
  <si>
    <t>--Uitgeverij--10034</t>
  </si>
  <si>
    <t>10035</t>
  </si>
  <si>
    <t>Woordenschat 2.0</t>
  </si>
  <si>
    <t>--Uitgeverij--10035</t>
  </si>
  <si>
    <t>ZMBOAOV</t>
  </si>
  <si>
    <t>Tijdproject Zakelijke markt BOA OV</t>
  </si>
  <si>
    <t>--ZM-BOAOV-ZMBOAOV</t>
  </si>
  <si>
    <t>BOAOV</t>
  </si>
  <si>
    <t>30567</t>
  </si>
  <si>
    <t>Kennis BES Eilanden</t>
  </si>
  <si>
    <t>10027734</t>
  </si>
  <si>
    <t>Ministerie van Justitie en Veiligheid</t>
  </si>
  <si>
    <t>Aangemaakt</t>
  </si>
  <si>
    <t>2000214</t>
  </si>
  <si>
    <t>13495</t>
  </si>
  <si>
    <t>AUT-POC</t>
  </si>
  <si>
    <t>TK INBURGE</t>
  </si>
  <si>
    <t>-5310-TOM-OH-30567</t>
  </si>
  <si>
    <t>OH</t>
  </si>
  <si>
    <t>KIBALG</t>
  </si>
  <si>
    <t>Tijdproject Kleuter in beeld</t>
  </si>
  <si>
    <t>15335</t>
  </si>
  <si>
    <t>Britt Thomassen</t>
  </si>
  <si>
    <t>-5110-KIB--KIBALG</t>
  </si>
  <si>
    <t>30560</t>
  </si>
  <si>
    <t>Kleuter in Beeld 2023 (vh 30384)</t>
  </si>
  <si>
    <t>56824</t>
  </si>
  <si>
    <t>InnovatieNul13</t>
  </si>
  <si>
    <t>2000263</t>
  </si>
  <si>
    <t>2666</t>
  </si>
  <si>
    <t>-5110-Uitgeverij-PO-30560</t>
  </si>
  <si>
    <t>PO</t>
  </si>
  <si>
    <t>30460</t>
  </si>
  <si>
    <t>LP18 QuestifyPlayer naar Qti</t>
  </si>
  <si>
    <t>-5310-TOM-Overig-30460</t>
  </si>
  <si>
    <t>Overig</t>
  </si>
  <si>
    <t>20122</t>
  </si>
  <si>
    <t>INVALSI</t>
  </si>
  <si>
    <t>1000058</t>
  </si>
  <si>
    <t>1000045</t>
  </si>
  <si>
    <t>EU-B</t>
  </si>
  <si>
    <t>OKI</t>
  </si>
  <si>
    <t>2668</t>
  </si>
  <si>
    <t>Remco Feskens</t>
  </si>
  <si>
    <t>-3010-OKI-Overig-20122</t>
  </si>
  <si>
    <t>3010</t>
  </si>
  <si>
    <t>20171</t>
  </si>
  <si>
    <t>IVIT Infraprojecten 2024</t>
  </si>
  <si>
    <t>1000002</t>
  </si>
  <si>
    <t>Cito Stichting (intern project)</t>
  </si>
  <si>
    <t>3428</t>
  </si>
  <si>
    <t>Pieta Rozema</t>
  </si>
  <si>
    <t>----20171</t>
  </si>
  <si>
    <t>20171-01</t>
  </si>
  <si>
    <t>nog te bepalen opex</t>
  </si>
  <si>
    <t>----20171\-01</t>
  </si>
  <si>
    <t>20171-02</t>
  </si>
  <si>
    <t>IVIT Infra aanschaf laptops</t>
  </si>
  <si>
    <t>----20171\-02</t>
  </si>
  <si>
    <t>20171-03</t>
  </si>
  <si>
    <t>IVIT Infra vervangen Unity</t>
  </si>
  <si>
    <t>----20171\-03</t>
  </si>
  <si>
    <t>30500</t>
  </si>
  <si>
    <t>PBV08 Modernisering Lamark (naar QTI)</t>
  </si>
  <si>
    <t>3459</t>
  </si>
  <si>
    <t>Noah Ferron</t>
  </si>
  <si>
    <t>-7040-Uitgeverij-Overig-30500</t>
  </si>
  <si>
    <t>7040</t>
  </si>
  <si>
    <t>20238</t>
  </si>
  <si>
    <t>Cyprus - Teacher recruitment Exams NTRS</t>
  </si>
  <si>
    <t>1000102</t>
  </si>
  <si>
    <t>Cyprus Testing Services</t>
  </si>
  <si>
    <t>1000088</t>
  </si>
  <si>
    <t>EU-V</t>
  </si>
  <si>
    <t>CITOLABINT</t>
  </si>
  <si>
    <t>35335</t>
  </si>
  <si>
    <t>-3010---20238</t>
  </si>
  <si>
    <t>20238-01</t>
  </si>
  <si>
    <t>Cyprus - Teacher recruitment Exams NTRS 2026</t>
  </si>
  <si>
    <t>Int</t>
  </si>
  <si>
    <t>-3010---20238\-01</t>
  </si>
  <si>
    <t>30181</t>
  </si>
  <si>
    <t>VO 4e Gen CVVO Vernieuwde rapportage - IVIT</t>
  </si>
  <si>
    <t>2071</t>
  </si>
  <si>
    <t>Zeger van Vreeswijk</t>
  </si>
  <si>
    <t>1445</t>
  </si>
  <si>
    <t>Henriëtte de Groot</t>
  </si>
  <si>
    <t>-5120-Uitgeverij-VO-30181</t>
  </si>
  <si>
    <t>VO</t>
  </si>
  <si>
    <t>30005</t>
  </si>
  <si>
    <t>Ondersteuning volgtoetsen vervolg</t>
  </si>
  <si>
    <t>10021362</t>
  </si>
  <si>
    <t>Expertisecentrum voor Toetsen</t>
  </si>
  <si>
    <t>2000134</t>
  </si>
  <si>
    <t>EX-B</t>
  </si>
  <si>
    <t>TrainCons</t>
  </si>
  <si>
    <t>1497</t>
  </si>
  <si>
    <t>Wil Knappers</t>
  </si>
  <si>
    <t>1308</t>
  </si>
  <si>
    <t>Frans Kleintjes</t>
  </si>
  <si>
    <t>-5220-TA-Int-30005</t>
  </si>
  <si>
    <t>5220</t>
  </si>
  <si>
    <t>TA</t>
  </si>
  <si>
    <t>30302</t>
  </si>
  <si>
    <t>KLT IVIT</t>
  </si>
  <si>
    <t>2718</t>
  </si>
  <si>
    <t>-5130-Uitgeverij-VO-30302</t>
  </si>
  <si>
    <t>5130</t>
  </si>
  <si>
    <t>20120</t>
  </si>
  <si>
    <t>Innovation consultancy IB</t>
  </si>
  <si>
    <t>1000057</t>
  </si>
  <si>
    <t>IB Unites States BU</t>
  </si>
  <si>
    <t>1000044</t>
  </si>
  <si>
    <t>2848</t>
  </si>
  <si>
    <t>Romy Noordhof</t>
  </si>
  <si>
    <t>2377</t>
  </si>
  <si>
    <t>Saskia Wools</t>
  </si>
  <si>
    <t>-3030-OKI-Overig-20120</t>
  </si>
  <si>
    <t>3030</t>
  </si>
  <si>
    <t>30313</t>
  </si>
  <si>
    <t>IT TK 2020</t>
  </si>
  <si>
    <t>16445</t>
  </si>
  <si>
    <t>Kelly van der Vlies</t>
  </si>
  <si>
    <t>2435</t>
  </si>
  <si>
    <t>Jacqueline Visser</t>
  </si>
  <si>
    <t>Activ</t>
  </si>
  <si>
    <t>-5310-TOM-Overig-30313</t>
  </si>
  <si>
    <t>30315</t>
  </si>
  <si>
    <t>LP08 LVS Engels</t>
  </si>
  <si>
    <t>-5110-Uitgeverij-PO-30315</t>
  </si>
  <si>
    <t>18361</t>
  </si>
  <si>
    <t>MS Dynamics 365</t>
  </si>
  <si>
    <t>NL-P</t>
  </si>
  <si>
    <t>FIN PROJ</t>
  </si>
  <si>
    <t>2963</t>
  </si>
  <si>
    <t>Jan Dekker</t>
  </si>
  <si>
    <t>1538</t>
  </si>
  <si>
    <t>Gerda Wijskamp</t>
  </si>
  <si>
    <t>-9410-Intern-Staf-18361</t>
  </si>
  <si>
    <t>9410</t>
  </si>
  <si>
    <t>Intern</t>
  </si>
  <si>
    <t>Staf</t>
  </si>
  <si>
    <t>18329-01</t>
  </si>
  <si>
    <t>Questify 2018 Stichting-SIG</t>
  </si>
  <si>
    <t>18329</t>
  </si>
  <si>
    <t>2355</t>
  </si>
  <si>
    <t>René van der Burgh</t>
  </si>
  <si>
    <t>2994</t>
  </si>
  <si>
    <t>Peter Jan Thierry</t>
  </si>
  <si>
    <t>-9580-Intern-Staf-18329\-01</t>
  </si>
  <si>
    <t>9580</t>
  </si>
  <si>
    <t>18329-02</t>
  </si>
  <si>
    <t>Questify 2018 Stichting-regulier</t>
  </si>
  <si>
    <t>-9580-Intern-Staf-18329\-02</t>
  </si>
  <si>
    <t>18329-03</t>
  </si>
  <si>
    <t>Questify 2018 Stichting-ontvlechting</t>
  </si>
  <si>
    <t>-9580-Intern-Staf-18329\-03</t>
  </si>
  <si>
    <t>18329-04</t>
  </si>
  <si>
    <t>Questify 2018 Stichting-open source</t>
  </si>
  <si>
    <t>-9580-Intern-Staf-18329\-04</t>
  </si>
  <si>
    <t>18372</t>
  </si>
  <si>
    <t>Uren externe medewerkers ST (headfirst)</t>
  </si>
  <si>
    <t>2899</t>
  </si>
  <si>
    <t>Jan Pieter de Boer</t>
  </si>
  <si>
    <t>-9570-Intern-Staf-18372</t>
  </si>
  <si>
    <t>9570</t>
  </si>
  <si>
    <t>18508</t>
  </si>
  <si>
    <t>Stichting Cito Algemeen</t>
  </si>
  <si>
    <t>2298</t>
  </si>
  <si>
    <t>Nancy Hakstege - Willemsen</t>
  </si>
  <si>
    <t>3059</t>
  </si>
  <si>
    <t>Anneke Blok</t>
  </si>
  <si>
    <t>-9100-Intern-Staf-18508</t>
  </si>
  <si>
    <t>9100</t>
  </si>
  <si>
    <t>18508-01</t>
  </si>
  <si>
    <t>Strategische communicatie</t>
  </si>
  <si>
    <t>-9100-Intern-Staf-18508\-01</t>
  </si>
  <si>
    <t>18508-02</t>
  </si>
  <si>
    <t>HRM</t>
  </si>
  <si>
    <t>-9100-Intern-Staf-18508\-02</t>
  </si>
  <si>
    <t>18508-03</t>
  </si>
  <si>
    <t>-9100-Intern-Staf-18508\-03</t>
  </si>
  <si>
    <t>20025</t>
  </si>
  <si>
    <t>-9100-Intern-Staf-20025</t>
  </si>
  <si>
    <t>20025-01</t>
  </si>
  <si>
    <t>Marketing ondersteuning</t>
  </si>
  <si>
    <t>-9100-Intern-Staf-20025\-01</t>
  </si>
  <si>
    <t>20025-02</t>
  </si>
  <si>
    <t>-9100-Intern-Staf-20025\-02</t>
  </si>
  <si>
    <t>20044</t>
  </si>
  <si>
    <t>NL-V</t>
  </si>
  <si>
    <t>-9100-Intern-Staf-20044</t>
  </si>
  <si>
    <t>20044-01</t>
  </si>
  <si>
    <t>-9100-Intern-Staf-20044\-01</t>
  </si>
  <si>
    <t>18486</t>
  </si>
  <si>
    <t>Jubileum Cito 50 jaar</t>
  </si>
  <si>
    <t>3104</t>
  </si>
  <si>
    <t>Corine Theuns</t>
  </si>
  <si>
    <t>-9100-Intern-Staf-18486</t>
  </si>
  <si>
    <t>20022</t>
  </si>
  <si>
    <t>-9100-Intern-Staf-20022</t>
  </si>
  <si>
    <t>30325</t>
  </si>
  <si>
    <t>Correctie voor overlopende kosten 2019</t>
  </si>
  <si>
    <t>2084</t>
  </si>
  <si>
    <t>Janny Harmsen - van Rijkom</t>
  </si>
  <si>
    <t>3369</t>
  </si>
  <si>
    <t>Daniëlle Roelofsma</t>
  </si>
  <si>
    <t>17055</t>
  </si>
  <si>
    <t>Maarten van de Veen</t>
  </si>
  <si>
    <t>-7020-Overige-Overig-30325</t>
  </si>
  <si>
    <t>7020</t>
  </si>
  <si>
    <t>Overige</t>
  </si>
  <si>
    <t>30378</t>
  </si>
  <si>
    <t>Marketing Intelligence en automation</t>
  </si>
  <si>
    <t>2000002</t>
  </si>
  <si>
    <t>Cito BV (intern project)</t>
  </si>
  <si>
    <t>2000129</t>
  </si>
  <si>
    <t>4205</t>
  </si>
  <si>
    <t>Serge Hoek</t>
  </si>
  <si>
    <t>-5610-Overige-Overig-30378</t>
  </si>
  <si>
    <t>5610</t>
  </si>
  <si>
    <t>30378-0001</t>
  </si>
  <si>
    <t>Marketing Intelligence en automation 2021</t>
  </si>
  <si>
    <t>-5610-Overige-Overig-30378\-0001</t>
  </si>
  <si>
    <t>30380</t>
  </si>
  <si>
    <t>Marketing &amp; Communicatie</t>
  </si>
  <si>
    <t>-5610-Overige-Overig-30380</t>
  </si>
  <si>
    <t>30380-0001</t>
  </si>
  <si>
    <t>Marketing &amp; Communicatie 2021</t>
  </si>
  <si>
    <t>-5610-Overige-Overig-30380\-0001</t>
  </si>
  <si>
    <t>30379</t>
  </si>
  <si>
    <t>Klantbeheer en CRM</t>
  </si>
  <si>
    <t>-5610-Overige-Overig-30379</t>
  </si>
  <si>
    <t>30379-0001</t>
  </si>
  <si>
    <t>Klantbeheer en CRM 2021</t>
  </si>
  <si>
    <t>-5610-Overige-Overig-30379\-0001</t>
  </si>
  <si>
    <t>30377-0001</t>
  </si>
  <si>
    <t>Webshop 2021</t>
  </si>
  <si>
    <t>30377</t>
  </si>
  <si>
    <t>-5610-Overige-Overig-30377\-0001</t>
  </si>
  <si>
    <t>30368</t>
  </si>
  <si>
    <t>T&amp;A Marketing</t>
  </si>
  <si>
    <t>DNDT</t>
  </si>
  <si>
    <t>3088</t>
  </si>
  <si>
    <t>Hedy Becks</t>
  </si>
  <si>
    <t>-5210-TA-Overig-30368</t>
  </si>
  <si>
    <t>5210</t>
  </si>
  <si>
    <t>30368-0001</t>
  </si>
  <si>
    <t>T&amp;A Marketing 2021</t>
  </si>
  <si>
    <t>-5210-TA-Overig-30368\-0001</t>
  </si>
  <si>
    <t>30374</t>
  </si>
  <si>
    <t>Marketing Toetsketens</t>
  </si>
  <si>
    <t>-5320-TOM-Overig-30374</t>
  </si>
  <si>
    <t>5320</t>
  </si>
  <si>
    <t>30374-0001</t>
  </si>
  <si>
    <t>Marketing Toetsketens 2021</t>
  </si>
  <si>
    <t>-5320-TOM-Overig-30374\-0001</t>
  </si>
  <si>
    <t>30381</t>
  </si>
  <si>
    <t>CBR afnamesysteem iTEC</t>
  </si>
  <si>
    <t>10024788</t>
  </si>
  <si>
    <t>CBR Afd. Crediteurenadministratie</t>
  </si>
  <si>
    <t>2000176</t>
  </si>
  <si>
    <t>2131</t>
  </si>
  <si>
    <t>2950</t>
  </si>
  <si>
    <t>-5320-TOM-TTV-30381</t>
  </si>
  <si>
    <t>TTV</t>
  </si>
  <si>
    <t>30381-0001</t>
  </si>
  <si>
    <t>CBR afnamesysteem iTEC 2021</t>
  </si>
  <si>
    <t>-5320-TOM-TTV-30381\-0001</t>
  </si>
  <si>
    <t>30316</t>
  </si>
  <si>
    <t>Volgtoetsen taal in Caribisch Nederland</t>
  </si>
  <si>
    <t>10021487</t>
  </si>
  <si>
    <t>Ministerie van OCW</t>
  </si>
  <si>
    <t>2000014</t>
  </si>
  <si>
    <t>-5310-TOM-Overig-30316</t>
  </si>
  <si>
    <t>30404</t>
  </si>
  <si>
    <t>Verwerking antwoordbladen</t>
  </si>
  <si>
    <t>ExCert</t>
  </si>
  <si>
    <t>-5320-TOM-Overig-30404</t>
  </si>
  <si>
    <t>30404-0001</t>
  </si>
  <si>
    <t>Verwerking antwoordbladen 2021</t>
  </si>
  <si>
    <t>-5320-TOM-Overig-30404\-0001</t>
  </si>
  <si>
    <t>30373</t>
  </si>
  <si>
    <t>Toetsketens te verwerven</t>
  </si>
  <si>
    <t>-5310-TOM-OH-30373</t>
  </si>
  <si>
    <t>30373-0001</t>
  </si>
  <si>
    <t>Toetsketens te verwerven 2021</t>
  </si>
  <si>
    <t>-5310-TOM-OH-30373\-0001</t>
  </si>
  <si>
    <t>30403</t>
  </si>
  <si>
    <t>Toets verpleegkundig rekenen</t>
  </si>
  <si>
    <t>-5320-TOM-ZORG-30403</t>
  </si>
  <si>
    <t>ZORG</t>
  </si>
  <si>
    <t>30403-0001</t>
  </si>
  <si>
    <t>Toets verpleegkundig rekenen 2021</t>
  </si>
  <si>
    <t>-5320-TOM-ZORG-30403\-0001</t>
  </si>
  <si>
    <t>30408</t>
  </si>
  <si>
    <t>Alfatoetsen</t>
  </si>
  <si>
    <t>10021576</t>
  </si>
  <si>
    <t>DriveTech International</t>
  </si>
  <si>
    <t>2000001</t>
  </si>
  <si>
    <t>-5310-TOM-OH-30408</t>
  </si>
  <si>
    <t>30408-0001</t>
  </si>
  <si>
    <t>Alfatoetsen 2021</t>
  </si>
  <si>
    <t>-5310-TOM-OH-30408\-0001</t>
  </si>
  <si>
    <t>30369</t>
  </si>
  <si>
    <t>Planningstool Viper</t>
  </si>
  <si>
    <t>-5320-TOM-FZD-30369</t>
  </si>
  <si>
    <t>FZD</t>
  </si>
  <si>
    <t>30369-0001</t>
  </si>
  <si>
    <t>Planningstool Viper 2021</t>
  </si>
  <si>
    <t>-5320-TOM-FZD-30369\-0001</t>
  </si>
  <si>
    <t>30394</t>
  </si>
  <si>
    <t>Consultancy B&amp;B</t>
  </si>
  <si>
    <t>-5320-TOM-FZD-30394</t>
  </si>
  <si>
    <t>30394-0001</t>
  </si>
  <si>
    <t>Consultancy B&amp;B 2021</t>
  </si>
  <si>
    <t>-5320-TOM-FZD-30394\-0001</t>
  </si>
  <si>
    <t>30431</t>
  </si>
  <si>
    <t>Peilingen te verwerven</t>
  </si>
  <si>
    <t>-5310-TOM-OH-30431</t>
  </si>
  <si>
    <t>30431-0001</t>
  </si>
  <si>
    <t>Peilingen te verwerven 2021</t>
  </si>
  <si>
    <t>-5310-TOM-OH-30431\-0001</t>
  </si>
  <si>
    <t>30399</t>
  </si>
  <si>
    <t>10029714</t>
  </si>
  <si>
    <t>Nederlandse Vereniging van Hypothecair Planners</t>
  </si>
  <si>
    <t>2000044</t>
  </si>
  <si>
    <t>31935</t>
  </si>
  <si>
    <t>-5320-TOM-FZD-30399</t>
  </si>
  <si>
    <t>30399-0001</t>
  </si>
  <si>
    <t>NVHP 2021</t>
  </si>
  <si>
    <t>-5320-TOM-FZD-30399\-0001</t>
  </si>
  <si>
    <t>30398</t>
  </si>
  <si>
    <t>Bodemenergie examens</t>
  </si>
  <si>
    <t>10025508</t>
  </si>
  <si>
    <t>Branchevereniging Bodemenergie</t>
  </si>
  <si>
    <t>2000015</t>
  </si>
  <si>
    <t>-5320-TOM-TTV-30398</t>
  </si>
  <si>
    <t>30398-0001</t>
  </si>
  <si>
    <t>Bodemenergie examens 2021</t>
  </si>
  <si>
    <t>-5320-TOM-TTV-30398\-0001</t>
  </si>
  <si>
    <t>30410</t>
  </si>
  <si>
    <t>Examenlogistiek BAL en BAST</t>
  </si>
  <si>
    <t>-5320-TOM-TTV-30410</t>
  </si>
  <si>
    <t>30410-0001</t>
  </si>
  <si>
    <t>Examenlogistiek BAL en BAST 2021</t>
  </si>
  <si>
    <t>-5320-TOM-TTV-30410\-0001</t>
  </si>
  <si>
    <t>30348</t>
  </si>
  <si>
    <t>2020-2021 Verlenging Inburgering Beheer</t>
  </si>
  <si>
    <t>10025363</t>
  </si>
  <si>
    <t>Ministerie van Sociale Zaken en Werkgelegenheid</t>
  </si>
  <si>
    <t>2000133</t>
  </si>
  <si>
    <t>2746</t>
  </si>
  <si>
    <t>Margot Mol - Hennion</t>
  </si>
  <si>
    <t>-5310-TOM-OH-30348</t>
  </si>
  <si>
    <t>30395</t>
  </si>
  <si>
    <t>TCAI examens</t>
  </si>
  <si>
    <t>10024990</t>
  </si>
  <si>
    <t>SECT St. Examinering Certificering Telecom, p/a Uneto-VNI</t>
  </si>
  <si>
    <t>2000193</t>
  </si>
  <si>
    <t>2517</t>
  </si>
  <si>
    <t>Merlijn van Issum</t>
  </si>
  <si>
    <t>-5320-TOM-TTV-30395</t>
  </si>
  <si>
    <t>30395-0001</t>
  </si>
  <si>
    <t>TCAI examens 2021</t>
  </si>
  <si>
    <t>-5320-TOM-TTV-30395\-0001</t>
  </si>
  <si>
    <t>30442</t>
  </si>
  <si>
    <t>Examen SECT Vodafone</t>
  </si>
  <si>
    <t>-5320-TOM-TTV-30442</t>
  </si>
  <si>
    <t>30442-0001</t>
  </si>
  <si>
    <t>Examen SECT Vodafone 2021</t>
  </si>
  <si>
    <t>-5320-TOM-TTV-30442\-0001</t>
  </si>
  <si>
    <t>30457</t>
  </si>
  <si>
    <t>ISSO Examens meerwerk</t>
  </si>
  <si>
    <t>-5320-TOM-TTV-30457</t>
  </si>
  <si>
    <t>30457-0001</t>
  </si>
  <si>
    <t>ISSO Examens meerwerk 2021</t>
  </si>
  <si>
    <t>-5320-TOM-TTV-30457\-0001</t>
  </si>
  <si>
    <t>30460-0001</t>
  </si>
  <si>
    <t>LP18 QuestifyPlayer naar Qti 2021</t>
  </si>
  <si>
    <t>-5310-TOM-Overig-30460\-0001</t>
  </si>
  <si>
    <t>30444</t>
  </si>
  <si>
    <t>MatchQ</t>
  </si>
  <si>
    <t>10044742</t>
  </si>
  <si>
    <t>2000224</t>
  </si>
  <si>
    <t>-5310-TOM-FZD-30444</t>
  </si>
  <si>
    <t>30444-0001</t>
  </si>
  <si>
    <t>MatchQ 2021</t>
  </si>
  <si>
    <t>-5310-TOM-FZD-30444\-0001</t>
  </si>
  <si>
    <t>30349-0002</t>
  </si>
  <si>
    <t>2021 Verlenging Inburgering Training beoordelaars</t>
  </si>
  <si>
    <t>30349</t>
  </si>
  <si>
    <t>-5310-TOM-OH-30349\-0002</t>
  </si>
  <si>
    <t>30348-0002</t>
  </si>
  <si>
    <t>2021 Verlenging Inburgering Beheer</t>
  </si>
  <si>
    <t>-5310-TOM-OH-30348\-0002</t>
  </si>
  <si>
    <t>2020-2021 Verlenging Inburgering Training beoordelaars</t>
  </si>
  <si>
    <t>-5310-TOM-OH-30349</t>
  </si>
  <si>
    <t>30386</t>
  </si>
  <si>
    <t>KLT Nederlands</t>
  </si>
  <si>
    <t>2544</t>
  </si>
  <si>
    <t>Maartje Hilte</t>
  </si>
  <si>
    <t>-5130-Uitgeverij-VO-30386</t>
  </si>
  <si>
    <t>30386-0001</t>
  </si>
  <si>
    <t>KLT Nederlands 2021</t>
  </si>
  <si>
    <t>-5130-Uitgeverij-VO-30386\-0001</t>
  </si>
  <si>
    <t>30387</t>
  </si>
  <si>
    <t>KLT Frans</t>
  </si>
  <si>
    <t>-5130-Uitgeverij-VO-30387</t>
  </si>
  <si>
    <t>30387-0001</t>
  </si>
  <si>
    <t>KLT Frans 2021</t>
  </si>
  <si>
    <t>-5130-Uitgeverij-VO-30387\-0001</t>
  </si>
  <si>
    <t>30389</t>
  </si>
  <si>
    <t>KLT Duits</t>
  </si>
  <si>
    <t>-5130-Uitgeverij-VO-30389</t>
  </si>
  <si>
    <t>30389-0001</t>
  </si>
  <si>
    <t>KLT Duits 2021</t>
  </si>
  <si>
    <t>-5130-Uitgeverij-VO-30389\-0001</t>
  </si>
  <si>
    <t>30390</t>
  </si>
  <si>
    <t>KLT Engels</t>
  </si>
  <si>
    <t>-5130-Uitgeverij-VO-30390</t>
  </si>
  <si>
    <t>30390-0001</t>
  </si>
  <si>
    <t>KLT Engels 2021</t>
  </si>
  <si>
    <t>-5130-Uitgeverij-VO-30390\-0001</t>
  </si>
  <si>
    <t>30461</t>
  </si>
  <si>
    <t>PP34 Aanpassing CPLOVS</t>
  </si>
  <si>
    <t>-5110-Uitgeverij-Overig-30461</t>
  </si>
  <si>
    <t>30461-0001</t>
  </si>
  <si>
    <t>PP34 Aanpassing CPLOVS 2021</t>
  </si>
  <si>
    <t>-5110-Uitgeverij-Overig-30461\-0001</t>
  </si>
  <si>
    <t>30429</t>
  </si>
  <si>
    <t>LIB Brede kindbeeld</t>
  </si>
  <si>
    <t>-5110-Uitgeverij-PO-30429</t>
  </si>
  <si>
    <t>30429-0001</t>
  </si>
  <si>
    <t>LIB Brede kindbeeld 2021</t>
  </si>
  <si>
    <t>-5110-Uitgeverij-PO-30429\-0001</t>
  </si>
  <si>
    <t>30383</t>
  </si>
  <si>
    <t>Groeimeter</t>
  </si>
  <si>
    <t>-5110-Uitgeverij-PO-30383</t>
  </si>
  <si>
    <t>30383-0001</t>
  </si>
  <si>
    <t>Groeimeter 2021</t>
  </si>
  <si>
    <t>-5110-Uitgeverij-PO-30383\-0001</t>
  </si>
  <si>
    <t>30384</t>
  </si>
  <si>
    <t>Kleuter in beeld</t>
  </si>
  <si>
    <t>-5110-Uitgeverij-PO-30384</t>
  </si>
  <si>
    <t>30384-0001</t>
  </si>
  <si>
    <t>Kleuter in beeld 2021</t>
  </si>
  <si>
    <t>-5110-Uitgeverij-PO-30384\-0001</t>
  </si>
  <si>
    <t>30388</t>
  </si>
  <si>
    <t>LVS Exploitatie</t>
  </si>
  <si>
    <t>-5110-Uitgeverij-PO-30388</t>
  </si>
  <si>
    <t>30388-0001</t>
  </si>
  <si>
    <t>LVS Exploitatie 2021</t>
  </si>
  <si>
    <t>-5110-Uitgeverij-PO-30388\-0001</t>
  </si>
  <si>
    <t>30425</t>
  </si>
  <si>
    <t>LIB Digitale geletterdheid</t>
  </si>
  <si>
    <t>-5110-Uitgeverij-PO-30425</t>
  </si>
  <si>
    <t>30425-0001</t>
  </si>
  <si>
    <t>LIB Digitale geletterdheid 2021</t>
  </si>
  <si>
    <t>-5110-Uitgeverij-PO-30425\-0001</t>
  </si>
  <si>
    <t>30426</t>
  </si>
  <si>
    <t>LIB Begrijpend lezen</t>
  </si>
  <si>
    <t>2806</t>
  </si>
  <si>
    <t>Inge Leijser</t>
  </si>
  <si>
    <t>-5110-Uitgeverij-PO-30426</t>
  </si>
  <si>
    <t>30426-0001</t>
  </si>
  <si>
    <t>LIB Begrijpend lezen 2021</t>
  </si>
  <si>
    <t>-5110-Uitgeverij-PO-30426\-0001</t>
  </si>
  <si>
    <t>30428</t>
  </si>
  <si>
    <t>LIB algemeen</t>
  </si>
  <si>
    <t>-5110-Uitgeverij-PO-30428</t>
  </si>
  <si>
    <t>30428-0001</t>
  </si>
  <si>
    <t>Leerling in beeld algemeen 2021</t>
  </si>
  <si>
    <t>-5110-Uitgeverij-PO-30428\-0001</t>
  </si>
  <si>
    <t>30422</t>
  </si>
  <si>
    <t>LIB Taalverzorging</t>
  </si>
  <si>
    <t>-5110-Uitgeverij-PO-30422</t>
  </si>
  <si>
    <t>30422-0001</t>
  </si>
  <si>
    <t>LIB Taalverzorging 2021</t>
  </si>
  <si>
    <t>-5110-Uitgeverij-PO-30422\-0001</t>
  </si>
  <si>
    <t>30423</t>
  </si>
  <si>
    <t>LIB Rekenen-Wiskunde</t>
  </si>
  <si>
    <t>-5110-Uitgeverij-PO-30423</t>
  </si>
  <si>
    <t>30423-0001</t>
  </si>
  <si>
    <t>LIB Rekenen-Wiskunde 2021</t>
  </si>
  <si>
    <t>-5110-Uitgeverij-PO-30423\-0001</t>
  </si>
  <si>
    <t>30391</t>
  </si>
  <si>
    <t>AVI-CILT Leesplein</t>
  </si>
  <si>
    <t>-5110-Uitgeverij-PO-30391</t>
  </si>
  <si>
    <t>30391-0001</t>
  </si>
  <si>
    <t>AVI-CILT Leesplein 2021</t>
  </si>
  <si>
    <t>-5110-Uitgeverij-PO-30391\-0001</t>
  </si>
  <si>
    <t>30424</t>
  </si>
  <si>
    <t>Entreetoets</t>
  </si>
  <si>
    <t>-5110-Uitgeverij-PO-30424</t>
  </si>
  <si>
    <t>30424-0001</t>
  </si>
  <si>
    <t>Entreetoets 2021</t>
  </si>
  <si>
    <t>-5110-Uitgeverij-PO-30424\-0001</t>
  </si>
  <si>
    <t>30454</t>
  </si>
  <si>
    <t>CVVO ICT</t>
  </si>
  <si>
    <t>-5120-Uitgeverij-VO-30454</t>
  </si>
  <si>
    <t>30454-0001</t>
  </si>
  <si>
    <t>CVVO ICT 2021</t>
  </si>
  <si>
    <t>-5120-Uitgeverij-VO-30454\-0001</t>
  </si>
  <si>
    <t>30084-0003</t>
  </si>
  <si>
    <t>Culturele Bias in Toelatingstoetsen</t>
  </si>
  <si>
    <t>30084</t>
  </si>
  <si>
    <t>10021477</t>
  </si>
  <si>
    <t>Vereniging Hogescholen</t>
  </si>
  <si>
    <t>2000091</t>
  </si>
  <si>
    <t>2580</t>
  </si>
  <si>
    <t>Silvia Matijssen</t>
  </si>
  <si>
    <t>-5310-TOM-HO-30084\-0003</t>
  </si>
  <si>
    <t>HO</t>
  </si>
  <si>
    <t>30084-0004</t>
  </si>
  <si>
    <t>Toelatingstoetsen Mens en Wereld 2021</t>
  </si>
  <si>
    <t>-5310-TOM-HO-30084\-0004</t>
  </si>
  <si>
    <t>30084-0005</t>
  </si>
  <si>
    <t>Culturele Bias in Toelatingstoetsen 2021</t>
  </si>
  <si>
    <t>-5310-TOM-HO-30084\-0005</t>
  </si>
  <si>
    <t>30079-0003</t>
  </si>
  <si>
    <t>Exploitatie Wiscat 2021</t>
  </si>
  <si>
    <t>30079</t>
  </si>
  <si>
    <t>10021546</t>
  </si>
  <si>
    <t>Ministerie van Onderwijs, Cultuur en Wetenschap</t>
  </si>
  <si>
    <t>24255</t>
  </si>
  <si>
    <t>-5310-TOM-HO-30079\-0003</t>
  </si>
  <si>
    <t>30119-0003</t>
  </si>
  <si>
    <t>Peiling Rekenen-Wiskunde 2021</t>
  </si>
  <si>
    <t>30119</t>
  </si>
  <si>
    <t>49724</t>
  </si>
  <si>
    <t>Kohnstamm Instituut</t>
  </si>
  <si>
    <t>2000185</t>
  </si>
  <si>
    <t>2742</t>
  </si>
  <si>
    <t>Lieke Walet</t>
  </si>
  <si>
    <t>-5310-TOM-Overig-30119\-0003</t>
  </si>
  <si>
    <t>30230</t>
  </si>
  <si>
    <t>Logistieke EPA 2020</t>
  </si>
  <si>
    <t>10021538</t>
  </si>
  <si>
    <t>ISSO, Kennisinstituut voor Installatiesector</t>
  </si>
  <si>
    <t>2000016</t>
  </si>
  <si>
    <t>-5320-TOM-TTV-30230</t>
  </si>
  <si>
    <t>30231</t>
  </si>
  <si>
    <t>Logistieke ISSO 2020</t>
  </si>
  <si>
    <t>-5320-TOM-TTV-30231</t>
  </si>
  <si>
    <t>30397</t>
  </si>
  <si>
    <t>EPA examens</t>
  </si>
  <si>
    <t>-5320-TOM-TTV-30397</t>
  </si>
  <si>
    <t>30372</t>
  </si>
  <si>
    <t>Peiling leesvaardigheid</t>
  </si>
  <si>
    <t>10021695</t>
  </si>
  <si>
    <t>Expertisecentrum Nederlands</t>
  </si>
  <si>
    <t>2000207</t>
  </si>
  <si>
    <t>-5310-TOM-OH-30372</t>
  </si>
  <si>
    <t>30397-0001</t>
  </si>
  <si>
    <t>EPA examens 2021</t>
  </si>
  <si>
    <t>25025</t>
  </si>
  <si>
    <t>Cindy Lufting - Leenders</t>
  </si>
  <si>
    <t>-5320-TOM-TTV-30397\-0001</t>
  </si>
  <si>
    <t>30270</t>
  </si>
  <si>
    <t>peiling leesvaardigheid</t>
  </si>
  <si>
    <t>-5310-TOM-OH-30270</t>
  </si>
  <si>
    <t>30323</t>
  </si>
  <si>
    <t>Ankeritems Peilingsonderzoek Mens en Maatschappij</t>
  </si>
  <si>
    <t>46881</t>
  </si>
  <si>
    <t>Inspectie van het Onderwijs</t>
  </si>
  <si>
    <t>2000128</t>
  </si>
  <si>
    <t>-5310-TOM-Overig-30323</t>
  </si>
  <si>
    <t>30357</t>
  </si>
  <si>
    <t>Peiling Mens &amp; Maatschappij</t>
  </si>
  <si>
    <t>58532</t>
  </si>
  <si>
    <t>Universiteit van Amsterdam</t>
  </si>
  <si>
    <t>2000219</t>
  </si>
  <si>
    <t>-5310-TOM-HO-30357</t>
  </si>
  <si>
    <t>30357-0001</t>
  </si>
  <si>
    <t>Peiling Mens &amp; Maatschappij 2020</t>
  </si>
  <si>
    <t>-5310-TOM-HO-30357\-0001</t>
  </si>
  <si>
    <t>30188-0002</t>
  </si>
  <si>
    <t>Meerwerk inburgering 2020</t>
  </si>
  <si>
    <t>30188</t>
  </si>
  <si>
    <t>2820</t>
  </si>
  <si>
    <t>Alieke Vreeman</t>
  </si>
  <si>
    <t>-5310-TOM-OH-30188\-0002</t>
  </si>
  <si>
    <t>30124</t>
  </si>
  <si>
    <t>Inburgering ontwikkeling 2019-2020</t>
  </si>
  <si>
    <t>-5310-TOM-OH-30124</t>
  </si>
  <si>
    <t>30127</t>
  </si>
  <si>
    <t>Inburgering beheer 2019-2020</t>
  </si>
  <si>
    <t>-5310-TOM-OH-30127</t>
  </si>
  <si>
    <t>30128-0002</t>
  </si>
  <si>
    <t>Inburgering training 2020</t>
  </si>
  <si>
    <t>30128</t>
  </si>
  <si>
    <t>-5310-TOM-OH-30128\-0002</t>
  </si>
  <si>
    <t>30129</t>
  </si>
  <si>
    <t>Inburgering communicatie 2019-2020</t>
  </si>
  <si>
    <t>-5310-TOM-OH-30129</t>
  </si>
  <si>
    <t>30127-0002</t>
  </si>
  <si>
    <t>Inburgering beheer 2020</t>
  </si>
  <si>
    <t>-5310-TOM-OH-30127\-0002</t>
  </si>
  <si>
    <t>30324</t>
  </si>
  <si>
    <t>ETE Ondersteuning SBO-AKB 2020</t>
  </si>
  <si>
    <t>2866</t>
  </si>
  <si>
    <t>Erik Degen</t>
  </si>
  <si>
    <t>-5220-TA-Int-30324</t>
  </si>
  <si>
    <t>30326</t>
  </si>
  <si>
    <t>Kazachstan Integrated Sciences Assessment 2020</t>
  </si>
  <si>
    <t>10025051</t>
  </si>
  <si>
    <t>Nazarbayev Intellectual Schools</t>
  </si>
  <si>
    <t>2000043</t>
  </si>
  <si>
    <t>1477</t>
  </si>
  <si>
    <t>Nico Dieteren</t>
  </si>
  <si>
    <t>-5220-TA-Int-30326</t>
  </si>
  <si>
    <t>30321</t>
  </si>
  <si>
    <t>BP16 Tijdelijke work around licenties KIB, GM en CPonline</t>
  </si>
  <si>
    <t>-5110-Uitgeverij-PO-30321</t>
  </si>
  <si>
    <t>30317</t>
  </si>
  <si>
    <t>LP12 CVVO 2e deel</t>
  </si>
  <si>
    <t>-5120-Uitgeverij-VO-30317</t>
  </si>
  <si>
    <t>30396-0001</t>
  </si>
  <si>
    <t>ISSO examens 2021</t>
  </si>
  <si>
    <t>30396</t>
  </si>
  <si>
    <t>-5320-TOM-TTV-30396\-0001</t>
  </si>
  <si>
    <t>30412</t>
  </si>
  <si>
    <t>Boa OV</t>
  </si>
  <si>
    <t>-5320-TOM-TTV-30412</t>
  </si>
  <si>
    <t>30412-0001</t>
  </si>
  <si>
    <t>Boa OV 2021</t>
  </si>
  <si>
    <t>-5320-TOM-TTV-30412\-0001</t>
  </si>
  <si>
    <t>ISSO examens</t>
  </si>
  <si>
    <t>-5320-TOM-TTV-30396</t>
  </si>
  <si>
    <t>30411</t>
  </si>
  <si>
    <t>Certificering PE Lassers</t>
  </si>
  <si>
    <t>-5320-TOM-TTV-30411</t>
  </si>
  <si>
    <t>30411-0001</t>
  </si>
  <si>
    <t>Certificering PE Lassers 2021</t>
  </si>
  <si>
    <t>-5320-TOM-TTV-30411\-0001</t>
  </si>
  <si>
    <t>30251</t>
  </si>
  <si>
    <t>2532</t>
  </si>
  <si>
    <t>Judith Janssen</t>
  </si>
  <si>
    <t>-5320-TOM-TTV-30251</t>
  </si>
  <si>
    <t>30277</t>
  </si>
  <si>
    <t>Royal Haskoning 2020 (DHV)</t>
  </si>
  <si>
    <t>10023665</t>
  </si>
  <si>
    <t>Haskoning DHV Nederland BV</t>
  </si>
  <si>
    <t>2000131</t>
  </si>
  <si>
    <t>-5320-TOM-TTV-30277</t>
  </si>
  <si>
    <t>30233</t>
  </si>
  <si>
    <t>Consultancy B en B</t>
  </si>
  <si>
    <t>-5320-TOM-FZD-30233</t>
  </si>
  <si>
    <t>30234</t>
  </si>
  <si>
    <t>Trainingen B en B</t>
  </si>
  <si>
    <t>-5320-TOM-FZD-30234</t>
  </si>
  <si>
    <t>30216</t>
  </si>
  <si>
    <t>alfatoetsen</t>
  </si>
  <si>
    <t>-5310-TOM-OH-30216</t>
  </si>
  <si>
    <t>30262</t>
  </si>
  <si>
    <t>-5310-TOM-OH-30262</t>
  </si>
  <si>
    <t>30263</t>
  </si>
  <si>
    <t>-5310-TOM-OH-30263</t>
  </si>
  <si>
    <t>30266</t>
  </si>
  <si>
    <t>Ontwikkelkosten producten toetsketens</t>
  </si>
  <si>
    <t>-5310-TOM-OH-30266</t>
  </si>
  <si>
    <t>30220</t>
  </si>
  <si>
    <t>Onderhoud examen Telecom cai 2020</t>
  </si>
  <si>
    <t>-5320-TOM-TTV-30220</t>
  </si>
  <si>
    <t>30229</t>
  </si>
  <si>
    <t>Logistieke Bodemenergie 2020</t>
  </si>
  <si>
    <t>-5320-TOM-TTV-30229</t>
  </si>
  <si>
    <t>30227</t>
  </si>
  <si>
    <t>FFP</t>
  </si>
  <si>
    <t>10028916</t>
  </si>
  <si>
    <t>Stichting Certificering FFP</t>
  </si>
  <si>
    <t>2000047</t>
  </si>
  <si>
    <t>2429</t>
  </si>
  <si>
    <t>Alex Stolwijk</t>
  </si>
  <si>
    <t>-5320-TOM-FZD-30227</t>
  </si>
  <si>
    <t>Inburgering training 2019-2020</t>
  </si>
  <si>
    <t>-5310-TOM-OH-30128</t>
  </si>
  <si>
    <t>Meerwerk inburgering 2019-2020</t>
  </si>
  <si>
    <t>-5310-TOM-OH-30188</t>
  </si>
  <si>
    <t>30294</t>
  </si>
  <si>
    <t>Naturalisatie</t>
  </si>
  <si>
    <t>-5310-TOM-OH-30294</t>
  </si>
  <si>
    <t>30348-0001</t>
  </si>
  <si>
    <t>2020  Verlenging Inburgering Beheer</t>
  </si>
  <si>
    <t>-5310-TOM-OH-30348\-0001</t>
  </si>
  <si>
    <t>30349-0001</t>
  </si>
  <si>
    <t>2020 Verlenging Inburgering Training beoordelaars</t>
  </si>
  <si>
    <t>-5310-TOM-OH-30349\-0001</t>
  </si>
  <si>
    <t>30332</t>
  </si>
  <si>
    <t>Taalexamens MBO</t>
  </si>
  <si>
    <t>8915</t>
  </si>
  <si>
    <t>Melchior de Vries</t>
  </si>
  <si>
    <t>-5310-TOM-MBO-30332</t>
  </si>
  <si>
    <t>MBO</t>
  </si>
  <si>
    <t>30430</t>
  </si>
  <si>
    <t>AVI Cilt Leesplein buitenland</t>
  </si>
  <si>
    <t>-5110-Uitgeverij-PO-30430</t>
  </si>
  <si>
    <t>30430-0001</t>
  </si>
  <si>
    <t>AVI Cilt Leesplein buitenland 2021</t>
  </si>
  <si>
    <t>-5110-Uitgeverij-PO-30430\-0001</t>
  </si>
  <si>
    <t>30430-0003</t>
  </si>
  <si>
    <t>AVI Cilt Leesplein buitenland 2023</t>
  </si>
  <si>
    <t>HAND-POC</t>
  </si>
  <si>
    <t>UITG overi</t>
  </si>
  <si>
    <t>-5110-Uitgeverij-PO-30430\-0003</t>
  </si>
  <si>
    <t>30366</t>
  </si>
  <si>
    <t>Ambities VO</t>
  </si>
  <si>
    <t>-5120-Uitgeverij-VO-30366</t>
  </si>
  <si>
    <t>30366-0001</t>
  </si>
  <si>
    <t>Ambities VO 2021</t>
  </si>
  <si>
    <t>-5120-Uitgeverij-VO-30366\-0001</t>
  </si>
  <si>
    <t>30392</t>
  </si>
  <si>
    <t>CVVO exploitatie</t>
  </si>
  <si>
    <t>-5120-Uitgeverij-VO-30392</t>
  </si>
  <si>
    <t>30392-0001</t>
  </si>
  <si>
    <t>CVVO exploitatie 2021</t>
  </si>
  <si>
    <t>-5120-Uitgeverij-VO-30392\-0001</t>
  </si>
  <si>
    <t>30382</t>
  </si>
  <si>
    <t>KLT Algemeen</t>
  </si>
  <si>
    <t>-5130-Uitgeverij-VO-30382</t>
  </si>
  <si>
    <t>30382-0001</t>
  </si>
  <si>
    <t>KLT Algemeen 2021</t>
  </si>
  <si>
    <t>-5130-Uitgeverij-VO-30382\-0001</t>
  </si>
  <si>
    <t>30385</t>
  </si>
  <si>
    <t>KLT Spaans</t>
  </si>
  <si>
    <t>-5130-Uitgeverij-VO-30385</t>
  </si>
  <si>
    <t>30385-0001</t>
  </si>
  <si>
    <t>KLT Spaans 2021</t>
  </si>
  <si>
    <t>-5130-Uitgeverij-VO-30385\-0001</t>
  </si>
  <si>
    <t>30458</t>
  </si>
  <si>
    <t>Beheer en Onderhoud</t>
  </si>
  <si>
    <t>-7020-Uitgeverij-Overig-30458</t>
  </si>
  <si>
    <t>30458-0001</t>
  </si>
  <si>
    <t>Beheer en Onderhoud 2021</t>
  </si>
  <si>
    <t>-7020-Uitgeverij-Overig-30458\-0001</t>
  </si>
  <si>
    <t>30333</t>
  </si>
  <si>
    <t>Beheer en onderhoud 2020</t>
  </si>
  <si>
    <t>-7020-Overige-Overig-30333</t>
  </si>
  <si>
    <t>30318</t>
  </si>
  <si>
    <t>LP22 CVVO AVG compliant</t>
  </si>
  <si>
    <t>P22</t>
  </si>
  <si>
    <t>-5120-Uitgeverij-VO-30318</t>
  </si>
  <si>
    <t>30322</t>
  </si>
  <si>
    <t>-9540-Overige-Overig-30322</t>
  </si>
  <si>
    <t>9540</t>
  </si>
  <si>
    <t>30370</t>
  </si>
  <si>
    <t>Woots</t>
  </si>
  <si>
    <t>10044267</t>
  </si>
  <si>
    <t>Woots B.V.</t>
  </si>
  <si>
    <t>2000211</t>
  </si>
  <si>
    <t>-7020-Overige-Overig-30370</t>
  </si>
  <si>
    <t>30370-0001</t>
  </si>
  <si>
    <t>Woots 2021</t>
  </si>
  <si>
    <t>-7020-Overige-Overig-30370\-0001</t>
  </si>
  <si>
    <t>30432</t>
  </si>
  <si>
    <t>IT TK</t>
  </si>
  <si>
    <t>2612</t>
  </si>
  <si>
    <t>Lucil Hoevers</t>
  </si>
  <si>
    <t>-5310-TOM-Overig-30432</t>
  </si>
  <si>
    <t>30432-0001</t>
  </si>
  <si>
    <t>IT TK  2021</t>
  </si>
  <si>
    <t>-5310-TOM-Overig-30432\-0001</t>
  </si>
  <si>
    <t>30440</t>
  </si>
  <si>
    <t>IT VO</t>
  </si>
  <si>
    <t>-5120-Uitgeverij-VO-30440</t>
  </si>
  <si>
    <t>30440-0001</t>
  </si>
  <si>
    <t>IT VO 2021</t>
  </si>
  <si>
    <t>-5120-Uitgeverij-VO-30440\-0001</t>
  </si>
  <si>
    <t>30427</t>
  </si>
  <si>
    <t>IT PO</t>
  </si>
  <si>
    <t>-5110-Uitgeverij-PO-30427</t>
  </si>
  <si>
    <t>30427-0001</t>
  </si>
  <si>
    <t>IT PO 2021</t>
  </si>
  <si>
    <t>-5110-Uitgeverij-PO-30427\-0001</t>
  </si>
  <si>
    <t>30320</t>
  </si>
  <si>
    <t>PP03 Vervanging LVS PO</t>
  </si>
  <si>
    <t>-7020-Uitgeverij-PO-30320</t>
  </si>
  <si>
    <t>30441-0052</t>
  </si>
  <si>
    <t>SM08 Business Migratie</t>
  </si>
  <si>
    <t>30441</t>
  </si>
  <si>
    <t>-7020-Uitgeverij-Overig-30441\-0052</t>
  </si>
  <si>
    <t>30449</t>
  </si>
  <si>
    <t>PMO Cito</t>
  </si>
  <si>
    <t>-7020-Uitgeverij-Overig-30449</t>
  </si>
  <si>
    <t>30449-0001</t>
  </si>
  <si>
    <t>PMO Cito 2021</t>
  </si>
  <si>
    <t>-7020-Uitgeverij-Overig-30449\-0001</t>
  </si>
  <si>
    <t>30455</t>
  </si>
  <si>
    <t>CIAM Aanpassingen</t>
  </si>
  <si>
    <t>-7020-Uitgeverij-Overig-30455</t>
  </si>
  <si>
    <t>30455-0001</t>
  </si>
  <si>
    <t>CIAM Aanpassingen 2021</t>
  </si>
  <si>
    <t>-7020-Uitgeverij-Overig-30455\-0001</t>
  </si>
  <si>
    <t>Platform</t>
  </si>
  <si>
    <t>-7040-Uitgeverij-Overig-30441</t>
  </si>
  <si>
    <t>30441-0053</t>
  </si>
  <si>
    <t>Platform 2022</t>
  </si>
  <si>
    <t>-7040-Uitgeverij-Overig-30441\-0053</t>
  </si>
  <si>
    <t>30331</t>
  </si>
  <si>
    <t>PP28 POC Rapportage (analyse)</t>
  </si>
  <si>
    <t>-7020-Uitgeverij-Overig-30331</t>
  </si>
  <si>
    <t>30334</t>
  </si>
  <si>
    <t>BP17 Nieuwe LTI provider laten maken door 3e partij</t>
  </si>
  <si>
    <t>-7020-Uitgeverij-Overig-30334</t>
  </si>
  <si>
    <t>30335</t>
  </si>
  <si>
    <t>PP21 LIB Inloggen en toegang</t>
  </si>
  <si>
    <t>-7020-Uitgeverij-Overig-30335</t>
  </si>
  <si>
    <t>30336</t>
  </si>
  <si>
    <t>PS20 SER Administratie service</t>
  </si>
  <si>
    <t>-7020-Uitgeverij-Overig-30336</t>
  </si>
  <si>
    <t>30337</t>
  </si>
  <si>
    <t>PS21 SER CIAM</t>
  </si>
  <si>
    <t>-7020-Uitgeverij-Overig-30337</t>
  </si>
  <si>
    <t>30338</t>
  </si>
  <si>
    <t>PS24 SER Licentieservice</t>
  </si>
  <si>
    <t>-7020-Uitgeverij-Overig-30338</t>
  </si>
  <si>
    <t>30339</t>
  </si>
  <si>
    <t>PP20 LIB Handmatige invoer van papieren resultaten</t>
  </si>
  <si>
    <t>-7020-Uitgeverij-Overig-30339</t>
  </si>
  <si>
    <t>30340</t>
  </si>
  <si>
    <t>PP25 Adaptieve module(s)</t>
  </si>
  <si>
    <t>-7020-Uitgeverij-Overig-30340</t>
  </si>
  <si>
    <t>30341</t>
  </si>
  <si>
    <t>PT21 LIJN QTI Player</t>
  </si>
  <si>
    <t>-7020-Uitgeverij-Overig-30341</t>
  </si>
  <si>
    <t>30342</t>
  </si>
  <si>
    <t>PT22 LIJN Questify Builder</t>
  </si>
  <si>
    <t>-7020-Uitgeverij-Overig-30342</t>
  </si>
  <si>
    <t>30343</t>
  </si>
  <si>
    <t>SM01: Migratie en Implementatie platform22 programma (LIB)</t>
  </si>
  <si>
    <t>-7020-Uitgeverij-Overig-30343</t>
  </si>
  <si>
    <t>30344</t>
  </si>
  <si>
    <t>SM02: Rapportage platform22 programma (LIB)</t>
  </si>
  <si>
    <t>-7020-Uitgeverij-Overig-30344</t>
  </si>
  <si>
    <t>30345</t>
  </si>
  <si>
    <t>SM03: Services en functionaliteiten platform22 programma (</t>
  </si>
  <si>
    <t>-7020-Uitgeverij-Overig-30345</t>
  </si>
  <si>
    <t>30346</t>
  </si>
  <si>
    <t>SM04: Toetsbackbone platform22 programma (LIB)</t>
  </si>
  <si>
    <t>-7020-Uitgeverij-Overig-30346</t>
  </si>
  <si>
    <t>30350</t>
  </si>
  <si>
    <t>PP30 LIB Leerling administratie</t>
  </si>
  <si>
    <t>-7020-Uitgeverij-Overig-30350</t>
  </si>
  <si>
    <t>30351</t>
  </si>
  <si>
    <t>PP33 Oriëntatie UI-UX gehele Platform</t>
  </si>
  <si>
    <t>-7020-Uitgeverij-Overig-30351</t>
  </si>
  <si>
    <t>30352</t>
  </si>
  <si>
    <t>PT20 LIB Module beheer klant</t>
  </si>
  <si>
    <t>-7020-Uitgeverij-Overig-30352</t>
  </si>
  <si>
    <t>30354</t>
  </si>
  <si>
    <t>PS32 SER Toetsmetadataservice</t>
  </si>
  <si>
    <t>-7020-Uitgeverij-Overig-30354</t>
  </si>
  <si>
    <t>30355</t>
  </si>
  <si>
    <t>PP31 LIB Plannen en monitoren toetsen</t>
  </si>
  <si>
    <t>-7020-Uitgeverij-Overig-30355</t>
  </si>
  <si>
    <t>30358</t>
  </si>
  <si>
    <t>PS31 SER Rapportagevisualisatie</t>
  </si>
  <si>
    <t>-7020-Uitgeverij-Overig-30358</t>
  </si>
  <si>
    <t>30359</t>
  </si>
  <si>
    <t>PS38 CIAM Provisioning 2020</t>
  </si>
  <si>
    <t>-7020-Uitgeverij-Overig-30359</t>
  </si>
  <si>
    <t>30441-0001</t>
  </si>
  <si>
    <t>SM07 Programma: platform 22 2021</t>
  </si>
  <si>
    <t>-7020-Uitgeverij-Overig-30441\-0001</t>
  </si>
  <si>
    <t>30441-0002</t>
  </si>
  <si>
    <t>P21 LIJN QTI Player 2021</t>
  </si>
  <si>
    <t>-7020-Uitgeverij-Overig-30441\-0002</t>
  </si>
  <si>
    <t>30441-0003</t>
  </si>
  <si>
    <t>PT22 LIJN Questify Builder 2021</t>
  </si>
  <si>
    <t>-7020-Uitgeverij-Overig-30441\-0003</t>
  </si>
  <si>
    <t>30441-0004</t>
  </si>
  <si>
    <t>PS29 SER QDC 2021</t>
  </si>
  <si>
    <t>-7020-Uitgeverij-Overig-30441\-0004</t>
  </si>
  <si>
    <t>30441-0005</t>
  </si>
  <si>
    <t>BP17 Nieuwe LTI provider laten maken door 3e partij 2021</t>
  </si>
  <si>
    <t>-7020-Uitgeverij-Overig-30441\-0005</t>
  </si>
  <si>
    <t>30441-0006</t>
  </si>
  <si>
    <t>PP25 Adaptieve module(s) 2021</t>
  </si>
  <si>
    <t>-7020-Uitgeverij-Overig-30441\-0006</t>
  </si>
  <si>
    <t>30441-0007</t>
  </si>
  <si>
    <t>SM04 Toetsbackbone platform22 programma (LIB) 2021</t>
  </si>
  <si>
    <t>-7020-Uitgeverij-Overig-30441\-0007</t>
  </si>
  <si>
    <t>30441-0008</t>
  </si>
  <si>
    <t>PP33 UI UX gehele platform 2021</t>
  </si>
  <si>
    <t>-7020-Uitgeverij-Overig-30441\-0008</t>
  </si>
  <si>
    <t>30441-0009</t>
  </si>
  <si>
    <t>PS30 SER Rapportage data 2021</t>
  </si>
  <si>
    <t>-7020-Uitgeverij-Overig-30441\-0009</t>
  </si>
  <si>
    <t>30441-0010</t>
  </si>
  <si>
    <t>PS31 SER Rapportagevisualisatie 2021</t>
  </si>
  <si>
    <t>-7020-Uitgeverij-Overig-30441\-0010</t>
  </si>
  <si>
    <t>30441-0011</t>
  </si>
  <si>
    <t>SM02 Rapportage platform22 programma (LIB) 2021</t>
  </si>
  <si>
    <t>-7020-Uitgeverij-Overig-30441\-0011</t>
  </si>
  <si>
    <t>30441-0012</t>
  </si>
  <si>
    <t>PP35 Koppel partners en content migratie 2021</t>
  </si>
  <si>
    <t>-7020-Uitgeverij-Overig-30441\-0012</t>
  </si>
  <si>
    <t>30441-0013</t>
  </si>
  <si>
    <t>PP97 Res. 2022 business/IVIT projecten migratie &amp; impl. 2021</t>
  </si>
  <si>
    <t>-7020-Uitgeverij-Overig-30441\-0013</t>
  </si>
  <si>
    <t>30441-0014</t>
  </si>
  <si>
    <t>SM01 Migratie en Impl. platform22 programma (LIB) 2021</t>
  </si>
  <si>
    <t>-7020-Uitgeverij-Overig-30441\-0014</t>
  </si>
  <si>
    <t>30441-0015</t>
  </si>
  <si>
    <t>PS32 SER (analyse) Toetsmetadataservice 2021</t>
  </si>
  <si>
    <t>-7020-Uitgeverij-Overig-30441\-0015</t>
  </si>
  <si>
    <t>30441-0016</t>
  </si>
  <si>
    <t>PP23 LOVS 3.0 (eenmalige conversie onderdeel migratie) 2021</t>
  </si>
  <si>
    <t>-7020-Uitgeverij-Overig-30441\-0016</t>
  </si>
  <si>
    <t>30441-0017</t>
  </si>
  <si>
    <t>PP21 LIB Inloggen en toegang 2021</t>
  </si>
  <si>
    <t>-7020-Uitgeverij-Overig-30441\-0017</t>
  </si>
  <si>
    <t>30441-0018</t>
  </si>
  <si>
    <t>PS20 SER Administratie service 2021</t>
  </si>
  <si>
    <t>-7020-Uitgeverij-Overig-30441\-0018</t>
  </si>
  <si>
    <t>30441-0019</t>
  </si>
  <si>
    <t>PS24 SER Licentieservice 2021</t>
  </si>
  <si>
    <t>-7020-Uitgeverij-Overig-30441\-0019</t>
  </si>
  <si>
    <t>30441-0020</t>
  </si>
  <si>
    <t>PT20 LIB Module beheer klant 2021</t>
  </si>
  <si>
    <t>-7020-Uitgeverij-Overig-30441\-0020</t>
  </si>
  <si>
    <t>30441-0021</t>
  </si>
  <si>
    <t>PS28 SER Planningservice 2021</t>
  </si>
  <si>
    <t>-7020-Uitgeverij-Overig-30441\-0021</t>
  </si>
  <si>
    <t>30441-0022</t>
  </si>
  <si>
    <t>PS23 Document store service 2021</t>
  </si>
  <si>
    <t>-7020-Uitgeverij-Overig-30441\-0022</t>
  </si>
  <si>
    <t>30441-0023</t>
  </si>
  <si>
    <t>PS22 SER Content management systeem 2021</t>
  </si>
  <si>
    <t>-7020-Uitgeverij-Overig-30441\-0023</t>
  </si>
  <si>
    <t>30441-0024</t>
  </si>
  <si>
    <t>PS26 SER Normeringsservice 2021</t>
  </si>
  <si>
    <t>-7020-Uitgeverij-Overig-30441\-0024</t>
  </si>
  <si>
    <t>30441-0025</t>
  </si>
  <si>
    <t>PP22 MAN Interactieve klantenondersteuning 2021</t>
  </si>
  <si>
    <t>-7020-Uitgeverij-Overig-30441\-0025</t>
  </si>
  <si>
    <t>30441-0026</t>
  </si>
  <si>
    <t>PP29 LIB Digitale toets starten 2021</t>
  </si>
  <si>
    <t>-7020-Uitgeverij-Overig-30441\-0026</t>
  </si>
  <si>
    <t>30441-0027</t>
  </si>
  <si>
    <t>PP30 LIB Leerling administratie 2021</t>
  </si>
  <si>
    <t>-7020-Uitgeverij-Overig-30441\-0027</t>
  </si>
  <si>
    <t>30441-0028</t>
  </si>
  <si>
    <t>PP31 LIB Plannen en monitoren toetsen 2021</t>
  </si>
  <si>
    <t>-7020-Uitgeverij-Overig-30441\-0028</t>
  </si>
  <si>
    <t>30441-0029</t>
  </si>
  <si>
    <t>PS21 SER CIAM 2021</t>
  </si>
  <si>
    <t>-7020-Uitgeverij-Overig-30441\-0029</t>
  </si>
  <si>
    <t>30441-0030</t>
  </si>
  <si>
    <t>PP20 LIB Handmatige invoer van papieren resultaten 2021</t>
  </si>
  <si>
    <t>-7020-Uitgeverij-Overig-30441\-0030</t>
  </si>
  <si>
    <t>30441-0031</t>
  </si>
  <si>
    <t>SM03 Services en funct. platform22 programma (LIB) 2021</t>
  </si>
  <si>
    <t>-7020-Uitgeverij-Overig-30441\-0031</t>
  </si>
  <si>
    <t>30441-0032</t>
  </si>
  <si>
    <t>PS38 Provisioning 2021</t>
  </si>
  <si>
    <t>-7020-Uitgeverij-Overig-30441\-0032</t>
  </si>
  <si>
    <t>30441-0033</t>
  </si>
  <si>
    <t>SM05 Programma migratie integratie, QA 2021</t>
  </si>
  <si>
    <t>-7020-Uitgeverij-Overig-30441\-0033</t>
  </si>
  <si>
    <t>30441-0034</t>
  </si>
  <si>
    <t>SM06 Beheer en operationele kosten 2021</t>
  </si>
  <si>
    <t>-7020-Uitgeverij-Overig-30441\-0034</t>
  </si>
  <si>
    <t>30441-0035</t>
  </si>
  <si>
    <t>PP28 POC Rapportage (analyse) 2021</t>
  </si>
  <si>
    <t>-7020-Uitgeverij-Overig-30441\-0035</t>
  </si>
  <si>
    <t>30441-0036</t>
  </si>
  <si>
    <t>PP32 Rapportages opvragen (en navigatie) LC</t>
  </si>
  <si>
    <t>-7020-Uitgeverij-Overig-30441\-0036</t>
  </si>
  <si>
    <t>30441-0037</t>
  </si>
  <si>
    <t>PP43 Leerdoelen</t>
  </si>
  <si>
    <t>-7020-Uitgeverij-Overig-30441\-0037</t>
  </si>
  <si>
    <t>30441-0038</t>
  </si>
  <si>
    <t>PP44 Onboarding lancering</t>
  </si>
  <si>
    <t>-7020-Uitgeverij-Overig-30441\-0038</t>
  </si>
  <si>
    <t>30441-0039</t>
  </si>
  <si>
    <t>PP37 Migratie CPLOVS</t>
  </si>
  <si>
    <t>-7020-Uitgeverij-Overig-30441\-0039</t>
  </si>
  <si>
    <t>30441-0040</t>
  </si>
  <si>
    <t>PP38 LAS migratie</t>
  </si>
  <si>
    <t>-7020-Uitgeverij-Overig-30441\-0040</t>
  </si>
  <si>
    <t>30441-0041</t>
  </si>
  <si>
    <t>PP40 Koppelpartners</t>
  </si>
  <si>
    <t>-7020-Uitgeverij-Overig-30441\-0041</t>
  </si>
  <si>
    <t>30441-0042</t>
  </si>
  <si>
    <t>PP42 Bovenschoolse rapportages</t>
  </si>
  <si>
    <t>-7020-Uitgeverij-Overig-30441\-0042</t>
  </si>
  <si>
    <t>30441-0043</t>
  </si>
  <si>
    <t>PS35 Monitoring, Dashboarding en Alarmering tbv Applicaties</t>
  </si>
  <si>
    <t>-7020-Uitgeverij-Overig-30441\-0043</t>
  </si>
  <si>
    <t>30375</t>
  </si>
  <si>
    <t>Diverse opbrengsten BaO</t>
  </si>
  <si>
    <t>-5110-Uitgeverij-PO-30375</t>
  </si>
  <si>
    <t>30375-0001</t>
  </si>
  <si>
    <t>Diverse opbrengsten BaO 2021</t>
  </si>
  <si>
    <t>-5110-Uitgeverij-PO-30375\-0001</t>
  </si>
  <si>
    <t>30400-0001</t>
  </si>
  <si>
    <t>Website 2021</t>
  </si>
  <si>
    <t>30400</t>
  </si>
  <si>
    <t>-5610-Uitgeverij-VO-30400\-0001</t>
  </si>
  <si>
    <t>Website</t>
  </si>
  <si>
    <t>11895</t>
  </si>
  <si>
    <t>-5610-Uitgeverij-VO-30400</t>
  </si>
  <si>
    <t>30401</t>
  </si>
  <si>
    <t>Marketing en Sales VO</t>
  </si>
  <si>
    <t>-5120-Uitgeverij-VO-30401</t>
  </si>
  <si>
    <t>30401-0001</t>
  </si>
  <si>
    <t>Marketing en Sales VO 2021</t>
  </si>
  <si>
    <t>-5120-Uitgeverij-VO-30401\-0001</t>
  </si>
  <si>
    <t>30376</t>
  </si>
  <si>
    <t>Marketing PO</t>
  </si>
  <si>
    <t>12915</t>
  </si>
  <si>
    <t>Anne Hulsman</t>
  </si>
  <si>
    <t>-5110-Uitgeverij-PO-30376</t>
  </si>
  <si>
    <t>30376-0001</t>
  </si>
  <si>
    <t>Marketing PO 2021</t>
  </si>
  <si>
    <t>-5110-Uitgeverij-PO-30376\-0001</t>
  </si>
  <si>
    <t>30445-0001</t>
  </si>
  <si>
    <t>BP46 Uitbesteding logistiek 2021 (oud)</t>
  </si>
  <si>
    <t>30445</t>
  </si>
  <si>
    <t>21135</t>
  </si>
  <si>
    <t>Ante Brinkman</t>
  </si>
  <si>
    <t>-5540-Uitgeverij-Overig-30445\-0001</t>
  </si>
  <si>
    <t>5540</t>
  </si>
  <si>
    <t>30445-0002</t>
  </si>
  <si>
    <t>BP46 Uitbesteding Logistiek 2021</t>
  </si>
  <si>
    <t>-5550-Uitgeverij-Overig-30445\-0002</t>
  </si>
  <si>
    <t>5550</t>
  </si>
  <si>
    <t>BP46 Uitbesteding logistiek</t>
  </si>
  <si>
    <t>-5540-Overige-Overig-30445</t>
  </si>
  <si>
    <t>30327</t>
  </si>
  <si>
    <t>BP13 Migratie QTI 3.5 naar QTI 3.7 (KLT)</t>
  </si>
  <si>
    <t>-5130-Uitgeverij-VO-30327</t>
  </si>
  <si>
    <t>30372-0003</t>
  </si>
  <si>
    <t>Peiling leesvaardigheid 2023</t>
  </si>
  <si>
    <t>29935</t>
  </si>
  <si>
    <t>2088</t>
  </si>
  <si>
    <t>Tecla Lampe</t>
  </si>
  <si>
    <t>TK Peiling</t>
  </si>
  <si>
    <t>-5311-TOM-OH-30372\-0003</t>
  </si>
  <si>
    <t>5311</t>
  </si>
  <si>
    <t>30174-0003</t>
  </si>
  <si>
    <t>Peiling Burgerschap 2021</t>
  </si>
  <si>
    <t>30174</t>
  </si>
  <si>
    <t>58227</t>
  </si>
  <si>
    <t>2000203</t>
  </si>
  <si>
    <t>-5310-TOM-Overig-30174\-0003</t>
  </si>
  <si>
    <t>30330</t>
  </si>
  <si>
    <t>Omzetting VSOPrO en VSO Dagbesteding</t>
  </si>
  <si>
    <t>1199</t>
  </si>
  <si>
    <t>-5120-Uitgeverij-VO-30330</t>
  </si>
  <si>
    <t>30190-0003</t>
  </si>
  <si>
    <t>Peiling ICCS 2021</t>
  </si>
  <si>
    <t>30190</t>
  </si>
  <si>
    <t>-5320-TOM-Overig-30190\-0003</t>
  </si>
  <si>
    <t>30372-0001</t>
  </si>
  <si>
    <t>Peiling leesvaardigheid 2021</t>
  </si>
  <si>
    <t>-5310-TOM-OH-30372\-0001</t>
  </si>
  <si>
    <t>30357-0002</t>
  </si>
  <si>
    <t>Peiling Mens &amp; Maatschappij 2021</t>
  </si>
  <si>
    <t>-5310-TOM-HO-30357\-0002</t>
  </si>
  <si>
    <t>30459-0001</t>
  </si>
  <si>
    <t>Educon Training 2021</t>
  </si>
  <si>
    <t>30459</t>
  </si>
  <si>
    <t>10044833</t>
  </si>
  <si>
    <t>EduCon LLP</t>
  </si>
  <si>
    <t>2000225</t>
  </si>
  <si>
    <t>-5220-TA-Int-30459\-0001</t>
  </si>
  <si>
    <t>30433</t>
  </si>
  <si>
    <t>Doorontwikkeling BMT</t>
  </si>
  <si>
    <t>1180</t>
  </si>
  <si>
    <t>-5310-TOM-OH-30433</t>
  </si>
  <si>
    <t>30433-0001</t>
  </si>
  <si>
    <t>Doorontwikkeling BMT 2021</t>
  </si>
  <si>
    <t>-5310-TOM-OH-30433\-0001</t>
  </si>
  <si>
    <t>30456</t>
  </si>
  <si>
    <t>Stex Facet 10</t>
  </si>
  <si>
    <t>-5310-TOM-OH-30456</t>
  </si>
  <si>
    <t>30456-0001</t>
  </si>
  <si>
    <t>Stex Facet 10 2021</t>
  </si>
  <si>
    <t>-5310-TOM-OH-30456\-0001</t>
  </si>
  <si>
    <t>30409</t>
  </si>
  <si>
    <t>Stex Nt2 Afname vaste kosten</t>
  </si>
  <si>
    <t>-5310-TOM-OH-30409</t>
  </si>
  <si>
    <t>30409-0001</t>
  </si>
  <si>
    <t>Stex Nt2 Afname vaste kosten 2021</t>
  </si>
  <si>
    <t>-5310-TOM-OH-30409\-0001</t>
  </si>
  <si>
    <t>30329</t>
  </si>
  <si>
    <t>-5310-TOM-OH-30329</t>
  </si>
  <si>
    <t>30405</t>
  </si>
  <si>
    <t>Stex Nt2 Ontwikkeling examens</t>
  </si>
  <si>
    <t>-5310-TOM-OH-30405</t>
  </si>
  <si>
    <t>30405-0001</t>
  </si>
  <si>
    <t>Stex Nt2 Ontwikkeling examens 2021</t>
  </si>
  <si>
    <t>-5310-TOM-OH-30405\-0001</t>
  </si>
  <si>
    <t>30407</t>
  </si>
  <si>
    <t>Stex Nt2 Afname beoordeling Spreken</t>
  </si>
  <si>
    <t>-5310-TOM-OH-30407</t>
  </si>
  <si>
    <t>30407-0001</t>
  </si>
  <si>
    <t>Stex Nt2 Afname beoordeling Spreken 2021</t>
  </si>
  <si>
    <t>-5310-TOM-OH-30407\-0001</t>
  </si>
  <si>
    <t>30402</t>
  </si>
  <si>
    <t>Stex Nt2 BMT Licentie, beheer en onderhoud</t>
  </si>
  <si>
    <t>-5310-TOM-OH-30402</t>
  </si>
  <si>
    <t>30402-0001</t>
  </si>
  <si>
    <t>Stex Nt2 BMT Licentie, beheer en onderhoud 2021</t>
  </si>
  <si>
    <t>-5310-TOM-OH-30402\-0001</t>
  </si>
  <si>
    <t>30295</t>
  </si>
  <si>
    <t>Consultancy IBE Zwitserland 2020</t>
  </si>
  <si>
    <t>10025297</t>
  </si>
  <si>
    <t>Institut fur Bildungsevaluation Zurich AG</t>
  </si>
  <si>
    <t>2000041</t>
  </si>
  <si>
    <t>-5220-TA-Int-30295</t>
  </si>
  <si>
    <t>30235</t>
  </si>
  <si>
    <t>CVVO 2020</t>
  </si>
  <si>
    <t>1160</t>
  </si>
  <si>
    <t>-5120-Uitgeverij-VO-30235</t>
  </si>
  <si>
    <t>30393</t>
  </si>
  <si>
    <t>-5120-Uitgeverij-VO-30393</t>
  </si>
  <si>
    <t>30393-0001</t>
  </si>
  <si>
    <t>CVVO 2021</t>
  </si>
  <si>
    <t>-5120-Uitgeverij-VO-30393\-0001</t>
  </si>
  <si>
    <t>Webshop</t>
  </si>
  <si>
    <t>-5610-Overige-Overig-30377</t>
  </si>
  <si>
    <t>30451-0004</t>
  </si>
  <si>
    <t>ETE Ondersteuning EFO 2022-2023</t>
  </si>
  <si>
    <t>30451</t>
  </si>
  <si>
    <t>47324</t>
  </si>
  <si>
    <t>Expertisecentrum voor toetsen en examens</t>
  </si>
  <si>
    <t>2000233</t>
  </si>
  <si>
    <t>2815</t>
  </si>
  <si>
    <t>TA INT ove</t>
  </si>
  <si>
    <t>-5220-TA-Int-30451\-0004</t>
  </si>
  <si>
    <t>30417</t>
  </si>
  <si>
    <t>Kazachstan Selection Test</t>
  </si>
  <si>
    <t>2735</t>
  </si>
  <si>
    <t>Pieter Verdouw</t>
  </si>
  <si>
    <t>-5220-TA-Int-30417</t>
  </si>
  <si>
    <t>30417-0001</t>
  </si>
  <si>
    <t>Kazachstan Selection Test 2021</t>
  </si>
  <si>
    <t>-5220-TA-Int-30417\-0001</t>
  </si>
  <si>
    <t>30417-0002</t>
  </si>
  <si>
    <t>Kazachstan Quantitative Reasoning (QR) 2021</t>
  </si>
  <si>
    <t>-5220-TA-Int-30417\-0002</t>
  </si>
  <si>
    <t>30414</t>
  </si>
  <si>
    <t>Regelen reizen, hotels, reisformulieren andere units</t>
  </si>
  <si>
    <t>-5220-TA-Int-30414</t>
  </si>
  <si>
    <t>30414-0001</t>
  </si>
  <si>
    <t>Regelen reizen, hotels, reisformulieren andere units 2021</t>
  </si>
  <si>
    <t>-5220-TA-Int-30414\-0001</t>
  </si>
  <si>
    <t>30415</t>
  </si>
  <si>
    <t>Kenia Consultancy en Training</t>
  </si>
  <si>
    <t>58246</t>
  </si>
  <si>
    <t>Kenya National Examinations Council</t>
  </si>
  <si>
    <t>2000206</t>
  </si>
  <si>
    <t>-5220-TA-Int-30415</t>
  </si>
  <si>
    <t>30415-0001</t>
  </si>
  <si>
    <t>Kenia Consultancy en Training 2021</t>
  </si>
  <si>
    <t>-5220-TA-Int-30415\-0001</t>
  </si>
  <si>
    <t>30434</t>
  </si>
  <si>
    <t>Consultancy &amp; Training Kosovo</t>
  </si>
  <si>
    <t>10028771</t>
  </si>
  <si>
    <t>Ministry of Education, Science and Technology</t>
  </si>
  <si>
    <t>2000184</t>
  </si>
  <si>
    <t>-5220-TA-Int-30434</t>
  </si>
  <si>
    <t>30434-0001</t>
  </si>
  <si>
    <t>Consultancy &amp; Training Kosovo 2021</t>
  </si>
  <si>
    <t>-5220-TA-Int-30434\-0001</t>
  </si>
  <si>
    <t>30406</t>
  </si>
  <si>
    <t>T&amp;A INT _ Nog te verwerven omzet</t>
  </si>
  <si>
    <t>-5220-TA-Int-30406</t>
  </si>
  <si>
    <t>30406-0001</t>
  </si>
  <si>
    <t>T&amp;A INT _ Nog te verwerven omzet 2021</t>
  </si>
  <si>
    <t>-5220-TA-Int-30406\-0001</t>
  </si>
  <si>
    <t>30365-0003</t>
  </si>
  <si>
    <t>ETE Volgtoetsen NED_PAP periode 2021-2022</t>
  </si>
  <si>
    <t>30365</t>
  </si>
  <si>
    <t>2038</t>
  </si>
  <si>
    <t>Caroline Jongkamp</t>
  </si>
  <si>
    <t>-5220-TA-Int-30365\-0003</t>
  </si>
  <si>
    <t>30365-0004</t>
  </si>
  <si>
    <t>ETE Volgtoetsen NED_PAP deel 2 2022</t>
  </si>
  <si>
    <t>-5220-TA-Int-30365\-0004</t>
  </si>
  <si>
    <t>30439-0002</t>
  </si>
  <si>
    <t>ETE Ondersteuning SBO-AKB periode 2021-2022</t>
  </si>
  <si>
    <t>30439</t>
  </si>
  <si>
    <t>-5220-TA-Int-30439\-0002</t>
  </si>
  <si>
    <t>30440-0003</t>
  </si>
  <si>
    <t>FOUT GEOPEND?? ETE Ondersteuning SBO-AKB periode 2021-2023</t>
  </si>
  <si>
    <t>-5220-TA-Int-30440\-0003</t>
  </si>
  <si>
    <t>30450</t>
  </si>
  <si>
    <t>ETE Ondersteuning CE</t>
  </si>
  <si>
    <t>-5220-TA-Int-30450</t>
  </si>
  <si>
    <t>30450-0001</t>
  </si>
  <si>
    <t>ETE Ondersteuning CE 2021</t>
  </si>
  <si>
    <t>-5220-TA-Int-30450\-0001</t>
  </si>
  <si>
    <t>ETE Ondersteuning EFO</t>
  </si>
  <si>
    <t>-5220-TA-Int-30451</t>
  </si>
  <si>
    <t>30451-0003</t>
  </si>
  <si>
    <t>ETE Ondersteuning EFO 2022</t>
  </si>
  <si>
    <t>30451-0001</t>
  </si>
  <si>
    <t>ETE Ondersteuning EFO 2021</t>
  </si>
  <si>
    <t>-5220-TA-Int-30451\-0001</t>
  </si>
  <si>
    <t>30452</t>
  </si>
  <si>
    <t>ETE Analyse VT RW V3</t>
  </si>
  <si>
    <t>-5220-TA-Int-30452</t>
  </si>
  <si>
    <t>30452-0001</t>
  </si>
  <si>
    <t>ETE Analyse VT RW V3 2021</t>
  </si>
  <si>
    <t>-5220-TA-Int-30452\-0001</t>
  </si>
  <si>
    <t>30435</t>
  </si>
  <si>
    <t>Trainingen PO</t>
  </si>
  <si>
    <t>1549</t>
  </si>
  <si>
    <t>Michel Hop</t>
  </si>
  <si>
    <t>-5210-TA-PO-30435</t>
  </si>
  <si>
    <t>30203</t>
  </si>
  <si>
    <t>Kazachstan Selection Test 2020</t>
  </si>
  <si>
    <t>-5220-TA-Int-30203</t>
  </si>
  <si>
    <t>30453</t>
  </si>
  <si>
    <t>Kazachstan Standard Setting</t>
  </si>
  <si>
    <t>1144</t>
  </si>
  <si>
    <t>Anneke de Graaf</t>
  </si>
  <si>
    <t>-5220-TA-Int-30453</t>
  </si>
  <si>
    <t>30453-0001</t>
  </si>
  <si>
    <t>Kazachstan Standard Setting 2021</t>
  </si>
  <si>
    <t>-5220-TA-Int-30453\-0001</t>
  </si>
  <si>
    <t>30462</t>
  </si>
  <si>
    <t>Afghanistan Unicef NAFA implementation</t>
  </si>
  <si>
    <t>58601</t>
  </si>
  <si>
    <t>UNICEF UNOCA Compound</t>
  </si>
  <si>
    <t>2000226</t>
  </si>
  <si>
    <t>-5220-TA-Int-30462</t>
  </si>
  <si>
    <t>30462-0001</t>
  </si>
  <si>
    <t>Afghanistan Unicef NAFA implementation 2021</t>
  </si>
  <si>
    <t>30462-0002</t>
  </si>
  <si>
    <t>Afghanistan Unicef NAFA implementation 2022</t>
  </si>
  <si>
    <t>-5220-TA-Int-30462\-0002</t>
  </si>
  <si>
    <t>30437-0001</t>
  </si>
  <si>
    <t>Ontwikkeling Volgtoetsen Algemeen ETE Deel I 2021</t>
  </si>
  <si>
    <t>30437</t>
  </si>
  <si>
    <t>-5220-TA-Int-30347\-0001</t>
  </si>
  <si>
    <t>30347-0001</t>
  </si>
  <si>
    <t>30356</t>
  </si>
  <si>
    <t>Unesco 2020-2021 policy linking toolkit</t>
  </si>
  <si>
    <t>10044757</t>
  </si>
  <si>
    <t>UNESCO Institute for Statistics</t>
  </si>
  <si>
    <t>2000221</t>
  </si>
  <si>
    <t>-5220-TA-Int-30356</t>
  </si>
  <si>
    <t>30356-0001</t>
  </si>
  <si>
    <t>Unesco 2020 policy linking toolkit</t>
  </si>
  <si>
    <t>30356-0002</t>
  </si>
  <si>
    <t>Unesco 2021 policy linking toolkit</t>
  </si>
  <si>
    <t>-5220-TA-Int-30356\-0002</t>
  </si>
  <si>
    <t>30356-0003</t>
  </si>
  <si>
    <t>Unesco 2022 policy linking toolkit</t>
  </si>
  <si>
    <t>-5220-TA-Int-30356\-0003</t>
  </si>
  <si>
    <t>ETE Volgtoetsen NED_PAP</t>
  </si>
  <si>
    <t>-5220-TA-Int-30365</t>
  </si>
  <si>
    <t>30365-0001</t>
  </si>
  <si>
    <t>ETE Volgtoetsen NED_PAP 2021</t>
  </si>
  <si>
    <t>-5220-TA-Int-30365\-0001</t>
  </si>
  <si>
    <t>30436</t>
  </si>
  <si>
    <t>Ondersteuning volgtoetsen ETE alg. ETE Deel II</t>
  </si>
  <si>
    <t>-5220-TA-Int-30436</t>
  </si>
  <si>
    <t>30436-0001</t>
  </si>
  <si>
    <t>Ondersteuning volgtoetsen ETE alg. ETE Deel II 2021</t>
  </si>
  <si>
    <t>-5220-TA-Int-30436\-0001</t>
  </si>
  <si>
    <t>Ontwikkeling Volgtoetsen Algemeen ETE Deel I</t>
  </si>
  <si>
    <t>-5220-TA-Int-30437</t>
  </si>
  <si>
    <t>30438</t>
  </si>
  <si>
    <t>ETE VT R&amp;W Ondersteuning Analyses rapportages</t>
  </si>
  <si>
    <t>-5220-TA-Int-30438</t>
  </si>
  <si>
    <t>30438-0001</t>
  </si>
  <si>
    <t>ETE VT R&amp;W Ondersteuning Analyses rapportages 2021</t>
  </si>
  <si>
    <t>-5220-TA-Int-30438\-0001</t>
  </si>
  <si>
    <t>ETE Ondersteuning SBO-AKB</t>
  </si>
  <si>
    <t>-5220-TA-Int-30439</t>
  </si>
  <si>
    <t>30439-0001</t>
  </si>
  <si>
    <t>ETE Ondersteuning SBO-AKB 2021</t>
  </si>
  <si>
    <t>-5220-TA-Int-30439\-0001</t>
  </si>
  <si>
    <t>30416</t>
  </si>
  <si>
    <t>NFER NRT UK</t>
  </si>
  <si>
    <t>10041317</t>
  </si>
  <si>
    <t>National Foundation for Educational Research</t>
  </si>
  <si>
    <t>2000042</t>
  </si>
  <si>
    <t>-5220-TA-Int-30416</t>
  </si>
  <si>
    <t>30416-0001</t>
  </si>
  <si>
    <t>NFER NRT UK 2021</t>
  </si>
  <si>
    <t>-5220-TA-Int-30416\-0001</t>
  </si>
  <si>
    <t>30371</t>
  </si>
  <si>
    <t>Cyprus Consultancy en Training</t>
  </si>
  <si>
    <t>58438</t>
  </si>
  <si>
    <t>Ministry of Education, Culture, Sports &amp; Youth Examinations Services</t>
  </si>
  <si>
    <t>2000210</t>
  </si>
  <si>
    <t>-5220-TA-Int-30371</t>
  </si>
  <si>
    <t>30371-0001</t>
  </si>
  <si>
    <t>Cyprus Consultancy en Training 2021</t>
  </si>
  <si>
    <t>-5220-TA-Int-30371\-0001</t>
  </si>
  <si>
    <t>Educon Training</t>
  </si>
  <si>
    <t>-5220-TA-Int-30459</t>
  </si>
  <si>
    <t>30413</t>
  </si>
  <si>
    <t>Bijdrage Offertes Vertalingen en Conferenties</t>
  </si>
  <si>
    <t>-5220-TA-Int-30413</t>
  </si>
  <si>
    <t>30413-0001</t>
  </si>
  <si>
    <t>-5220-TA-Int-30413\-0001</t>
  </si>
  <si>
    <t>30420</t>
  </si>
  <si>
    <t>T&amp;A Consultancy en Certificering belast</t>
  </si>
  <si>
    <t>-5210-TA-MBO-30420</t>
  </si>
  <si>
    <t>30420-0001</t>
  </si>
  <si>
    <t>T&amp;A Consultancy en Certificering belast 2021</t>
  </si>
  <si>
    <t>-5210-TA-MBO-30420\-0001</t>
  </si>
  <si>
    <t>30421</t>
  </si>
  <si>
    <t>T&amp;A Training &amp; Certificering</t>
  </si>
  <si>
    <t>-5210-TA-MBO-30421</t>
  </si>
  <si>
    <t>30421-0001</t>
  </si>
  <si>
    <t>T&amp;A Training 2021</t>
  </si>
  <si>
    <t>-5210-TA-MBO-30421\-0001</t>
  </si>
  <si>
    <t>30287</t>
  </si>
  <si>
    <t>Marketing TenA 2020</t>
  </si>
  <si>
    <t>-5210-TA-Overig-30287</t>
  </si>
  <si>
    <t>30308</t>
  </si>
  <si>
    <t>OMO-scholen Audits-in-1 dag</t>
  </si>
  <si>
    <t>21924</t>
  </si>
  <si>
    <t>Ver. Ons Middelbaar Onderwijs</t>
  </si>
  <si>
    <t>2000215</t>
  </si>
  <si>
    <t>-5210-TA-VO-30308</t>
  </si>
  <si>
    <t>30443</t>
  </si>
  <si>
    <t>-5210-TA-VO-30443</t>
  </si>
  <si>
    <t>30443-0001</t>
  </si>
  <si>
    <t>OMO-scholen Audits-in-1 dag 2021</t>
  </si>
  <si>
    <t>-5210-TA-VO-30443\-0001</t>
  </si>
  <si>
    <t>30453-0002</t>
  </si>
  <si>
    <t>Kazachstan Standard Setting 2022</t>
  </si>
  <si>
    <t>-5220-TA-Int-30453\-0002</t>
  </si>
  <si>
    <t>30199</t>
  </si>
  <si>
    <t>Training T&amp;A 2020</t>
  </si>
  <si>
    <t>-5210-TA-MBO-30199</t>
  </si>
  <si>
    <t>30200</t>
  </si>
  <si>
    <t>Consultancy T&amp;A en act BTW 2020</t>
  </si>
  <si>
    <t>-5210-TA-MBO-30200</t>
  </si>
  <si>
    <t>30201</t>
  </si>
  <si>
    <t>Certificering T&amp;A 2020</t>
  </si>
  <si>
    <t>-5210-TA-MBO-30201</t>
  </si>
  <si>
    <t>30202</t>
  </si>
  <si>
    <t>Ontwikkeling en ondersteuning T&amp;A 2020</t>
  </si>
  <si>
    <t>-5210-TA-MBO-30202</t>
  </si>
  <si>
    <t>30418</t>
  </si>
  <si>
    <t>T&amp;A ontwikkeling</t>
  </si>
  <si>
    <t>-5210-TA-MBO-30418</t>
  </si>
  <si>
    <t>30418-0001</t>
  </si>
  <si>
    <t>T&amp;A ontwikkeling 2021</t>
  </si>
  <si>
    <t>-5210-TA-MBO-30418\-0001</t>
  </si>
  <si>
    <t>30419</t>
  </si>
  <si>
    <t>T&amp;A Certificering</t>
  </si>
  <si>
    <t>-5210-TA-MBO-30419</t>
  </si>
  <si>
    <t>30419-0001</t>
  </si>
  <si>
    <t>T&amp;A Certificering 2021</t>
  </si>
  <si>
    <t>-5210-TA-MBO-30419\-0001</t>
  </si>
  <si>
    <t>30078</t>
  </si>
  <si>
    <t>Consultancy CAT algorithme Wales 2019-2020</t>
  </si>
  <si>
    <t>10025656</t>
  </si>
  <si>
    <t>AlphaPlus Consultancy Ltd.</t>
  </si>
  <si>
    <t>2000140</t>
  </si>
  <si>
    <t>-5220-TA-Int-30078</t>
  </si>
  <si>
    <t>30078-0002</t>
  </si>
  <si>
    <t>Consultancy CAT algorithme Wales 2020</t>
  </si>
  <si>
    <t>-5220-TA-Int-30078\-0002</t>
  </si>
  <si>
    <t>30209</t>
  </si>
  <si>
    <t>Bijdrage aan offertes, vertalingen, congressen etc.</t>
  </si>
  <si>
    <t>-5220-TA-Int-30209</t>
  </si>
  <si>
    <t>30210</t>
  </si>
  <si>
    <t>Consultancy INVALSI 2020</t>
  </si>
  <si>
    <t>10043026</t>
  </si>
  <si>
    <t>Istituto nazionale per la valutazione del sistema educativo di istruzione e di formazione</t>
  </si>
  <si>
    <t>2000198</t>
  </si>
  <si>
    <t>-5220-TA-Int-30210</t>
  </si>
  <si>
    <t>30204</t>
  </si>
  <si>
    <t>Consultancy NFER NRT UK 2020</t>
  </si>
  <si>
    <t>-5220-TA-Int-30204</t>
  </si>
  <si>
    <t>20068-12</t>
  </si>
  <si>
    <t>PI69 - Azure Cloud adoption framework</t>
  </si>
  <si>
    <t>20068</t>
  </si>
  <si>
    <t>3079</t>
  </si>
  <si>
    <t>Willem van der Tak</t>
  </si>
  <si>
    <t>17205</t>
  </si>
  <si>
    <t>Henriëtte Mulder</t>
  </si>
  <si>
    <t>-9550-Intern-Staf-20068</t>
  </si>
  <si>
    <t>9550</t>
  </si>
  <si>
    <t>20068-03</t>
  </si>
  <si>
    <t>PI06 - Vervanging OTA omgeving  (staat op VNX5300)</t>
  </si>
  <si>
    <t>20068-04</t>
  </si>
  <si>
    <t>PI22 - Vervanging TopDesk (technisch)</t>
  </si>
  <si>
    <t>20068-05</t>
  </si>
  <si>
    <t>PI24 - MSPS naar de cloud</t>
  </si>
  <si>
    <t>20068-01</t>
  </si>
  <si>
    <t>PI02 - Implementatie Azure Active Directory Premium 2 - Priv</t>
  </si>
  <si>
    <t>-9550-Intern-Staf-20068\-01</t>
  </si>
  <si>
    <t>20068-02</t>
  </si>
  <si>
    <t>PI12 - Implementatie Cloud backup</t>
  </si>
  <si>
    <t>-9550-Intern-Staf-20068\-02</t>
  </si>
  <si>
    <t>20068-06</t>
  </si>
  <si>
    <t>PI15 - Filestorage naar de Cloud fase 1</t>
  </si>
  <si>
    <t>-9550-Intern-Staf-20068\-06</t>
  </si>
  <si>
    <t>20068-07</t>
  </si>
  <si>
    <t>PI26 - Uitfaseren SQLsvr versies</t>
  </si>
  <si>
    <t>-9550-Intern-Staf-20068\-07</t>
  </si>
  <si>
    <t>20068-08</t>
  </si>
  <si>
    <t>PI64 - Vervanging Werkplekken fase 2</t>
  </si>
  <si>
    <t>-9550-Intern-Staf-20068\-08</t>
  </si>
  <si>
    <t>20068-09</t>
  </si>
  <si>
    <t>PI66 - Email voor en door derden</t>
  </si>
  <si>
    <t>-9550-Intern-Staf-20068\-09</t>
  </si>
  <si>
    <t>20068-10</t>
  </si>
  <si>
    <t>PI68 - Vernieuwen intranet</t>
  </si>
  <si>
    <t>-9550-Intern-Staf-20068\-10</t>
  </si>
  <si>
    <t>20068-11</t>
  </si>
  <si>
    <t>PI63 - IAM MIM Changes</t>
  </si>
  <si>
    <t>-9550-Intern-Staf-20068\-11</t>
  </si>
  <si>
    <t>20068-13</t>
  </si>
  <si>
    <t>PI70 - Identity &amp; accessmanagement</t>
  </si>
  <si>
    <t>-9550-Intern-Staf-20068\-13</t>
  </si>
  <si>
    <t>20068-14</t>
  </si>
  <si>
    <t>PI14 - Vervanging netwerk infra fase 3</t>
  </si>
  <si>
    <t>-9550-Intern-Staf-20068\-14</t>
  </si>
  <si>
    <t>20068-15</t>
  </si>
  <si>
    <t>PI07 - Filestorage</t>
  </si>
  <si>
    <t>-9550-Intern-Staf-20068\-15</t>
  </si>
  <si>
    <t>IVIT Infra</t>
  </si>
  <si>
    <t>3437</t>
  </si>
  <si>
    <t>Sander Vos</t>
  </si>
  <si>
    <t>20226</t>
  </si>
  <si>
    <t>ERP - vervanging</t>
  </si>
  <si>
    <t>ERP</t>
  </si>
  <si>
    <t>30565</t>
  </si>
  <si>
    <t>Marjan Heijink</t>
  </si>
  <si>
    <t>3057</t>
  </si>
  <si>
    <t>Arthur Weijers</t>
  </si>
  <si>
    <t>17525</t>
  </si>
  <si>
    <t>Boyd Burgers</t>
  </si>
  <si>
    <t>-9100---20226</t>
  </si>
  <si>
    <t>20226-01</t>
  </si>
  <si>
    <t>ERP - vervanging 2026</t>
  </si>
  <si>
    <t>-9100---20226\-01</t>
  </si>
  <si>
    <t>30224</t>
  </si>
  <si>
    <t>Toelatingstoets Lamark KT-IVIT</t>
  </si>
  <si>
    <t>2061</t>
  </si>
  <si>
    <t>-5310-TOM-OH-30224</t>
  </si>
  <si>
    <t>30297</t>
  </si>
  <si>
    <t>CIAM-PO</t>
  </si>
  <si>
    <t>3065</t>
  </si>
  <si>
    <t>Tijs Latiers</t>
  </si>
  <si>
    <t>-5110-Uitgeverij-PO-30297</t>
  </si>
  <si>
    <t>30516-0004</t>
  </si>
  <si>
    <t>NOT 2025</t>
  </si>
  <si>
    <t>30516</t>
  </si>
  <si>
    <t>3064</t>
  </si>
  <si>
    <t>-7040---30516\-0004</t>
  </si>
  <si>
    <t>30647</t>
  </si>
  <si>
    <t>36625</t>
  </si>
  <si>
    <t>3390</t>
  </si>
  <si>
    <t>-5310-TALEN-STEX-30647</t>
  </si>
  <si>
    <t>30646</t>
  </si>
  <si>
    <t>Stex BMT Licentie Beheer en Onderhoud</t>
  </si>
  <si>
    <t>-5310-TALEN-STEX-30646</t>
  </si>
  <si>
    <t>30645</t>
  </si>
  <si>
    <t>Uitbreiding NT2 niveautoetsen in eigen beheer</t>
  </si>
  <si>
    <t>-5310-TALEN--30645</t>
  </si>
  <si>
    <t>30652</t>
  </si>
  <si>
    <t>Talen/Nt2 algemeen</t>
  </si>
  <si>
    <t>-5310-TALEN--30652</t>
  </si>
  <si>
    <t>30649</t>
  </si>
  <si>
    <t>-5310-TALEN-STEX-30649</t>
  </si>
  <si>
    <t>30648</t>
  </si>
  <si>
    <t>Stex Nt2 afname beoordeling Spreken</t>
  </si>
  <si>
    <t>-5310-TALEN-STEX-30648</t>
  </si>
  <si>
    <t>30629</t>
  </si>
  <si>
    <t>NVT Bonaire MBO Proeftoets 2025</t>
  </si>
  <si>
    <t>-5310-TALEN-STEX-30629</t>
  </si>
  <si>
    <t>30629-0001</t>
  </si>
  <si>
    <t>-5310-TALEN-STEX-30629\-0001</t>
  </si>
  <si>
    <t>30650</t>
  </si>
  <si>
    <t>Stex Nt2 BMT ontwikkeling</t>
  </si>
  <si>
    <t>-5310-TALEN-STEX-30650</t>
  </si>
  <si>
    <t>30655</t>
  </si>
  <si>
    <t>Uitfasering Sitecore</t>
  </si>
  <si>
    <t>34815</t>
  </si>
  <si>
    <t>-6010---30655</t>
  </si>
  <si>
    <t>6010</t>
  </si>
  <si>
    <t>30655-0001</t>
  </si>
  <si>
    <t>Uitfasering Sitecore 2026</t>
  </si>
  <si>
    <t>-6010---30655\-0001</t>
  </si>
  <si>
    <t>30257</t>
  </si>
  <si>
    <t>NOT 2020</t>
  </si>
  <si>
    <t>-5610-Overige-Overig-30257</t>
  </si>
  <si>
    <t>30252</t>
  </si>
  <si>
    <t>Marketing en Communicatie</t>
  </si>
  <si>
    <t>-5610-Overige-Overig-30252</t>
  </si>
  <si>
    <t>30253</t>
  </si>
  <si>
    <t>2926</t>
  </si>
  <si>
    <t>-5610-Overige-Overig-30253</t>
  </si>
  <si>
    <t>30254</t>
  </si>
  <si>
    <t>3132</t>
  </si>
  <si>
    <t>Joppe Willems</t>
  </si>
  <si>
    <t>-5610-Overige-Overig-30254</t>
  </si>
  <si>
    <t>30626-0002</t>
  </si>
  <si>
    <t>Klant in beeld 2026</t>
  </si>
  <si>
    <t>30626</t>
  </si>
  <si>
    <t>25955</t>
  </si>
  <si>
    <t>37565</t>
  </si>
  <si>
    <t>Roel Bakker</t>
  </si>
  <si>
    <t>-7040---30626\-0002</t>
  </si>
  <si>
    <t>30621-0002</t>
  </si>
  <si>
    <t>Constructieplatform 2026</t>
  </si>
  <si>
    <t>30621</t>
  </si>
  <si>
    <t>41265</t>
  </si>
  <si>
    <t>-6010---30621\-0002</t>
  </si>
  <si>
    <t>30473-0006</t>
  </si>
  <si>
    <t>Carmel 2026</t>
  </si>
  <si>
    <t>30473</t>
  </si>
  <si>
    <t>19818</t>
  </si>
  <si>
    <t>Stichting Carmelcollege</t>
  </si>
  <si>
    <t>2000230</t>
  </si>
  <si>
    <t>36745</t>
  </si>
  <si>
    <t>-5121-TRAINCERTVO--30473\-0006</t>
  </si>
  <si>
    <t>5121</t>
  </si>
  <si>
    <t>30616-0001</t>
  </si>
  <si>
    <t>Afnames CDD ABN 2025</t>
  </si>
  <si>
    <t>30616</t>
  </si>
  <si>
    <t>10045334</t>
  </si>
  <si>
    <t>ABN AMRO  Bank N.V.</t>
  </si>
  <si>
    <t>2000278</t>
  </si>
  <si>
    <t>35055</t>
  </si>
  <si>
    <t>-5310-ZM-CDD-30616\-0001</t>
  </si>
  <si>
    <t>30396-0004</t>
  </si>
  <si>
    <t>Afnames ISSO LPA 2025</t>
  </si>
  <si>
    <t>-5310-ZM-ISSOLPA-30396\-0004</t>
  </si>
  <si>
    <t>30397-0004</t>
  </si>
  <si>
    <t>Afnames ISSO EPA 2025</t>
  </si>
  <si>
    <t>-5310-ZM-ISSOEPA-30397\-0004</t>
  </si>
  <si>
    <t>30410-0004</t>
  </si>
  <si>
    <t>Afnames NCTV 2025</t>
  </si>
  <si>
    <t>-5310-ZM-NCTV-30410\-0004</t>
  </si>
  <si>
    <t>30563-0002</t>
  </si>
  <si>
    <t>Afnames Vakmanschapsroutes 2025</t>
  </si>
  <si>
    <t>30563</t>
  </si>
  <si>
    <t>58876</t>
  </si>
  <si>
    <t>Vakmanschap Techniek</t>
  </si>
  <si>
    <t>2000269</t>
  </si>
  <si>
    <t>-5310-ZM-VAKMANROUTE-30563\-0002</t>
  </si>
  <si>
    <t>30399-0004</t>
  </si>
  <si>
    <t>Afnames NVHP 2025</t>
  </si>
  <si>
    <t>-5310-ZM-NVHP-30399\-0004</t>
  </si>
  <si>
    <t>30403-0005</t>
  </si>
  <si>
    <t>Afnames Medisch Rekenen 2025</t>
  </si>
  <si>
    <t>-5310-ZM-MEDREK-30403\-0005</t>
  </si>
  <si>
    <t>30411-0004</t>
  </si>
  <si>
    <t>Afnames PE-Elektrolassen 2025</t>
  </si>
  <si>
    <t>-5310-ZM-LASSER-30411\-0004</t>
  </si>
  <si>
    <t>30622</t>
  </si>
  <si>
    <t>CSFP-examen</t>
  </si>
  <si>
    <t>10021486</t>
  </si>
  <si>
    <t>Lamark</t>
  </si>
  <si>
    <t>2000282</t>
  </si>
  <si>
    <t>-5310-ZM--30622</t>
  </si>
  <si>
    <t>30622-0001</t>
  </si>
  <si>
    <t>CSFP-examen 2025</t>
  </si>
  <si>
    <t>-5310-ZM--30622\-0001</t>
  </si>
  <si>
    <t>30623</t>
  </si>
  <si>
    <t>ProRail examenontwikkeling</t>
  </si>
  <si>
    <t>10024995</t>
  </si>
  <si>
    <t>ProRail B.V.</t>
  </si>
  <si>
    <t>2000284</t>
  </si>
  <si>
    <t>-5310-ZM--30623</t>
  </si>
  <si>
    <t>30623-0001</t>
  </si>
  <si>
    <t>ProRail examenontwikkeling 2025</t>
  </si>
  <si>
    <t>-5310-ZM--30623\-0001</t>
  </si>
  <si>
    <t>30624</t>
  </si>
  <si>
    <t>Consultancy Zakelijke Markt</t>
  </si>
  <si>
    <t>-5310-ZM--30624</t>
  </si>
  <si>
    <t>30624-0001</t>
  </si>
  <si>
    <t>Consultancy Zakelijke Markt 2025</t>
  </si>
  <si>
    <t>-5310-ZM--30624\-0001</t>
  </si>
  <si>
    <t>30624-0002</t>
  </si>
  <si>
    <t>Zakelijke markt algemeen 2026</t>
  </si>
  <si>
    <t>-5310-ZM--30624\-0002</t>
  </si>
  <si>
    <t>30630</t>
  </si>
  <si>
    <t>CAT aanvraag NLQF</t>
  </si>
  <si>
    <t>10045781</t>
  </si>
  <si>
    <t>Stichting Geschilleninstantie Alternatieve Geneeswijzen</t>
  </si>
  <si>
    <t>2000289</t>
  </si>
  <si>
    <t>-5310-ZM--30630</t>
  </si>
  <si>
    <t>30630-0001</t>
  </si>
  <si>
    <t>CAT aanvraag NLQF 2025</t>
  </si>
  <si>
    <t>30398-0004</t>
  </si>
  <si>
    <t>Afnames Bodemenergie 2025</t>
  </si>
  <si>
    <t>-5310-ZM-BODEM-30398\-0004</t>
  </si>
  <si>
    <t>30381-0005</t>
  </si>
  <si>
    <t>CBR Afnamesysteem iTEC 2025</t>
  </si>
  <si>
    <t>-5310-ZM--30381\-0005</t>
  </si>
  <si>
    <t>30381-0006</t>
  </si>
  <si>
    <t>CBR Afnamesysteem iTEC 2026</t>
  </si>
  <si>
    <t>-5310-ZM--30381\-0006</t>
  </si>
  <si>
    <t>30598-0004</t>
  </si>
  <si>
    <t>VVN verkeersexamen 2025</t>
  </si>
  <si>
    <t>30598</t>
  </si>
  <si>
    <t>10028765</t>
  </si>
  <si>
    <t>Veilig Verkeer Nederland</t>
  </si>
  <si>
    <t>2000178</t>
  </si>
  <si>
    <t>38265</t>
  </si>
  <si>
    <t>Kim Hendriks - Cornelissen</t>
  </si>
  <si>
    <t>-5310-ZM--30598\-0004</t>
  </si>
  <si>
    <t>30631</t>
  </si>
  <si>
    <t>NCTV Nieuwe examens</t>
  </si>
  <si>
    <t>10045791</t>
  </si>
  <si>
    <t>MinJenV Directoraat-Generaal Straffen en Beschermen</t>
  </si>
  <si>
    <t>2000290</t>
  </si>
  <si>
    <t>-5310-ZM-NCTV-30631</t>
  </si>
  <si>
    <t>30631-0001</t>
  </si>
  <si>
    <t>NCTV Nieuwe examens 2025</t>
  </si>
  <si>
    <t>-5310-ZM-NCTV-30631\-0001</t>
  </si>
  <si>
    <t>Klant in Beeld</t>
  </si>
  <si>
    <t>-7040---30626</t>
  </si>
  <si>
    <t>30626-0001</t>
  </si>
  <si>
    <t>Klant in Beeld 2025</t>
  </si>
  <si>
    <t>-7040---30626\-0001</t>
  </si>
  <si>
    <t>30643-0001</t>
  </si>
  <si>
    <t>KLT innovatie 2026</t>
  </si>
  <si>
    <t>30643</t>
  </si>
  <si>
    <t>2931</t>
  </si>
  <si>
    <t>-5120---30643\-0001</t>
  </si>
  <si>
    <t>KLT innovatie</t>
  </si>
  <si>
    <t>-5120---30643</t>
  </si>
  <si>
    <t>30286</t>
  </si>
  <si>
    <t>Consultancy &amp; training item writing Vietnam 2020</t>
  </si>
  <si>
    <t>10044402</t>
  </si>
  <si>
    <t>Project Management Unit PMU-RGEP</t>
  </si>
  <si>
    <t>2000212</t>
  </si>
  <si>
    <t>-5220-TA-Int-30286</t>
  </si>
  <si>
    <t>30269</t>
  </si>
  <si>
    <t>Trainingen PO 2020</t>
  </si>
  <si>
    <t>3043</t>
  </si>
  <si>
    <t>Nynke Bakker</t>
  </si>
  <si>
    <t>-5210-TA-PO-30269</t>
  </si>
  <si>
    <t>30205</t>
  </si>
  <si>
    <t>Consultancy &amp; Training Kosovo 2010</t>
  </si>
  <si>
    <t>-5220-TA-Int-30205</t>
  </si>
  <si>
    <t>17245</t>
  </si>
  <si>
    <t>T&amp;A Ontwikkeling en Ondersteuning 2016-2018</t>
  </si>
  <si>
    <t>-5210-TA-MBO-17245</t>
  </si>
  <si>
    <t>17245-0003</t>
  </si>
  <si>
    <t>T&amp;A Ontwikkeling en Ondersteuning 2018</t>
  </si>
  <si>
    <t>-5210-TA-MBO-17245\-0003</t>
  </si>
  <si>
    <t>17732</t>
  </si>
  <si>
    <t>Certificering</t>
  </si>
  <si>
    <t>-5210-TA-MBO-17732</t>
  </si>
  <si>
    <t>17732-0003</t>
  </si>
  <si>
    <t>Certificering 2018 belast</t>
  </si>
  <si>
    <t>-5210-TA-MBO-17732\-0003</t>
  </si>
  <si>
    <t>17732-0003-0001</t>
  </si>
  <si>
    <t>Certificering 2018 belast - Cito</t>
  </si>
  <si>
    <t>-5210-TA-MBO-17732\-0003\-0001</t>
  </si>
  <si>
    <t>17732-0003-0002</t>
  </si>
  <si>
    <t>Certificering 2018 belast - Hogeschool INHOLLAND</t>
  </si>
  <si>
    <t>10023432</t>
  </si>
  <si>
    <t>Hogeschool INHOLLAND</t>
  </si>
  <si>
    <t>2000069</t>
  </si>
  <si>
    <t>-5210-TA-MBO-17732\-0003\-0002</t>
  </si>
  <si>
    <t>17732-0004</t>
  </si>
  <si>
    <t>Certificering 2018 vrij</t>
  </si>
  <si>
    <t>-5210-TA-MBO-17732\-0004</t>
  </si>
  <si>
    <t>17732-0004-0001</t>
  </si>
  <si>
    <t>Certificering 2018 vrij - Cito</t>
  </si>
  <si>
    <t>-5210-TA-MBO-17732\-0004\-0001</t>
  </si>
  <si>
    <t>17732-0004-0002</t>
  </si>
  <si>
    <t>Certificering 2018 vrij - Zuyd Hogeschool</t>
  </si>
  <si>
    <t>55831</t>
  </si>
  <si>
    <t>Zuyd Hogeschool, loc Nieuw-Eyckholt</t>
  </si>
  <si>
    <t>2000070</t>
  </si>
  <si>
    <t>-5210-TA-MBO-17732\-0004\-0002</t>
  </si>
  <si>
    <t>17732-0004-0003</t>
  </si>
  <si>
    <t>Certificering 2018 vrij - Institute for Housing and Urban De</t>
  </si>
  <si>
    <t>13306</t>
  </si>
  <si>
    <t>Institute for Housing and Urban Development Studies</t>
  </si>
  <si>
    <t>2000071</t>
  </si>
  <si>
    <t>-5210-TA-MBO-17732\-0004\-0003</t>
  </si>
  <si>
    <t>17732-0004-0004</t>
  </si>
  <si>
    <t>Certificering 2018 vrij - Hogeschool Inholland Domein Techni</t>
  </si>
  <si>
    <t>56967</t>
  </si>
  <si>
    <t>Hogeschool Inholland Domein Techniek Alkmaar</t>
  </si>
  <si>
    <t>2000072</t>
  </si>
  <si>
    <t>-5210-TA-MBO-17732\-0004\-0004</t>
  </si>
  <si>
    <t>17732-0004-0005</t>
  </si>
  <si>
    <t>Certificering 2018 vrij - Erasmus MC</t>
  </si>
  <si>
    <t>10023178</t>
  </si>
  <si>
    <t>Erasmus MC</t>
  </si>
  <si>
    <t>2000073</t>
  </si>
  <si>
    <t>-5210-TA-MBO-17732\-0004\-0005</t>
  </si>
  <si>
    <t>17732-0004-0006</t>
  </si>
  <si>
    <t>Certificering 2018 vrij - ROC van Amsterdam, MBO College Zui</t>
  </si>
  <si>
    <t>54561</t>
  </si>
  <si>
    <t>ROC van Amsterdam loc. MBO College Zuid</t>
  </si>
  <si>
    <t>2000074</t>
  </si>
  <si>
    <t>-5210-TA-MBO-17732\-0004\-0006</t>
  </si>
  <si>
    <t>17732-0004-0007</t>
  </si>
  <si>
    <t>Certificering 2018 vrij - Hoornbeeck College loc. Amersfoort</t>
  </si>
  <si>
    <t>39117</t>
  </si>
  <si>
    <t>Hoornbeeck College loc. Amersfoort</t>
  </si>
  <si>
    <t>2000075</t>
  </si>
  <si>
    <t>-5210-TA-MBO-17732\-0004\-0007</t>
  </si>
  <si>
    <t>17732-0004-0008</t>
  </si>
  <si>
    <t>Certificering 2018 vrij - Hogeschool de Kempel</t>
  </si>
  <si>
    <t>40743</t>
  </si>
  <si>
    <t>Hogeschool de Kempel</t>
  </si>
  <si>
    <t>2000076</t>
  </si>
  <si>
    <t>-5210-TA-MBO-17732\-0004\-0008</t>
  </si>
  <si>
    <t>17732-0004-0009</t>
  </si>
  <si>
    <t>Certificering 2018 vrij - Hogeschool IPABO Amsterdam/Alkmaar</t>
  </si>
  <si>
    <t>10021555</t>
  </si>
  <si>
    <t>Hogeschool IPABO Amsterdam/Alkmaar/Almere</t>
  </si>
  <si>
    <t>2000077</t>
  </si>
  <si>
    <t>-5210-TA-MBO-17732\-0004\-0009</t>
  </si>
  <si>
    <t>17732-0004-0010</t>
  </si>
  <si>
    <t>Certificering 2018 vrij - Hogeschool VIAA</t>
  </si>
  <si>
    <t>43139</t>
  </si>
  <si>
    <t>Hogeschool VIAA</t>
  </si>
  <si>
    <t>2000078</t>
  </si>
  <si>
    <t>-5210-TA-MBO-17732\-0004\-0010</t>
  </si>
  <si>
    <t>17736</t>
  </si>
  <si>
    <t>Consultancy</t>
  </si>
  <si>
    <t>-5210-TA-MBO-17736</t>
  </si>
  <si>
    <t>17736-0002</t>
  </si>
  <si>
    <t>Consultancy 2018</t>
  </si>
  <si>
    <t>-5210-TA-MBO-17736\-0002</t>
  </si>
  <si>
    <t>17736-0002-0001</t>
  </si>
  <si>
    <t>Consultancy 2018 - Cito</t>
  </si>
  <si>
    <t>-5210-TA-MBO-17736\-0002\-0001</t>
  </si>
  <si>
    <t>17736-0002-0002</t>
  </si>
  <si>
    <t>Consultancy 2018 - KNVB Academie</t>
  </si>
  <si>
    <t>56875</t>
  </si>
  <si>
    <t>KNVB Academie</t>
  </si>
  <si>
    <t>2000079</t>
  </si>
  <si>
    <t>-5210-TA-MBO-17736\-0002\-0002</t>
  </si>
  <si>
    <t>17736-0002-0003</t>
  </si>
  <si>
    <t>Consultancy 2018 - Friese Poort Academie</t>
  </si>
  <si>
    <t>47347</t>
  </si>
  <si>
    <t>ROC Friese Poort loc. De Eenhoorn</t>
  </si>
  <si>
    <t>2000080</t>
  </si>
  <si>
    <t>-5210-TA-MBO-17736\-0002\-0003</t>
  </si>
  <si>
    <t>17736-0002-0004</t>
  </si>
  <si>
    <t>Consultancy 2018 - CINOP Advies</t>
  </si>
  <si>
    <t>10042391</t>
  </si>
  <si>
    <t>CINOP Advies</t>
  </si>
  <si>
    <t>2000081</t>
  </si>
  <si>
    <t>-5210-TA-MBO-17736\-0002\-0004</t>
  </si>
  <si>
    <t>17736-0002-0005</t>
  </si>
  <si>
    <t>Consultancy 2018 - Hogeschool INHOLLAND loc. Alkmaar</t>
  </si>
  <si>
    <t>29543</t>
  </si>
  <si>
    <t>Hogeschool INHOLLAND loc. Alkmaar</t>
  </si>
  <si>
    <t>2000082</t>
  </si>
  <si>
    <t>-5210-TA-MBO-17736\-0002\-0005</t>
  </si>
  <si>
    <t>17736-0002-0006</t>
  </si>
  <si>
    <t>Consultancy 2018 - Hogeschool INHOLLAND</t>
  </si>
  <si>
    <t>2000083</t>
  </si>
  <si>
    <t>-5210-TA-MBO-17736\-0002\-0006</t>
  </si>
  <si>
    <t>17736-0002-0007</t>
  </si>
  <si>
    <t>Consultancy 2018 - Hogeschool Van Hall Larenstein</t>
  </si>
  <si>
    <t>51191</t>
  </si>
  <si>
    <t>Hogeschool Van Hall Larenstein</t>
  </si>
  <si>
    <t>2000084</t>
  </si>
  <si>
    <t>-5210-TA-MBO-17736\-0002\-0007</t>
  </si>
  <si>
    <t>17736-0002-0008</t>
  </si>
  <si>
    <t>Consultancy 2018 - Hogeschool van Arnhem en Nijmegen</t>
  </si>
  <si>
    <t>10023833</t>
  </si>
  <si>
    <t>Hogeschool van Arnhem en Nijmegen</t>
  </si>
  <si>
    <t>2000085</t>
  </si>
  <si>
    <t>-5210-TA-MBO-17736\-0002\-0008</t>
  </si>
  <si>
    <t>17736-0002-0009</t>
  </si>
  <si>
    <t>Consultancy 2018 - Centraal Bureau Rijvaardigheidsbewijzen</t>
  </si>
  <si>
    <t>10021543</t>
  </si>
  <si>
    <t>Centraal Bureau Rijvaardigheidsbewijzen</t>
  </si>
  <si>
    <t>2000086</t>
  </si>
  <si>
    <t>-5210-TA-MBO-17736\-0002\-0009</t>
  </si>
  <si>
    <t>17736-0002-0010</t>
  </si>
  <si>
    <t>Consultancy 2018 - Stichting CINOP Centrum voor innovatie va</t>
  </si>
  <si>
    <t>21562</t>
  </si>
  <si>
    <t>Stichting CINOP Centrum voor innovatie van opleidingen</t>
  </si>
  <si>
    <t>2000087</t>
  </si>
  <si>
    <t>-5210-TA-MBO-17736\-0002\-0010</t>
  </si>
  <si>
    <t>17736-0002-0011</t>
  </si>
  <si>
    <t>Consultancy 2018 - Stichting Platforms VMBO</t>
  </si>
  <si>
    <t>56670</t>
  </si>
  <si>
    <t>Stichting Platforms VMBO</t>
  </si>
  <si>
    <t>2000088</t>
  </si>
  <si>
    <t>-5210-TA-MBO-17736\-0002\-0011</t>
  </si>
  <si>
    <t>17736-0002-0012</t>
  </si>
  <si>
    <t>Consultancy 2018 - Hogeschool IPABO Amsterdam/Alkmaar/Almer</t>
  </si>
  <si>
    <t>2000089</t>
  </si>
  <si>
    <t>-5210-TA-MBO-17736\-0002\-0012</t>
  </si>
  <si>
    <t>17736-0002-0013</t>
  </si>
  <si>
    <t>Consultancy 2018 - Hogeschool Inholland Domein Techniek Alk</t>
  </si>
  <si>
    <t>2000090</t>
  </si>
  <si>
    <t>-5210-TA-MBO-17736\-0002\-0013</t>
  </si>
  <si>
    <t>17736-0002-0014</t>
  </si>
  <si>
    <t>Consultancy 2018 - Vereniging Hogescholen</t>
  </si>
  <si>
    <t>-5210-TA-MBO-17736\-0002\-0014</t>
  </si>
  <si>
    <t>17736-0002-0015</t>
  </si>
  <si>
    <t>Consultancy 2018 - ROC Leeuwenborgh</t>
  </si>
  <si>
    <t>55381</t>
  </si>
  <si>
    <t>Vista College loc. Arendstraat</t>
  </si>
  <si>
    <t>2000092</t>
  </si>
  <si>
    <t>-5210-TA-MBO-17736\-0002\-0015</t>
  </si>
  <si>
    <t>17736-0002-0016</t>
  </si>
  <si>
    <t>Consultancy 2018 - Hogeschool Leiden</t>
  </si>
  <si>
    <t>42866</t>
  </si>
  <si>
    <t>Hogeschool Leiden</t>
  </si>
  <si>
    <t>2000093</t>
  </si>
  <si>
    <t>-5210-TA-MBO-17736\-0002\-0016</t>
  </si>
  <si>
    <t>17736-0002-0017</t>
  </si>
  <si>
    <t>Consultancy 2018 - NCOI Opleidingsgroep</t>
  </si>
  <si>
    <t>10021564</t>
  </si>
  <si>
    <t>Professional Education B.V.</t>
  </si>
  <si>
    <t>2000094</t>
  </si>
  <si>
    <t>-5210-TA-MBO-17736\-0002\-0017</t>
  </si>
  <si>
    <t>17799</t>
  </si>
  <si>
    <t>Training</t>
  </si>
  <si>
    <t>-5210-TA-MBO-17799</t>
  </si>
  <si>
    <t>17799-0002</t>
  </si>
  <si>
    <t>Training 2018</t>
  </si>
  <si>
    <t>-5210-TA-MBO-17799\-0002</t>
  </si>
  <si>
    <t>17799-0002-0001</t>
  </si>
  <si>
    <t>Training 2018 - Cito</t>
  </si>
  <si>
    <t>-5210-TA-MBO-17799\-0002\-0001</t>
  </si>
  <si>
    <t>17799-0002-0002</t>
  </si>
  <si>
    <t>Training 2018 - ROC van Amsterdam MBO College West</t>
  </si>
  <si>
    <t>54492</t>
  </si>
  <si>
    <t>ROC van Amsterdam loc. MBO College West</t>
  </si>
  <si>
    <t>2000095</t>
  </si>
  <si>
    <t>-5210-TA-MBO-17799\-0002\-0002</t>
  </si>
  <si>
    <t>17799-0002-0003</t>
  </si>
  <si>
    <t>Training 2018 - Stichting ROC Midden Nederland</t>
  </si>
  <si>
    <t>54083</t>
  </si>
  <si>
    <t>Stichting ROC Midden Nederland</t>
  </si>
  <si>
    <t>2000096</t>
  </si>
  <si>
    <t>-5210-TA-MBO-17799\-0002\-0003</t>
  </si>
  <si>
    <t>17799-0002-0004</t>
  </si>
  <si>
    <t>Training 2018 - ROC van Amsterdam, MBO College Zuid</t>
  </si>
  <si>
    <t>2000097</t>
  </si>
  <si>
    <t>-5210-TA-MBO-17799\-0002\-0004</t>
  </si>
  <si>
    <t>17799-0002-0005</t>
  </si>
  <si>
    <t>Training 2018 - Stg. Fontys dienst F</t>
  </si>
  <si>
    <t>56480</t>
  </si>
  <si>
    <t>Fontys Hogescholen</t>
  </si>
  <si>
    <t>2000098</t>
  </si>
  <si>
    <t>-5210-TA-MBO-17799\-0002\-0005</t>
  </si>
  <si>
    <t>17799-0002-0006</t>
  </si>
  <si>
    <t>Training 2018 - Scheepvaart en Transport College</t>
  </si>
  <si>
    <t>23092</t>
  </si>
  <si>
    <t>STC mbo college Procestechniek &amp; Maintenance</t>
  </si>
  <si>
    <t>2000099</t>
  </si>
  <si>
    <t>-5210-TA-MBO-17799\-0002\-0006</t>
  </si>
  <si>
    <t>17799-0002-0007</t>
  </si>
  <si>
    <t>Training 2018 - Summa College</t>
  </si>
  <si>
    <t>10021352</t>
  </si>
  <si>
    <t>Summa College</t>
  </si>
  <si>
    <t>2000100</t>
  </si>
  <si>
    <t>-5210-TA-MBO-17799\-0002\-0007</t>
  </si>
  <si>
    <t>17799-0002-0008</t>
  </si>
  <si>
    <t>Training 2018 - Drenthe College</t>
  </si>
  <si>
    <t>48214</t>
  </si>
  <si>
    <t>Drenthe College</t>
  </si>
  <si>
    <t>2000101</t>
  </si>
  <si>
    <t>-5210-TA-MBO-17799\-0002\-0008</t>
  </si>
  <si>
    <t>17799-0002-0009</t>
  </si>
  <si>
    <t>Training 2018 - Boon Edam B.V.</t>
  </si>
  <si>
    <t>10042993</t>
  </si>
  <si>
    <t>Boon Edam B.V.</t>
  </si>
  <si>
    <t>2000102</t>
  </si>
  <si>
    <t>-5210-TA-MBO-17799\-0002\-0009</t>
  </si>
  <si>
    <t>17799-0002-0010</t>
  </si>
  <si>
    <t>Training 2018 - ROC West Brabant, Markiezaat College</t>
  </si>
  <si>
    <t>57583</t>
  </si>
  <si>
    <t>Curio loc. Nobellaan 50</t>
  </si>
  <si>
    <t>2000103</t>
  </si>
  <si>
    <t>-5210-TA-MBO-17799\-0002\-0010</t>
  </si>
  <si>
    <t>17799-0002-0011</t>
  </si>
  <si>
    <t>Training 2018 - Instituut Broers MBO College Tilburg</t>
  </si>
  <si>
    <t>32811</t>
  </si>
  <si>
    <t>Instituut Broers MBO College Tilburg</t>
  </si>
  <si>
    <t>2000104</t>
  </si>
  <si>
    <t>-5210-TA-MBO-17799\-0002\-0011</t>
  </si>
  <si>
    <t>17799-0002-0012</t>
  </si>
  <si>
    <t>Training 2018 - Onderwijsgroep Tilburg</t>
  </si>
  <si>
    <t>50377</t>
  </si>
  <si>
    <t>Onderwijsgroep Tilburg</t>
  </si>
  <si>
    <t>2000105</t>
  </si>
  <si>
    <t>-5210-TA-MBO-17799\-0002\-0012</t>
  </si>
  <si>
    <t>17799-0002-0013</t>
  </si>
  <si>
    <t>Training 2018 - Rijn IJssel College Sector Economie &amp; Uiterl</t>
  </si>
  <si>
    <t>31963</t>
  </si>
  <si>
    <t>Rijn IJssel loc. Thorbeckestraat</t>
  </si>
  <si>
    <t>2000106</t>
  </si>
  <si>
    <t>-5210-TA-MBO-17799\-0002\-0013</t>
  </si>
  <si>
    <t>17799-0002-0014</t>
  </si>
  <si>
    <t>Training 2018 - Leeuwenborgh Opleidingen</t>
  </si>
  <si>
    <t>10021542</t>
  </si>
  <si>
    <t>Leeuwenborgh Opleidingen</t>
  </si>
  <si>
    <t>2000107</t>
  </si>
  <si>
    <t>-5210-TA-MBO-17799\-0002\-0014</t>
  </si>
  <si>
    <t>17799-0002-0015</t>
  </si>
  <si>
    <t>Training 2018 - Zadkine</t>
  </si>
  <si>
    <t>32052</t>
  </si>
  <si>
    <t>ROC Zadkine loc. Prins Alexanderlaan</t>
  </si>
  <si>
    <t>2000108</t>
  </si>
  <si>
    <t>-5210-TA-MBO-17799\-0002\-0015</t>
  </si>
  <si>
    <t>17799-0002-0016</t>
  </si>
  <si>
    <t>Training 2018 - Stichting Voortgezet Onderwijs Kennemerl</t>
  </si>
  <si>
    <t>57768</t>
  </si>
  <si>
    <t>Stichting Voortgezet Onderwijs Kennemerland</t>
  </si>
  <si>
    <t>2000109</t>
  </si>
  <si>
    <t>-5210-TA-MBO-17799\-0002\-0016</t>
  </si>
  <si>
    <t>17799-0002-0017</t>
  </si>
  <si>
    <t>Training 2018 - Albeda College</t>
  </si>
  <si>
    <t>57020</t>
  </si>
  <si>
    <t>ROC Albeda College loc. Sportlaan</t>
  </si>
  <si>
    <t>2000110</t>
  </si>
  <si>
    <t>-5210-TA-MBO-17799\-0002\-0017</t>
  </si>
  <si>
    <t>17799-0002-0018</t>
  </si>
  <si>
    <t>Training 2018 - Friese Poort Academie</t>
  </si>
  <si>
    <t>2000111</t>
  </si>
  <si>
    <t>-5210-TA-MBO-17799\-0002\-0018</t>
  </si>
  <si>
    <t>17799-0002-0019</t>
  </si>
  <si>
    <t>Training 2018 - Arcus, Zorgacademie</t>
  </si>
  <si>
    <t>55557</t>
  </si>
  <si>
    <t>Vista College loc. Henri Dunantstraat</t>
  </si>
  <si>
    <t>2000112</t>
  </si>
  <si>
    <t>-5210-TA-MBO-17799\-0002\-0019</t>
  </si>
  <si>
    <t>17799-0002-0020</t>
  </si>
  <si>
    <t>Training 2018 - Kennispunt mbo onderwijs &amp; examinering</t>
  </si>
  <si>
    <t>56723</t>
  </si>
  <si>
    <t>Kennispunt mbo onderwijs &amp; examinering</t>
  </si>
  <si>
    <t>2000113</t>
  </si>
  <si>
    <t>-5210-TA-MBO-17799\-0002\-0020</t>
  </si>
  <si>
    <t>17799-0002-0021</t>
  </si>
  <si>
    <t>Training 2018 - ROC West-Brabant locatie Markiezaat Coll</t>
  </si>
  <si>
    <t>43978</t>
  </si>
  <si>
    <t>2000114</t>
  </si>
  <si>
    <t>-5210-TA-MBO-17799\-0002\-0021</t>
  </si>
  <si>
    <t>17799-0002-0022</t>
  </si>
  <si>
    <t>Training 2018 - ROC Leeuwenborgh Opleidingen</t>
  </si>
  <si>
    <t>51292</t>
  </si>
  <si>
    <t>Vista College loc. Sibemaweg</t>
  </si>
  <si>
    <t>2000115</t>
  </si>
  <si>
    <t>-5210-TA-MBO-17799\-0002\-0022</t>
  </si>
  <si>
    <t>17799-0002-0023</t>
  </si>
  <si>
    <t>Training 2018 - De Haagse Hogeschool</t>
  </si>
  <si>
    <t>28974</t>
  </si>
  <si>
    <t>De Haagse Hogeschool</t>
  </si>
  <si>
    <t>2000116</t>
  </si>
  <si>
    <t>-5210-TA-MBO-17799\-0002\-0023</t>
  </si>
  <si>
    <t>17799-0002-0024</t>
  </si>
  <si>
    <t>Training 2018 - IVO Deurne loc. Alfrink College</t>
  </si>
  <si>
    <t>30006</t>
  </si>
  <si>
    <t>IVO Deurne loc. Alfrink College</t>
  </si>
  <si>
    <t>2000117</t>
  </si>
  <si>
    <t>-5210-TA-MBO-17799\-0002\-0024</t>
  </si>
  <si>
    <t>17799-0002-0025</t>
  </si>
  <si>
    <t>Training 2018 - Leeuwenborgh Opleidingen Dienst Onderwij</t>
  </si>
  <si>
    <t>41091</t>
  </si>
  <si>
    <t>Vista College Dienst Onderwijsservices</t>
  </si>
  <si>
    <t>2000118</t>
  </si>
  <si>
    <t>-5210-TA-MBO-17799\-0002\-0025</t>
  </si>
  <si>
    <t>17799-0002-0026</t>
  </si>
  <si>
    <t>Training 2018 - MBO College Amstelland</t>
  </si>
  <si>
    <t>54564</t>
  </si>
  <si>
    <t>MBO College Amstelland</t>
  </si>
  <si>
    <t>2000119</t>
  </si>
  <si>
    <t>-5210-TA-MBO-17799\-0002\-0026</t>
  </si>
  <si>
    <t>17799-0002-0027</t>
  </si>
  <si>
    <t>Training 2018 - ROC Deltion College</t>
  </si>
  <si>
    <t>51282</t>
  </si>
  <si>
    <t>ROC Deltion College</t>
  </si>
  <si>
    <t>2000120</t>
  </si>
  <si>
    <t>-5210-TA-MBO-17799\-0002\-0027</t>
  </si>
  <si>
    <t>17799-0002-0028</t>
  </si>
  <si>
    <t>Training 2018 - Hogeschool Leiden</t>
  </si>
  <si>
    <t>2000121</t>
  </si>
  <si>
    <t>-5210-TA-MBO-17799\-0002\-0028</t>
  </si>
  <si>
    <t>17799-0002-0029</t>
  </si>
  <si>
    <t>33127</t>
  </si>
  <si>
    <t>Scheepvaart en Transport College</t>
  </si>
  <si>
    <t>2000122</t>
  </si>
  <si>
    <t>-5210-TA-MBO-17799\-0002\-0029</t>
  </si>
  <si>
    <t>17799-0002-0030</t>
  </si>
  <si>
    <t>Training 2018 - ROC Arcus College</t>
  </si>
  <si>
    <t>45786</t>
  </si>
  <si>
    <t>Vista College loc. Valkenburgerweg</t>
  </si>
  <si>
    <t>2000123</t>
  </si>
  <si>
    <t>-5210-TA-MBO-17799\-0002\-0030</t>
  </si>
  <si>
    <t>17799-0002-0031</t>
  </si>
  <si>
    <t>Training 2018 - Hogeschool VIAA</t>
  </si>
  <si>
    <t>2000124</t>
  </si>
  <si>
    <t>-5210-TA-MBO-17799\-0002\-0031</t>
  </si>
  <si>
    <t>17799-0002-0032</t>
  </si>
  <si>
    <t>Training 2018 - Nationaal Coördinator Terrorismebestrijding</t>
  </si>
  <si>
    <t>10024963</t>
  </si>
  <si>
    <t>Nationaal Coördinator Terrorismebestrijding en Veiligheid</t>
  </si>
  <si>
    <t>2000125</t>
  </si>
  <si>
    <t>-5210-TA-MBO-17799\-0002\-0032</t>
  </si>
  <si>
    <t>17799-0002-0033</t>
  </si>
  <si>
    <t>Training 2018 - Hoornbeeck College loc. Amersfoort</t>
  </si>
  <si>
    <t>2000126</t>
  </si>
  <si>
    <t>-5210-TA-MBO-17799\-0002\-0033</t>
  </si>
  <si>
    <t>17799-0002-0034</t>
  </si>
  <si>
    <t>Training 2018 - Stichting Platforms VMBO</t>
  </si>
  <si>
    <t>2000127</t>
  </si>
  <si>
    <t>-5210-TA-MBO-17799\-0002\-0034</t>
  </si>
  <si>
    <t>18531</t>
  </si>
  <si>
    <t>SPV ondersteuning redactieraadgroepen 2018</t>
  </si>
  <si>
    <t>2000183</t>
  </si>
  <si>
    <t>-5210-TA-MBO-18531</t>
  </si>
  <si>
    <t>18188</t>
  </si>
  <si>
    <t>RHDHV WEVER 2018</t>
  </si>
  <si>
    <t>2227</t>
  </si>
  <si>
    <t>Désirée Cammelbeeck</t>
  </si>
  <si>
    <t>-5320-TOM-TTV-18188</t>
  </si>
  <si>
    <t>18188-0001</t>
  </si>
  <si>
    <t>vooruitgefactureerd meerjarig project Cito</t>
  </si>
  <si>
    <t>-5320-TOM-TTV-18188\-0001</t>
  </si>
  <si>
    <t>18536</t>
  </si>
  <si>
    <t>Ondersteuning automatische toetssamenstelling</t>
  </si>
  <si>
    <t>-5320-TOM-TTV-18536</t>
  </si>
  <si>
    <t>30000</t>
  </si>
  <si>
    <t>CBR afnamesysteem iTEC 2018-2020</t>
  </si>
  <si>
    <t>-5320-TOM-TTV-30000</t>
  </si>
  <si>
    <t>30000-0001</t>
  </si>
  <si>
    <t>CBR afnamesysyteem iTEC 2018</t>
  </si>
  <si>
    <t>-5320-TOM-TTV-30000\-0001</t>
  </si>
  <si>
    <t>30261</t>
  </si>
  <si>
    <t>Marketing Toetsketens 2020</t>
  </si>
  <si>
    <t>-5320-TOM-Overig-30261</t>
  </si>
  <si>
    <t>30595-0002</t>
  </si>
  <si>
    <t>NBA vervolg 2025</t>
  </si>
  <si>
    <t>30595</t>
  </si>
  <si>
    <t>10027540</t>
  </si>
  <si>
    <t>Koninklijke NBA</t>
  </si>
  <si>
    <t>2000205</t>
  </si>
  <si>
    <t>-5310-ZM-NBA-30595\-0002</t>
  </si>
  <si>
    <t>30595-0003</t>
  </si>
  <si>
    <t>NBA vervolg 2026</t>
  </si>
  <si>
    <t>-5310-ZM-NBA-30595\-0003</t>
  </si>
  <si>
    <t>Peiling Burgerschap 2019-2020</t>
  </si>
  <si>
    <t>-5320-TOM-Overig-30174</t>
  </si>
  <si>
    <t>Peiling ICCS 2019-2023</t>
  </si>
  <si>
    <t>-5320-TOM-Overig-30190</t>
  </si>
  <si>
    <t>30504-0005</t>
  </si>
  <si>
    <t>Peiling Mens en Natuur 2026</t>
  </si>
  <si>
    <t>30504</t>
  </si>
  <si>
    <t>56868</t>
  </si>
  <si>
    <t>KBA Nijmegen</t>
  </si>
  <si>
    <t>2000243</t>
  </si>
  <si>
    <t>-5310-ONDERZOEK-PEIL-30504\-0005</t>
  </si>
  <si>
    <t>16984-0003</t>
  </si>
  <si>
    <t>Exploitatie CitoDrive 2018</t>
  </si>
  <si>
    <t>16984</t>
  </si>
  <si>
    <t>-5320-TOM-TTV-16984\-0003</t>
  </si>
  <si>
    <t>30271</t>
  </si>
  <si>
    <t>Ontwikkelkosten Toetsketens</t>
  </si>
  <si>
    <t>-5310-TOM-Overig-30271</t>
  </si>
  <si>
    <t>30206</t>
  </si>
  <si>
    <t>Consultancy &amp; Training Kenia 2020</t>
  </si>
  <si>
    <t>-5220-TA-Int-30206</t>
  </si>
  <si>
    <t>30288</t>
  </si>
  <si>
    <t>Diverse opbrengsten T&amp;A INT 2020</t>
  </si>
  <si>
    <t>-5220-TA-Int-30288</t>
  </si>
  <si>
    <t>30288-0001</t>
  </si>
  <si>
    <t>Study visit Kyrgyzstan feb. 2020</t>
  </si>
  <si>
    <t>58446</t>
  </si>
  <si>
    <t>State Institution Kyrgyztest</t>
  </si>
  <si>
    <t>2000213</t>
  </si>
  <si>
    <t>-5220-TA-Int-30288\-0001</t>
  </si>
  <si>
    <t>16984-0003-0001</t>
  </si>
  <si>
    <t>Exploitatie CitoDrive 2018, DriveTech International</t>
  </si>
  <si>
    <t>-5320-TOM-TTV-16984\-0003\-0001</t>
  </si>
  <si>
    <t>16984-0003-0002</t>
  </si>
  <si>
    <t>10028954</t>
  </si>
  <si>
    <t>Drive Tech (UK) Limited</t>
  </si>
  <si>
    <t>-5320-TOM-TTV-16984\-0003\-0002</t>
  </si>
  <si>
    <t>30258</t>
  </si>
  <si>
    <t>Marketing T&amp;A</t>
  </si>
  <si>
    <t>-5210-TA-Overig-30258</t>
  </si>
  <si>
    <t>17233</t>
  </si>
  <si>
    <t>HAN training 2016-2018</t>
  </si>
  <si>
    <t>-5210-TA-HO-17233</t>
  </si>
  <si>
    <t>17233-0003</t>
  </si>
  <si>
    <t>HAN training 2018</t>
  </si>
  <si>
    <t>10024828</t>
  </si>
  <si>
    <t>HAN Faculteit DT-EMR</t>
  </si>
  <si>
    <t>2000048</t>
  </si>
  <si>
    <t>-5210-TA-HO-17233\-0003</t>
  </si>
  <si>
    <t>17237</t>
  </si>
  <si>
    <t>VHL certificering 2016-2018</t>
  </si>
  <si>
    <t>-5210-TA-HO-17237</t>
  </si>
  <si>
    <t>17237-0003</t>
  </si>
  <si>
    <t>VHL certificering 2018</t>
  </si>
  <si>
    <t>51193</t>
  </si>
  <si>
    <t>Hogeschool Van Hall Larenstein Leeuwarden</t>
  </si>
  <si>
    <t>2000049</t>
  </si>
  <si>
    <t>-5210-TA-HO-17237\-0003</t>
  </si>
  <si>
    <t>17239</t>
  </si>
  <si>
    <t>VHL training 2016-2018</t>
  </si>
  <si>
    <t>-5210-TA-HO-17239</t>
  </si>
  <si>
    <t>17239-0003</t>
  </si>
  <si>
    <t>VHL training 2018</t>
  </si>
  <si>
    <t>-5210-TA-HO-17239\-0003</t>
  </si>
  <si>
    <t>17243</t>
  </si>
  <si>
    <t>Windesheim certificering 2016-2018</t>
  </si>
  <si>
    <t>-5210-TA-HO-17243</t>
  </si>
  <si>
    <t>17243-0003</t>
  </si>
  <si>
    <t>Windesheim certificering 2018</t>
  </si>
  <si>
    <t>54458</t>
  </si>
  <si>
    <t>Stg. Hogeschool Windesheim</t>
  </si>
  <si>
    <t>2000050</t>
  </si>
  <si>
    <t>-5210-TA-HO-17243\-0003</t>
  </si>
  <si>
    <t>17311</t>
  </si>
  <si>
    <t>Licentie-Questify CBR</t>
  </si>
  <si>
    <t>-5320-TOM-TTV-17311</t>
  </si>
  <si>
    <t>30035</t>
  </si>
  <si>
    <t>Denmark Biology course</t>
  </si>
  <si>
    <t>10043896</t>
  </si>
  <si>
    <t>The Ministry of Education Styrelsen for Undervisning OG Kvalitet</t>
  </si>
  <si>
    <t>2000195</t>
  </si>
  <si>
    <t>-5220-TA-Int-30035</t>
  </si>
  <si>
    <t>17186</t>
  </si>
  <si>
    <t>FFP 2016-2018</t>
  </si>
  <si>
    <t>-5320-TOM-FZD-17186</t>
  </si>
  <si>
    <t>17076</t>
  </si>
  <si>
    <t>NVHP hypothecaire planners 2016-2018</t>
  </si>
  <si>
    <t>-5320-TOM-FZD-17076</t>
  </si>
  <si>
    <t>17060</t>
  </si>
  <si>
    <t>PE toets 2016-2018</t>
  </si>
  <si>
    <t>-5320-TOM-FZD-17060</t>
  </si>
  <si>
    <t>17007</t>
  </si>
  <si>
    <t>Logistieke trajecten ISSO 2016-2018</t>
  </si>
  <si>
    <t>-5320-TOM-TTV-17007</t>
  </si>
  <si>
    <t>17000</t>
  </si>
  <si>
    <t>Logistieke bodemenergie 2016-2018</t>
  </si>
  <si>
    <t>-5320-TOM-TTV-17000</t>
  </si>
  <si>
    <t>16990</t>
  </si>
  <si>
    <t>Examenlogistiek BAL en CPHb 2016-2018</t>
  </si>
  <si>
    <t>-5320-TOM-TTV-16990</t>
  </si>
  <si>
    <t>Exploitatie CitoDrive 2016-2018</t>
  </si>
  <si>
    <t>2133</t>
  </si>
  <si>
    <t>Aranka Krechting</t>
  </si>
  <si>
    <t>-5320-TOM-TTV-16984</t>
  </si>
  <si>
    <t>17777</t>
  </si>
  <si>
    <t>Logistieke EPA</t>
  </si>
  <si>
    <t>-5320-TOM-TTV-17777</t>
  </si>
  <si>
    <t>17049</t>
  </si>
  <si>
    <t>Onderhoud examens Telecom Cai 2016-2018</t>
  </si>
  <si>
    <t>-5320-TOM-TTV-17049</t>
  </si>
  <si>
    <t>16986</t>
  </si>
  <si>
    <t>Logistieke Telecom CAI 2016-2018</t>
  </si>
  <si>
    <t>-5320-TOM-TTV-16986</t>
  </si>
  <si>
    <t>17193</t>
  </si>
  <si>
    <t>Argus ondersteuning en onderhoud 2016-2018</t>
  </si>
  <si>
    <t>-5320-TOM-Overig-17193</t>
  </si>
  <si>
    <t>16988</t>
  </si>
  <si>
    <t>NGS computerafname 2016-2018</t>
  </si>
  <si>
    <t>-5320-TOM-ZORG-16988</t>
  </si>
  <si>
    <t>17033</t>
  </si>
  <si>
    <t>Toets buitenlands verpleegkundigen 2016-2018</t>
  </si>
  <si>
    <t>-5320-TOM-ZORG-17033</t>
  </si>
  <si>
    <t>30218</t>
  </si>
  <si>
    <t>Nog te verwerven omzet T&amp;A Int. 2020</t>
  </si>
  <si>
    <t>-5220-TA-Int-30218</t>
  </si>
  <si>
    <t>30207</t>
  </si>
  <si>
    <t>-5220-TA-Int-30207</t>
  </si>
  <si>
    <t>30208</t>
  </si>
  <si>
    <t>Activiteiten diverse projecten (data en aansluiting POK)</t>
  </si>
  <si>
    <t>-5220-TA-Int-30208</t>
  </si>
  <si>
    <t>17621</t>
  </si>
  <si>
    <t>-5320-TOM-TTV-17621</t>
  </si>
  <si>
    <t>17027</t>
  </si>
  <si>
    <t>BOA OV 2016-2018</t>
  </si>
  <si>
    <t>-5320-TOM-TTV-17027</t>
  </si>
  <si>
    <t>30305</t>
  </si>
  <si>
    <t>ETE Ontwikkeling volgtoetsen Ned/Pap 2020</t>
  </si>
  <si>
    <t>-5220-TA-Int-30305</t>
  </si>
  <si>
    <t>30307</t>
  </si>
  <si>
    <t>ETE VT R&amp;W Ondersteuning Analyses rapportages 2020</t>
  </si>
  <si>
    <t>-5220-TA-Int-30307</t>
  </si>
  <si>
    <t>30292</t>
  </si>
  <si>
    <t>Ontwikkeling Volgtoetsen Algemeen ETE Deel I 2020</t>
  </si>
  <si>
    <t>-5220-TA-Int-30292</t>
  </si>
  <si>
    <t>30190-0002</t>
  </si>
  <si>
    <t>Peiling ICCS 2020</t>
  </si>
  <si>
    <t>-5320-TOM-Overig-30190\-0002</t>
  </si>
  <si>
    <t>30237</t>
  </si>
  <si>
    <t>NBA Kennistoets 2020</t>
  </si>
  <si>
    <t>-5320-TOM-Overig-30237</t>
  </si>
  <si>
    <t>30195</t>
  </si>
  <si>
    <t>LVS 4.0 Digitale geletterdheid 2020</t>
  </si>
  <si>
    <t>-5110-Uitgeverij-PO-30195</t>
  </si>
  <si>
    <t>30238</t>
  </si>
  <si>
    <t>AVI CILT Leesplein 2020</t>
  </si>
  <si>
    <t>-5110-Uitgeverij-PO-30238</t>
  </si>
  <si>
    <t>30241</t>
  </si>
  <si>
    <t>LVS Exploitatie 2020</t>
  </si>
  <si>
    <t>-5110-Uitgeverij-PO-30241</t>
  </si>
  <si>
    <t>30246</t>
  </si>
  <si>
    <t>Kleuter in beeld 2020</t>
  </si>
  <si>
    <t>-5110-Uitgeverij-PO-30246</t>
  </si>
  <si>
    <t>30247</t>
  </si>
  <si>
    <t>LVS Woordenschat 2020</t>
  </si>
  <si>
    <t>-5110-Uitgeverij-PO-30247</t>
  </si>
  <si>
    <t>30248</t>
  </si>
  <si>
    <t>LVS DMT en AVI</t>
  </si>
  <si>
    <t>-5110-Uitgeverij-PO-30248</t>
  </si>
  <si>
    <t>30249</t>
  </si>
  <si>
    <t>Groeimeter 2020</t>
  </si>
  <si>
    <t>-5110-Uitgeverij-PO-30249</t>
  </si>
  <si>
    <t>18069-0001</t>
  </si>
  <si>
    <t>Groeimeter 2018</t>
  </si>
  <si>
    <t>18069</t>
  </si>
  <si>
    <t>-5110-Uitgeverij-PO-18069\-0001</t>
  </si>
  <si>
    <t>30193</t>
  </si>
  <si>
    <t>LVS 4.0 Engels 2020</t>
  </si>
  <si>
    <t>-5110-Uitgeverij-PO-30193</t>
  </si>
  <si>
    <t>30194</t>
  </si>
  <si>
    <t>LVS 4.0 Begrijpend lezen 2020</t>
  </si>
  <si>
    <t>-5110-Uitgeverij-PO-30194</t>
  </si>
  <si>
    <t>18184-0001</t>
  </si>
  <si>
    <t>18184</t>
  </si>
  <si>
    <t>-5310-TOM-OH-18184\-0001</t>
  </si>
  <si>
    <t>16998</t>
  </si>
  <si>
    <t>STEX onderzoek 2016-2018</t>
  </si>
  <si>
    <t>-5310-TOM-OH-16998</t>
  </si>
  <si>
    <t>16994</t>
  </si>
  <si>
    <t>STEX ontwikkeling 2016-2018</t>
  </si>
  <si>
    <t>-5310-TOM-OH-16994</t>
  </si>
  <si>
    <t>16994-0004</t>
  </si>
  <si>
    <t>STEX meerwerk unieke examens 2018</t>
  </si>
  <si>
    <t>-5310-TOM-OH-16994\-0004</t>
  </si>
  <si>
    <t>16994-0005</t>
  </si>
  <si>
    <t>STEX meerwerk unieke examens 2018, 2</t>
  </si>
  <si>
    <t>-5310-TOM-OH-16994\-0005</t>
  </si>
  <si>
    <t>16996</t>
  </si>
  <si>
    <t>STEX beoordelaarstraining 2016-2018</t>
  </si>
  <si>
    <t>-5310-TOM-OH-16996</t>
  </si>
  <si>
    <t>16992</t>
  </si>
  <si>
    <t>STEX afnametraject 2016-2018</t>
  </si>
  <si>
    <t>-5310-TOM-OH-16992</t>
  </si>
  <si>
    <t>30267</t>
  </si>
  <si>
    <t>Eindtoets PO 2020</t>
  </si>
  <si>
    <t>-5110-Uitgeverij-PO-30267</t>
  </si>
  <si>
    <t>30290</t>
  </si>
  <si>
    <t>ICT PO 2020</t>
  </si>
  <si>
    <t>-5110-Uitgeverij-PO-30290</t>
  </si>
  <si>
    <t>30196</t>
  </si>
  <si>
    <t>Entreetoets 2020</t>
  </si>
  <si>
    <t>-5110-Uitgeverij-PO-30196</t>
  </si>
  <si>
    <t>30197</t>
  </si>
  <si>
    <t>LVS 4.0 Rekenen-Wiskunde 2020</t>
  </si>
  <si>
    <t>-5110-Uitgeverij-PO-30197</t>
  </si>
  <si>
    <t>30198</t>
  </si>
  <si>
    <t>LVS 4.0 Taalverzorging 2020</t>
  </si>
  <si>
    <t>-5110-Uitgeverij-PO-30198</t>
  </si>
  <si>
    <t>17045</t>
  </si>
  <si>
    <t>Kazachstan Selection Test 2016-2018</t>
  </si>
  <si>
    <t>1178</t>
  </si>
  <si>
    <t>Cor Sluijter</t>
  </si>
  <si>
    <t>-5220-TA-Int-17045</t>
  </si>
  <si>
    <t>17037</t>
  </si>
  <si>
    <t>Consultancy IBE Zwitserland 2016-2018</t>
  </si>
  <si>
    <t>-5220-TA-Int-17037</t>
  </si>
  <si>
    <t>17039</t>
  </si>
  <si>
    <t>Consultancy NFER National Reference Test UK 2016-2018</t>
  </si>
  <si>
    <t>-5220-TA-Int-17039</t>
  </si>
  <si>
    <t>18339</t>
  </si>
  <si>
    <t>Erasmus advise me 2018</t>
  </si>
  <si>
    <t>43171</t>
  </si>
  <si>
    <t>Open Universiteit</t>
  </si>
  <si>
    <t>2000139</t>
  </si>
  <si>
    <t>-5310-TOM-HO-18339</t>
  </si>
  <si>
    <t>18339-0001</t>
  </si>
  <si>
    <t>-5310-TOM-HO-18339\-0001</t>
  </si>
  <si>
    <t>18532</t>
  </si>
  <si>
    <t>OCCAM 2018-2021</t>
  </si>
  <si>
    <t>58005</t>
  </si>
  <si>
    <t>Technische Universität Dortmund</t>
  </si>
  <si>
    <t>-5310-TOM-HO-18532</t>
  </si>
  <si>
    <t>30586-0003</t>
  </si>
  <si>
    <t>LIB VO, scenario 26 2026</t>
  </si>
  <si>
    <t>30586</t>
  </si>
  <si>
    <t>-5120---30586\-0003</t>
  </si>
  <si>
    <t>30596-0002-0001</t>
  </si>
  <si>
    <t>Naturalisatie Caribische aanb 2025 facturatie</t>
  </si>
  <si>
    <t>30596-0002</t>
  </si>
  <si>
    <t>10045689</t>
  </si>
  <si>
    <t>Ministerie Asiel en Migratie</t>
  </si>
  <si>
    <t>2000286</t>
  </si>
  <si>
    <t>10895</t>
  </si>
  <si>
    <t>-5310-TALEN-NATURALISATIE-30596\-0002\-0001</t>
  </si>
  <si>
    <t>30214</t>
  </si>
  <si>
    <t>Stex Onderzoek 2020 - samengevoegd met 30215</t>
  </si>
  <si>
    <t>-5310-TOM-OH-30214</t>
  </si>
  <si>
    <t>30215</t>
  </si>
  <si>
    <t>Stex Nt2 Afname 2020 vaste kosten</t>
  </si>
  <si>
    <t>-5310-TOM-OH-30215</t>
  </si>
  <si>
    <t>30217</t>
  </si>
  <si>
    <t>Stex - afname variabele kosten</t>
  </si>
  <si>
    <t>-5310-TOM-OH-30217</t>
  </si>
  <si>
    <t>30219</t>
  </si>
  <si>
    <t>Stex Nt2 Ontwikkeling 3 reguliere examens 2020</t>
  </si>
  <si>
    <t>-5310-TOM-OH-30219</t>
  </si>
  <si>
    <t>30223</t>
  </si>
  <si>
    <t>Stex Nt2 BMT 2020</t>
  </si>
  <si>
    <t>-5310-TOM-OH-30223</t>
  </si>
  <si>
    <t>30225</t>
  </si>
  <si>
    <t>Stex Nt2 ontwikkeling 5 extra examens 2020</t>
  </si>
  <si>
    <t>-5310-TOM-OH-30225</t>
  </si>
  <si>
    <t>17043</t>
  </si>
  <si>
    <t>Kazachstan Monitoring Mathematics 2016-2018</t>
  </si>
  <si>
    <t>-5220-TA-Int-17043</t>
  </si>
  <si>
    <t>17041</t>
  </si>
  <si>
    <t>Kazachstan Monitoring Languages 2016-2018</t>
  </si>
  <si>
    <t>2547</t>
  </si>
  <si>
    <t>Jesse Koops</t>
  </si>
  <si>
    <t>-5220-TA-Int-17041</t>
  </si>
  <si>
    <t>18341</t>
  </si>
  <si>
    <t>Training Innovalangues Grenoble 2018</t>
  </si>
  <si>
    <t>57569</t>
  </si>
  <si>
    <t>Innovalangues Université Grenoble Alpes (UGA) DGD Formation – Services des Langues</t>
  </si>
  <si>
    <t>2000141</t>
  </si>
  <si>
    <t>-5220-TA-Int-18341</t>
  </si>
  <si>
    <t>18341-0001</t>
  </si>
  <si>
    <t>nog te factureren meerjarig project 2017</t>
  </si>
  <si>
    <t>-5220-TA-Int-18341\-0001</t>
  </si>
  <si>
    <t>18342</t>
  </si>
  <si>
    <t>Training Hanoi Vietnam 2018</t>
  </si>
  <si>
    <t>10043135</t>
  </si>
  <si>
    <t>Vietnam Education Technology Development Co. LTD.</t>
  </si>
  <si>
    <t>2000142</t>
  </si>
  <si>
    <t>-5220-TA-Int-18342</t>
  </si>
  <si>
    <t>18342-0001</t>
  </si>
  <si>
    <t>-5220-TA-Int-18342\-0001</t>
  </si>
  <si>
    <t>18344</t>
  </si>
  <si>
    <t>Training PISA like items NIS 2018</t>
  </si>
  <si>
    <t>-5220-TA-Int-18344</t>
  </si>
  <si>
    <t>18344-0001</t>
  </si>
  <si>
    <t>vooruitgefactureerd meerjarig project</t>
  </si>
  <si>
    <t>-5220-TA-Int-18344\-0001</t>
  </si>
  <si>
    <t>18345</t>
  </si>
  <si>
    <t>Training Item Bank for Lecturers Hue Vietnam 2018</t>
  </si>
  <si>
    <t>10029017</t>
  </si>
  <si>
    <t>Hue University of Foreign Languages</t>
  </si>
  <si>
    <t>2000144</t>
  </si>
  <si>
    <t>-5220-TA-Int-18345</t>
  </si>
  <si>
    <t>18345-0001</t>
  </si>
  <si>
    <t>-5220-TA-Int-18345\-0001</t>
  </si>
  <si>
    <t>18346</t>
  </si>
  <si>
    <t>Leveren ordners Volgtoetsen 2018</t>
  </si>
  <si>
    <t>-5220-TA-Int-18346</t>
  </si>
  <si>
    <t>18346-0001</t>
  </si>
  <si>
    <t>-5220-TA-Int-18346\-0001</t>
  </si>
  <si>
    <t>18439</t>
  </si>
  <si>
    <t>Diverse opbrengsten CI 2018</t>
  </si>
  <si>
    <t>-5220-TA-Int-18439</t>
  </si>
  <si>
    <t>18439-0001</t>
  </si>
  <si>
    <t>Training Rusland Januari 2018</t>
  </si>
  <si>
    <t>57749</t>
  </si>
  <si>
    <t>National Research University ‘Higher School of Economics’</t>
  </si>
  <si>
    <t>2000147</t>
  </si>
  <si>
    <t>-5220-TA-Int-18439\-0001</t>
  </si>
  <si>
    <t>18503-0001</t>
  </si>
  <si>
    <t>PISA 2021 Nationaal</t>
  </si>
  <si>
    <t>18503</t>
  </si>
  <si>
    <t>-5220-TA-Int-18503\-0001</t>
  </si>
  <si>
    <t>18510</t>
  </si>
  <si>
    <t>Cesuur- en Normvaststelling CE 2018 ETE</t>
  </si>
  <si>
    <t>-5220-TA-Int-18510</t>
  </si>
  <si>
    <t>18488</t>
  </si>
  <si>
    <t>Organisatie AEA-Europe Conference Nederland 2018</t>
  </si>
  <si>
    <t>10025446</t>
  </si>
  <si>
    <t>AEA Europe</t>
  </si>
  <si>
    <t>2000174</t>
  </si>
  <si>
    <t>-5220-TA-Int-18488</t>
  </si>
  <si>
    <t>18439-0003</t>
  </si>
  <si>
    <t>Cursus Brussel Math Sept 2018</t>
  </si>
  <si>
    <t>57571</t>
  </si>
  <si>
    <t>Inspectie van Onderwijs, afd. Europese Scholen</t>
  </si>
  <si>
    <t>2000149</t>
  </si>
  <si>
    <t>-5220-TA-Int-18439\-0003</t>
  </si>
  <si>
    <t>18439-0004</t>
  </si>
  <si>
    <t>Questify Kazachstan 2018</t>
  </si>
  <si>
    <t>-5220-TA-Int-18439\-0004</t>
  </si>
  <si>
    <t>18439-0005</t>
  </si>
  <si>
    <t>SEAB Workshop May 2018</t>
  </si>
  <si>
    <t>10022139</t>
  </si>
  <si>
    <t>Singapore Examaminations and Assessment Board</t>
  </si>
  <si>
    <t>2000150</t>
  </si>
  <si>
    <t>-5220-TA-Int-18439\-0005</t>
  </si>
  <si>
    <t>18439-0006</t>
  </si>
  <si>
    <t>Cursus CICED Russia May 2018</t>
  </si>
  <si>
    <t>10022136</t>
  </si>
  <si>
    <t>The World Bank Russia</t>
  </si>
  <si>
    <t>2000151</t>
  </si>
  <si>
    <t>-5220-TA-Int-18439\-0006</t>
  </si>
  <si>
    <t>17037-0003</t>
  </si>
  <si>
    <t>Consultancy IBE Zwitserland 2018</t>
  </si>
  <si>
    <t>-5220-TA-Int-17037\-0003</t>
  </si>
  <si>
    <t>17039-0003</t>
  </si>
  <si>
    <t>Consultancy NFER NRT UK 2018</t>
  </si>
  <si>
    <t>EU-I</t>
  </si>
  <si>
    <t>-5220-TA-Int-17039\-0003</t>
  </si>
  <si>
    <t>18340</t>
  </si>
  <si>
    <t>Consultancy CAT algorithm Wales 2018</t>
  </si>
  <si>
    <t>-5220-TA-Int-18340</t>
  </si>
  <si>
    <t>18340-0001</t>
  </si>
  <si>
    <t>-5220-TA-Int-18340\-0001</t>
  </si>
  <si>
    <t>18343</t>
  </si>
  <si>
    <t>INVALSI Test assembly Italië 2018</t>
  </si>
  <si>
    <t>2000143</t>
  </si>
  <si>
    <t>-5220-TA-Int-18343</t>
  </si>
  <si>
    <t>18343-0001</t>
  </si>
  <si>
    <t>-5220-TA-Int-18343\-0001</t>
  </si>
  <si>
    <t>Diverse offertes CI 2018</t>
  </si>
  <si>
    <t>-5220-TA-Int-18503</t>
  </si>
  <si>
    <t>18475</t>
  </si>
  <si>
    <t>Conferences  en acquisitie CI 2018</t>
  </si>
  <si>
    <t>-5220-TA-Int-18475</t>
  </si>
  <si>
    <t>18475-0001</t>
  </si>
  <si>
    <t>ATP Conference 2018</t>
  </si>
  <si>
    <t>-5220-TA-Int-18475\-0001</t>
  </si>
  <si>
    <t>18475-0002</t>
  </si>
  <si>
    <t>E-ATP Conference 2018</t>
  </si>
  <si>
    <t>-5220-TA-Int-18475\-0002</t>
  </si>
  <si>
    <t>18475-0003</t>
  </si>
  <si>
    <t>IAEA &amp; AEAA Conference 2018</t>
  </si>
  <si>
    <t>-5220-TA-Int-18475\-0003</t>
  </si>
  <si>
    <t>18475-0004</t>
  </si>
  <si>
    <t>AEA-Europe conference 2018</t>
  </si>
  <si>
    <t>-5220-TA-Int-18475\-0004</t>
  </si>
  <si>
    <t>18475-0005</t>
  </si>
  <si>
    <t>Acquisitie CI 2018</t>
  </si>
  <si>
    <t>-5220-TA-Int-18475\-0005</t>
  </si>
  <si>
    <t>18439-0002</t>
  </si>
  <si>
    <t>Consultancy analyse kwaliteit examenvragen GOCA-België</t>
  </si>
  <si>
    <t>10021560</t>
  </si>
  <si>
    <t>GOCA</t>
  </si>
  <si>
    <t>2000148</t>
  </si>
  <si>
    <t>-5220-TA-Int-18439\-0002</t>
  </si>
  <si>
    <t>18439-0007</t>
  </si>
  <si>
    <t>Training Equating test with IRT C&amp;G</t>
  </si>
  <si>
    <t>10021742</t>
  </si>
  <si>
    <t>City &amp; Guilds Of London Institute</t>
  </si>
  <si>
    <t>2000188</t>
  </si>
  <si>
    <t>EU</t>
  </si>
  <si>
    <t>-5220-TA-Int-18439\-0007</t>
  </si>
  <si>
    <t>18439-0008</t>
  </si>
  <si>
    <t>Training Chili</t>
  </si>
  <si>
    <t>58024</t>
  </si>
  <si>
    <t>Ministry of Education Chile, Unit Curriculum and Assessment</t>
  </si>
  <si>
    <t>2000190</t>
  </si>
  <si>
    <t>EX</t>
  </si>
  <si>
    <t>-5220-TA-Int-18439\-0008</t>
  </si>
  <si>
    <t>17043-0003</t>
  </si>
  <si>
    <t>Kazachstan Monitoring Mathematics 2018</t>
  </si>
  <si>
    <t>-5220-TA-Int-17043\-0003</t>
  </si>
  <si>
    <t>18474</t>
  </si>
  <si>
    <t>Consultancy &amp; Training Kyrgystan</t>
  </si>
  <si>
    <t>10043281</t>
  </si>
  <si>
    <t>The World Bank</t>
  </si>
  <si>
    <t>2000173</t>
  </si>
  <si>
    <t>-5220-TA-Int-18474</t>
  </si>
  <si>
    <t>18512</t>
  </si>
  <si>
    <t>Ondersteuning EFO 2018-2019 ETE</t>
  </si>
  <si>
    <t>-5220-TA-Int-18512</t>
  </si>
  <si>
    <t>17045-0003</t>
  </si>
  <si>
    <t>Kazachstan Selection Test 2018</t>
  </si>
  <si>
    <t>-5220-TA-Int-17045\-0003</t>
  </si>
  <si>
    <t>30299</t>
  </si>
  <si>
    <t>-5120-Uitgeverij-VO-30299</t>
  </si>
  <si>
    <t>30031</t>
  </si>
  <si>
    <t>Pilot ANS KLT 2018</t>
  </si>
  <si>
    <t>-5130-Uitgeverij-VO-30031</t>
  </si>
  <si>
    <t>18242</t>
  </si>
  <si>
    <t>Ondersteuning Volgtoetsen II R/W ETE</t>
  </si>
  <si>
    <t>-5220-TA-Int-18242</t>
  </si>
  <si>
    <t>18242-0001</t>
  </si>
  <si>
    <t>-5220-TA-Int-18242\-0001</t>
  </si>
  <si>
    <t>18338</t>
  </si>
  <si>
    <t>Ontwikkelen Volgtoetsen Papiaumentu en Nederlands 2018</t>
  </si>
  <si>
    <t>-5220-TA-Int-18338</t>
  </si>
  <si>
    <t>18338-0001</t>
  </si>
  <si>
    <t>-5220-TA-Int-18338\-0001</t>
  </si>
  <si>
    <t>17041-0003</t>
  </si>
  <si>
    <t>Kazachstan Monitoring Languages 2018</t>
  </si>
  <si>
    <t>-5220-TA-Int-17041\-0003</t>
  </si>
  <si>
    <t>18533</t>
  </si>
  <si>
    <t>-5220-TA-Int-18533</t>
  </si>
  <si>
    <t>18439-0009</t>
  </si>
  <si>
    <t>Consultancy EU WG NMS</t>
  </si>
  <si>
    <t>56856</t>
  </si>
  <si>
    <t>European Schools – Office of he Secretary-General</t>
  </si>
  <si>
    <t>2000197</t>
  </si>
  <si>
    <t>-5220-TA-Int-18439\-0009</t>
  </si>
  <si>
    <t>30236</t>
  </si>
  <si>
    <t>exploitatie CVVO 2020</t>
  </si>
  <si>
    <t>-5120-Uitgeverij-VO-30236</t>
  </si>
  <si>
    <t>30264</t>
  </si>
  <si>
    <t>-5120-Uitgeverij-VO-30264</t>
  </si>
  <si>
    <t>30298</t>
  </si>
  <si>
    <t>CVVO IVIT deel 1</t>
  </si>
  <si>
    <t>-5120-Uitgeverij-VO-30298</t>
  </si>
  <si>
    <t>17009</t>
  </si>
  <si>
    <t>Toets Verpleegkundig Rekenen 2016-2018</t>
  </si>
  <si>
    <t>-5320-TOM-ZORG-17009</t>
  </si>
  <si>
    <t>18256</t>
  </si>
  <si>
    <t>Consultancy &amp; Training Peru 2018</t>
  </si>
  <si>
    <t>56693</t>
  </si>
  <si>
    <t>Unidad Ejecutora De la Educación Básica</t>
  </si>
  <si>
    <t>2000135</t>
  </si>
  <si>
    <t>-5220-TA-Int-18256</t>
  </si>
  <si>
    <t>18256-0001</t>
  </si>
  <si>
    <t>-5220-TA-Int-18256\-0001</t>
  </si>
  <si>
    <t>30239</t>
  </si>
  <si>
    <t>KLT Engels 2020</t>
  </si>
  <si>
    <t>-5130-Uitgeverij-VO-30239</t>
  </si>
  <si>
    <t>30240</t>
  </si>
  <si>
    <t>KLT Duits 2020</t>
  </si>
  <si>
    <t>-5130-Uitgeverij-VO-30240</t>
  </si>
  <si>
    <t>30242</t>
  </si>
  <si>
    <t>KLT Frans 2020</t>
  </si>
  <si>
    <t>-5130-Uitgeverij-VO-30242</t>
  </si>
  <si>
    <t>30243</t>
  </si>
  <si>
    <t>KLT Nederlands 2020</t>
  </si>
  <si>
    <t>-5130-Uitgeverij-VO-30243</t>
  </si>
  <si>
    <t>30244</t>
  </si>
  <si>
    <t>KLT Spaans 2020</t>
  </si>
  <si>
    <t>-5130-Uitgeverij-VO-30244</t>
  </si>
  <si>
    <t>30250</t>
  </si>
  <si>
    <t>KLT Algemeen 2020</t>
  </si>
  <si>
    <t>-5130-Uitgeverij-VO-30250</t>
  </si>
  <si>
    <t>30032</t>
  </si>
  <si>
    <t>Cito.nl 2018</t>
  </si>
  <si>
    <t>-7020-Overige-Overig-30032</t>
  </si>
  <si>
    <t>30620</t>
  </si>
  <si>
    <t>Peiling rekenen-wiskunde PO</t>
  </si>
  <si>
    <t>10024446</t>
  </si>
  <si>
    <t>Universiteit Twente Faculteit BMS</t>
  </si>
  <si>
    <t>2000281</t>
  </si>
  <si>
    <t>-5311-ONDERZOEK-PEIL-30620</t>
  </si>
  <si>
    <t>30619</t>
  </si>
  <si>
    <t>Peiling leesvaardigheid MBO</t>
  </si>
  <si>
    <t>-5310-ONDERZOEK-PEIL-30619</t>
  </si>
  <si>
    <t>30619-0001</t>
  </si>
  <si>
    <t>Peiling leesvaardigheid MBO 2025</t>
  </si>
  <si>
    <t>-5310-ONDERZOEK-PEIL-30619\-0001</t>
  </si>
  <si>
    <t>30357-0007</t>
  </si>
  <si>
    <t>Peiling Mens en Maatschappij 2026</t>
  </si>
  <si>
    <t>24105</t>
  </si>
  <si>
    <t>-5310-ONDERZOEK-PEIL-30357\-0007</t>
  </si>
  <si>
    <t>30544-0004</t>
  </si>
  <si>
    <t>Peiling Schrijfvaardigheid VO 2026</t>
  </si>
  <si>
    <t>30544</t>
  </si>
  <si>
    <t>-5311-ONDERZOEK-PEIL-30544\-0004</t>
  </si>
  <si>
    <t>30558-0003</t>
  </si>
  <si>
    <t>Peiling Kunstzinnige Oriëntatie 2025</t>
  </si>
  <si>
    <t>30558</t>
  </si>
  <si>
    <t>-5311-ONDERZOEK-PEIL-30558\-0003</t>
  </si>
  <si>
    <t>30618</t>
  </si>
  <si>
    <t>Toelatingstoetsen Pabo vanaf 2025</t>
  </si>
  <si>
    <t>-5310-BONDERW-PABO-30618</t>
  </si>
  <si>
    <t>PABO</t>
  </si>
  <si>
    <t>30618-0001</t>
  </si>
  <si>
    <t>Toelatingstoetsen Pabo implementatie 2025</t>
  </si>
  <si>
    <t>-5310-BONDERW-PABO-30618\-0001</t>
  </si>
  <si>
    <t>30620-0001</t>
  </si>
  <si>
    <t>Peiling rekenen-wiskunde PO 2025</t>
  </si>
  <si>
    <t>-5311-ONDERZOEK-PEIL-30620\-0001</t>
  </si>
  <si>
    <t>30480-0004</t>
  </si>
  <si>
    <t>Peiling Lezen en Rekenen 2025</t>
  </si>
  <si>
    <t>30480</t>
  </si>
  <si>
    <t>-5311-ONDERZOEK-PEIL-30480\-0004</t>
  </si>
  <si>
    <t>30618-0002</t>
  </si>
  <si>
    <t>Toelatingstoetsen Pabo 2025 sep-dec</t>
  </si>
  <si>
    <t>-5310-BONDERW-PABO-30618\-0002</t>
  </si>
  <si>
    <t>30079-0010-0001</t>
  </si>
  <si>
    <t>RWT Pabo 2025 facturatie</t>
  </si>
  <si>
    <t>30079-0010</t>
  </si>
  <si>
    <t>58877</t>
  </si>
  <si>
    <t>Instituto Pedagogico Arubano</t>
  </si>
  <si>
    <t>2000285</t>
  </si>
  <si>
    <t>-5310-BONDERW-PABO-30079\-0010\-0001</t>
  </si>
  <si>
    <t>30079-0010-0002</t>
  </si>
  <si>
    <t>RWT Pabo 2025 facturatie NCOI</t>
  </si>
  <si>
    <t>-5310-BONDERW-PABO-30079\-0010\-0002</t>
  </si>
  <si>
    <t>30079-0010-0003</t>
  </si>
  <si>
    <t>RWT Pabo 2025 facturatie LOI</t>
  </si>
  <si>
    <t>44412</t>
  </si>
  <si>
    <t>Leidse Onderwijsinstellingen B.V.</t>
  </si>
  <si>
    <t>2000276</t>
  </si>
  <si>
    <t>-5310-BONDERW-PABO-30079\-0010\-0003</t>
  </si>
  <si>
    <t>30644</t>
  </si>
  <si>
    <t>Beroepsonderwijs algemeen</t>
  </si>
  <si>
    <t>-5310-BONDERW--30644</t>
  </si>
  <si>
    <t>30613-0001-0001</t>
  </si>
  <si>
    <t>AWT 2025 facturatie</t>
  </si>
  <si>
    <t>30613-0001</t>
  </si>
  <si>
    <t>-5310-BONDERW-AWT-30613\-0001\-0001</t>
  </si>
  <si>
    <t>AWT</t>
  </si>
  <si>
    <t>30310</t>
  </si>
  <si>
    <t>BP04 Groeimeter thema en templates</t>
  </si>
  <si>
    <t>-5110-Uitgeverij-PO-30310</t>
  </si>
  <si>
    <t>30311</t>
  </si>
  <si>
    <t>BP11_ECK id gestructureerd doorvoeren voor PO</t>
  </si>
  <si>
    <t>-5110-Uitgeverij-PO-30311</t>
  </si>
  <si>
    <t>30312</t>
  </si>
  <si>
    <t>IT PO 2020</t>
  </si>
  <si>
    <t>-5110-Uitgeverij-PO-30312</t>
  </si>
  <si>
    <t>30314</t>
  </si>
  <si>
    <t>IT VO 2020</t>
  </si>
  <si>
    <t>-5120-Uitgeverij-VO-30314</t>
  </si>
  <si>
    <t>30037</t>
  </si>
  <si>
    <t>Logistiek Telecom CAI 2, 2018</t>
  </si>
  <si>
    <t>2000196</t>
  </si>
  <si>
    <t>-5320-TOM-TTV-30037</t>
  </si>
  <si>
    <t>16994-0003</t>
  </si>
  <si>
    <t>STEX ontwikkeling 2018</t>
  </si>
  <si>
    <t>-5310-TOM-OH-16994\-0003</t>
  </si>
  <si>
    <t>16994-0003-0001</t>
  </si>
  <si>
    <t>STEX ontwikkeling 2018 - Cito</t>
  </si>
  <si>
    <t>-5310-TOM-OH-16994\-0003\-0001</t>
  </si>
  <si>
    <t>16992-0003</t>
  </si>
  <si>
    <t>STEX afnametraject 2018</t>
  </si>
  <si>
    <t>-5310-TOM-OH-16992\-0003</t>
  </si>
  <si>
    <t>16996-0004</t>
  </si>
  <si>
    <t>STEX beoordelaarstraining knoppen 2018</t>
  </si>
  <si>
    <t>-5310-TOM-OH-16996\-0004</t>
  </si>
  <si>
    <t>16996-0005</t>
  </si>
  <si>
    <t>STEX beoordelaarstraining initieel 2018</t>
  </si>
  <si>
    <t>-5310-TOM-OH-16996\-0005</t>
  </si>
  <si>
    <t>30268</t>
  </si>
  <si>
    <t>VUMC</t>
  </si>
  <si>
    <t>48142</t>
  </si>
  <si>
    <t>VU Medisch Centrum</t>
  </si>
  <si>
    <t>2000208</t>
  </si>
  <si>
    <t>-5310-TOM-Overig-30268</t>
  </si>
  <si>
    <t>30289</t>
  </si>
  <si>
    <t>Vervolg Peiling Engels 2020</t>
  </si>
  <si>
    <t>51444</t>
  </si>
  <si>
    <t>GION Rijksuniversiteit Groningen</t>
  </si>
  <si>
    <t>2000145</t>
  </si>
  <si>
    <t>-5310-TOM-OH-30169</t>
  </si>
  <si>
    <t>30169</t>
  </si>
  <si>
    <t>18443</t>
  </si>
  <si>
    <t>RHDHV zelftest oudere fietsers</t>
  </si>
  <si>
    <t>-5320-TOM-TTV-18443</t>
  </si>
  <si>
    <t>18506-0001</t>
  </si>
  <si>
    <t>18506</t>
  </si>
  <si>
    <t>-5320-TOM-TTV-18506\-0001</t>
  </si>
  <si>
    <t>18506-0002</t>
  </si>
  <si>
    <t>Bureau ICE</t>
  </si>
  <si>
    <t>50379</t>
  </si>
  <si>
    <t>2000177</t>
  </si>
  <si>
    <t>-5320-TOM-TTV-18506\-0002</t>
  </si>
  <si>
    <t>18506-0003</t>
  </si>
  <si>
    <t>-5320-TOM-TTV-18506\-0003</t>
  </si>
  <si>
    <t>18506-0004</t>
  </si>
  <si>
    <t>VeKaBest Verkeersleermiddelen B.V.</t>
  </si>
  <si>
    <t>10042282</t>
  </si>
  <si>
    <t>2000179</t>
  </si>
  <si>
    <t>-5320-TOM-TTV-18506\-0004</t>
  </si>
  <si>
    <t>18506-0005</t>
  </si>
  <si>
    <t>European Hematology Association</t>
  </si>
  <si>
    <t>10042304</t>
  </si>
  <si>
    <t>2000180</t>
  </si>
  <si>
    <t>-5320-TOM-TTV-18506\-0005</t>
  </si>
  <si>
    <t>18506-0006</t>
  </si>
  <si>
    <t>Ernst &amp; Young</t>
  </si>
  <si>
    <t>10042239</t>
  </si>
  <si>
    <t>2000181</t>
  </si>
  <si>
    <t>-5320-TOM-TTV-18506\-0006</t>
  </si>
  <si>
    <t>18506-0007</t>
  </si>
  <si>
    <t>Vilans</t>
  </si>
  <si>
    <t>57666</t>
  </si>
  <si>
    <t>2000182</t>
  </si>
  <si>
    <t>-5320-TOM-TTV-18506\-0007</t>
  </si>
  <si>
    <t>18506-0008</t>
  </si>
  <si>
    <t>HaskoningDHV Nederland BV</t>
  </si>
  <si>
    <t>-5320-TOM-TTV-18506\-0008</t>
  </si>
  <si>
    <t>17777-0002</t>
  </si>
  <si>
    <t>Logistieke EPA 2018</t>
  </si>
  <si>
    <t>-5320-TOM-TTV-17777\-0002</t>
  </si>
  <si>
    <t>17777-0002-0001</t>
  </si>
  <si>
    <t>Logistieke EPA 2018 - Cito</t>
  </si>
  <si>
    <t>-5320-TOM-TTV-17777\-0002\-0001</t>
  </si>
  <si>
    <t>30228</t>
  </si>
  <si>
    <t>NVHP 2020</t>
  </si>
  <si>
    <t>-5320-TOM-FZD-30228</t>
  </si>
  <si>
    <t>17193-0001</t>
  </si>
  <si>
    <t>Argus 2018</t>
  </si>
  <si>
    <t>-5320-TOM-Overig-17193\-0001</t>
  </si>
  <si>
    <t>17060-0003</t>
  </si>
  <si>
    <t>FFP PE 2018</t>
  </si>
  <si>
    <t>-5320-TOM-FZD-17060\-0003</t>
  </si>
  <si>
    <t>17076-0003</t>
  </si>
  <si>
    <t>NVHP hypothecaire planners 2018</t>
  </si>
  <si>
    <t>-5320-TOM-FZD-17076\-0003</t>
  </si>
  <si>
    <t>17076-0003-0001</t>
  </si>
  <si>
    <t>NVHP hypothecaire planners 2018 - Cito</t>
  </si>
  <si>
    <t>2000045</t>
  </si>
  <si>
    <t>-5320-TOM-FZD-17076\-0003\-0001</t>
  </si>
  <si>
    <t>17186-0003</t>
  </si>
  <si>
    <t>FFP 2018</t>
  </si>
  <si>
    <t>-5320-TOM-FZD-17186\-0003</t>
  </si>
  <si>
    <t>17186-0003-0001</t>
  </si>
  <si>
    <t>FFP 2018 - Cito</t>
  </si>
  <si>
    <t>-5320-TOM-FZD-17186\-0003\-0001</t>
  </si>
  <si>
    <t>17186-0003-0002</t>
  </si>
  <si>
    <t>FFP 2018 - Stichting Certificering FFP</t>
  </si>
  <si>
    <t>-5320-TOM-FZD-17186\-0003\-0002</t>
  </si>
  <si>
    <t>-5320-TOM-FZD-18506</t>
  </si>
  <si>
    <t>30232</t>
  </si>
  <si>
    <t>Logistieke TCAI 2020</t>
  </si>
  <si>
    <t>-5320-TOM-TTV-30232</t>
  </si>
  <si>
    <t>18271</t>
  </si>
  <si>
    <t>STEX BMT onderhoud 2018-2019</t>
  </si>
  <si>
    <t>29808</t>
  </si>
  <si>
    <t>College voor Toetsen en Examens</t>
  </si>
  <si>
    <t>2000130</t>
  </si>
  <si>
    <t>-5310-TOM-OH-18271</t>
  </si>
  <si>
    <t>18271-0001</t>
  </si>
  <si>
    <t>STEX BMT onderhoud 2018</t>
  </si>
  <si>
    <t>-5310-TOM-OH-18271\-0001</t>
  </si>
  <si>
    <t>18505</t>
  </si>
  <si>
    <t>Moedertaal 2018</t>
  </si>
  <si>
    <t>48648</t>
  </si>
  <si>
    <t>Uni. Utrecht Dep. Talen, Literatuur en Communicatie</t>
  </si>
  <si>
    <t>2000175</t>
  </si>
  <si>
    <t>-5310-TOM-OH-18505</t>
  </si>
  <si>
    <t>30245</t>
  </si>
  <si>
    <t>Doorontwikkeling BMT TK-IVIT</t>
  </si>
  <si>
    <t>-5310-TOM-OH-30245</t>
  </si>
  <si>
    <t>18219</t>
  </si>
  <si>
    <t>Inburgering Ontwikkeling 2018</t>
  </si>
  <si>
    <t>-5310-TOM-OH-18219</t>
  </si>
  <si>
    <t>18219-0001</t>
  </si>
  <si>
    <t>vooruitgefactureerd meerjarig project cito</t>
  </si>
  <si>
    <t>-5310-TOM-OH-18219\-0001</t>
  </si>
  <si>
    <t>18222</t>
  </si>
  <si>
    <t>Inburgering beheer 2018</t>
  </si>
  <si>
    <t>-5310-TOM-OH-18222</t>
  </si>
  <si>
    <t>18222-0001</t>
  </si>
  <si>
    <t>-5310-TOM-OH-18222\-0001</t>
  </si>
  <si>
    <t>18236</t>
  </si>
  <si>
    <t>Inburgering Communicatie 2018</t>
  </si>
  <si>
    <t>-5310-TOM-OH-18236</t>
  </si>
  <si>
    <t>18236-0001</t>
  </si>
  <si>
    <t>-5310-TOM-OH-18236\-0001</t>
  </si>
  <si>
    <t>18241</t>
  </si>
  <si>
    <t>Inburgering Training 2018</t>
  </si>
  <si>
    <t>-5310-TOM-OH-18241</t>
  </si>
  <si>
    <t>18241-0001</t>
  </si>
  <si>
    <t>-5310-TOM-OH-18241\-0001</t>
  </si>
  <si>
    <t>17049-0003</t>
  </si>
  <si>
    <t>Onderhoud examens Telecom CAI 2018</t>
  </si>
  <si>
    <t>10021374</t>
  </si>
  <si>
    <t>NL-Kabel</t>
  </si>
  <si>
    <t>2000003</t>
  </si>
  <si>
    <t>-5320-TOM-TTV-17049\-0003</t>
  </si>
  <si>
    <t>17049-0003-0001</t>
  </si>
  <si>
    <t>Onderhoud examens Telecom CAI 2018 - Cito</t>
  </si>
  <si>
    <t>-5320-TOM-TTV-17049\-0003\-0001</t>
  </si>
  <si>
    <t>17000-0003</t>
  </si>
  <si>
    <t>Logistieke bodemenergie 2018</t>
  </si>
  <si>
    <t>-5320-TOM-TTV-17000\-0003</t>
  </si>
  <si>
    <t>17007-0003</t>
  </si>
  <si>
    <t>Logistieke trajecten ISSO 2018</t>
  </si>
  <si>
    <t>-5320-TOM-TTV-17007\-0003</t>
  </si>
  <si>
    <t>17007-0003-0001</t>
  </si>
  <si>
    <t>nog te factureren 2017</t>
  </si>
  <si>
    <t>-5320-TOM-TTV-17007\-0003\-0001</t>
  </si>
  <si>
    <t>18218</t>
  </si>
  <si>
    <t>WISCAT-pabo 2018-2020</t>
  </si>
  <si>
    <t>2000132</t>
  </si>
  <si>
    <t>-5310-TOM-HO-18218</t>
  </si>
  <si>
    <t>18218-0001</t>
  </si>
  <si>
    <t>-5310-TOM-HO-18218\-0001</t>
  </si>
  <si>
    <t>18275</t>
  </si>
  <si>
    <t>Toelatingstoetsen Pabo 2016-2020</t>
  </si>
  <si>
    <t>2000137</t>
  </si>
  <si>
    <t>-5310-TOM-HO-18275</t>
  </si>
  <si>
    <t>18275-0001</t>
  </si>
  <si>
    <t>-5310-TOM-HO-18275\-0001</t>
  </si>
  <si>
    <t>16998-0003</t>
  </si>
  <si>
    <t>STEX onderzoek 2018</t>
  </si>
  <si>
    <t>-5310-TOM-OH-16998\-0003</t>
  </si>
  <si>
    <t>STEX beoordelaarstraining initieel 2018 doorloop uit 2017</t>
  </si>
  <si>
    <t>-5310-TOM-OH-18184</t>
  </si>
  <si>
    <t>16986-0003</t>
  </si>
  <si>
    <t>Logistiek Telecom CAI 2018</t>
  </si>
  <si>
    <t>-5320-TOM-TTV-16986\-0003</t>
  </si>
  <si>
    <t>30222</t>
  </si>
  <si>
    <t>Toets Verpleegkundig Rekenen 2020</t>
  </si>
  <si>
    <t>-5320-TOM-ZORG-30222</t>
  </si>
  <si>
    <t>30213</t>
  </si>
  <si>
    <t>Examenlogistiek BAL en BAST 2020</t>
  </si>
  <si>
    <t>-5320-TOM-TTV-30213</t>
  </si>
  <si>
    <t>17033-0003</t>
  </si>
  <si>
    <t>Toets buitenlands verpleegkundigen 2018</t>
  </si>
  <si>
    <t>10021506</t>
  </si>
  <si>
    <t>CIBG/RIBIZ/Assessment</t>
  </si>
  <si>
    <t>2000040</t>
  </si>
  <si>
    <t>-5320-TOM-ZORG-17033\-0003</t>
  </si>
  <si>
    <t>30211</t>
  </si>
  <si>
    <t>-5320-TOM-TTV-30211</t>
  </si>
  <si>
    <t>30212</t>
  </si>
  <si>
    <t>Certificering PE Lassers 2020</t>
  </si>
  <si>
    <t>-5320-TOM-TTV-30212</t>
  </si>
  <si>
    <t>16988-0003</t>
  </si>
  <si>
    <t>NGS computerafname 2018</t>
  </si>
  <si>
    <t>10021318</t>
  </si>
  <si>
    <t>Nederlands Genootschap voor Sportmassage</t>
  </si>
  <si>
    <t>2000004</t>
  </si>
  <si>
    <t>-5320-TOM-ZORG-16988\-0003</t>
  </si>
  <si>
    <t>16988-0003-0001</t>
  </si>
  <si>
    <t>NGS computerafname 2018, Cito BV</t>
  </si>
  <si>
    <t>-5320-TOM-ZORG-16988\-0003\-0001</t>
  </si>
  <si>
    <t>17009-0003</t>
  </si>
  <si>
    <t>Toets verpleegkundig rekenen 2018</t>
  </si>
  <si>
    <t>-5320-TOM-ZORG-17009\-0003</t>
  </si>
  <si>
    <t>17009-0003-0001</t>
  </si>
  <si>
    <t>Toets verpleegkundig rekenen 2018 - Reinier de Graaf Groep</t>
  </si>
  <si>
    <t>54441</t>
  </si>
  <si>
    <t>Reinier de Graaf Groep</t>
  </si>
  <si>
    <t>2000017</t>
  </si>
  <si>
    <t>-5320-TOM-ZORG-17009\-0003\-0001</t>
  </si>
  <si>
    <t>17009-0003-0002</t>
  </si>
  <si>
    <t>Toets verpleegkundig rekenen 2018 - Rijnstate, leerhuis</t>
  </si>
  <si>
    <t>54678</t>
  </si>
  <si>
    <t>Rijnstate, leerhuis</t>
  </si>
  <si>
    <t>2000018</t>
  </si>
  <si>
    <t>-5320-TOM-ZORG-17009\-0003\-0002</t>
  </si>
  <si>
    <t>17009-0003-0003</t>
  </si>
  <si>
    <t>Toets verpleegkundig rekenen 2018 - Haga Ziekenhuis, locatie</t>
  </si>
  <si>
    <t>47585</t>
  </si>
  <si>
    <t>Haga Ziekenhuis, locatie Leyweg</t>
  </si>
  <si>
    <t>2000019</t>
  </si>
  <si>
    <t>-5320-TOM-ZORG-17009\-0003\-0003</t>
  </si>
  <si>
    <t>17009-0003-0004</t>
  </si>
  <si>
    <t>Toets verpleegkundig rekenen 2018 - Alrijne Ziekenhuis Leide</t>
  </si>
  <si>
    <t>56507</t>
  </si>
  <si>
    <t>Alrijne Ziekenhuis Leiderdorp</t>
  </si>
  <si>
    <t>2000020</t>
  </si>
  <si>
    <t>-5320-TOM-ZORG-17009\-0003\-0004</t>
  </si>
  <si>
    <t>17009-0003-0005</t>
  </si>
  <si>
    <t>Toets verpleegkundig rekenen 2018 - Martini Ziekenhuis</t>
  </si>
  <si>
    <t>57051</t>
  </si>
  <si>
    <t>Martini Ziekenhuis</t>
  </si>
  <si>
    <t>2000021</t>
  </si>
  <si>
    <t>-5320-TOM-ZORG-17009\-0003\-0005</t>
  </si>
  <si>
    <t>30038</t>
  </si>
  <si>
    <t>Vernieuwing IT</t>
  </si>
  <si>
    <t>-5320-TOM-TTV-30038</t>
  </si>
  <si>
    <t>17621-0003</t>
  </si>
  <si>
    <t>Certificering PE Lassers 2018</t>
  </si>
  <si>
    <t>-5320-TOM-TTV-17621\-0003</t>
  </si>
  <si>
    <t>17621-0003-0001</t>
  </si>
  <si>
    <t>Kiwa Training B.V.</t>
  </si>
  <si>
    <t>10042139</t>
  </si>
  <si>
    <t>2000063</t>
  </si>
  <si>
    <t>-5320-TOM-TTV-17621\-0003\-0001</t>
  </si>
  <si>
    <t>17621-0003-0002</t>
  </si>
  <si>
    <t>QS Certification</t>
  </si>
  <si>
    <t>10042171</t>
  </si>
  <si>
    <t>Normec QS B.V.</t>
  </si>
  <si>
    <t>2000064</t>
  </si>
  <si>
    <t>-5320-TOM-TTV-17621\-0003\-0002</t>
  </si>
  <si>
    <t>17621-0003-0003</t>
  </si>
  <si>
    <t>Alliander</t>
  </si>
  <si>
    <t>10023680</t>
  </si>
  <si>
    <t>2000065</t>
  </si>
  <si>
    <t>-5320-TOM-TTV-17621\-0003\-0003</t>
  </si>
  <si>
    <t>17621-0003-0004</t>
  </si>
  <si>
    <t>Certificering PE Lassers 2018 - Cito</t>
  </si>
  <si>
    <t>-5320-TOM-TTV-17621\-0003\-0004</t>
  </si>
  <si>
    <t>17621-0003-0005</t>
  </si>
  <si>
    <t>Van Baarsen Buisleidingen BV</t>
  </si>
  <si>
    <t>10043196</t>
  </si>
  <si>
    <t>2000066</t>
  </si>
  <si>
    <t>-5320-TOM-TTV-17621\-0003\-0005</t>
  </si>
  <si>
    <t>17621-0003-0006</t>
  </si>
  <si>
    <t>KEG Infra Support BV</t>
  </si>
  <si>
    <t>10043265</t>
  </si>
  <si>
    <t>2000067</t>
  </si>
  <si>
    <t>-5320-TOM-TTV-17621\-0003\-0006</t>
  </si>
  <si>
    <t>17621-0003-0007</t>
  </si>
  <si>
    <t>Visser &amp; Smit Hanab</t>
  </si>
  <si>
    <t>10022879</t>
  </si>
  <si>
    <t>2000068</t>
  </si>
  <si>
    <t>-5320-TOM-TTV-17621\-0003\-0007</t>
  </si>
  <si>
    <t>30221</t>
  </si>
  <si>
    <t>Verwerking antwoordbladen 2020</t>
  </si>
  <si>
    <t>-5320-TOM-Overig-30221</t>
  </si>
  <si>
    <t>16990-0003</t>
  </si>
  <si>
    <t>Examenlogistiek BAL en BAST 2018</t>
  </si>
  <si>
    <t>-5320-TOM-TTV-16990\-0003</t>
  </si>
  <si>
    <t>16990-0003-0001</t>
  </si>
  <si>
    <t>Examenlogistiek BAL en BAST 2018 - NTCB</t>
  </si>
  <si>
    <t>10040617</t>
  </si>
  <si>
    <t>NTCB</t>
  </si>
  <si>
    <t>2000005</t>
  </si>
  <si>
    <t>-5320-TOM-TTV-16990\-0003\-0001</t>
  </si>
  <si>
    <t>16990-0003-0002</t>
  </si>
  <si>
    <t>Examenlogistiek BAL en BAST 2018 - PMT Ground Crew Training</t>
  </si>
  <si>
    <t>10029330</t>
  </si>
  <si>
    <t>PMT Ground Crew Training Centre B.V.</t>
  </si>
  <si>
    <t>2000006</t>
  </si>
  <si>
    <t>-5320-TOM-TTV-16990\-0003\-0002</t>
  </si>
  <si>
    <t>16990-0003-0003</t>
  </si>
  <si>
    <t>Examenlogistiek BAL en BAST 2018 - Securitas Transport&amp;Aviat</t>
  </si>
  <si>
    <t>49396</t>
  </si>
  <si>
    <t>Securitas Transport&amp;Aviation Security BV.</t>
  </si>
  <si>
    <t>2000007</t>
  </si>
  <si>
    <t>-5320-TOM-TTV-16990\-0003\-0003</t>
  </si>
  <si>
    <t>16990-0003-0004</t>
  </si>
  <si>
    <t>Examenlogistiek BAL en BAST 2018- Cito</t>
  </si>
  <si>
    <t>-5320-TOM-TTV-16990\-0003\-0004</t>
  </si>
  <si>
    <t>16990-0003-0005</t>
  </si>
  <si>
    <t>Examenlogistiek BAL en BAST 2018 - Secuconsult BV</t>
  </si>
  <si>
    <t>49401</t>
  </si>
  <si>
    <t>Secuconsult BV</t>
  </si>
  <si>
    <t>2000008</t>
  </si>
  <si>
    <t>-5320-TOM-TTV-16990\-0003\-0005</t>
  </si>
  <si>
    <t>16990-0003-0006</t>
  </si>
  <si>
    <t>Examenlogistiek BAL en BAST 2018 - MSS BV/Secure Aviation So</t>
  </si>
  <si>
    <t>51014</t>
  </si>
  <si>
    <t>SMEI Agency B.V.</t>
  </si>
  <si>
    <t>2000009</t>
  </si>
  <si>
    <t>-5320-TOM-TTV-16990\-0003\-0006</t>
  </si>
  <si>
    <t>16990-0003-0007</t>
  </si>
  <si>
    <t>Examenlogistiek BAL en BAST 2018 - Air Cargo Security</t>
  </si>
  <si>
    <t>10029351</t>
  </si>
  <si>
    <t>Air Cargo Security</t>
  </si>
  <si>
    <t>2000010</t>
  </si>
  <si>
    <t>-5320-TOM-TTV-16990\-0003\-0007</t>
  </si>
  <si>
    <t>16990-0003-0008</t>
  </si>
  <si>
    <t>Examenlogistiek BAL en BAST 2018 - KTL Nederland BV</t>
  </si>
  <si>
    <t>10043502</t>
  </si>
  <si>
    <t>KTL Nederland BV</t>
  </si>
  <si>
    <t>2000011</t>
  </si>
  <si>
    <t>-5320-TOM-TTV-16990\-0003\-0008</t>
  </si>
  <si>
    <t>16990-0003-0009</t>
  </si>
  <si>
    <t>Examenlogistiek BAL en BAST 2018 - SCS Training &amp; Consultanc</t>
  </si>
  <si>
    <t>10043569</t>
  </si>
  <si>
    <t>SCS Training &amp; Consultancy B.V.</t>
  </si>
  <si>
    <t>2000012</t>
  </si>
  <si>
    <t>-5320-TOM-TTV-16990\-0003\-0009</t>
  </si>
  <si>
    <t>16990-0003-0010</t>
  </si>
  <si>
    <t>Examenlogistiek BAL en BAST 2018 - Workrate Training &amp; Consu</t>
  </si>
  <si>
    <t>10041916</t>
  </si>
  <si>
    <t>Workrate Training &amp; Consultancy</t>
  </si>
  <si>
    <t>2000013</t>
  </si>
  <si>
    <t>-5320-TOM-TTV-16990\-0003\-0010</t>
  </si>
  <si>
    <t>17027-0003</t>
  </si>
  <si>
    <t>BOA OV 2018</t>
  </si>
  <si>
    <t>-5320-TOM-TTV-17027\-0003</t>
  </si>
  <si>
    <t>17027-0003-0001</t>
  </si>
  <si>
    <t>BOA OV 2018 - Nederlandse Spoorwegen Crediteurenadmini</t>
  </si>
  <si>
    <t>10024316</t>
  </si>
  <si>
    <t>Nederlandse Spoorwegen Crediteurenadministratie</t>
  </si>
  <si>
    <t>2000022</t>
  </si>
  <si>
    <t>-5320-TOM-TTV-17027\-0003\-0001</t>
  </si>
  <si>
    <t>17027-0003-0002</t>
  </si>
  <si>
    <t>BOA OV 2018 - Cito</t>
  </si>
  <si>
    <t>-5320-TOM-TTV-17027\-0003\-0002</t>
  </si>
  <si>
    <t>17027-0003-0003</t>
  </si>
  <si>
    <t>BOA OV 2018 - HTM Personenvervoer NV</t>
  </si>
  <si>
    <t>10021472</t>
  </si>
  <si>
    <t>HTM Personenvervoer NV</t>
  </si>
  <si>
    <t>2000023</t>
  </si>
  <si>
    <t>-5320-TOM-TTV-17027\-0003\-0003</t>
  </si>
  <si>
    <t>17027-0003-0004</t>
  </si>
  <si>
    <t>BOA OV 2018 - NIVOO Opleidingen en Uitgeverij</t>
  </si>
  <si>
    <t>51113</t>
  </si>
  <si>
    <t>NIVOO Opleidingen en Uitgeverij</t>
  </si>
  <si>
    <t>2000024</t>
  </si>
  <si>
    <t>-5320-TOM-TTV-17027\-0003\-0004</t>
  </si>
  <si>
    <t>17027-0003-0005</t>
  </si>
  <si>
    <t>BOA OV 2018 - NIVOO</t>
  </si>
  <si>
    <t>10021473</t>
  </si>
  <si>
    <t>NIVOO</t>
  </si>
  <si>
    <t>2000025</t>
  </si>
  <si>
    <t>-5320-TOM-TTV-17027\-0003\-0005</t>
  </si>
  <si>
    <t>17027-0003-0006</t>
  </si>
  <si>
    <t>BOA OV 2018 - Syntus Hoofdkantoor</t>
  </si>
  <si>
    <t>10041485</t>
  </si>
  <si>
    <t>Syntus Hoofdkantoor</t>
  </si>
  <si>
    <t>2000026</t>
  </si>
  <si>
    <t>-5320-TOM-TTV-17027\-0003\-0006</t>
  </si>
  <si>
    <t>17027-0003-0007</t>
  </si>
  <si>
    <t>BOA OV 2018 - RET</t>
  </si>
  <si>
    <t>10022189</t>
  </si>
  <si>
    <t>RET Bedrijf</t>
  </si>
  <si>
    <t>2000027</t>
  </si>
  <si>
    <t>-5320-TOM-TTV-17027\-0003\-0007</t>
  </si>
  <si>
    <t>17027-0003-0008</t>
  </si>
  <si>
    <t>BOA OV 2018 - Koninklijk Nederlands Vervoer</t>
  </si>
  <si>
    <t>10024790</t>
  </si>
  <si>
    <t>Koninklijk Nederlands Vervoer</t>
  </si>
  <si>
    <t>2000028</t>
  </si>
  <si>
    <t>-5320-TOM-TTV-17027\-0003\-0008</t>
  </si>
  <si>
    <t>17027-0003-0009</t>
  </si>
  <si>
    <t>BOA OV 2018 - GVB</t>
  </si>
  <si>
    <t>10027006</t>
  </si>
  <si>
    <t>GVB Exploitatie BV</t>
  </si>
  <si>
    <t>2000029</t>
  </si>
  <si>
    <t>-5320-TOM-TTV-17027\-0003\-0009</t>
  </si>
  <si>
    <t>17027-0003-0010</t>
  </si>
  <si>
    <t>BOA OV 2018 - Qbuzz</t>
  </si>
  <si>
    <t>10043467</t>
  </si>
  <si>
    <t>Qbuzz B.V.</t>
  </si>
  <si>
    <t>2000030</t>
  </si>
  <si>
    <t>-5320-TOM-TTV-17027\-0003\-0010</t>
  </si>
  <si>
    <t>17027-0003-0011</t>
  </si>
  <si>
    <t>BOA OV 2018 - Connexxion</t>
  </si>
  <si>
    <t>10042156</t>
  </si>
  <si>
    <t>Connexxion</t>
  </si>
  <si>
    <t>2000031</t>
  </si>
  <si>
    <t>-5320-TOM-TTV-17027\-0003\-0011</t>
  </si>
  <si>
    <t>17027-0003-0012</t>
  </si>
  <si>
    <t>BOA OV 2018 - IVON</t>
  </si>
  <si>
    <t>10043565</t>
  </si>
  <si>
    <t>IVON</t>
  </si>
  <si>
    <t>2000032</t>
  </si>
  <si>
    <t>-5320-TOM-TTV-17027\-0003\-0012</t>
  </si>
  <si>
    <t>30259</t>
  </si>
  <si>
    <t>marketing PO</t>
  </si>
  <si>
    <t>2475</t>
  </si>
  <si>
    <t>Marleen Oosterink</t>
  </si>
  <si>
    <t>-5110-Uitgeverij-PO-30259</t>
  </si>
  <si>
    <t>30260</t>
  </si>
  <si>
    <t>diverse opbrengsten BaO</t>
  </si>
  <si>
    <t>-5110-Uitgeverij-PO-30260</t>
  </si>
  <si>
    <t>30265</t>
  </si>
  <si>
    <t>AVI Cilt leesplein buitenland</t>
  </si>
  <si>
    <t>-5110-Uitgeverij-PO-30265</t>
  </si>
  <si>
    <t>30226</t>
  </si>
  <si>
    <t>Marketing en Sales VO 2020</t>
  </si>
  <si>
    <t>9005</t>
  </si>
  <si>
    <t>-5120-Uitgeverij-VO-30226</t>
  </si>
  <si>
    <t>30300</t>
  </si>
  <si>
    <t>CIAM IVIT</t>
  </si>
  <si>
    <t>-7020-Uitgeverij-Overig-30300</t>
  </si>
  <si>
    <t>30301</t>
  </si>
  <si>
    <t>CIAM IVIT - VO</t>
  </si>
  <si>
    <t>-5120-Uitgeverij-VO-30301</t>
  </si>
  <si>
    <t>30304</t>
  </si>
  <si>
    <t>PMO Cito 2020</t>
  </si>
  <si>
    <t>-7020-Uitgeverij-Overig-30304</t>
  </si>
  <si>
    <t>30309</t>
  </si>
  <si>
    <t>PP01 Evaluatie_selectie_business case low-code platform</t>
  </si>
  <si>
    <t>-7020-Uitgeverij-Overig-30309</t>
  </si>
  <si>
    <t>30026</t>
  </si>
  <si>
    <t>NOT 2019</t>
  </si>
  <si>
    <t>-5610-Overige-Overig-30026</t>
  </si>
  <si>
    <t>30026-0001</t>
  </si>
  <si>
    <t>NOT 2018</t>
  </si>
  <si>
    <t>-5610-Overige-Overig-30026\-0001</t>
  </si>
  <si>
    <t>30255</t>
  </si>
  <si>
    <t>E-Commerce</t>
  </si>
  <si>
    <t>10305</t>
  </si>
  <si>
    <t>Stijn de Lange</t>
  </si>
  <si>
    <t>-5610-Overige-Overig-30255</t>
  </si>
  <si>
    <t>30256</t>
  </si>
  <si>
    <t>Online marketing</t>
  </si>
  <si>
    <t>-5610-Overige-Overig-30256</t>
  </si>
  <si>
    <t>30475</t>
  </si>
  <si>
    <t>Gambia</t>
  </si>
  <si>
    <t>10024673</t>
  </si>
  <si>
    <t>The World Bank Headquarters</t>
  </si>
  <si>
    <t>2000232</t>
  </si>
  <si>
    <t>2725</t>
  </si>
  <si>
    <t>Sjoerd Crans</t>
  </si>
  <si>
    <t>22575</t>
  </si>
  <si>
    <t>Corstiaan de Keijzer</t>
  </si>
  <si>
    <t>-5220-TA-Int-30475</t>
  </si>
  <si>
    <t>30475-0001</t>
  </si>
  <si>
    <t>Gambia 2021</t>
  </si>
  <si>
    <t>-5220-TA-Int-30475\-0001</t>
  </si>
  <si>
    <t>30475-0002</t>
  </si>
  <si>
    <t>Gambia 2022</t>
  </si>
  <si>
    <t>-5220-TA-Int-30475\-0002</t>
  </si>
  <si>
    <t>30467</t>
  </si>
  <si>
    <t>CCNR</t>
  </si>
  <si>
    <t>10044863</t>
  </si>
  <si>
    <t>Central Commission for the Navigation of the Rhine (CCNR)</t>
  </si>
  <si>
    <t>2000229</t>
  </si>
  <si>
    <t>-5220-TA-Int-30467</t>
  </si>
  <si>
    <t>30467-0001</t>
  </si>
  <si>
    <t>CCNR 2021</t>
  </si>
  <si>
    <t>-5220-TA-Int-30467\-0001</t>
  </si>
  <si>
    <t>30365-0002</t>
  </si>
  <si>
    <t>ETE Volgtoetsen NED_PAP deel 2 2021</t>
  </si>
  <si>
    <t>-5220-TA-Int-30365\-0002</t>
  </si>
  <si>
    <t>30474</t>
  </si>
  <si>
    <t>Data Analyse Stichting Optimus</t>
  </si>
  <si>
    <t>22957</t>
  </si>
  <si>
    <t>Optimus Primair Onderwijs</t>
  </si>
  <si>
    <t>2000231</t>
  </si>
  <si>
    <t>-5210-TA-PO-30474</t>
  </si>
  <si>
    <t>30474-0001</t>
  </si>
  <si>
    <t>Data analyse stichting Optimus 2021</t>
  </si>
  <si>
    <t>-5210-TA-PO-30474\-0001</t>
  </si>
  <si>
    <t>30474-0002</t>
  </si>
  <si>
    <t>Data analyse stichting Optimus 2022</t>
  </si>
  <si>
    <t>-5210-TA-PO-30474\-0002</t>
  </si>
  <si>
    <t>30473-0001</t>
  </si>
  <si>
    <t>Carmel 2021</t>
  </si>
  <si>
    <t>-5210-TA-VO-30473\-0001</t>
  </si>
  <si>
    <t>30473-0002</t>
  </si>
  <si>
    <t>Carmel 2022</t>
  </si>
  <si>
    <t>-5210-TA-VO-30473\-0002</t>
  </si>
  <si>
    <t>30435-0001</t>
  </si>
  <si>
    <t>Trainingen PO 2021</t>
  </si>
  <si>
    <t>-5210-TA-PO-30435\-0001</t>
  </si>
  <si>
    <t>Carmel</t>
  </si>
  <si>
    <t>-5210-TRAINCERTVO--30473</t>
  </si>
  <si>
    <t>30463-0001</t>
  </si>
  <si>
    <t>Consultancy &amp; Training Zanzibar 2021</t>
  </si>
  <si>
    <t>30463</t>
  </si>
  <si>
    <t>58158</t>
  </si>
  <si>
    <t>Ministry of Education and Vocational Training</t>
  </si>
  <si>
    <t>2000209</t>
  </si>
  <si>
    <t>-5220-TA-Int-30463\-0001</t>
  </si>
  <si>
    <t>30466</t>
  </si>
  <si>
    <t>IBO expert validation</t>
  </si>
  <si>
    <t>10044871</t>
  </si>
  <si>
    <t>International Baccalaureate Organization</t>
  </si>
  <si>
    <t>2000228</t>
  </si>
  <si>
    <t>-5220-TA-Overig-30466</t>
  </si>
  <si>
    <t>30466-0001</t>
  </si>
  <si>
    <t>IBO expert validation 2021</t>
  </si>
  <si>
    <t>-5220-TA-Overig-30466\-0001</t>
  </si>
  <si>
    <t>30466-0002</t>
  </si>
  <si>
    <t>IBO expert validation 2022</t>
  </si>
  <si>
    <t>-5220-TA-Overig-30466\-0002</t>
  </si>
  <si>
    <t>Consultancy &amp; Training Zanzibar</t>
  </si>
  <si>
    <t>-5220-TA-Int-30463</t>
  </si>
  <si>
    <t>2020 Verlenging Inburgering Ontwikkeling</t>
  </si>
  <si>
    <t>30347</t>
  </si>
  <si>
    <t>-5310-TOM-OH-30347\-0001</t>
  </si>
  <si>
    <t>30476-0001</t>
  </si>
  <si>
    <t>Doorontwikkeling Platform 2021</t>
  </si>
  <si>
    <t>30476</t>
  </si>
  <si>
    <t>-7020-Uitgeverij-Overig-30476</t>
  </si>
  <si>
    <t>30476-0002</t>
  </si>
  <si>
    <t>PP46 BOA OV (Lamark examenketen) 2021</t>
  </si>
  <si>
    <t>30476-0003</t>
  </si>
  <si>
    <t>PP47 Wiscat Pabo 2021</t>
  </si>
  <si>
    <t>30476-0004</t>
  </si>
  <si>
    <t>PP48 LIB doorontwikkeling 2021</t>
  </si>
  <si>
    <t>30476-0005</t>
  </si>
  <si>
    <t>PP49 CVVO naar platform 2021</t>
  </si>
  <si>
    <t>30476-0006</t>
  </si>
  <si>
    <t>PP50 Breed leerling beeld 2021</t>
  </si>
  <si>
    <t>30476-0007</t>
  </si>
  <si>
    <t>PP51 Doorstroomtoets 2021</t>
  </si>
  <si>
    <t>30476-0008</t>
  </si>
  <si>
    <t>PP52 Technische platform vernieuwingen 2021</t>
  </si>
  <si>
    <t>-7040-Uitgeverij-Overig-30476</t>
  </si>
  <si>
    <t>30441-0045</t>
  </si>
  <si>
    <t>PP46 BOA OV (Lamark examenketen)</t>
  </si>
  <si>
    <t>-7020-Uitgeverij-Overig-30441\-0045</t>
  </si>
  <si>
    <t>30441-0046</t>
  </si>
  <si>
    <t>PP47 Wiscat Pabo</t>
  </si>
  <si>
    <t>activ</t>
  </si>
  <si>
    <t>-7020-Uitgeverij-Overig-30441\-0046</t>
  </si>
  <si>
    <t>30441-0047</t>
  </si>
  <si>
    <t>PP48 LIB doorontwikkeling</t>
  </si>
  <si>
    <t>-7020-Uitgeverij-Overig-30441\-0047</t>
  </si>
  <si>
    <t>30441-0048</t>
  </si>
  <si>
    <t>PP49 CVVO naar platform</t>
  </si>
  <si>
    <t>-7020-Uitgeverij-Overig-30441\-0048</t>
  </si>
  <si>
    <t>30441-0049</t>
  </si>
  <si>
    <t>PP50 Breed leerling beeld</t>
  </si>
  <si>
    <t>-7020-Uitgeverij-Overig-30441\-0049</t>
  </si>
  <si>
    <t>30441-0050</t>
  </si>
  <si>
    <t>PP51 Doorstroomtoets</t>
  </si>
  <si>
    <t>-7020-Uitgeverij-Overig-30441\-0050</t>
  </si>
  <si>
    <t>30441-0051</t>
  </si>
  <si>
    <t>PP52 Technische platform vernieuwingen</t>
  </si>
  <si>
    <t>-7020-Uitgeverij-Overig-30441\-0051</t>
  </si>
  <si>
    <t>30464</t>
  </si>
  <si>
    <t>Consultancy IBE Zwitserland 2021</t>
  </si>
  <si>
    <t>-5220-TA-Int-30464</t>
  </si>
  <si>
    <t>2020-2021 Verlenging Inburgering Ontwikkeling</t>
  </si>
  <si>
    <t>-5310-TOM-OH-30347</t>
  </si>
  <si>
    <t>30347-0002</t>
  </si>
  <si>
    <t>2021 Verlenging Inburgering Ontwikkeling</t>
  </si>
  <si>
    <t>-5310-TOM-OH-30347\-0002</t>
  </si>
  <si>
    <t>30471</t>
  </si>
  <si>
    <t>Inburgering Perceel 2</t>
  </si>
  <si>
    <t>-5310-TOM-OH-30471</t>
  </si>
  <si>
    <t>30471-0001</t>
  </si>
  <si>
    <t>Inburgering Perceel 2 2021</t>
  </si>
  <si>
    <t>-5310-TOM-OH-30471\-0001</t>
  </si>
  <si>
    <t>30477</t>
  </si>
  <si>
    <t>Inburgering Perceel 3</t>
  </si>
  <si>
    <t>-5310-TOM-OH-30477</t>
  </si>
  <si>
    <t>30477-0001</t>
  </si>
  <si>
    <t>Inburgering Perceel 3 2021</t>
  </si>
  <si>
    <t>-5310-TOM-OH-30477\-0001</t>
  </si>
  <si>
    <t>30478</t>
  </si>
  <si>
    <t>Inburgering Perceel 4</t>
  </si>
  <si>
    <t>-5310-TOM-OH-30478</t>
  </si>
  <si>
    <t>30478-0001</t>
  </si>
  <si>
    <t>Inburgering Perceel 4 2021</t>
  </si>
  <si>
    <t>-5310-TOM-OH-30478\-0001</t>
  </si>
  <si>
    <t>20231</t>
  </si>
  <si>
    <t>Communicatie opdrachten</t>
  </si>
  <si>
    <t>35525</t>
  </si>
  <si>
    <t>Joris van Meel</t>
  </si>
  <si>
    <t>22855</t>
  </si>
  <si>
    <t>Suzanne de Bruin</t>
  </si>
  <si>
    <t>-9250---20231</t>
  </si>
  <si>
    <t>9250</t>
  </si>
  <si>
    <t>20231-01</t>
  </si>
  <si>
    <t>-9250---20231\-01</t>
  </si>
  <si>
    <t>20232</t>
  </si>
  <si>
    <t>HRM opdrachten</t>
  </si>
  <si>
    <t>40085</t>
  </si>
  <si>
    <t>Harma Sikma</t>
  </si>
  <si>
    <t>-9300---20232</t>
  </si>
  <si>
    <t>9300</t>
  </si>
  <si>
    <t>20232-01</t>
  </si>
  <si>
    <t>-9300---20232\-01</t>
  </si>
  <si>
    <t>20233</t>
  </si>
  <si>
    <t>HRM Onboarding app</t>
  </si>
  <si>
    <t>-9300---20233</t>
  </si>
  <si>
    <t>20233-01</t>
  </si>
  <si>
    <t>-9300---20233\-01</t>
  </si>
  <si>
    <t>20230</t>
  </si>
  <si>
    <t>IVIT Infraprojecten 2026</t>
  </si>
  <si>
    <t>28455</t>
  </si>
  <si>
    <t>Janneke Meijer - Wouters</t>
  </si>
  <si>
    <t>-9505---20230</t>
  </si>
  <si>
    <t>9505</t>
  </si>
  <si>
    <t>20230-01</t>
  </si>
  <si>
    <t>In dienst, doorstroom en uit dienst 2026</t>
  </si>
  <si>
    <t>-9505---20230\-01</t>
  </si>
  <si>
    <t>20230-02</t>
  </si>
  <si>
    <t>Software kwaliteit</t>
  </si>
  <si>
    <t>-9505---20230\-02</t>
  </si>
  <si>
    <t>20230-03</t>
  </si>
  <si>
    <t>PI-planning en Regieproces</t>
  </si>
  <si>
    <t>-9505---20230\-03</t>
  </si>
  <si>
    <t>20230-04</t>
  </si>
  <si>
    <t>Logging, Tracability en proactief beheer</t>
  </si>
  <si>
    <t>-9505---20230\-04</t>
  </si>
  <si>
    <t>20230-05</t>
  </si>
  <si>
    <t>Software ontwikkeling met klanten</t>
  </si>
  <si>
    <t>-9505---20230\-05</t>
  </si>
  <si>
    <t>20230-06</t>
  </si>
  <si>
    <t>Afronden migratie IT-beheer</t>
  </si>
  <si>
    <t>-9505---20230\-06</t>
  </si>
  <si>
    <t>20230-07</t>
  </si>
  <si>
    <t>Adviesvaardigheden</t>
  </si>
  <si>
    <t>-9505---20230\-07</t>
  </si>
  <si>
    <t>20227</t>
  </si>
  <si>
    <t>Afronden activiteiten registratie systeem</t>
  </si>
  <si>
    <t>-9410---20227</t>
  </si>
  <si>
    <t>20227-01</t>
  </si>
  <si>
    <t>Afronden activiteiten registratie systeem 2026</t>
  </si>
  <si>
    <t>-9410---20227\-01</t>
  </si>
  <si>
    <t>20228</t>
  </si>
  <si>
    <t>Datagedreven werken</t>
  </si>
  <si>
    <t>-9410---20228</t>
  </si>
  <si>
    <t>20228-01</t>
  </si>
  <si>
    <t>Datagedreven werken 2026</t>
  </si>
  <si>
    <t>-9410---20228\-01</t>
  </si>
  <si>
    <t>20229</t>
  </si>
  <si>
    <t>Digitaal ondertekenen</t>
  </si>
  <si>
    <t>-9410---20229</t>
  </si>
  <si>
    <t>20229-01</t>
  </si>
  <si>
    <t>Digitaal ondertekenen 2026</t>
  </si>
  <si>
    <t>-9410---20229\-01</t>
  </si>
  <si>
    <t>20235</t>
  </si>
  <si>
    <t>Strategietraject MT</t>
  </si>
  <si>
    <t>-9100---20235</t>
  </si>
  <si>
    <t>20235-01</t>
  </si>
  <si>
    <t>-9100---20235\-01</t>
  </si>
  <si>
    <t>20236</t>
  </si>
  <si>
    <t>Strategische route</t>
  </si>
  <si>
    <t>-9100---20236</t>
  </si>
  <si>
    <t>20236-01</t>
  </si>
  <si>
    <t>-9100---20236\-01</t>
  </si>
  <si>
    <t>20234</t>
  </si>
  <si>
    <t>Werken onder architectuur</t>
  </si>
  <si>
    <t>3101</t>
  </si>
  <si>
    <t>Peter Dam</t>
  </si>
  <si>
    <t>-9200---20234</t>
  </si>
  <si>
    <t>9200</t>
  </si>
  <si>
    <t>20234-01</t>
  </si>
  <si>
    <t>-9200---20234\-01</t>
  </si>
  <si>
    <t>30613-0001-0002</t>
  </si>
  <si>
    <t>AWT 2025 facturatie Fontys</t>
  </si>
  <si>
    <t>58535</t>
  </si>
  <si>
    <t>Stichting Fontys Hogescholen</t>
  </si>
  <si>
    <t>2000287</t>
  </si>
  <si>
    <t>23585</t>
  </si>
  <si>
    <t>Dianne Winters</t>
  </si>
  <si>
    <t>-5310-BONDERW-AWT-30613\-0001\-0002</t>
  </si>
  <si>
    <t>30613</t>
  </si>
  <si>
    <t>-5310-BONDERW-AWT-30613</t>
  </si>
  <si>
    <t>AWT 2025</t>
  </si>
  <si>
    <t>-5310-BONDERW-AWT-30613\-0001</t>
  </si>
  <si>
    <t>30373-0004</t>
  </si>
  <si>
    <t>Te verwerven professionals 2024; beroepsonderwijs</t>
  </si>
  <si>
    <t>-5310-BONDERW--30373\-0004</t>
  </si>
  <si>
    <t>30373-0007</t>
  </si>
  <si>
    <t>Te verwerven 2025 BONDERW</t>
  </si>
  <si>
    <t>-5310-BONDERW--30373\-0007</t>
  </si>
  <si>
    <t>30084-0012</t>
  </si>
  <si>
    <t>Toelatingstoetsen Pabo 2025 jan-aug</t>
  </si>
  <si>
    <t>-5310-BONDERW-PABO-30084\-0012</t>
  </si>
  <si>
    <t>30614</t>
  </si>
  <si>
    <t>Pabo Particulieren</t>
  </si>
  <si>
    <t>-5310-BONDERW-PABO-30614</t>
  </si>
  <si>
    <t>30614-0001</t>
  </si>
  <si>
    <t>Pabo Particulieren 2025</t>
  </si>
  <si>
    <t>-5310-BONDERW-PABO-30614\-0001</t>
  </si>
  <si>
    <t>30431-0005</t>
  </si>
  <si>
    <t>Te verwerven Peilingen 2025</t>
  </si>
  <si>
    <t>-5311-ONDERZOEK-PEIL-30431\-0005</t>
  </si>
  <si>
    <t>30079-0009</t>
  </si>
  <si>
    <t>Reken- en Wiskundetoets Pabo - 2024</t>
  </si>
  <si>
    <t>-5310-BONDERW-PABOVH-30079\-0009</t>
  </si>
  <si>
    <t>30079-0009-0001</t>
  </si>
  <si>
    <t>RWT Pabo 2024 LOI</t>
  </si>
  <si>
    <t>-5310-BONDERW-PABOVH-30079\-0009\-0001</t>
  </si>
  <si>
    <t>30079-0009-0002</t>
  </si>
  <si>
    <t>RWT Pabo 2024 NCOI</t>
  </si>
  <si>
    <t>44298</t>
  </si>
  <si>
    <t>NCOI Opleidingen B.V.</t>
  </si>
  <si>
    <t>-5310-BONDERW-PABOVH-30079\-0009\-0002</t>
  </si>
  <si>
    <t>30084-0010</t>
  </si>
  <si>
    <t>Toelatingstoetsen Pabo 2024 jan-aug</t>
  </si>
  <si>
    <t>-5310-BONDERW-PABOVH-30084\-0010</t>
  </si>
  <si>
    <t>30084-0011</t>
  </si>
  <si>
    <t>Pabo Toelatingstoetsen 2024 sep-dec</t>
  </si>
  <si>
    <t>-5310-BONDERW-PABOVH-30084\-0011</t>
  </si>
  <si>
    <t>RWT Pabo 2025</t>
  </si>
  <si>
    <t>-5310-BONDERW-PABO-30079\-0010</t>
  </si>
  <si>
    <t>30529-0002</t>
  </si>
  <si>
    <t>Peiling MTV Luistertoets 2024</t>
  </si>
  <si>
    <t>30529</t>
  </si>
  <si>
    <t>-5311-ONDERZOEK-PEIL-30529\-0002</t>
  </si>
  <si>
    <t>30558-0002</t>
  </si>
  <si>
    <t>Peiling Kunstzinnige Oriëntatie 2024</t>
  </si>
  <si>
    <t>3097</t>
  </si>
  <si>
    <t>-5311-ONDERZOEK-PEIL-30558\-0002</t>
  </si>
  <si>
    <t>30368-0004</t>
  </si>
  <si>
    <t>Marketing BONDERWIJS 2024</t>
  </si>
  <si>
    <t>24745</t>
  </si>
  <si>
    <t>-5310-BONDERW--30368\-0004</t>
  </si>
  <si>
    <t>30504-0004</t>
  </si>
  <si>
    <t>Peiling Mens en Natuur 2025</t>
  </si>
  <si>
    <t>-5311-ONDERZOEK-PEIL-30504\-0004</t>
  </si>
  <si>
    <t>30597</t>
  </si>
  <si>
    <t>Peiling Engels</t>
  </si>
  <si>
    <t>-5311-ONDERZOEK-PEIL-30597</t>
  </si>
  <si>
    <t>30597-0001</t>
  </si>
  <si>
    <t>Peiling Engels 2024</t>
  </si>
  <si>
    <t>-5311-ONDERZOEK-PEIL-30597\-0001</t>
  </si>
  <si>
    <t>30597-0001-0001</t>
  </si>
  <si>
    <t>Peiling Engels 2024 - facturatie</t>
  </si>
  <si>
    <t>-5311-ONDERZOEK-PEIL-30597\-0001\-0001</t>
  </si>
  <si>
    <t>30504-0003</t>
  </si>
  <si>
    <t>Peiling Mens en Natuur 2024</t>
  </si>
  <si>
    <t>-5311-ONDERZOEK-PEIL-30504\-0003</t>
  </si>
  <si>
    <t>30544-0002</t>
  </si>
  <si>
    <t>Peiling Schrijfvaardigheid VO 2024</t>
  </si>
  <si>
    <t>-5311-ONDERZOEK-PEIL-30544\-0002</t>
  </si>
  <si>
    <t>30544-0003</t>
  </si>
  <si>
    <t>Peiling Schrijfvaardigheid VO 2025</t>
  </si>
  <si>
    <t>-5311-ONDERZOEK-PEIL-30544\-0003</t>
  </si>
  <si>
    <t>30190-0006</t>
  </si>
  <si>
    <t>Peiling ICCS 2024</t>
  </si>
  <si>
    <t>-5311-ONDERZOEK-PEIL-30190\-0006</t>
  </si>
  <si>
    <t>30357-0005</t>
  </si>
  <si>
    <t>Peiling Mens en Maatschappij 2024</t>
  </si>
  <si>
    <t>-5311-ONDERZOEK-PEIL-30357\-0005</t>
  </si>
  <si>
    <t>NOT</t>
  </si>
  <si>
    <t>-5610-Overige-Overig-30516</t>
  </si>
  <si>
    <t>30516-0001</t>
  </si>
  <si>
    <t>NOT 2022</t>
  </si>
  <si>
    <t>-5610-Overige-Overig-30516\-0001</t>
  </si>
  <si>
    <t>30516-0002</t>
  </si>
  <si>
    <t>NOT 2023</t>
  </si>
  <si>
    <t>Klant en M</t>
  </si>
  <si>
    <t>-5610-Overige-Overig-30516\-0002</t>
  </si>
  <si>
    <t>30480-0003</t>
  </si>
  <si>
    <t>Peiling Lezen en Rekenen 2024</t>
  </si>
  <si>
    <t>-5311-ONDERZOEK-PEIL-30480\-0003</t>
  </si>
  <si>
    <t>30400-0002</t>
  </si>
  <si>
    <t>Website 2022</t>
  </si>
  <si>
    <t>-5610-Uitgeverij-VO-30400\-0002</t>
  </si>
  <si>
    <t>30400-0003</t>
  </si>
  <si>
    <t>Website 2023</t>
  </si>
  <si>
    <t>-5611-Overige-Overig-30400\-0003</t>
  </si>
  <si>
    <t>5611</t>
  </si>
  <si>
    <t>30401-0002</t>
  </si>
  <si>
    <t>Marketing en Sales VO 2022</t>
  </si>
  <si>
    <t>-5120-Uitgeverij-VO-30401\-0002</t>
  </si>
  <si>
    <t>30401-0003</t>
  </si>
  <si>
    <t>Marketing en Sales VO 2023</t>
  </si>
  <si>
    <t>Mark decen</t>
  </si>
  <si>
    <t>-5120-Uitgeverij-VO-30401\-0003</t>
  </si>
  <si>
    <t>30376-0002</t>
  </si>
  <si>
    <t>Marketing PO 2022</t>
  </si>
  <si>
    <t>-5110-Uitgeverij-PO-30376\-0002</t>
  </si>
  <si>
    <t>30519</t>
  </si>
  <si>
    <t>Azerbadjan Training Pisa Like Items Math and Natural Science</t>
  </si>
  <si>
    <t>58157</t>
  </si>
  <si>
    <t>State Examination Center of the Republic of Azerbaijan</t>
  </si>
  <si>
    <t>2000245</t>
  </si>
  <si>
    <t>-5220-TA-Int-30519</t>
  </si>
  <si>
    <t>30519-0001</t>
  </si>
  <si>
    <t>Azerbadjan Training Math and Natural Science 2022</t>
  </si>
  <si>
    <t>-5220-TA-Int-30519\-0001</t>
  </si>
  <si>
    <t>30497</t>
  </si>
  <si>
    <t>20220201_BP43_CVVO_Uitgave_Toets_3</t>
  </si>
  <si>
    <t>FE</t>
  </si>
  <si>
    <t>-5120-Uitgeverij-PO-30497</t>
  </si>
  <si>
    <t>30427-0002</t>
  </si>
  <si>
    <t>IT PO 2022</t>
  </si>
  <si>
    <t>-5110-Uitgeverij-PO-30427\-0002</t>
  </si>
  <si>
    <t>30427-0003</t>
  </si>
  <si>
    <t>IT PO 2023</t>
  </si>
  <si>
    <t>-5110-Uitgeverij-PO-30427\-0003</t>
  </si>
  <si>
    <t>30517</t>
  </si>
  <si>
    <t>Servië Study Visit</t>
  </si>
  <si>
    <t>58704</t>
  </si>
  <si>
    <t>DAI Global Austria GmbH &amp; Co KG</t>
  </si>
  <si>
    <t>2000244</t>
  </si>
  <si>
    <t>-5220-TA-Int-30517</t>
  </si>
  <si>
    <t>30517-0001</t>
  </si>
  <si>
    <t>Servië Study Visit 2022</t>
  </si>
  <si>
    <t>-5220-TA-Int-30517\-0001</t>
  </si>
  <si>
    <t>30518-0001</t>
  </si>
  <si>
    <t>Remindo-toets 2022</t>
  </si>
  <si>
    <t>30518</t>
  </si>
  <si>
    <t>-5320-TOM-Overig-30518\-0001</t>
  </si>
  <si>
    <t>30432-0003</t>
  </si>
  <si>
    <t>IT TK 2023</t>
  </si>
  <si>
    <t>-5310-TOM-Overig-30432\-0003</t>
  </si>
  <si>
    <t>30432-0002</t>
  </si>
  <si>
    <t>IT TK 2022</t>
  </si>
  <si>
    <t>30527</t>
  </si>
  <si>
    <t>Tender generieke applicaties</t>
  </si>
  <si>
    <t>-7040-TOM-Overig-30527</t>
  </si>
  <si>
    <t>30527-0001</t>
  </si>
  <si>
    <t>Tender generieke applicaties 2022</t>
  </si>
  <si>
    <t>-7040-TOM-Overig-30527\-0001</t>
  </si>
  <si>
    <t>30527-0002</t>
  </si>
  <si>
    <t>Tender generieke applicaties 2023</t>
  </si>
  <si>
    <t>IVIT INV</t>
  </si>
  <si>
    <t>-7040-TOM-Overig-30527\-0002</t>
  </si>
  <si>
    <t>30503</t>
  </si>
  <si>
    <t>20220201_PS35_Monitoring_alarmering_en_dashboarding</t>
  </si>
  <si>
    <t>-7020-Uitgeverij-PO-30503</t>
  </si>
  <si>
    <t>30503-0001</t>
  </si>
  <si>
    <t>20220201_PS35_Monitoring_alarmering_en_dashboarding 2022</t>
  </si>
  <si>
    <t>-7020-Uitgeverij-PO-30503\-0001</t>
  </si>
  <si>
    <t>30496</t>
  </si>
  <si>
    <t>Architectuur BV</t>
  </si>
  <si>
    <t>-7020-Uitgeverij-Overig-30496</t>
  </si>
  <si>
    <t>30496-0001</t>
  </si>
  <si>
    <t>Architectuur BV 2022</t>
  </si>
  <si>
    <t>-7020-Uitgeverij-Overig-30496\-0001</t>
  </si>
  <si>
    <t>30489-0002</t>
  </si>
  <si>
    <t>OUD PLIB06  Schooladministratie uitbreiden</t>
  </si>
  <si>
    <t>30489</t>
  </si>
  <si>
    <t>-9540-Uitgeverij-PO-30489\-0002</t>
  </si>
  <si>
    <t>-9540-Uitgeverij-PO-30489</t>
  </si>
  <si>
    <t>30440-0002</t>
  </si>
  <si>
    <t>IT VO 2022</t>
  </si>
  <si>
    <t>-5120-Uitgeverij-VO-30440\-0002</t>
  </si>
  <si>
    <t>30497-0001</t>
  </si>
  <si>
    <t>BP43_CVVO_Uitgave_Toets_3_2022</t>
  </si>
  <si>
    <t>-5120-Uitgeverij-VO-30497\-0001</t>
  </si>
  <si>
    <t>30375-0002</t>
  </si>
  <si>
    <t>Diverse opbrensten BaO 2022</t>
  </si>
  <si>
    <t>-5110-Uitgeverij-PO-30375\-0002</t>
  </si>
  <si>
    <t>30375-0003</t>
  </si>
  <si>
    <t>Diverse opbrensten BaO 2023</t>
  </si>
  <si>
    <t>-5110-Uitgeverij-PO-30375\-0003</t>
  </si>
  <si>
    <t>30485</t>
  </si>
  <si>
    <t>Doorbelasting IVIT aan B.V. Overhead</t>
  </si>
  <si>
    <t>-7020-Overige-Overig-30485</t>
  </si>
  <si>
    <t>30485-0001</t>
  </si>
  <si>
    <t>-7020-Overige-Overig-30485\-0001</t>
  </si>
  <si>
    <t>30370-0002</t>
  </si>
  <si>
    <t>Woots 2022</t>
  </si>
  <si>
    <t>-7040-Overige-Overig-30370\-0002</t>
  </si>
  <si>
    <t>30486</t>
  </si>
  <si>
    <t>Doorbelasting IVIT aan B.V. Overhead (belast)</t>
  </si>
  <si>
    <t>-7040-Overige-Overig-30486</t>
  </si>
  <si>
    <t>30486-0001</t>
  </si>
  <si>
    <t>-7040-Overige-Overig-30486\-0001</t>
  </si>
  <si>
    <t>Remindo-toets</t>
  </si>
  <si>
    <t>-5320-TOM-Overig-30518</t>
  </si>
  <si>
    <t>30498-0001</t>
  </si>
  <si>
    <t>20220328_PONDXX_Noodzakelijk onderhoud_Hexpoor 2022</t>
  </si>
  <si>
    <t>30498</t>
  </si>
  <si>
    <t>-5100-Uitgeverij-Overig-30498\-0001</t>
  </si>
  <si>
    <t>5100</t>
  </si>
  <si>
    <t>30489-0001</t>
  </si>
  <si>
    <t>23635</t>
  </si>
  <si>
    <t>Ramona Klippel</t>
  </si>
  <si>
    <t>-9540-Uitgeverij-PO-30489\-0001</t>
  </si>
  <si>
    <t>30492-0001</t>
  </si>
  <si>
    <t>OUD PLIB05 Uitbreiding klantondersteuning</t>
  </si>
  <si>
    <t>30492</t>
  </si>
  <si>
    <t>-9540-Uitgeverij-PO-30492\-0001</t>
  </si>
  <si>
    <t>30476-0014</t>
  </si>
  <si>
    <t>PLIB01 Schoolrapportages LIB</t>
  </si>
  <si>
    <t>-9540-Uitgeverij-PO-30476\-0014</t>
  </si>
  <si>
    <t>30476-0015</t>
  </si>
  <si>
    <t>PLIB04 Breed kindbeeld PO (Viseon)</t>
  </si>
  <si>
    <t>-9540-Uitgeverij-PO-30476\-0015</t>
  </si>
  <si>
    <t>30499-0001</t>
  </si>
  <si>
    <t>PLIB02 Uitgave Lib groep 6-7-8 - 2022</t>
  </si>
  <si>
    <t>30499</t>
  </si>
  <si>
    <t>-7040-Uitgeverij-Overig-30499\-0001</t>
  </si>
  <si>
    <t>30507</t>
  </si>
  <si>
    <t>-7040-Uitgeverij-PO-30507</t>
  </si>
  <si>
    <t>30507-0001</t>
  </si>
  <si>
    <t>PLIB01 SCHOOLRAPPORTAGES LIB 2022</t>
  </si>
  <si>
    <t>-7040-Uitgeverij-PO-30507\-0001</t>
  </si>
  <si>
    <t>30508</t>
  </si>
  <si>
    <t>-7040-Uitgeverij-PO-30508</t>
  </si>
  <si>
    <t>30508-0001</t>
  </si>
  <si>
    <t>PLIB04 Breed kindbeeld PO (Viseon) 2022</t>
  </si>
  <si>
    <t>-7040-Uitgeverij-PO-30508\-0001</t>
  </si>
  <si>
    <t>30509</t>
  </si>
  <si>
    <t>PLIB06  Schooladministratie uitbreiden</t>
  </si>
  <si>
    <t>-7040-Uitgeverij-PO-30509</t>
  </si>
  <si>
    <t>30509-0001</t>
  </si>
  <si>
    <t>PLIB06  Schooladministratie uitbreiden 2022</t>
  </si>
  <si>
    <t>-7040-Uitgeverij-PO-30509\-0001</t>
  </si>
  <si>
    <t>30510</t>
  </si>
  <si>
    <t>PLIB05 Uitbreiding klantondersteuning</t>
  </si>
  <si>
    <t>-7040-Uitgeverij-PO-30510</t>
  </si>
  <si>
    <t>30510-0001</t>
  </si>
  <si>
    <t>PLIB05 Uitbreiding klantondersteuning 2022</t>
  </si>
  <si>
    <t>-7040-Uitgeverij-PO-30510\-0001</t>
  </si>
  <si>
    <t>30513</t>
  </si>
  <si>
    <t>PLIB00 Performance</t>
  </si>
  <si>
    <t>-7040-Uitgeverij-PO-30513</t>
  </si>
  <si>
    <t>30513-0001</t>
  </si>
  <si>
    <t>PLIB00 Performance 2022</t>
  </si>
  <si>
    <t>-7040-Uitgeverij-PO-30513\-0001</t>
  </si>
  <si>
    <t>30514</t>
  </si>
  <si>
    <t>PLIB02 Uitgave 6-7-8</t>
  </si>
  <si>
    <t>-7040-Uitgeverij-PO-30514</t>
  </si>
  <si>
    <t>30514-0001</t>
  </si>
  <si>
    <t>PLIB02 Uitgave 6-7-8 2022</t>
  </si>
  <si>
    <t>-7040-Uitgeverij-PO-30514\-0001</t>
  </si>
  <si>
    <t>30476-0009</t>
  </si>
  <si>
    <t>Doorontwikkeling Platform 2022</t>
  </si>
  <si>
    <t>-7040-Uitgeverij-Overig-30476\-0009</t>
  </si>
  <si>
    <t>30476-0012</t>
  </si>
  <si>
    <t>PLIB07 Opleidingsomgeving 2022</t>
  </si>
  <si>
    <t>-5110-Uitgeverij-PO-30476\-0012</t>
  </si>
  <si>
    <t>30522</t>
  </si>
  <si>
    <t>PBV20 - Amigo  UWLR</t>
  </si>
  <si>
    <t>-5110-Uitgeverij-PO-30522</t>
  </si>
  <si>
    <t>30522-0001</t>
  </si>
  <si>
    <t>PBV20 - Amigo  UWLR 2022</t>
  </si>
  <si>
    <t>-5110-Uitgeverij-PO-30522\-0001</t>
  </si>
  <si>
    <t>30511</t>
  </si>
  <si>
    <t>PBV17 Planning, Toewijzing en monitoring</t>
  </si>
  <si>
    <t>-7020-Uitgeverij-Overig-30511</t>
  </si>
  <si>
    <t>30511-0001</t>
  </si>
  <si>
    <t>PBV17 Planning, Toewijzing en monitoring 2022</t>
  </si>
  <si>
    <t>-7020-Uitgeverij-Overig-30511\-0001</t>
  </si>
  <si>
    <t>30483</t>
  </si>
  <si>
    <t>Doorbelasting IVIT aan BS</t>
  </si>
  <si>
    <t>-5510-Uitgeverij-Overig-30483</t>
  </si>
  <si>
    <t>5510</t>
  </si>
  <si>
    <t>30483-0001</t>
  </si>
  <si>
    <t>-5510-Uitgeverij-Overig-30483\-0001</t>
  </si>
  <si>
    <t>30430-0002</t>
  </si>
  <si>
    <t>AFSLUITEN - AVI Cilt Leesplein buitenland 2022</t>
  </si>
  <si>
    <t>-5110-Uitgeverij-PO-30430\-0002</t>
  </si>
  <si>
    <t>30385-0002</t>
  </si>
  <si>
    <t>KLT Spaans 2022</t>
  </si>
  <si>
    <t>-5130-Uitgeverij-VO-30385\-0002</t>
  </si>
  <si>
    <t>30385-0003</t>
  </si>
  <si>
    <t>KLT Spaans 2023</t>
  </si>
  <si>
    <t>UITG KLT</t>
  </si>
  <si>
    <t>-5130-Uitgeverij-VO-30385\-0003</t>
  </si>
  <si>
    <t>30382-0002</t>
  </si>
  <si>
    <t>KLT Algemeen  2022</t>
  </si>
  <si>
    <t>-5130-Uitgeverij-VO-30382\-0002</t>
  </si>
  <si>
    <t>30382-0003</t>
  </si>
  <si>
    <t>KLT Algemeen  2023</t>
  </si>
  <si>
    <t>-5130-Uitgeverij-VO-30382\-0003</t>
  </si>
  <si>
    <t>30392-0002</t>
  </si>
  <si>
    <t>CVVO exploitatie 2022</t>
  </si>
  <si>
    <t>-5120-Uitgeverij-VO-30392\-0002</t>
  </si>
  <si>
    <t>30392-0003</t>
  </si>
  <si>
    <t>CVVO exploitatie 2023</t>
  </si>
  <si>
    <t>UITG CVVO</t>
  </si>
  <si>
    <t>-5120-Uitgeverij-VO-30392\-0003</t>
  </si>
  <si>
    <t>30481-0001</t>
  </si>
  <si>
    <t>Te ontwikkelen producten TK 2022</t>
  </si>
  <si>
    <t>30481</t>
  </si>
  <si>
    <t>-5310-TOM-OH-30481\-0001</t>
  </si>
  <si>
    <t>30481-0002</t>
  </si>
  <si>
    <t>Te ontwikkelen producten TK 2023</t>
  </si>
  <si>
    <t>TK logisti</t>
  </si>
  <si>
    <t>-5310-TOM-OH-30481\-0002</t>
  </si>
  <si>
    <t>30523</t>
  </si>
  <si>
    <t>LIB VO</t>
  </si>
  <si>
    <t>-5120-Uitgeverij-VO-30523</t>
  </si>
  <si>
    <t>30523-0001</t>
  </si>
  <si>
    <t>LIB VO 2023</t>
  </si>
  <si>
    <t>UITG LIB</t>
  </si>
  <si>
    <t>-5120-Uitgeverij-VO-30523\-0001</t>
  </si>
  <si>
    <t>30524-0001</t>
  </si>
  <si>
    <t>Marketing LIB Doorstroomtoets 2023</t>
  </si>
  <si>
    <t>30524</t>
  </si>
  <si>
    <t>30775</t>
  </si>
  <si>
    <t>-5110-Uitgeverij-PO-30524\-0001</t>
  </si>
  <si>
    <t>Te ontwikkelen producten TK 2022-2025</t>
  </si>
  <si>
    <t>-5310-TOM-OH-30481</t>
  </si>
  <si>
    <t>30376-0003</t>
  </si>
  <si>
    <t>Marketing PO 2023</t>
  </si>
  <si>
    <t>-5110-Uitgeverij-PO-30376\-0003</t>
  </si>
  <si>
    <t>20220328_PONDXX_Noodzakelijk onderhoud_Hexpoor</t>
  </si>
  <si>
    <t>-5100-Uitgeverij-Overig-30498</t>
  </si>
  <si>
    <t>30487-0001</t>
  </si>
  <si>
    <t>PLIB03 Bovenschoolse rapportage/module Lib 2022</t>
  </si>
  <si>
    <t>30487</t>
  </si>
  <si>
    <t>-7040-Uitgeverij-Overig-30487\-0001</t>
  </si>
  <si>
    <t>30597-0002</t>
  </si>
  <si>
    <t>Peiling Engels 2025</t>
  </si>
  <si>
    <t>24945</t>
  </si>
  <si>
    <t>-5310-ONDERZOEK-PEIL-30597\-0002</t>
  </si>
  <si>
    <t>30412-0002</t>
  </si>
  <si>
    <t>Boa OV 2022</t>
  </si>
  <si>
    <t>-5320-TOM-TTV-30412\-0002</t>
  </si>
  <si>
    <t>30411-0003</t>
  </si>
  <si>
    <t>Certificering PE Lassers 2023</t>
  </si>
  <si>
    <t>TK logi KP</t>
  </si>
  <si>
    <t>-5320-TOM-TTV-30411\-0003</t>
  </si>
  <si>
    <t>30396-0002</t>
  </si>
  <si>
    <t>ISSO examens 2022</t>
  </si>
  <si>
    <t>-5320-TOM-TTV-30396\-0002</t>
  </si>
  <si>
    <t>18445</t>
  </si>
  <si>
    <t>IC uren BV naar Stichting</t>
  </si>
  <si>
    <t>IC Stichting</t>
  </si>
  <si>
    <t>2000152</t>
  </si>
  <si>
    <t>IC</t>
  </si>
  <si>
    <t>12955</t>
  </si>
  <si>
    <t>Benno Smeitink</t>
  </si>
  <si>
    <t>30174-0004</t>
  </si>
  <si>
    <t>Peiling Burgerschap 2022</t>
  </si>
  <si>
    <t>-5310-TOM-Overig-30174\-0004</t>
  </si>
  <si>
    <t>-5310-ZM-NBA-30595</t>
  </si>
  <si>
    <t>30600-0001</t>
  </si>
  <si>
    <t>Aanbesteding Stex Nt2 - 2024</t>
  </si>
  <si>
    <t>30600</t>
  </si>
  <si>
    <t>-5310-TALEN-STEX-30600\-0001</t>
  </si>
  <si>
    <t>30372-0002</t>
  </si>
  <si>
    <t>Peiling leesvaardigheid 2022</t>
  </si>
  <si>
    <t>-5310-TOM-OH-30372\-0002</t>
  </si>
  <si>
    <t>30407-0005</t>
  </si>
  <si>
    <t>Stex Nt2 afname beoordeling Spreken 2025</t>
  </si>
  <si>
    <t>-5310-TALEN-STEX-30407\-0005</t>
  </si>
  <si>
    <t>30405-0007</t>
  </si>
  <si>
    <t>Stex Nt2 Ontwikkeling examens 2025</t>
  </si>
  <si>
    <t>-5310-TALEN-STEX-30405\-0007</t>
  </si>
  <si>
    <t>30402-0005</t>
  </si>
  <si>
    <t>Stex BMT Licentie Beheer en Onderhoud 2025</t>
  </si>
  <si>
    <t>-5310-TALEN-STEX-30402\-0005</t>
  </si>
  <si>
    <t>30409-0005</t>
  </si>
  <si>
    <t>Stex Nt2 Afname vaste kosten 2025</t>
  </si>
  <si>
    <t>-5310-TALEN-STEX-30409\-0005</t>
  </si>
  <si>
    <t>30478-0005</t>
  </si>
  <si>
    <t>Inburgering Perceel 4 2025</t>
  </si>
  <si>
    <t>-5310-TALEN-INBU-30478\-0005</t>
  </si>
  <si>
    <t>30615</t>
  </si>
  <si>
    <t>Alfatoetsen art verkopen en licenties</t>
  </si>
  <si>
    <t>-5310-TALEN--30615</t>
  </si>
  <si>
    <t>30615-0001</t>
  </si>
  <si>
    <t>Alfatoetsen art verkopen en licenties 2025</t>
  </si>
  <si>
    <t>-5310-TALEN--30615\-0001</t>
  </si>
  <si>
    <t>30600-0002</t>
  </si>
  <si>
    <t>Aanbesteding Stex kosten 2025</t>
  </si>
  <si>
    <t>-5310-TALEN-STEX-30600\-0002</t>
  </si>
  <si>
    <t>30373-0008</t>
  </si>
  <si>
    <t>Te verwerven 2025 TALEN</t>
  </si>
  <si>
    <t>-5310-TALEN--30373\-0008</t>
  </si>
  <si>
    <t>30471-0005</t>
  </si>
  <si>
    <t>Inburgering Perceel 2 2025</t>
  </si>
  <si>
    <t>-5310-TALEN-INBU-30471\-0005</t>
  </si>
  <si>
    <t>30477-0005</t>
  </si>
  <si>
    <t>Inburgering Perceel 3 2025</t>
  </si>
  <si>
    <t>-5310-TALEN-INBU-30477\-0005</t>
  </si>
  <si>
    <t>Naturalisatie Caribische eilanden aanb 2025</t>
  </si>
  <si>
    <t>30596</t>
  </si>
  <si>
    <t>-5310-TALEN-NATURALISATIE-30596\-0002</t>
  </si>
  <si>
    <t>30393-0002</t>
  </si>
  <si>
    <t>CVVO 2022</t>
  </si>
  <si>
    <t>-5120-Uitgeverij-VO-30393\-0002</t>
  </si>
  <si>
    <t>30393-0003</t>
  </si>
  <si>
    <t>CVVO 2023</t>
  </si>
  <si>
    <t>-5120-Uitgeverij-VO-30393\-0003</t>
  </si>
  <si>
    <t>30402-0003</t>
  </si>
  <si>
    <t>Stex Nt2 BMT Licentie, beheer en onderhoud 2023</t>
  </si>
  <si>
    <t>TK Stex</t>
  </si>
  <si>
    <t>-5310-TOM-OH-30402\-0003</t>
  </si>
  <si>
    <t>30405-0005</t>
  </si>
  <si>
    <t>Stex Nt2 Ontwikkeling examens 2023</t>
  </si>
  <si>
    <t>-5310-TOM-OH-30405\-0005</t>
  </si>
  <si>
    <t>30407-0003</t>
  </si>
  <si>
    <t>Stex Nt2 Afname beoordeling Spreken 2023</t>
  </si>
  <si>
    <t>-5310-TOM-OH-30407\-0003</t>
  </si>
  <si>
    <t>30409-0003</t>
  </si>
  <si>
    <t>Stex Nt2 Afname vaste kosten 2023</t>
  </si>
  <si>
    <t>-5310-TOM-OH-30409\-0003</t>
  </si>
  <si>
    <t>30488</t>
  </si>
  <si>
    <t>Swiss Re</t>
  </si>
  <si>
    <t>10044925</t>
  </si>
  <si>
    <t>Swiss Re Insurance Company Ltd</t>
  </si>
  <si>
    <t>2000235</t>
  </si>
  <si>
    <t>-5220-TA-Int-30488</t>
  </si>
  <si>
    <t>30488-0001</t>
  </si>
  <si>
    <t>Swiss Re 2021</t>
  </si>
  <si>
    <t>-5220-TA-Int-30488\-0001</t>
  </si>
  <si>
    <t>30488-0002</t>
  </si>
  <si>
    <t>Swiss Re 2022</t>
  </si>
  <si>
    <t>-5220-TA-Int-30488\-0002</t>
  </si>
  <si>
    <t>Aanbesteding Stex Nt2</t>
  </si>
  <si>
    <t>-5310-TALEN-STEX-30600</t>
  </si>
  <si>
    <t>30402-0002</t>
  </si>
  <si>
    <t>Stex Nt2 BMT Licentie, beheer en onderhoud 2022</t>
  </si>
  <si>
    <t>-5310-TOM-OH-30402\-0002</t>
  </si>
  <si>
    <t>30407-0002</t>
  </si>
  <si>
    <t>Stex Nt2 Afname beoordeling Spreken 2022</t>
  </si>
  <si>
    <t>-5310-TOM-OH-30407\-0002</t>
  </si>
  <si>
    <t>30405-0002</t>
  </si>
  <si>
    <t>Stex Nt2 Ontwikkeling examens 2022</t>
  </si>
  <si>
    <t>-5310-TOM-OH-30405\-0002</t>
  </si>
  <si>
    <t>30405-0003</t>
  </si>
  <si>
    <t>Stex Nt2 Meerwerk Constructie massale afnames 2022</t>
  </si>
  <si>
    <t>-5310-TOM-OH-30405\-0003</t>
  </si>
  <si>
    <t>30405-0004</t>
  </si>
  <si>
    <t>Stex Nt2 Meerwerk Spreken OO (Add 4071)</t>
  </si>
  <si>
    <t>-5310-TOM-OH-30405\-0004</t>
  </si>
  <si>
    <t>30409-0002</t>
  </si>
  <si>
    <t>Stex Nt2 Afname vaste kosten 2022</t>
  </si>
  <si>
    <t>-5310-TOM-OH-30409\-0002</t>
  </si>
  <si>
    <t>30480-0002</t>
  </si>
  <si>
    <t>Peiling Lezen en Rekenen 2023</t>
  </si>
  <si>
    <t>-5311-TOM-Overig-30480\-0002</t>
  </si>
  <si>
    <t>30555-0002</t>
  </si>
  <si>
    <t>Libréon 2024</t>
  </si>
  <si>
    <t>30555</t>
  </si>
  <si>
    <t>22154</t>
  </si>
  <si>
    <t>Libréon</t>
  </si>
  <si>
    <t>2000258</t>
  </si>
  <si>
    <t>35505</t>
  </si>
  <si>
    <t>-5120-TRAINCERTVO--30555\-0002</t>
  </si>
  <si>
    <t>30473-0004</t>
  </si>
  <si>
    <t>Carmel 2024</t>
  </si>
  <si>
    <t>-5121-TRAINCERTVO--30473\-0004</t>
  </si>
  <si>
    <t>30548-0002</t>
  </si>
  <si>
    <t>Tongerlo 2024</t>
  </si>
  <si>
    <t>30548</t>
  </si>
  <si>
    <t>22476</t>
  </si>
  <si>
    <t>Tongerlo - Da Vinci College</t>
  </si>
  <si>
    <t>2000251</t>
  </si>
  <si>
    <t>-5121-TRAINCERTVO--30548\-0002</t>
  </si>
  <si>
    <t>30585</t>
  </si>
  <si>
    <t>New Teachers Recruitment System (NTRS) Cyprus 2024</t>
  </si>
  <si>
    <t>-5310-ONDERZOEK-INTERNAT-30585</t>
  </si>
  <si>
    <t>INTERNAT</t>
  </si>
  <si>
    <t>30585-0001</t>
  </si>
  <si>
    <t>-5310-ONDERZOEK-INTERNAT-30585\-0001</t>
  </si>
  <si>
    <t>30582-0001</t>
  </si>
  <si>
    <t>Nationaal nog te verwerven 2024</t>
  </si>
  <si>
    <t>30582</t>
  </si>
  <si>
    <t>-5120-TRAINCERTVO--30582\-0001</t>
  </si>
  <si>
    <t>30594</t>
  </si>
  <si>
    <t>Project van 3 naar 1 - proces trainingen</t>
  </si>
  <si>
    <t>-7040---30594</t>
  </si>
  <si>
    <t>30516-0003</t>
  </si>
  <si>
    <t>NOT 2025 (kosten 2024) - aandeel BV (ex btw)</t>
  </si>
  <si>
    <t>-7040---30516\-0003</t>
  </si>
  <si>
    <t>30500-0001</t>
  </si>
  <si>
    <t>-7040-Uitgeverij-Overig-30500\-0001</t>
  </si>
  <si>
    <t>30501</t>
  </si>
  <si>
    <t>PBV07 Combibon BOA-OV (itemtype)</t>
  </si>
  <si>
    <t>-7040-Uitgeverij-Overig-30501</t>
  </si>
  <si>
    <t>30501-0001</t>
  </si>
  <si>
    <t>PBV07 Combibon BOA-OV (itemtype) 2022</t>
  </si>
  <si>
    <t>-7040-Uitgeverij-Overig-30501\-0001</t>
  </si>
  <si>
    <t>30502</t>
  </si>
  <si>
    <t>PBV06 Uitfaseren CP LOVS</t>
  </si>
  <si>
    <t>-7040-Uitgeverij-Overig-30502</t>
  </si>
  <si>
    <t>30502-0001</t>
  </si>
  <si>
    <t>PBV06 Uitfaseren CP LOVS 2022</t>
  </si>
  <si>
    <t>-7040-Uitgeverij-Overig-30502\-0001</t>
  </si>
  <si>
    <t>30476-0011</t>
  </si>
  <si>
    <t>PBV01 Uitfaseren Internet Explorer Wiscat</t>
  </si>
  <si>
    <t>-7040-Uitgeverij-Overig-30476\-0011</t>
  </si>
  <si>
    <t>-7040-Uitgeverij-Overig-30492</t>
  </si>
  <si>
    <t>PLIB02 Uitgave Lib groep 6-7-8</t>
  </si>
  <si>
    <t>-7040-Uitgeverij-Overig-30499</t>
  </si>
  <si>
    <t>30476-0016</t>
  </si>
  <si>
    <t>PBV03 Technische platform vernieuwingen 2022 incl. Amigo</t>
  </si>
  <si>
    <t>-7040-Uitgeverij-Overig-30476\-0016</t>
  </si>
  <si>
    <t>PLIB03 Bovenschoolse rapportage/module Lib</t>
  </si>
  <si>
    <t>-7040-Uitgeverij-Overig-30487</t>
  </si>
  <si>
    <t>30476-0010</t>
  </si>
  <si>
    <t>PBV09 Uitfaseren Internet Explorer Lamark</t>
  </si>
  <si>
    <t>-7040-Uitgeverij-Overig-30476\-0010</t>
  </si>
  <si>
    <t>30476-0013</t>
  </si>
  <si>
    <t>PBV05 (fase 0) CVVO beheerprobl. incl. jaarinitialisatie</t>
  </si>
  <si>
    <t>-7040-Uitgeverij-Overig-30476\-0013</t>
  </si>
  <si>
    <t>30580-0001</t>
  </si>
  <si>
    <t>Brand - aandeel BV 2024(ex btw)</t>
  </si>
  <si>
    <t>30580</t>
  </si>
  <si>
    <t>-7040---30580\-0001</t>
  </si>
  <si>
    <t>30409-0004</t>
  </si>
  <si>
    <t>Stex Nt2 Afname vaste kosten 2024</t>
  </si>
  <si>
    <t>-5310-TALEN-STEX-30409\-0004</t>
  </si>
  <si>
    <t>30478-0004</t>
  </si>
  <si>
    <t>Inburgering Perceel 4 2024</t>
  </si>
  <si>
    <t>-5310-TALEN-INBU-30478\-0004</t>
  </si>
  <si>
    <t>30477-0004</t>
  </si>
  <si>
    <t>Inburgering Perceel 3 2024</t>
  </si>
  <si>
    <t>-5310-TALEN-INBU-30477\-0004</t>
  </si>
  <si>
    <t>30471-0004</t>
  </si>
  <si>
    <t>Inburgering Perceel 2 2024</t>
  </si>
  <si>
    <t>-5310-TALEN-INBU-30471\-0004</t>
  </si>
  <si>
    <t>30564-0002</t>
  </si>
  <si>
    <t>Stex Meerwerk OO 2024</t>
  </si>
  <si>
    <t>30564</t>
  </si>
  <si>
    <t>-5310-TALEN-STEX-30564\-0002</t>
  </si>
  <si>
    <t>30402-0004</t>
  </si>
  <si>
    <t>Stex BMT Licentie Beheer en Onderhoud 2024</t>
  </si>
  <si>
    <t>-5310-TALEN-STEX-30402\-0004</t>
  </si>
  <si>
    <t>30405-0006</t>
  </si>
  <si>
    <t>Stex Nt2 Ontwikkeling examens 2024</t>
  </si>
  <si>
    <t>-5310-TALEN-STEX-30405\-0006</t>
  </si>
  <si>
    <t>30407-0004</t>
  </si>
  <si>
    <t>Stex Nt2 afname beoordeling Spreken 2024</t>
  </si>
  <si>
    <t>-5310-TALEN-STEX-30407\-0004</t>
  </si>
  <si>
    <t>30373-0005</t>
  </si>
  <si>
    <t>Te verwerven professionals 2024; talen</t>
  </si>
  <si>
    <t>-5310-TALEN--30373\-0005</t>
  </si>
  <si>
    <t>30596-0001</t>
  </si>
  <si>
    <t>Naturalisatie Caribische eilanden MSPS 2024</t>
  </si>
  <si>
    <t>-5310-TALEN--30596\-0001</t>
  </si>
  <si>
    <t>30367-0006</t>
  </si>
  <si>
    <t>Naturalisatie Caribisch gebied nw contract jan 24 - mei 24</t>
  </si>
  <si>
    <t>30367</t>
  </si>
  <si>
    <t>-5310-TALEN--30367\-0006</t>
  </si>
  <si>
    <t>30567-0002</t>
  </si>
  <si>
    <t>Kennis BES Eilanden 2024</t>
  </si>
  <si>
    <t>-5310-TALEN--30567\-0002</t>
  </si>
  <si>
    <t>30378-0002</t>
  </si>
  <si>
    <t>Marketing Intelligence and automation 2022</t>
  </si>
  <si>
    <t>-5610-Overige-Overig-30378\-0002</t>
  </si>
  <si>
    <t>30378-0003</t>
  </si>
  <si>
    <t>Marketing Intelligence 2023</t>
  </si>
  <si>
    <t>-5610-Overige-Overig-30378\-0003</t>
  </si>
  <si>
    <t>Brand - aandeel BV (ex btw)</t>
  </si>
  <si>
    <t>-7040---30580</t>
  </si>
  <si>
    <t>30368-0003</t>
  </si>
  <si>
    <t>T&amp;A Marketing 2023</t>
  </si>
  <si>
    <t>-5210-TA-Overig-30368\-0003</t>
  </si>
  <si>
    <t>30380-0003</t>
  </si>
  <si>
    <t>Marketing &amp; Communicatie 2023</t>
  </si>
  <si>
    <t>-5611-Overige-Overig-30380\-0003</t>
  </si>
  <si>
    <t>30400-0004</t>
  </si>
  <si>
    <t>Website 2023 te activeren ontw fase</t>
  </si>
  <si>
    <t>-5611-Overige-Overig-30400\-0004</t>
  </si>
  <si>
    <t>30377-0002</t>
  </si>
  <si>
    <t>Webshop 2022</t>
  </si>
  <si>
    <t>-5610-Overige-Overig-30377\-0002</t>
  </si>
  <si>
    <t>30377-0003</t>
  </si>
  <si>
    <t>Webshop 2023</t>
  </si>
  <si>
    <t>-5610-Overige-Overig-30377\-0003</t>
  </si>
  <si>
    <t>30379-0002</t>
  </si>
  <si>
    <t>Klantbeheer en CRM 2022</t>
  </si>
  <si>
    <t>-5610-Overige-Overig-30379\-0002</t>
  </si>
  <si>
    <t>30379-0003</t>
  </si>
  <si>
    <t>Klantbeheer en CRM 2023</t>
  </si>
  <si>
    <t>-5610-Overige-Overig-30379\-0003</t>
  </si>
  <si>
    <t>30380-0002</t>
  </si>
  <si>
    <t>Marketing &amp; Communicatie 2022</t>
  </si>
  <si>
    <t>-5610-Overige-Overig-30380\-0002</t>
  </si>
  <si>
    <t>30484</t>
  </si>
  <si>
    <t>Doorbelasting IVIT aan K&amp;M</t>
  </si>
  <si>
    <t>-5610-Overige-Overig-30484</t>
  </si>
  <si>
    <t>30484-0001</t>
  </si>
  <si>
    <t>-5610-Overige-Overig-30484\-0001</t>
  </si>
  <si>
    <t>30484-0002</t>
  </si>
  <si>
    <t>-5610-Overige-Overig-30484\-0002</t>
  </si>
  <si>
    <t>30583</t>
  </si>
  <si>
    <t>Online - aandeel BV (ex btw)</t>
  </si>
  <si>
    <t>-6010---30583</t>
  </si>
  <si>
    <t>30505-0001</t>
  </si>
  <si>
    <t>PT20_PP12 2022</t>
  </si>
  <si>
    <t>30505</t>
  </si>
  <si>
    <t>-5610-Uitgeverij-Overig-30505\-0001</t>
  </si>
  <si>
    <t>30505-0002</t>
  </si>
  <si>
    <t>PT20_PP12 2023 (wordt 30400 Website)</t>
  </si>
  <si>
    <t>-5610-Uitgeverij-Overig-30505\-0002</t>
  </si>
  <si>
    <t>30374-0003</t>
  </si>
  <si>
    <t>Marketing Toetsketens 2023</t>
  </si>
  <si>
    <t>-5320-TOM-Overig-30374\-0003</t>
  </si>
  <si>
    <t>30374-0002</t>
  </si>
  <si>
    <t>Marketing Toetsketens 2022</t>
  </si>
  <si>
    <t>-5320-TOM-Overig-30374\-0002</t>
  </si>
  <si>
    <t>30368-0002</t>
  </si>
  <si>
    <t>T&amp;A Marketing 2022</t>
  </si>
  <si>
    <t>-5210-TA-Overig-30368\-0002</t>
  </si>
  <si>
    <t>30369-0004</t>
  </si>
  <si>
    <t>Planningstool Viper 2024</t>
  </si>
  <si>
    <t>-5310-ZM--30369\-0004</t>
  </si>
  <si>
    <t>30374-0004</t>
  </si>
  <si>
    <t>Marketing ZM 2024</t>
  </si>
  <si>
    <t>-5310-ZM--30374\-0004</t>
  </si>
  <si>
    <t>30595-0001</t>
  </si>
  <si>
    <t>Koninklijke NBA 2024</t>
  </si>
  <si>
    <t>-5310-ZM-NBA-30595\-0001</t>
  </si>
  <si>
    <t>Afnames CDD ABN</t>
  </si>
  <si>
    <t>-5310-ZM-CDD-30616</t>
  </si>
  <si>
    <t>30373-0006</t>
  </si>
  <si>
    <t>Te verwerven professionals 2024; zakelijk</t>
  </si>
  <si>
    <t>-5310-ZM--30373\-0006</t>
  </si>
  <si>
    <t>30381-0004</t>
  </si>
  <si>
    <t>CBR Afnamesysteem iTEC 2024</t>
  </si>
  <si>
    <t>-5310-ZM--30381\-0004</t>
  </si>
  <si>
    <t>30598-0005</t>
  </si>
  <si>
    <t>VVN verkeersexamen 2026</t>
  </si>
  <si>
    <t>-5310-ZM--30598\-0005</t>
  </si>
  <si>
    <t>30598-0005-0001</t>
  </si>
  <si>
    <t>VVN verkeersexamen 2026 - facturatie</t>
  </si>
  <si>
    <t>-5310-ZM--30598\-0005\-0001</t>
  </si>
  <si>
    <t>30598-0001</t>
  </si>
  <si>
    <t>NRGD Begeleidingstraject DFO</t>
  </si>
  <si>
    <t>10045038</t>
  </si>
  <si>
    <t>Nederlands Register Gerechtelijk Deskundigen</t>
  </si>
  <si>
    <t>2000275</t>
  </si>
  <si>
    <t>-5310-ZM--30598\-0001</t>
  </si>
  <si>
    <t>30598-0002</t>
  </si>
  <si>
    <t>Stipezo - audit examenproces</t>
  </si>
  <si>
    <t>57575</t>
  </si>
  <si>
    <t>Stipezo</t>
  </si>
  <si>
    <t>2000277</t>
  </si>
  <si>
    <t>-5310-ZM--30598\-0002</t>
  </si>
  <si>
    <t>30598-0003</t>
  </si>
  <si>
    <t>Toetstechnische screening examenvragen SDEN 2024</t>
  </si>
  <si>
    <t>56763</t>
  </si>
  <si>
    <t>Stichting Dranken Examens en Normering (SDEN)</t>
  </si>
  <si>
    <t>-5310-ZM--30598\-0003</t>
  </si>
  <si>
    <t>30598-0003-0001</t>
  </si>
  <si>
    <t>Toetstechnische screening examenvragen SDEN 2024 facturatie</t>
  </si>
  <si>
    <t>2000280</t>
  </si>
  <si>
    <t>-5310-ZM--30598\-0003\-0001</t>
  </si>
  <si>
    <t>30373-0009</t>
  </si>
  <si>
    <t>Te verwerven 2025 ZM</t>
  </si>
  <si>
    <t>-5310-ZM--30373\-0009</t>
  </si>
  <si>
    <t>30589-0001</t>
  </si>
  <si>
    <t>CDD Toets- ontwikkeling 2024</t>
  </si>
  <si>
    <t>30589</t>
  </si>
  <si>
    <t>-5310-ZM-CDD-30589\-0001</t>
  </si>
  <si>
    <t>Consultancy ZM 2024 - 2026</t>
  </si>
  <si>
    <t>--ZM--30598</t>
  </si>
  <si>
    <t>30478-0002</t>
  </si>
  <si>
    <t>Inburgering Perceel 4 2022</t>
  </si>
  <si>
    <t>-5310-TOM-OH-30478\-0002</t>
  </si>
  <si>
    <t>30478-0003</t>
  </si>
  <si>
    <t>Inburgering Perceel 4 2023</t>
  </si>
  <si>
    <t>-5310-TOM-OH-30478\-0003</t>
  </si>
  <si>
    <t>30365-0006</t>
  </si>
  <si>
    <t>ETE Volgtoetsen NED_PAP 2024</t>
  </si>
  <si>
    <t>-5310-ONDERZOEK-INTERNAT-30365\-0006</t>
  </si>
  <si>
    <t>30542-0002</t>
  </si>
  <si>
    <t>ETE Ondersteuning EFO 2024v2</t>
  </si>
  <si>
    <t>30542</t>
  </si>
  <si>
    <t>2000234</t>
  </si>
  <si>
    <t>-5310-ONDERZOEK-INTERNAT-30542\-0002</t>
  </si>
  <si>
    <t>30549-0002</t>
  </si>
  <si>
    <t>ETE Analyse volgtoetsen NED-PAP deel 3 2024</t>
  </si>
  <si>
    <t>30549</t>
  </si>
  <si>
    <t>-5310-ONDERZOEK-INTERNAT-30549\-0002</t>
  </si>
  <si>
    <t>30552-0002</t>
  </si>
  <si>
    <t>ETE Onderst gespecialiseerd taakgebied 2024</t>
  </si>
  <si>
    <t>30552</t>
  </si>
  <si>
    <t>-5310-ONDERZOEK-INTERNAT-30552\-0002</t>
  </si>
  <si>
    <t>30592</t>
  </si>
  <si>
    <t>ETE CE</t>
  </si>
  <si>
    <t>EX-V</t>
  </si>
  <si>
    <t>-5310-ONDERZOEK-INTERNAT-30592</t>
  </si>
  <si>
    <t>30592-0001</t>
  </si>
  <si>
    <t>ETE CE 2024</t>
  </si>
  <si>
    <t>-5310-ONDERZOEK-INTERNAT-30592\-0001</t>
  </si>
  <si>
    <t>30593</t>
  </si>
  <si>
    <t>ETE EFO</t>
  </si>
  <si>
    <t>-5310-ONDERZOEK-INTERNAT-30593</t>
  </si>
  <si>
    <t>30593-0001</t>
  </si>
  <si>
    <t>ETE EFO 2024</t>
  </si>
  <si>
    <t>-5310-ONDERZOEK-INTERNAT-30593\-0001</t>
  </si>
  <si>
    <t>30495-0002</t>
  </si>
  <si>
    <t>NBA Kennistoets 2023</t>
  </si>
  <si>
    <t>30495</t>
  </si>
  <si>
    <t>-5320-TOM-Overig-30495</t>
  </si>
  <si>
    <t>30495-0001</t>
  </si>
  <si>
    <t>NBA Kennistoets 2022</t>
  </si>
  <si>
    <t>-5320-TOM-Overig-30495\-0001</t>
  </si>
  <si>
    <t>30404-0002</t>
  </si>
  <si>
    <t>Verwerking antwoordbladen 2022</t>
  </si>
  <si>
    <t>-5320-TOM-Overig-30404\-0002</t>
  </si>
  <si>
    <t>30591</t>
  </si>
  <si>
    <t>Ondersteuning en acquisitie Internationaal</t>
  </si>
  <si>
    <t>-5310-ONDERZOEK-INTERNAT-30591</t>
  </si>
  <si>
    <t>30591-0001</t>
  </si>
  <si>
    <t>Ondersteuning en acquisitie Internat 2024</t>
  </si>
  <si>
    <t>-5310-ONDERZOEK-INTERNAT-30591\-0001</t>
  </si>
  <si>
    <t>30406-0004</t>
  </si>
  <si>
    <t>Internationaal  Nog te verwerven 2024</t>
  </si>
  <si>
    <t>TA INT te</t>
  </si>
  <si>
    <t>-5310-ONDERZOEK-INTERNAT-30406\-0004</t>
  </si>
  <si>
    <t>30416-0004</t>
  </si>
  <si>
    <t>NFER 2024</t>
  </si>
  <si>
    <t>TA INT NFE</t>
  </si>
  <si>
    <t>-5310-ONDERZOEK-INTERNAT-30416\-0004</t>
  </si>
  <si>
    <t>30417-0005</t>
  </si>
  <si>
    <t>Kazachstan selection test 2024</t>
  </si>
  <si>
    <t>-5310-ONDERZOEK-INTERNAT-30417\-0005</t>
  </si>
  <si>
    <t>30373-0002</t>
  </si>
  <si>
    <t>Toetsketens te verwerven  2022</t>
  </si>
  <si>
    <t>-5310-TOM-OH-30373\-0002</t>
  </si>
  <si>
    <t>30373-0003</t>
  </si>
  <si>
    <t>Toetsketens te verwerven  2023</t>
  </si>
  <si>
    <t>TK te verw</t>
  </si>
  <si>
    <t>-5310-TOM-OH-30373\-0003</t>
  </si>
  <si>
    <t>30493-0001</t>
  </si>
  <si>
    <t>Doorontwikkeling BAL examens 2022</t>
  </si>
  <si>
    <t>30493</t>
  </si>
  <si>
    <t>-5320-TOM-TTV-30493\-0001</t>
  </si>
  <si>
    <t>30526</t>
  </si>
  <si>
    <t>Logistiek WIJ techniek 2023 (noodverlichting, warmtepompen,</t>
  </si>
  <si>
    <t>10045176</t>
  </si>
  <si>
    <t>Wij Techniek</t>
  </si>
  <si>
    <t>2000249</t>
  </si>
  <si>
    <t>-5320-TOM-TTV-30526</t>
  </si>
  <si>
    <t>30546</t>
  </si>
  <si>
    <t>EHA 2 Progress Tests &amp; Exam 2023</t>
  </si>
  <si>
    <t>-5320-TOM-TTV-30546</t>
  </si>
  <si>
    <t>30381-0002</t>
  </si>
  <si>
    <t>CBR afnamesysteem iTEC 2022</t>
  </si>
  <si>
    <t>-5320-TOM-TTV-30381\-0002</t>
  </si>
  <si>
    <t>30381-0003</t>
  </si>
  <si>
    <t>CBR afnamesysteem iTEC 2023</t>
  </si>
  <si>
    <t>-5320-TOM-TTV-30381\-0003</t>
  </si>
  <si>
    <t>30404-0003</t>
  </si>
  <si>
    <t>Verwerking antwoordbladen 2023</t>
  </si>
  <si>
    <t>-5320-TOM-Overig-30404\-0003</t>
  </si>
  <si>
    <t>30396-0003</t>
  </si>
  <si>
    <t>ISSO examens 2023</t>
  </si>
  <si>
    <t>-5320-TOM-TTV-30396\-0003</t>
  </si>
  <si>
    <t>30397-0003</t>
  </si>
  <si>
    <t>EPA examens 2023</t>
  </si>
  <si>
    <t>-5320-TOM-TTV-30397\-0003</t>
  </si>
  <si>
    <t>30546-0001</t>
  </si>
  <si>
    <t>-5320-TOM-TTV-30546\-0001</t>
  </si>
  <si>
    <t>30477-0002</t>
  </si>
  <si>
    <t>Inburgering Kennis Nederlandse Mij 2022 (P3)</t>
  </si>
  <si>
    <t>-5310-TOM-OH-30477\-0002</t>
  </si>
  <si>
    <t>30477-0003</t>
  </si>
  <si>
    <t>Inburgering Kennis Nederlandse Mij 2023 (P3)</t>
  </si>
  <si>
    <t>-5310-TOM-OH-30477\-0003</t>
  </si>
  <si>
    <t>30079-0008</t>
  </si>
  <si>
    <t>Aanbesteding Wiscat - jaarlaag 2023</t>
  </si>
  <si>
    <t>TK Pabo</t>
  </si>
  <si>
    <t>-5310-TOM-OH-30079\-0008</t>
  </si>
  <si>
    <t>30079-0006</t>
  </si>
  <si>
    <t>Wiscat 2022-2023 - jaarlaag 2023</t>
  </si>
  <si>
    <t>-5310-TOM-OH-30079\-0006</t>
  </si>
  <si>
    <t>30525-0001</t>
  </si>
  <si>
    <t>Academische Woordenschat toets 2023</t>
  </si>
  <si>
    <t>30525</t>
  </si>
  <si>
    <t>-5310-TOM-HO-30525</t>
  </si>
  <si>
    <t>30394-0003</t>
  </si>
  <si>
    <t>Consultancy TK 2023</t>
  </si>
  <si>
    <t>-5320-TOM-FZD-30394\-0003</t>
  </si>
  <si>
    <t>30408-0002</t>
  </si>
  <si>
    <t>Alfatoetsen 2022</t>
  </si>
  <si>
    <t>-5310-TOM-OH-30408\-0002</t>
  </si>
  <si>
    <t>30408-0003</t>
  </si>
  <si>
    <t>Alfatoetsen 2023</t>
  </si>
  <si>
    <t>-5310-TOM-OH-30408\-0003</t>
  </si>
  <si>
    <t>30471-0002</t>
  </si>
  <si>
    <t>Inburgering Perceel 2 2022</t>
  </si>
  <si>
    <t>-5310-TOM-OH-30471\-0002</t>
  </si>
  <si>
    <t>30471-0003</t>
  </si>
  <si>
    <t>Inburgering Perceel 2 2023</t>
  </si>
  <si>
    <t>-5310-TOM-OH-30471\-0003</t>
  </si>
  <si>
    <t>30566</t>
  </si>
  <si>
    <t>SwissRe 2023</t>
  </si>
  <si>
    <t>-5220-TA-Int-30566</t>
  </si>
  <si>
    <t>30566-0001</t>
  </si>
  <si>
    <t>Swiss RE 2023</t>
  </si>
  <si>
    <t>-5220-TA-Int-30566\-0001</t>
  </si>
  <si>
    <t>30583-0001</t>
  </si>
  <si>
    <t>Online - aandeel BV 2024(pro rata)</t>
  </si>
  <si>
    <t>-6010---30583\-0001</t>
  </si>
  <si>
    <t>30378-0004</t>
  </si>
  <si>
    <t>Intelligence - aandeel BV 2024(ex btw)</t>
  </si>
  <si>
    <t>-6010---30378\-0004</t>
  </si>
  <si>
    <t>30494-0003</t>
  </si>
  <si>
    <t>Nigeria 2024</t>
  </si>
  <si>
    <t>30494</t>
  </si>
  <si>
    <t>58657</t>
  </si>
  <si>
    <t>UNICEF United Nations House</t>
  </si>
  <si>
    <t>2000236</t>
  </si>
  <si>
    <t>TA INT Nig</t>
  </si>
  <si>
    <t>-5310-ONDERZOEK-INTERNAT-30494\-0003</t>
  </si>
  <si>
    <t>CDD Toets- ontwikkeling</t>
  </si>
  <si>
    <t>-5310---30589</t>
  </si>
  <si>
    <t>30084-0007</t>
  </si>
  <si>
    <t>Toelatingstoetsen Mens en Wereld sep-dec 2022</t>
  </si>
  <si>
    <t>-5310-TOM-HO-30084\-0007</t>
  </si>
  <si>
    <t>30084-0008</t>
  </si>
  <si>
    <t>Toelatingstoetsen Pabo jan - aug 2023</t>
  </si>
  <si>
    <t>-5310-TOM-HO-30084\-0008</t>
  </si>
  <si>
    <t>30190-0004</t>
  </si>
  <si>
    <t>Peiling ICCS 2022</t>
  </si>
  <si>
    <t>-5320-TOM-Overig-30190\-0004</t>
  </si>
  <si>
    <t>30369-0002</t>
  </si>
  <si>
    <t>Planningstool Viper 2022</t>
  </si>
  <si>
    <t>-5320-TOM-FZD-30369\-0002</t>
  </si>
  <si>
    <t>30079-0007</t>
  </si>
  <si>
    <t>Aanbesteding Wiscat - jaarlaag 2022</t>
  </si>
  <si>
    <t>-5310-TOM-OH-30079\-0007</t>
  </si>
  <si>
    <t>30079-0005</t>
  </si>
  <si>
    <t>Wiscat 2022-2023 - jaarlaag 2022</t>
  </si>
  <si>
    <t>-5310-TOM-OH-30079\-0005</t>
  </si>
  <si>
    <t>30410-0002</t>
  </si>
  <si>
    <t>Examenlogistiek BAL en BAST 2022</t>
  </si>
  <si>
    <t>-5320-TOM-TTV-30410\-0002</t>
  </si>
  <si>
    <t>30410-0003</t>
  </si>
  <si>
    <t>Examenlogistiek BAL en BAST 2023</t>
  </si>
  <si>
    <t>-5320-TOM-TTV-30410\-0003</t>
  </si>
  <si>
    <t>30398-0002</t>
  </si>
  <si>
    <t>Bodemenergie examens 2022</t>
  </si>
  <si>
    <t>-5320-TOM-TTV-30398\-0002</t>
  </si>
  <si>
    <t>30398-0003</t>
  </si>
  <si>
    <t>Bodemenergie examens 2023</t>
  </si>
  <si>
    <t>-5320-TOM-TTV-30398\-0003</t>
  </si>
  <si>
    <t>30399-0002</t>
  </si>
  <si>
    <t>NVHP 2022</t>
  </si>
  <si>
    <t>-5320-TOM-FZD-30399\-0002</t>
  </si>
  <si>
    <t>30399-0003</t>
  </si>
  <si>
    <t>NVHP 2023</t>
  </si>
  <si>
    <t>-5320-TOM-FZD-30399\-0003</t>
  </si>
  <si>
    <t>30431-0002</t>
  </si>
  <si>
    <t>Peilingen te verwerven 2022</t>
  </si>
  <si>
    <t>-5310-TOM-OH-30431\-0002</t>
  </si>
  <si>
    <t>30369-0003</t>
  </si>
  <si>
    <t>Planningstool Viper 2023</t>
  </si>
  <si>
    <t>-5320-TOM-FZD-30369\-0003</t>
  </si>
  <si>
    <t>30394-0002</t>
  </si>
  <si>
    <t>Consultancy TK 2022</t>
  </si>
  <si>
    <t>-5320-TOM-FZD-30394\-0002</t>
  </si>
  <si>
    <t>30411-0002</t>
  </si>
  <si>
    <t>Certificering PE Lassers 2022</t>
  </si>
  <si>
    <t>-5320-TOM-TTV-30411\-0002</t>
  </si>
  <si>
    <t>Stex Nt2 OO Spreken II (#7176)</t>
  </si>
  <si>
    <t>-5310-TOM-OH-30564</t>
  </si>
  <si>
    <t>30564-0001</t>
  </si>
  <si>
    <t>-5310-TOM-OH-30564\-0001</t>
  </si>
  <si>
    <t>30567-0001</t>
  </si>
  <si>
    <t>-5310-TOM-OH-30567\-0001</t>
  </si>
  <si>
    <t>Naturalisatie Caribische eilanden MSPS</t>
  </si>
  <si>
    <t>-5310-TALEN--30596</t>
  </si>
  <si>
    <t>-5310-TOM-OH-30367</t>
  </si>
  <si>
    <t>30367-0001</t>
  </si>
  <si>
    <t>Naturalisatie 2021</t>
  </si>
  <si>
    <t>-5310-TOM-OH-30367\-0001</t>
  </si>
  <si>
    <t>30367-0002</t>
  </si>
  <si>
    <t>Naturalisatie 2022</t>
  </si>
  <si>
    <t>-5310-TOM-OH-30367\-0002</t>
  </si>
  <si>
    <t>30367-0003</t>
  </si>
  <si>
    <t>Naturalisatie Caribisch gebied 2022</t>
  </si>
  <si>
    <t>-5310-TOM-OH-30367\-0003</t>
  </si>
  <si>
    <t>30367-0004</t>
  </si>
  <si>
    <t>Naturalisatie Caribisch gebied tm mei 2023</t>
  </si>
  <si>
    <t>-5310-TOM-OH-30367\-0004</t>
  </si>
  <si>
    <t>30367-0005</t>
  </si>
  <si>
    <t>Naturalisatie Caribisch gebied nw contract vanaf mei 2023</t>
  </si>
  <si>
    <t>-5310-TOM-OH-30367\-0005</t>
  </si>
  <si>
    <t>Academische Woordenschat toets</t>
  </si>
  <si>
    <t>30491</t>
  </si>
  <si>
    <t>20220201_BP51_NT2_Spreken</t>
  </si>
  <si>
    <t>-5310-Uitgeverij-PO-30491</t>
  </si>
  <si>
    <t>30491-0001</t>
  </si>
  <si>
    <t>BP51_NT2_Spreken 2022</t>
  </si>
  <si>
    <t>-5310-Uitgeverij-PO-30491\-0001</t>
  </si>
  <si>
    <t>30526-0001</t>
  </si>
  <si>
    <t>-5320-TOM-TTV-30526\-0001</t>
  </si>
  <si>
    <t>Peiling Lezen en Rekenen VO 2022-2025</t>
  </si>
  <si>
    <t>-5310-TOM-Overig-30480</t>
  </si>
  <si>
    <t>30480-0001</t>
  </si>
  <si>
    <t>Peiling Lezen en Rekenen VO 2022</t>
  </si>
  <si>
    <t>-5310-TOM-Overig-30480\-0001</t>
  </si>
  <si>
    <t>Peiling Mens en Natuur</t>
  </si>
  <si>
    <t>-5310-TOM-OH-30504</t>
  </si>
  <si>
    <t>30504-0001</t>
  </si>
  <si>
    <t>Peiling Mens en Natuur 2022</t>
  </si>
  <si>
    <t>-5310-TOM-OH-30504\-0001</t>
  </si>
  <si>
    <t>Doorontwikkeling BAL examens</t>
  </si>
  <si>
    <t>-5320-TOM-TTV-30493</t>
  </si>
  <si>
    <t>30403-0004</t>
  </si>
  <si>
    <t>Medisch Rekenen 2024</t>
  </si>
  <si>
    <t>-5310-ZM--30403\-0004</t>
  </si>
  <si>
    <t>30403-0002</t>
  </si>
  <si>
    <t>Medisch rekenen 2022</t>
  </si>
  <si>
    <t>-5320-TOM-ZORG-30403\-0002</t>
  </si>
  <si>
    <t>30403-0003</t>
  </si>
  <si>
    <t>Medisch rekenen 2023</t>
  </si>
  <si>
    <t>-5320-TOM-ZORG-30403\-0003</t>
  </si>
  <si>
    <t>30431-0003</t>
  </si>
  <si>
    <t>Peilingen te verwerven 2023</t>
  </si>
  <si>
    <t>-5310-TOM-OH-30431\-0003</t>
  </si>
  <si>
    <t>30504-0002</t>
  </si>
  <si>
    <t>Peiling Mens en Natuur 2023</t>
  </si>
  <si>
    <t>-5311-TOM-OH-30504\-0002</t>
  </si>
  <si>
    <t>30357-0004</t>
  </si>
  <si>
    <t>Peiling Mens &amp; Maatschappij 2023</t>
  </si>
  <si>
    <t>-5311-TOM-HO-30357\-0004</t>
  </si>
  <si>
    <t>30412-0003</t>
  </si>
  <si>
    <t>Boa OV 2023</t>
  </si>
  <si>
    <t>-5320-TOM-TTV-30412\-0003</t>
  </si>
  <si>
    <t>NBA Kennistoets 2022/2023</t>
  </si>
  <si>
    <t>30590</t>
  </si>
  <si>
    <t>Verloren offertes BV, uren Stichting</t>
  </si>
  <si>
    <t>-7040---30590</t>
  </si>
  <si>
    <t>30590-0001</t>
  </si>
  <si>
    <t>Verloren offertes BV, uren Stichting 2024</t>
  </si>
  <si>
    <t>-7040---30590\-0001</t>
  </si>
  <si>
    <t>30483-0002</t>
  </si>
  <si>
    <t>IVIT AZURE</t>
  </si>
  <si>
    <t>-5510-Uitgeverij-Overig-30483\-0002</t>
  </si>
  <si>
    <t>30485-0002</t>
  </si>
  <si>
    <t>-7020-Overige-Overig-30485\-0002</t>
  </si>
  <si>
    <t>30486-0002</t>
  </si>
  <si>
    <t>-7040-Overige-Overig-30486\-0002</t>
  </si>
  <si>
    <t>30383-0002</t>
  </si>
  <si>
    <t>Groeimeter 2022</t>
  </si>
  <si>
    <t>-5110-Uitgeverij-PO-30383\-0002</t>
  </si>
  <si>
    <t>30388-0002</t>
  </si>
  <si>
    <t>LVS Exploitatie 2022</t>
  </si>
  <si>
    <t>-5110-Uitgeverij-PO-30388\-0002</t>
  </si>
  <si>
    <t>30384-0002</t>
  </si>
  <si>
    <t>Kleuter in beeld 2022</t>
  </si>
  <si>
    <t>-5110-Uitgeverij-PO-30384\-0002</t>
  </si>
  <si>
    <t>30390-0002</t>
  </si>
  <si>
    <t>KLT Engels 2022</t>
  </si>
  <si>
    <t>-5130-Uitgeverij-VO-30390\-0002</t>
  </si>
  <si>
    <t>30390-0003</t>
  </si>
  <si>
    <t>KLT Engels 2023</t>
  </si>
  <si>
    <t>-5130-Uitgeverij-VO-30390\-0003</t>
  </si>
  <si>
    <t>30521</t>
  </si>
  <si>
    <t>LIB Doorstroomtoets IT</t>
  </si>
  <si>
    <t>27235</t>
  </si>
  <si>
    <t>Marijn Verspaandonk</t>
  </si>
  <si>
    <t>-5110-Uitgeverij-PO-30521</t>
  </si>
  <si>
    <t>30521-0001</t>
  </si>
  <si>
    <t>LIB Doorstroomtoets IT 2022</t>
  </si>
  <si>
    <t>-5110-Uitgeverij-PO-30521\-0001</t>
  </si>
  <si>
    <t>30389-0002</t>
  </si>
  <si>
    <t>KLT Duits 2022</t>
  </si>
  <si>
    <t>-5130-Uitgeverij-VO-30389\-0002</t>
  </si>
  <si>
    <t>30389-0003</t>
  </si>
  <si>
    <t>KLT Duits 2023</t>
  </si>
  <si>
    <t>-5130-Uitgeverij-VO-30389\-0003</t>
  </si>
  <si>
    <t>30387-0002</t>
  </si>
  <si>
    <t>KLT Frans 2022</t>
  </si>
  <si>
    <t>-5130-Uitgeverij-VO-30387\-0002</t>
  </si>
  <si>
    <t>30387-0003</t>
  </si>
  <si>
    <t>KLT Frans 2023</t>
  </si>
  <si>
    <t>-5130-Uitgeverij-VO-30387\-0003</t>
  </si>
  <si>
    <t>30386-0002</t>
  </si>
  <si>
    <t>KLT Nederlands 2022</t>
  </si>
  <si>
    <t>-5130-Uitgeverij-VO-30386\-0002</t>
  </si>
  <si>
    <t>30386-0003</t>
  </si>
  <si>
    <t>KLT Nederlands 2023</t>
  </si>
  <si>
    <t>-5130-Uitgeverij-VO-30386\-0003</t>
  </si>
  <si>
    <t>30423-0002</t>
  </si>
  <si>
    <t>LIB Rekenen-Wiskunde 2022</t>
  </si>
  <si>
    <t>-5110-Uitgeverij-PO-30423\-0002</t>
  </si>
  <si>
    <t>30423-0003</t>
  </si>
  <si>
    <t>LIB Rekenen-Wiskunde 2023</t>
  </si>
  <si>
    <t>-5110-Uitgeverij-PO-30423\-0003</t>
  </si>
  <si>
    <t>30422-0002</t>
  </si>
  <si>
    <t>LIB Taalverzorging 2022</t>
  </si>
  <si>
    <t>-5110-Uitgeverij-PO-30422\-0002</t>
  </si>
  <si>
    <t>30422-0003</t>
  </si>
  <si>
    <t>LIB Taalverzorging 2023</t>
  </si>
  <si>
    <t>-5110-Uitgeverij-PO-30422\-0003</t>
  </si>
  <si>
    <t>30428-0002</t>
  </si>
  <si>
    <t>Leerling in beeld algemeen 2022</t>
  </si>
  <si>
    <t>-5110-Uitgeverij-PO-30428\-0002</t>
  </si>
  <si>
    <t>30428-0003</t>
  </si>
  <si>
    <t>LIB algemeen 2023</t>
  </si>
  <si>
    <t>-5110-Uitgeverij-PO-30428\-0003</t>
  </si>
  <si>
    <t>30391-0003</t>
  </si>
  <si>
    <t>AVI-CILT Leesplein 2023</t>
  </si>
  <si>
    <t>-5110-Uitgeverij-PO-30391\-0003</t>
  </si>
  <si>
    <t>30426-0002</t>
  </si>
  <si>
    <t>LIB Begrijpend lezen 2022</t>
  </si>
  <si>
    <t>-5110-Uitgeverij-PO-30426\-0002</t>
  </si>
  <si>
    <t>30426-0003</t>
  </si>
  <si>
    <t>LIB Begrijpend lezen 2023</t>
  </si>
  <si>
    <t>-5110-Uitgeverij-PO-30426\-0003</t>
  </si>
  <si>
    <t>30388-0003</t>
  </si>
  <si>
    <t>LVS Exploitatie 2023</t>
  </si>
  <si>
    <t>-5110-Uitgeverij-PO-30388\-0003</t>
  </si>
  <si>
    <t>30383-0003</t>
  </si>
  <si>
    <t>Groeimeter 2023</t>
  </si>
  <si>
    <t>-5110-Uitgeverij-PO-30383\-0003</t>
  </si>
  <si>
    <t>30425-0002</t>
  </si>
  <si>
    <t>LIB Digitale geletterdheid 2022</t>
  </si>
  <si>
    <t>-5110-Uitgeverij-PO-30425\-0002</t>
  </si>
  <si>
    <t>30429-0002</t>
  </si>
  <si>
    <t>LIB Brede kindbeeld 2022</t>
  </si>
  <si>
    <t>-5130-Uitgeverij-PO-30429\-0002</t>
  </si>
  <si>
    <t>30479</t>
  </si>
  <si>
    <t>LIB Doorstroomtoets 2022-2025</t>
  </si>
  <si>
    <t>-5110-Uitgeverij-PO-30479</t>
  </si>
  <si>
    <t>30479-0001</t>
  </si>
  <si>
    <t>LIB Doorstroomtoets 2022</t>
  </si>
  <si>
    <t>-5110-Uitgeverij-PO-30479\-0001</t>
  </si>
  <si>
    <t>30479-0002</t>
  </si>
  <si>
    <t>LIB Doorstroomtoets 2023</t>
  </si>
  <si>
    <t>UITG LIB d</t>
  </si>
  <si>
    <t>-5110-Uitgeverij-PO-30479\-0002</t>
  </si>
  <si>
    <t>30454-0002</t>
  </si>
  <si>
    <t>CVVO ICT 2022</t>
  </si>
  <si>
    <t>-5120-Uitgeverij-VO-30454\-0002</t>
  </si>
  <si>
    <t>30424-0002</t>
  </si>
  <si>
    <t>Entreetoets 2022</t>
  </si>
  <si>
    <t>-5110-Uitgeverij-PO-30424\-0002</t>
  </si>
  <si>
    <t>30424-0003</t>
  </si>
  <si>
    <t>Entreetoets 2023</t>
  </si>
  <si>
    <t>-5110-Uitgeverij-PO-30424\-0003</t>
  </si>
  <si>
    <t>30391-0002</t>
  </si>
  <si>
    <t>AVI-CILT Leesplein 2022</t>
  </si>
  <si>
    <t>-5110-Uitgeverij-PO-30391\-0002</t>
  </si>
  <si>
    <t>30079-0004</t>
  </si>
  <si>
    <t>Exploitatie Wiscat 2022</t>
  </si>
  <si>
    <t>-5310-TOM-HO-30079\-0004</t>
  </si>
  <si>
    <t>Marketing LIB Doorstroomtoets</t>
  </si>
  <si>
    <t>-5110-Uitgeverij-PO-30524</t>
  </si>
  <si>
    <t>30529-0001</t>
  </si>
  <si>
    <t>Peiling MTV Luistertoets 2023</t>
  </si>
  <si>
    <t>1504</t>
  </si>
  <si>
    <t>Saskia van Berkel</t>
  </si>
  <si>
    <t>-5110-Uitgeverij-PO-30529\-0001</t>
  </si>
  <si>
    <t>30084-0006</t>
  </si>
  <si>
    <t>Toelatingstoetsen Mens &amp; Wereld jan-aug 2022</t>
  </si>
  <si>
    <t>-5310-TOM-HO-30084\-0006</t>
  </si>
  <si>
    <t>Peiling MTV Luistertoets</t>
  </si>
  <si>
    <t>-5110-Uitgeverij-PO-30529</t>
  </si>
  <si>
    <t>30490</t>
  </si>
  <si>
    <t>Oezbekistan 2022 English</t>
  </si>
  <si>
    <t>58668</t>
  </si>
  <si>
    <t>STC</t>
  </si>
  <si>
    <t>2000239</t>
  </si>
  <si>
    <t>-5220-TA-Int-30490</t>
  </si>
  <si>
    <t>30490-0001</t>
  </si>
  <si>
    <t>-5220-TA-Int-30490\-0001</t>
  </si>
  <si>
    <t>30528</t>
  </si>
  <si>
    <t>RSM</t>
  </si>
  <si>
    <t>-5210-TA-HO-30528</t>
  </si>
  <si>
    <t>30528-0001</t>
  </si>
  <si>
    <t>RSM 2023</t>
  </si>
  <si>
    <t>TA NAT</t>
  </si>
  <si>
    <t>30528-0002</t>
  </si>
  <si>
    <t>RSM 2024</t>
  </si>
  <si>
    <t>30397-0002</t>
  </si>
  <si>
    <t>EPA examens 2022</t>
  </si>
  <si>
    <t>-5320-TOM-TTV-30397\-0002</t>
  </si>
  <si>
    <t>30357-0003</t>
  </si>
  <si>
    <t>Peiling Mens &amp; Maatschappij 2022</t>
  </si>
  <si>
    <t>-5310-TOM-HO-30357\-0003</t>
  </si>
  <si>
    <t>30466-0003</t>
  </si>
  <si>
    <t>IBO expert validation 2023</t>
  </si>
  <si>
    <t>-5220-TA-Overig-30466\-0003</t>
  </si>
  <si>
    <t>30520</t>
  </si>
  <si>
    <t>Litouwen Study Visit 2022</t>
  </si>
  <si>
    <t>58716</t>
  </si>
  <si>
    <t>Kaunas University of Technology</t>
  </si>
  <si>
    <t>2000247</t>
  </si>
  <si>
    <t>-5220-TA-Int-30520</t>
  </si>
  <si>
    <t>30520-0001</t>
  </si>
  <si>
    <t>-5220-TA-Int-30520\-0001</t>
  </si>
  <si>
    <t>30371-0002</t>
  </si>
  <si>
    <t>Cyprus Consultancy en Training 2022</t>
  </si>
  <si>
    <t>-5220-TA-Int-30371\-0002</t>
  </si>
  <si>
    <t>30413-0002</t>
  </si>
  <si>
    <t>-5220-TA-Int-30413\-0002</t>
  </si>
  <si>
    <t>30413-0003</t>
  </si>
  <si>
    <t>-5220-TA-Int-30413\-0003</t>
  </si>
  <si>
    <t>30463-0002</t>
  </si>
  <si>
    <t>Consultancy &amp; Training Zanzibar 2022</t>
  </si>
  <si>
    <t>-5220-TA-Int-30463\-0002</t>
  </si>
  <si>
    <t>30443-0002</t>
  </si>
  <si>
    <t>OMO-scholen Audits-in-1 dag 2022</t>
  </si>
  <si>
    <t>-5210-TA-VO-30443\-0002</t>
  </si>
  <si>
    <t>30416-0002</t>
  </si>
  <si>
    <t>NFER NRT UK 2022</t>
  </si>
  <si>
    <t>-5220-TA-Int-30416\-0002</t>
  </si>
  <si>
    <t>30416-0003</t>
  </si>
  <si>
    <t>NFER NRT UK 2023</t>
  </si>
  <si>
    <t>-5220-TA-Int-30416\-0003</t>
  </si>
  <si>
    <t>30452-0002</t>
  </si>
  <si>
    <t>ETE Analyse VT RW V3 periode 2022</t>
  </si>
  <si>
    <t>-5220-TA-Int-30452\-0002</t>
  </si>
  <si>
    <t>30512</t>
  </si>
  <si>
    <t>ETE Analyses en Evaluatie</t>
  </si>
  <si>
    <t>-5220-TA-Int-30512</t>
  </si>
  <si>
    <t>30512-0001</t>
  </si>
  <si>
    <t>ETE Analyses en Evaluatie 2022</t>
  </si>
  <si>
    <t>-5220-TA-Int-30512\-0001</t>
  </si>
  <si>
    <t>ETE Ondersteuning EFO 2023v2</t>
  </si>
  <si>
    <t>-5220-TA-Int-30542</t>
  </si>
  <si>
    <t>30551</t>
  </si>
  <si>
    <t>Study visit Brazil to the Netherlands</t>
  </si>
  <si>
    <t>58827</t>
  </si>
  <si>
    <t>CAED-UFJF</t>
  </si>
  <si>
    <t>2000252</t>
  </si>
  <si>
    <t>-5220-TA-Int-30551</t>
  </si>
  <si>
    <t>30551-0001</t>
  </si>
  <si>
    <t>Study visit Brazil to the Netherlands 2023</t>
  </si>
  <si>
    <t>-5220-TA-Int-30551\-0001</t>
  </si>
  <si>
    <t>ETE Onderst gespecialiseerd taakgebied</t>
  </si>
  <si>
    <t>-5220-TA-Int-30552</t>
  </si>
  <si>
    <t>30451-0002</t>
  </si>
  <si>
    <t>ETE Ondersteuning EFO periode 2021-2022</t>
  </si>
  <si>
    <t>-5220-TA-Int-30451\-0002</t>
  </si>
  <si>
    <t>30450-0002</t>
  </si>
  <si>
    <t>ETE Ondersteuning CE 2022</t>
  </si>
  <si>
    <t>-5220-TA-Int-30450\-0002</t>
  </si>
  <si>
    <t>30557</t>
  </si>
  <si>
    <t>Validiteitscheck voor de basisvaardigheden</t>
  </si>
  <si>
    <t>-5210-TA-PO-30557</t>
  </si>
  <si>
    <t>30557-0001</t>
  </si>
  <si>
    <t>-5210-TA-PO-30557\-0001</t>
  </si>
  <si>
    <t>30420-0002</t>
  </si>
  <si>
    <t>T&amp;A Consultancy en Certificering belast 2022</t>
  </si>
  <si>
    <t>-5210-TA-MBO-30420\-0002</t>
  </si>
  <si>
    <t>30420-0003</t>
  </si>
  <si>
    <t>T&amp;A Consultancy en Certificering belast 2023</t>
  </si>
  <si>
    <t>-5210-TA-MBO-30420\-0003</t>
  </si>
  <si>
    <t>30419-0002</t>
  </si>
  <si>
    <t>T&amp;A Certificering 2022</t>
  </si>
  <si>
    <t>-5210-TA-MBO-30419\-0002</t>
  </si>
  <si>
    <t>30421-0002</t>
  </si>
  <si>
    <t>T&amp;A Training 2022</t>
  </si>
  <si>
    <t>-5210-TA-MBO-30421\-0002</t>
  </si>
  <si>
    <t>30482</t>
  </si>
  <si>
    <t>Doorbelasting IVIT aan T&amp;A</t>
  </si>
  <si>
    <t>-5210-TA-Overig-30482</t>
  </si>
  <si>
    <t>30482-0001</t>
  </si>
  <si>
    <t>-5210-TA-Overig-30482\-0001</t>
  </si>
  <si>
    <t>30482-0002</t>
  </si>
  <si>
    <t>-5210-TA-Overig-30482\-0002</t>
  </si>
  <si>
    <t>30421-0003</t>
  </si>
  <si>
    <t>T&amp;A Training &amp; Certificering 2023 vrijgesteld</t>
  </si>
  <si>
    <t>-5211-TA-MBO-30421\-0003</t>
  </si>
  <si>
    <t>5211</t>
  </si>
  <si>
    <t>Tongerlo 2023 training toetsdeskundigheid</t>
  </si>
  <si>
    <t>-5211-TA-VO-30548</t>
  </si>
  <si>
    <t>30548-0001</t>
  </si>
  <si>
    <t>-5211-TA-VO-30548\-0001</t>
  </si>
  <si>
    <t>30417-0003</t>
  </si>
  <si>
    <t>Kazachstan Selection Test 2022</t>
  </si>
  <si>
    <t>-5220-TA-Int-30417\-0003</t>
  </si>
  <si>
    <t>30417-0004</t>
  </si>
  <si>
    <t>Kazachstan Selection Test 2023</t>
  </si>
  <si>
    <t>-5220-TA-Int-30417\-0004</t>
  </si>
  <si>
    <t>30450-0003</t>
  </si>
  <si>
    <t>ETE Ondersteuning CE 2023</t>
  </si>
  <si>
    <t>-5220-TA-Int-30450\-0003</t>
  </si>
  <si>
    <t>Nigeria 2022-2023</t>
  </si>
  <si>
    <t>-5220-TA-Int-30494</t>
  </si>
  <si>
    <t>30494-0001</t>
  </si>
  <si>
    <t>Nigeria 2022</t>
  </si>
  <si>
    <t>-5220-TA-Int-30494\-0001</t>
  </si>
  <si>
    <t>30494-0002</t>
  </si>
  <si>
    <t>Nigeria 2023</t>
  </si>
  <si>
    <t>-5220-TA-Int-30494\-0002</t>
  </si>
  <si>
    <t>30506</t>
  </si>
  <si>
    <t>Oezbekistan Biology and Chemistry</t>
  </si>
  <si>
    <t>-5220-TA-Int-30506</t>
  </si>
  <si>
    <t>30506-0001</t>
  </si>
  <si>
    <t>Oezbekistan Biology and Chemistry 2022</t>
  </si>
  <si>
    <t>-5220-TA-Int-30506\-0001</t>
  </si>
  <si>
    <t>30598-0007</t>
  </si>
  <si>
    <t>Training Toetsdeskundigheid ASN-bank</t>
  </si>
  <si>
    <t>10045946</t>
  </si>
  <si>
    <t>ASN Bank</t>
  </si>
  <si>
    <t>2000291</t>
  </si>
  <si>
    <t>-5310-ZM--30598\-0007</t>
  </si>
  <si>
    <t>30365-0005</t>
  </si>
  <si>
    <t>ETE Volgtoetsen NED_PAP 2023</t>
  </si>
  <si>
    <t>-5220-TA-Int-30365\-0005</t>
  </si>
  <si>
    <t>30406-0002</t>
  </si>
  <si>
    <t>T&amp;A INT_ Nog te verwerven omzet 2022</t>
  </si>
  <si>
    <t>-5220-TA-Int-30406\-0002</t>
  </si>
  <si>
    <t>30406-0003</t>
  </si>
  <si>
    <t>T&amp;A INT_ Nog te verwerven omzet 2023</t>
  </si>
  <si>
    <t>-5220-TA-Int-30406\-0003</t>
  </si>
  <si>
    <t>30415-0002</t>
  </si>
  <si>
    <t>Kenia Consultancy en Training 2022</t>
  </si>
  <si>
    <t>-5220-TA-Int-30415\-0002</t>
  </si>
  <si>
    <t>30415-0003</t>
  </si>
  <si>
    <t>Kenia Consultancy en Training 2023</t>
  </si>
  <si>
    <t>-5220-TA-Int-30415\-0003</t>
  </si>
  <si>
    <t>30530</t>
  </si>
  <si>
    <t>Rwanda Policy Linking</t>
  </si>
  <si>
    <t>-5220-TA-Int-30530</t>
  </si>
  <si>
    <t>30530-0001</t>
  </si>
  <si>
    <t>Rwanda Policy Linking 2023</t>
  </si>
  <si>
    <t>-5220-TA-Int-30530\-0001</t>
  </si>
  <si>
    <t>30515</t>
  </si>
  <si>
    <t>Kirgizië Capacity building</t>
  </si>
  <si>
    <t>-5220-TA-Int-30515</t>
  </si>
  <si>
    <t>30515-0001</t>
  </si>
  <si>
    <t>Kirgizië Capacity building 2022</t>
  </si>
  <si>
    <t>58698</t>
  </si>
  <si>
    <t>Ministry of Education and Science</t>
  </si>
  <si>
    <t>-5220-TA-Int-30515\-0001</t>
  </si>
  <si>
    <t>30515-0002</t>
  </si>
  <si>
    <t>Kirgizië Capacity building 2023</t>
  </si>
  <si>
    <t>-5220-TA-Int-30515\-0002</t>
  </si>
  <si>
    <t>-5210-TA-VO-30555</t>
  </si>
  <si>
    <t>30555-0001</t>
  </si>
  <si>
    <t>-5210-TA-VO-30555\-0001</t>
  </si>
  <si>
    <t>30556</t>
  </si>
  <si>
    <t>Onderzoek leervertragingen VO</t>
  </si>
  <si>
    <t>-5210-TA-VO-30556</t>
  </si>
  <si>
    <t>30556-0001</t>
  </si>
  <si>
    <t>-5210-TA-VO-30556\-0001</t>
  </si>
  <si>
    <t>30559</t>
  </si>
  <si>
    <t>Onderzoek basisvaardigheden in het VO</t>
  </si>
  <si>
    <t>-5210-TA-VO-30559</t>
  </si>
  <si>
    <t>30559-0001</t>
  </si>
  <si>
    <t>-5210-TA-VO-30559\-0001</t>
  </si>
  <si>
    <t>30542-0001</t>
  </si>
  <si>
    <t>-5220-TA-Int-30542\-0001</t>
  </si>
  <si>
    <t>30552-0001</t>
  </si>
  <si>
    <t>-5220-TA-Int-30552\-0001</t>
  </si>
  <si>
    <t>30512-0002</t>
  </si>
  <si>
    <t>ETE Analyse VT RW 2022</t>
  </si>
  <si>
    <t>-5220-TA-Int-30512\-0002</t>
  </si>
  <si>
    <t>30452-0003</t>
  </si>
  <si>
    <t>ETE Analyse VT RW V3 periode 2023</t>
  </si>
  <si>
    <t>-5220-TA-Int-30452\-0003</t>
  </si>
  <si>
    <t>Nationaal nog te verwerven</t>
  </si>
  <si>
    <t>-5120-TRAINCERTVO--30582</t>
  </si>
  <si>
    <t>ETE analyse volgtoetsen NED - PAP deel 3 2023</t>
  </si>
  <si>
    <t>-5220-TA-Int-30549</t>
  </si>
  <si>
    <t>30549-0001</t>
  </si>
  <si>
    <t>-5220-TA-Int-30549\-0001</t>
  </si>
  <si>
    <t>PT20_PP12</t>
  </si>
  <si>
    <t>24125</t>
  </si>
  <si>
    <t>Andy Portier</t>
  </si>
  <si>
    <t>-5610-Uitgeverij-Overig-30505</t>
  </si>
  <si>
    <t>30594-0001</t>
  </si>
  <si>
    <t>Project van 3 naar 1 - proces trainingen 2024</t>
  </si>
  <si>
    <t>-7040---30594\-0001</t>
  </si>
  <si>
    <t>30594-0002</t>
  </si>
  <si>
    <t>Project van 3 naar 1 - proces trainingen 2025</t>
  </si>
  <si>
    <t>-7040---30594\-0002</t>
  </si>
  <si>
    <t>30473-0003</t>
  </si>
  <si>
    <t>Carmel 2023</t>
  </si>
  <si>
    <t>-5211-TRAINCERTVO--30473\-0003</t>
  </si>
  <si>
    <t>30137</t>
  </si>
  <si>
    <t>Marketing VO</t>
  </si>
  <si>
    <t>2686</t>
  </si>
  <si>
    <t>Wing Hung de Gijsel - Lu</t>
  </si>
  <si>
    <t>-5120-Uitgeverij-VO-30137</t>
  </si>
  <si>
    <t>30104</t>
  </si>
  <si>
    <t>Trainingen PO 2019</t>
  </si>
  <si>
    <t>-5210-TA-PO-30104</t>
  </si>
  <si>
    <t>30119-0002</t>
  </si>
  <si>
    <t>Peiling Rekenen-Wiskunde 2020</t>
  </si>
  <si>
    <t>-5310-TOM-Overig-30119\-0002</t>
  </si>
  <si>
    <t>30174-0002</t>
  </si>
  <si>
    <t>Peiling Burgerschap 2020</t>
  </si>
  <si>
    <t>-5310-TOM-Overig-30174\-0002</t>
  </si>
  <si>
    <t>30044</t>
  </si>
  <si>
    <t>Ontwikkeling Volgtoetsen ETE Ned/Pap</t>
  </si>
  <si>
    <t>-5220-TA-Int-30044</t>
  </si>
  <si>
    <t>30045</t>
  </si>
  <si>
    <t>Ontwikkeling Volgtoetsen Algemeen</t>
  </si>
  <si>
    <t>-5220-TA-Int-30045</t>
  </si>
  <si>
    <t>30085</t>
  </si>
  <si>
    <t>INVALSI Test Assembly Italy 2019</t>
  </si>
  <si>
    <t>-5220-TA-Int-30085</t>
  </si>
  <si>
    <t>30161</t>
  </si>
  <si>
    <t>Diverse opbrengsten T&amp;A INT 2019</t>
  </si>
  <si>
    <t>-5220-TA-Int-30161</t>
  </si>
  <si>
    <t>30161-0001</t>
  </si>
  <si>
    <t>Study visit OBEC Thailand</t>
  </si>
  <si>
    <t>58160</t>
  </si>
  <si>
    <t>Ministry of Education Thailand Office of Basic Education Commission (OBEC)</t>
  </si>
  <si>
    <t>2000199</t>
  </si>
  <si>
    <t>-5220-TA-Int-30161\-0001</t>
  </si>
  <si>
    <t>30161-0002</t>
  </si>
  <si>
    <t>Study visit Botswana BEC</t>
  </si>
  <si>
    <t>58201</t>
  </si>
  <si>
    <t>Botswana Examinations Council</t>
  </si>
  <si>
    <t>2000201</t>
  </si>
  <si>
    <t>-5220-TA-Int-30161\-0002</t>
  </si>
  <si>
    <t>30161-0003</t>
  </si>
  <si>
    <t>Workshop EU scholen Brussel</t>
  </si>
  <si>
    <t>2000202</t>
  </si>
  <si>
    <t>-5220-TA-Int-30161\-0003</t>
  </si>
  <si>
    <t>30164</t>
  </si>
  <si>
    <t>Ondersteuning volgtoetsen ETE alg.</t>
  </si>
  <si>
    <t>-5220-TA-Int-30164</t>
  </si>
  <si>
    <t>30165</t>
  </si>
  <si>
    <t>Ondersteuning EFO 2019 - 2020</t>
  </si>
  <si>
    <t>-5220-TA-Int-30165</t>
  </si>
  <si>
    <t>30166</t>
  </si>
  <si>
    <t>Ondersteuning Cesuur- en normvaststelling CE</t>
  </si>
  <si>
    <t>-5220-TA-Int-30166</t>
  </si>
  <si>
    <t>30088</t>
  </si>
  <si>
    <t>Consultancy &amp; Training Kyrgyzstan 2019-2020</t>
  </si>
  <si>
    <t>-5220-TA-Int-30088</t>
  </si>
  <si>
    <t>30088-0001</t>
  </si>
  <si>
    <t>Consultancy &amp; Training Kyrgyzstan 2019</t>
  </si>
  <si>
    <t>-5220-TA-Int-30088\-0001</t>
  </si>
  <si>
    <t>30088-0002</t>
  </si>
  <si>
    <t>Consultancy &amp; Training Kyrgyzstan 2020</t>
  </si>
  <si>
    <t>-5220-TA-Int-30088\-0002</t>
  </si>
  <si>
    <t>30072</t>
  </si>
  <si>
    <t>Kazachstan Selection Test 2019</t>
  </si>
  <si>
    <t>-5220-TA-Int-30072</t>
  </si>
  <si>
    <t>30074</t>
  </si>
  <si>
    <t>Kazachstan Monitoring Mathematics 2019</t>
  </si>
  <si>
    <t>-5220-TA-Int-30074</t>
  </si>
  <si>
    <t>30120</t>
  </si>
  <si>
    <t>Nog te verwerven omzet TAI</t>
  </si>
  <si>
    <t>-5220-TA-Int-30120</t>
  </si>
  <si>
    <t>30123</t>
  </si>
  <si>
    <t>Congressen conferenties en ontwikkeling Internationaal</t>
  </si>
  <si>
    <t>-5220-TA-Int-30123</t>
  </si>
  <si>
    <t>30140</t>
  </si>
  <si>
    <t>IAEA-Administration</t>
  </si>
  <si>
    <t>-5220-TA-Int-30140</t>
  </si>
  <si>
    <t>30141</t>
  </si>
  <si>
    <t>Regelen reizen, hotels en reisformulieren</t>
  </si>
  <si>
    <t>-5220-TA-Int-30141</t>
  </si>
  <si>
    <t>30142</t>
  </si>
  <si>
    <t>-5220-TA-Int-30142</t>
  </si>
  <si>
    <t>30158</t>
  </si>
  <si>
    <t>Consultancy analyse kwaliteit examenvragen GOC</t>
  </si>
  <si>
    <t>-5220-TA-Int-30158</t>
  </si>
  <si>
    <t>30087</t>
  </si>
  <si>
    <t>Consultancy IBE Zwitserland 2019</t>
  </si>
  <si>
    <t>-5220-TA-Int-30087</t>
  </si>
  <si>
    <t>30078-0001</t>
  </si>
  <si>
    <t>Consultancy CAT algorithme Wales 2019</t>
  </si>
  <si>
    <t>-5220-TA-Int-30078\-0001</t>
  </si>
  <si>
    <t>30076</t>
  </si>
  <si>
    <t>Consultancy NFER NRT UK 2019</t>
  </si>
  <si>
    <t>-5220-TA-Int-30076</t>
  </si>
  <si>
    <t>30061</t>
  </si>
  <si>
    <t>HAN Training 2019</t>
  </si>
  <si>
    <t>-5210-TA-HO-30061</t>
  </si>
  <si>
    <t>30063</t>
  </si>
  <si>
    <t>VHL Certificering 2019</t>
  </si>
  <si>
    <t>-5210-TA-HO-30063</t>
  </si>
  <si>
    <t>30064</t>
  </si>
  <si>
    <t>Windesheim Certificering 2019</t>
  </si>
  <si>
    <t>-5210-TA-HO-30064</t>
  </si>
  <si>
    <t>30065</t>
  </si>
  <si>
    <t>VHL training 2019</t>
  </si>
  <si>
    <t>-5210-TA-HO-30065</t>
  </si>
  <si>
    <t>30182</t>
  </si>
  <si>
    <t>Consultancy St. Eustatius en Saba</t>
  </si>
  <si>
    <t>50150</t>
  </si>
  <si>
    <t>Saba Educational Foundation</t>
  </si>
  <si>
    <t>2000204</t>
  </si>
  <si>
    <t>-5220-TA-Int-30182</t>
  </si>
  <si>
    <t>30187</t>
  </si>
  <si>
    <t>Consultancy &amp; Training KNEC</t>
  </si>
  <si>
    <t>-5220-TA-Int-30187</t>
  </si>
  <si>
    <t>30101</t>
  </si>
  <si>
    <t>Consultancy &amp; Training Kosovo 2019</t>
  </si>
  <si>
    <t>-5220-TA-Int-30101</t>
  </si>
  <si>
    <t>30079-0002</t>
  </si>
  <si>
    <t>Wiscat-pabo Verlenging 2020</t>
  </si>
  <si>
    <t>-5310-TOM-HO-30079\-0002</t>
  </si>
  <si>
    <t>30084-0002</t>
  </si>
  <si>
    <t>Toelatingstoetsen Mens en Wereld 2020</t>
  </si>
  <si>
    <t>-5310-TOM-HO-30084\-0002</t>
  </si>
  <si>
    <t>30053</t>
  </si>
  <si>
    <t>Groeimeter PO-IVIT</t>
  </si>
  <si>
    <t>-5110-Uitgeverij-PO-30053</t>
  </si>
  <si>
    <t>30090</t>
  </si>
  <si>
    <t>AVI-CILT Leesplein 2019</t>
  </si>
  <si>
    <t>-5110-Uitgeverij-PO-30090</t>
  </si>
  <si>
    <t>30093</t>
  </si>
  <si>
    <t>LVS DMT-AVI 2019</t>
  </si>
  <si>
    <t>-5110-Uitgeverij-PO-30093</t>
  </si>
  <si>
    <t>30096</t>
  </si>
  <si>
    <t>Exploitatie LVS 2019</t>
  </si>
  <si>
    <t>-5110-Uitgeverij-PO-30096</t>
  </si>
  <si>
    <t>30130</t>
  </si>
  <si>
    <t>Groeimeter rekenen-Wiskunde 2019</t>
  </si>
  <si>
    <t>-5110-Uitgeverij-PO-30130</t>
  </si>
  <si>
    <t>30132</t>
  </si>
  <si>
    <t>Squla 2019</t>
  </si>
  <si>
    <t>10024751</t>
  </si>
  <si>
    <t>FutureWhiz Media BV</t>
  </si>
  <si>
    <t>2000046</t>
  </si>
  <si>
    <t>-5110-Uitgeverij-PO-30132</t>
  </si>
  <si>
    <t>30133</t>
  </si>
  <si>
    <t>Diverse opbrengsten  BaO 2019</t>
  </si>
  <si>
    <t>-5110-Uitgeverij-PO-30133</t>
  </si>
  <si>
    <t>30134</t>
  </si>
  <si>
    <t>AVI-CILT Leesplein Buitenland 2019</t>
  </si>
  <si>
    <t>-5110-Uitgeverij-PO-30134</t>
  </si>
  <si>
    <t>30100</t>
  </si>
  <si>
    <t>LVS Woordenschat 3.0 2019</t>
  </si>
  <si>
    <t>-5110-Uitgeverij-PO-30100</t>
  </si>
  <si>
    <t>30102</t>
  </si>
  <si>
    <t>LVS Taal voor kleuters 2019</t>
  </si>
  <si>
    <t>-5110-Uitgeverij-PO-30102</t>
  </si>
  <si>
    <t>30103</t>
  </si>
  <si>
    <t>LVS Rekenen voor kleuters 2019</t>
  </si>
  <si>
    <t>-5110-Uitgeverij-PO-30103</t>
  </si>
  <si>
    <t>30162</t>
  </si>
  <si>
    <t>Referentieniveaus Begrijpend luisteren 2019</t>
  </si>
  <si>
    <t>-5110-Uitgeverij-PO-30162</t>
  </si>
  <si>
    <t>30055</t>
  </si>
  <si>
    <t>Kleuter in beeld PO-IVIT</t>
  </si>
  <si>
    <t>1074</t>
  </si>
  <si>
    <t>Geert Evers</t>
  </si>
  <si>
    <t>-5110-Uitgeverij-PO-30055</t>
  </si>
  <si>
    <t>30056</t>
  </si>
  <si>
    <t>Basispoort PO-IVIT</t>
  </si>
  <si>
    <t>-5110-Uitgeverij-PO-30056</t>
  </si>
  <si>
    <t>30086</t>
  </si>
  <si>
    <t>ET regulier 2019</t>
  </si>
  <si>
    <t>-5110-Uitgeverij-PO-30086</t>
  </si>
  <si>
    <t>30048</t>
  </si>
  <si>
    <t>LVS Spelling 3.0 2019</t>
  </si>
  <si>
    <t>-5110-Uitgeverij-PO-30048</t>
  </si>
  <si>
    <t>30106</t>
  </si>
  <si>
    <t>Entreetoets regulier 2019 vervallen</t>
  </si>
  <si>
    <t>-5110-Uitgeverij-PO-30106</t>
  </si>
  <si>
    <t>30135</t>
  </si>
  <si>
    <t>LVS Digitale geletterdheid 2019</t>
  </si>
  <si>
    <t>-5110-Uitgeverij-PO-30135</t>
  </si>
  <si>
    <t>30097</t>
  </si>
  <si>
    <t>LVS Rekenen-Wiskunde 4.0 2019</t>
  </si>
  <si>
    <t>-5110-Uitgeverij-PO-30097</t>
  </si>
  <si>
    <t>30099</t>
  </si>
  <si>
    <t>LVS Spelling 4.0 2019</t>
  </si>
  <si>
    <t>-5110-Uitgeverij-PO-30099</t>
  </si>
  <si>
    <t>30095</t>
  </si>
  <si>
    <t>LVS Engels 2019</t>
  </si>
  <si>
    <t>-5110-Uitgeverij-PO-30095</t>
  </si>
  <si>
    <t>30091</t>
  </si>
  <si>
    <t>LVS Begrijpend lezen 4.0 2019</t>
  </si>
  <si>
    <t>-5110-Uitgeverij-PO-30091</t>
  </si>
  <si>
    <t>30179</t>
  </si>
  <si>
    <t>-5310-TOM-OH-30179</t>
  </si>
  <si>
    <t>Peiling Rekenen-Wiskunde 2019-2020</t>
  </si>
  <si>
    <t>-5310-TOM-Overig-30119</t>
  </si>
  <si>
    <t>Wiscat-pabo Verlenging 2016-2020</t>
  </si>
  <si>
    <t>-5310-TOM-HO-30079</t>
  </si>
  <si>
    <t>Toelatingstoetsen Mens en Wereld 2019-2020</t>
  </si>
  <si>
    <t>-5310-TOM-HO-30084</t>
  </si>
  <si>
    <t>30139</t>
  </si>
  <si>
    <t>-5320-TOM-Overig-30139</t>
  </si>
  <si>
    <t>30067</t>
  </si>
  <si>
    <t>Training VO 2019</t>
  </si>
  <si>
    <t>-5210-TA-VO-30067</t>
  </si>
  <si>
    <t>30184</t>
  </si>
  <si>
    <t>Consultancy VO 2019</t>
  </si>
  <si>
    <t>-5210-TA-VO-30184</t>
  </si>
  <si>
    <t>30138</t>
  </si>
  <si>
    <t>Marketing TenA</t>
  </si>
  <si>
    <t>-5210-TA-Overig-30138</t>
  </si>
  <si>
    <t>30167</t>
  </si>
  <si>
    <t>Consultancy en Training Serbia 2019</t>
  </si>
  <si>
    <t>58169</t>
  </si>
  <si>
    <t>Human Dynamics Cologne</t>
  </si>
  <si>
    <t>2000200</t>
  </si>
  <si>
    <t>-5220-TA-Int-30167</t>
  </si>
  <si>
    <t>30059</t>
  </si>
  <si>
    <t>Certificering vrij 2019</t>
  </si>
  <si>
    <t>-5210-TA-MBO-30059</t>
  </si>
  <si>
    <t>30060</t>
  </si>
  <si>
    <t>Consultancy 2019</t>
  </si>
  <si>
    <t>-5210-TA-MBO-30060</t>
  </si>
  <si>
    <t>30062</t>
  </si>
  <si>
    <t>Training 2019</t>
  </si>
  <si>
    <t>-5210-TA-MBO-30062</t>
  </si>
  <si>
    <t>30066</t>
  </si>
  <si>
    <t>Certificering belast 2019</t>
  </si>
  <si>
    <t>-5210-TA-MBO-30066</t>
  </si>
  <si>
    <t>30068</t>
  </si>
  <si>
    <t>T&amp;A Ontwikkeling en Ondersteuning 2019</t>
  </si>
  <si>
    <t>-5210-TA-MBO-30068</t>
  </si>
  <si>
    <t>30040</t>
  </si>
  <si>
    <t>Marketing &amp; Communicatie (beeldbank huisstijl redactieraad e</t>
  </si>
  <si>
    <t>-5610-Overige-Overig-30040</t>
  </si>
  <si>
    <t>30043</t>
  </si>
  <si>
    <t>Online marketing (website, shop, portal en social)</t>
  </si>
  <si>
    <t>-5610-Overige-Overig-30043</t>
  </si>
  <si>
    <t>30180</t>
  </si>
  <si>
    <t>Online marketing met pl Stijn</t>
  </si>
  <si>
    <t>-5610-Overige-Overig-30180</t>
  </si>
  <si>
    <t>30041</t>
  </si>
  <si>
    <t>Digital business (crm marketing automation)</t>
  </si>
  <si>
    <t>-5610-Overige-Overig-30041</t>
  </si>
  <si>
    <t>30073</t>
  </si>
  <si>
    <t>-5610-Overige-Overig-30073</t>
  </si>
  <si>
    <t>30075</t>
  </si>
  <si>
    <t>Orderverwerking</t>
  </si>
  <si>
    <t>2585</t>
  </si>
  <si>
    <t>Matthijs ter Beek</t>
  </si>
  <si>
    <t>5415</t>
  </si>
  <si>
    <t>Gerard Kramp</t>
  </si>
  <si>
    <t>-5510-Uitgeverij-Overig-30075</t>
  </si>
  <si>
    <t>30042</t>
  </si>
  <si>
    <t>Marketing intelligence (platformen, analyse, stuurinformatie</t>
  </si>
  <si>
    <t>-5610-Overige-Overig-30042</t>
  </si>
  <si>
    <t>30136</t>
  </si>
  <si>
    <t>-5110-Uitgeverij-PO-30136</t>
  </si>
  <si>
    <t>30069</t>
  </si>
  <si>
    <t>Stex Afnametraject 2019</t>
  </si>
  <si>
    <t>-5310-TOM-OH-30069</t>
  </si>
  <si>
    <t>30070</t>
  </si>
  <si>
    <t>Stex Onderzoek 2019</t>
  </si>
  <si>
    <t>-5310-TOM-OH-30070</t>
  </si>
  <si>
    <t>30071</t>
  </si>
  <si>
    <t>Stex Ontwikkeling 2019</t>
  </si>
  <si>
    <t>-5310-TOM-OH-30071</t>
  </si>
  <si>
    <t>30113</t>
  </si>
  <si>
    <t>Stex beoordelaarstraining Initieel 2019</t>
  </si>
  <si>
    <t>-5310-TOM-OH-30113</t>
  </si>
  <si>
    <t>30121</t>
  </si>
  <si>
    <t>Stex BMT Onderhoud 2019</t>
  </si>
  <si>
    <t>-5310-TOM-OH-30121</t>
  </si>
  <si>
    <t>30157</t>
  </si>
  <si>
    <t>Unieke examens STEX Nt2 ontwikkeling</t>
  </si>
  <si>
    <t>-5310-TOM-OH-30157</t>
  </si>
  <si>
    <t>30039</t>
  </si>
  <si>
    <t>KLT Algemeen 2019</t>
  </si>
  <si>
    <t>-5130-Uitgeverij-VO-30039</t>
  </si>
  <si>
    <t>30077</t>
  </si>
  <si>
    <t>KLT Frans 2</t>
  </si>
  <si>
    <t>-5130-Uitgeverij-VO-30077</t>
  </si>
  <si>
    <t>30089</t>
  </si>
  <si>
    <t>KLT Duits 2019</t>
  </si>
  <si>
    <t>-5130-Uitgeverij-VO-30089</t>
  </si>
  <si>
    <t>30092</t>
  </si>
  <si>
    <t>KLT Engels 2019</t>
  </si>
  <si>
    <t>-5130-Uitgeverij-VO-30092</t>
  </si>
  <si>
    <t>30094</t>
  </si>
  <si>
    <t>KLT Spaans 2019</t>
  </si>
  <si>
    <t>-5130-Uitgeverij-VO-30094</t>
  </si>
  <si>
    <t>30098</t>
  </si>
  <si>
    <t>KLT Nederlands 2019</t>
  </si>
  <si>
    <t>-5130-Uitgeverij-VO-30098</t>
  </si>
  <si>
    <t>30160</t>
  </si>
  <si>
    <t>Pilot ANS KLT 2019 incl -IVIT</t>
  </si>
  <si>
    <t>-5130-Uitgeverij-VO-30160</t>
  </si>
  <si>
    <t>30170</t>
  </si>
  <si>
    <t>Conferenties en acquisitie T&amp;A Int.</t>
  </si>
  <si>
    <t>-5220-TA-Int-30170</t>
  </si>
  <si>
    <t>30171</t>
  </si>
  <si>
    <t>-5220-TA-Int-30171</t>
  </si>
  <si>
    <t>30114</t>
  </si>
  <si>
    <t>VVO 4e generatie</t>
  </si>
  <si>
    <t>2687</t>
  </si>
  <si>
    <t>Michiel Hensen</t>
  </si>
  <si>
    <t>-5120-Uitgeverij-VO-30114</t>
  </si>
  <si>
    <t>30118</t>
  </si>
  <si>
    <t>Exploitatie VVO 2019</t>
  </si>
  <si>
    <t>-5120-Uitgeverij-VO-30118</t>
  </si>
  <si>
    <t>30051</t>
  </si>
  <si>
    <t>VO: Beheer en onderhoud-IVIT</t>
  </si>
  <si>
    <t>-5120-Uitgeverij-VO-30051</t>
  </si>
  <si>
    <t>30144</t>
  </si>
  <si>
    <t>3e gen toetsen multidevice geschikt maken VO-IVIT</t>
  </si>
  <si>
    <t>-5120-Uitgeverij-VO-30144</t>
  </si>
  <si>
    <t>30146</t>
  </si>
  <si>
    <t>KLT-ANS VO-IVIT</t>
  </si>
  <si>
    <t>-5120-Uitgeverij-VO-30146</t>
  </si>
  <si>
    <t>30080</t>
  </si>
  <si>
    <t>-5320-TOM-TTV-30080</t>
  </si>
  <si>
    <t>30081</t>
  </si>
  <si>
    <t>Certificering PE Lassers 2019</t>
  </si>
  <si>
    <t>-5320-TOM-TTV-30081</t>
  </si>
  <si>
    <t>30082</t>
  </si>
  <si>
    <t>Examenlogistiek BAL en BAST 2019</t>
  </si>
  <si>
    <t>-5320-TOM-TTV-30082</t>
  </si>
  <si>
    <t>30083</t>
  </si>
  <si>
    <t>NGS Computerafname 2019</t>
  </si>
  <si>
    <t>-5320-TOM-ZORG-30083</t>
  </si>
  <si>
    <t>30116</t>
  </si>
  <si>
    <t>Toets Verpleegkundig Rekenen 2019</t>
  </si>
  <si>
    <t>-5320-TOM-ZORG-30116</t>
  </si>
  <si>
    <t>30119-0001</t>
  </si>
  <si>
    <t>Peiling Rekenen-Wiskunde 2019</t>
  </si>
  <si>
    <t>-5310-TOM-Overig-30119\-0001</t>
  </si>
  <si>
    <t>30112</t>
  </si>
  <si>
    <t>Stex beoordeling Initieel 2019</t>
  </si>
  <si>
    <t>-5320-TOM-OH-30112</t>
  </si>
  <si>
    <t>30122</t>
  </si>
  <si>
    <t>Te verwerven toetsketens 2019</t>
  </si>
  <si>
    <t>-5320-TOM-OH-30122</t>
  </si>
  <si>
    <t>30148</t>
  </si>
  <si>
    <t>Tao KT-IVIT</t>
  </si>
  <si>
    <t>-5310-TOM-OH-30148</t>
  </si>
  <si>
    <t>30052</t>
  </si>
  <si>
    <t>TK: Beheer en onderhoud-IVIT</t>
  </si>
  <si>
    <t>-5310-TOM-Overig-30052</t>
  </si>
  <si>
    <t>30149</t>
  </si>
  <si>
    <t>Te verwerven omzet TK-IVIT</t>
  </si>
  <si>
    <t>-5310-TOM-OH-30149</t>
  </si>
  <si>
    <t>30153</t>
  </si>
  <si>
    <t>-5310-TOM-OH-30153</t>
  </si>
  <si>
    <t>30145</t>
  </si>
  <si>
    <t>Vernieuwde rapportage PO en VO-IVIT</t>
  </si>
  <si>
    <t>-5120-Overige-Overig-30145</t>
  </si>
  <si>
    <t>30054</t>
  </si>
  <si>
    <t>Verdienmodel PO en VO-IVIT</t>
  </si>
  <si>
    <t>-7020-Uitgeverij-PO-30054</t>
  </si>
  <si>
    <t>30049</t>
  </si>
  <si>
    <t>QDC en QB beheer (alle BU)-IVIT</t>
  </si>
  <si>
    <t>-7020-Overige-Overig-30049</t>
  </si>
  <si>
    <t>30143</t>
  </si>
  <si>
    <t>Multi-device technisch PO en VO-IVIT en QTI Player Cloud</t>
  </si>
  <si>
    <t>-7020-Overige-Overig-30143</t>
  </si>
  <si>
    <t>30151</t>
  </si>
  <si>
    <t>Thema s en templates aanpassingen in QTI PO en VO-IVIT</t>
  </si>
  <si>
    <t>-7020-Overige-Overig-30151</t>
  </si>
  <si>
    <t>30156</t>
  </si>
  <si>
    <t>Te verwerven POVO-IVIT</t>
  </si>
  <si>
    <t>-7020-Overige-Overig-30156</t>
  </si>
  <si>
    <t>30117</t>
  </si>
  <si>
    <t>Verwerking antwoordbladen 2019</t>
  </si>
  <si>
    <t>-5320-TOM-Overig-30117</t>
  </si>
  <si>
    <t>30185</t>
  </si>
  <si>
    <t>NBA Kennistoets 2019</t>
  </si>
  <si>
    <t>-5320-TOM-Overig-30185</t>
  </si>
  <si>
    <t>30192</t>
  </si>
  <si>
    <t>Rekentoets MBO</t>
  </si>
  <si>
    <t>-5320-TOM-Overig-30192</t>
  </si>
  <si>
    <t>30147</t>
  </si>
  <si>
    <t>-5310-TOM-OH-30147</t>
  </si>
  <si>
    <t>30172</t>
  </si>
  <si>
    <t>Peiling schrijfvaardigheid 2019</t>
  </si>
  <si>
    <t>-5310-TOM-OH-30172</t>
  </si>
  <si>
    <t>30176-0001</t>
  </si>
  <si>
    <t>Peiling Schrijfvaardigheid Psychometrie 2019</t>
  </si>
  <si>
    <t>30176</t>
  </si>
  <si>
    <t>-5310-TOM-OH-30176\-0001</t>
  </si>
  <si>
    <t>30176-0002</t>
  </si>
  <si>
    <t>Peiling Schrijfvaardigheid Psychometrie 2020</t>
  </si>
  <si>
    <t>-5310-TOM-OH-30176\-0002</t>
  </si>
  <si>
    <t>30105</t>
  </si>
  <si>
    <t>FFP 2019</t>
  </si>
  <si>
    <t>-5320-TOM-FZD-30105</t>
  </si>
  <si>
    <t>30107</t>
  </si>
  <si>
    <t>NVHP hypothecaire planners 2019</t>
  </si>
  <si>
    <t>-5320-TOM-FZD-30107</t>
  </si>
  <si>
    <t>30126</t>
  </si>
  <si>
    <t>-5320-TOM-FZD-30126</t>
  </si>
  <si>
    <t>30183</t>
  </si>
  <si>
    <t>Training B en B</t>
  </si>
  <si>
    <t>-5320-TOM-FZD-30183</t>
  </si>
  <si>
    <t>30174-0001</t>
  </si>
  <si>
    <t>Peiling Burgerschap 2019</t>
  </si>
  <si>
    <t>-5320-TOM-Overig-30174\-0001</t>
  </si>
  <si>
    <t>30046</t>
  </si>
  <si>
    <t>Peil.Onderwijs MTV S(B)O 2019</t>
  </si>
  <si>
    <t>29672</t>
  </si>
  <si>
    <t>ITTA Kennisinstituut Taalontwikkeling</t>
  </si>
  <si>
    <t>2000136</t>
  </si>
  <si>
    <t>2533</t>
  </si>
  <si>
    <t>Jos Keuning</t>
  </si>
  <si>
    <t>-5310-TOM-Overig-30046</t>
  </si>
  <si>
    <t>30047</t>
  </si>
  <si>
    <t>NRO Toetsen Taalvaardigheid 2019-2020</t>
  </si>
  <si>
    <t>50035</t>
  </si>
  <si>
    <t>Radboud Universiteit Nijmegen Faculteit der Letteren</t>
  </si>
  <si>
    <t>2000138</t>
  </si>
  <si>
    <t>-5310-TOM-Overig-30047</t>
  </si>
  <si>
    <t>30047-0001</t>
  </si>
  <si>
    <t>NRO Toetsen Taalvaardigheid 2019</t>
  </si>
  <si>
    <t>-5310-TOM-Overig-30047\-0001</t>
  </si>
  <si>
    <t>30047-0002</t>
  </si>
  <si>
    <t>NRO Toetsen Taalvaardigheid 2020</t>
  </si>
  <si>
    <t>-5310-TOM-Overig-30047\-0002</t>
  </si>
  <si>
    <t>30190-0001</t>
  </si>
  <si>
    <t>Peiling ICCS 2019</t>
  </si>
  <si>
    <t>30079-0001</t>
  </si>
  <si>
    <t>-5310-TOM-HO-30079\-0001</t>
  </si>
  <si>
    <t>30108</t>
  </si>
  <si>
    <t>Logistieke Bodemenergie 2019</t>
  </si>
  <si>
    <t>-5320-TOM-TTV-30108</t>
  </si>
  <si>
    <t>30109</t>
  </si>
  <si>
    <t>Logistieke EPA 2019</t>
  </si>
  <si>
    <t>-5320-TOM-TTV-30109</t>
  </si>
  <si>
    <t>30110</t>
  </si>
  <si>
    <t>Logistieke ISSO 2019</t>
  </si>
  <si>
    <t>-5320-TOM-TTV-30110</t>
  </si>
  <si>
    <t>30111</t>
  </si>
  <si>
    <t>LogistiekeTelecom CAI 2019</t>
  </si>
  <si>
    <t>-5320-TOM-TTV-30111</t>
  </si>
  <si>
    <t>30125</t>
  </si>
  <si>
    <t>Onderhoud examen Telecom CAI 2019</t>
  </si>
  <si>
    <t>-5320-TOM-TTV-30125</t>
  </si>
  <si>
    <t>30131</t>
  </si>
  <si>
    <t>CBR afnamesysteem iTEC 2019</t>
  </si>
  <si>
    <t>-5320-TOM-TTV-30131</t>
  </si>
  <si>
    <t>30163</t>
  </si>
  <si>
    <t>-5320-TOM-TTV-30163</t>
  </si>
  <si>
    <t>30168</t>
  </si>
  <si>
    <t>-5320-TOM-TTV-30168</t>
  </si>
  <si>
    <t>30189</t>
  </si>
  <si>
    <t>Royal Haskoning (DHV)</t>
  </si>
  <si>
    <t>-5320-TOM-TTV-30189</t>
  </si>
  <si>
    <t>30191</t>
  </si>
  <si>
    <t>Peiling Leesvaardigheid 2020-2021</t>
  </si>
  <si>
    <t>-5310-TOM-OH-30191</t>
  </si>
  <si>
    <t>30191-0001</t>
  </si>
  <si>
    <t>Peiling Leesvaardigheid 2019</t>
  </si>
  <si>
    <t>-5310-TOM-OH-30191\-0001</t>
  </si>
  <si>
    <t>30150</t>
  </si>
  <si>
    <t>Bestaande LVS toetsen overzetten naar QTI-player PO-IVIT</t>
  </si>
  <si>
    <t>-5110-Uitgeverij-PO-30150</t>
  </si>
  <si>
    <t>30152</t>
  </si>
  <si>
    <t>Leerwinstrapportage PO-IVIT</t>
  </si>
  <si>
    <t>-5110-Uitgeverij-PO-30152</t>
  </si>
  <si>
    <t>30154</t>
  </si>
  <si>
    <t>Woordenschat 3.0 PO-IVIT</t>
  </si>
  <si>
    <t>-5110-Uitgeverij-PO-30154</t>
  </si>
  <si>
    <t>30155</t>
  </si>
  <si>
    <t>LVS 4.0 PO-IVIT</t>
  </si>
  <si>
    <t>-5110-Uitgeverij-PO-30155</t>
  </si>
  <si>
    <t>30057</t>
  </si>
  <si>
    <t>Scoremodule PO-IVIT</t>
  </si>
  <si>
    <t>-5110-Uitgeverij-PO-30057</t>
  </si>
  <si>
    <t>30058</t>
  </si>
  <si>
    <t>Bovenschoolse rapportage PO-IVIT</t>
  </si>
  <si>
    <t>-5110-Uitgeverij-PO-30058</t>
  </si>
  <si>
    <t>30050</t>
  </si>
  <si>
    <t>PO: Beheer en onderhoud-IVIT</t>
  </si>
  <si>
    <t>-5110-Uitgeverij-PO-30050</t>
  </si>
  <si>
    <t>Peiling Schrijfvaardigheid Psychometrie 2019-2020</t>
  </si>
  <si>
    <t>-5310-TOM-OH-30176</t>
  </si>
  <si>
    <t>30084-0001</t>
  </si>
  <si>
    <t>Toelatingstoetsen Mens en Wereld 2019</t>
  </si>
  <si>
    <t>-5310-TOM-HO-30084\-0001</t>
  </si>
  <si>
    <t>30272</t>
  </si>
  <si>
    <t>Examentegoed SECT B2/C2/B3/C3/B4/C4</t>
  </si>
  <si>
    <t>-5320-TOM-TTV-30272</t>
  </si>
  <si>
    <t>30124-0001</t>
  </si>
  <si>
    <t>Inburgering ontwikkeling 2019</t>
  </si>
  <si>
    <t>-5310-TOM-OH-30124\-0001</t>
  </si>
  <si>
    <t>30124-0002</t>
  </si>
  <si>
    <t>Inburgering ontwikkeling 2020</t>
  </si>
  <si>
    <t>-5310-TOM-OH-30124\-0002</t>
  </si>
  <si>
    <t>30127-0001</t>
  </si>
  <si>
    <t>Inburgering beheer 2019</t>
  </si>
  <si>
    <t>-5310-TOM-OH-30127\-0001</t>
  </si>
  <si>
    <t>30128-0001</t>
  </si>
  <si>
    <t>Inburgering training 2019</t>
  </si>
  <si>
    <t>-5310-TOM-OH-30128\-0001</t>
  </si>
  <si>
    <t>30129-0001</t>
  </si>
  <si>
    <t>Inburgering communicatie 2019</t>
  </si>
  <si>
    <t>-5310-TOM-OH-30129\-0001</t>
  </si>
  <si>
    <t>30129-0002</t>
  </si>
  <si>
    <t>Inburgering communicatie 2020</t>
  </si>
  <si>
    <t>-5310-TOM-OH-30129\-0002</t>
  </si>
  <si>
    <t>30188-0001</t>
  </si>
  <si>
    <t>Meerwerk inburgering 2019</t>
  </si>
  <si>
    <t>-5310-TOM-OH-30188\-0001</t>
  </si>
  <si>
    <t>Vervolg Peiling Engels</t>
  </si>
  <si>
    <t>30173</t>
  </si>
  <si>
    <t>Projectleider Toetsplatform (Paul G)</t>
  </si>
  <si>
    <t>-7020-Overige-Overig-30173</t>
  </si>
  <si>
    <t>30186</t>
  </si>
  <si>
    <t>Newco</t>
  </si>
  <si>
    <t>-7020-Overige-Overig-30186</t>
  </si>
  <si>
    <t>17858-0002</t>
  </si>
  <si>
    <t>Ankeropgaven peilingen Engels, Rekenen Schrijfvaardigheid'18</t>
  </si>
  <si>
    <t>17858</t>
  </si>
  <si>
    <t>2757</t>
  </si>
  <si>
    <t>Harold Jägers</t>
  </si>
  <si>
    <t>-5310-TOM-Overig-17858</t>
  </si>
  <si>
    <t>18370-0001</t>
  </si>
  <si>
    <t>18370</t>
  </si>
  <si>
    <t>-5310-TOM-Overig-18370</t>
  </si>
  <si>
    <t>17324-0003</t>
  </si>
  <si>
    <t>AVI-CILT Leesplein Buitenland 2018</t>
  </si>
  <si>
    <t>17324</t>
  </si>
  <si>
    <t>-5110-Uitgeverij-PO-17324\-0003</t>
  </si>
  <si>
    <t>17324-0003-0001</t>
  </si>
  <si>
    <t>Nog te factureren 2017</t>
  </si>
  <si>
    <t>-5110-Uitgeverij-PO-17324\-0003\-0001</t>
  </si>
  <si>
    <t>17677</t>
  </si>
  <si>
    <t>Exploitatie LVS 2017-2018</t>
  </si>
  <si>
    <t>-5110-Uitgeverij-PO-17677</t>
  </si>
  <si>
    <t>17026</t>
  </si>
  <si>
    <t>Rekenen-Wiskunde Digitaal 2016-2018</t>
  </si>
  <si>
    <t>-5110-Uitgeverij-PO-17026</t>
  </si>
  <si>
    <t>17026-0003</t>
  </si>
  <si>
    <t>LVS Rekenen-Wiskunde 2018</t>
  </si>
  <si>
    <t>-5110-Uitgeverij-PO-17026\-0003</t>
  </si>
  <si>
    <t>17091</t>
  </si>
  <si>
    <t>Begrijpend lezen 2016-2018</t>
  </si>
  <si>
    <t>-5110-Uitgeverij-PO-17091</t>
  </si>
  <si>
    <t>17091-0003</t>
  </si>
  <si>
    <t>LVS Begrijpend lezen 2018</t>
  </si>
  <si>
    <t>-5110-Uitgeverij-PO-17091\-0003</t>
  </si>
  <si>
    <t>17093</t>
  </si>
  <si>
    <t>Woordenschat 2016-2018</t>
  </si>
  <si>
    <t>-5110-Uitgeverij-PO-17093</t>
  </si>
  <si>
    <t>Peil.Onderwijs MTV Engels 2018</t>
  </si>
  <si>
    <t>-5310-TOM-OH-18370</t>
  </si>
  <si>
    <t>18274</t>
  </si>
  <si>
    <t>Peil.Onderwijs MTV S(B)O 2018</t>
  </si>
  <si>
    <t>-5310-TOM-Overig-18274</t>
  </si>
  <si>
    <t>18274-0001</t>
  </si>
  <si>
    <t>18276</t>
  </si>
  <si>
    <t>NRO toetsen taalvaardigheid 2018-2019</t>
  </si>
  <si>
    <t>-5310-TOM-Overig-18276</t>
  </si>
  <si>
    <t>18276-0001</t>
  </si>
  <si>
    <t>17031-0003</t>
  </si>
  <si>
    <t>Verwerking antwoordbladen 2018</t>
  </si>
  <si>
    <t>17031</t>
  </si>
  <si>
    <t>-5320-TOM-Overig-17031\-0003</t>
  </si>
  <si>
    <t>17031-0003-0001</t>
  </si>
  <si>
    <t>Wageningen UR</t>
  </si>
  <si>
    <t>10021319</t>
  </si>
  <si>
    <t>2000033</t>
  </si>
  <si>
    <t>-5320-TOM-Overig-17031\-0003\-0001</t>
  </si>
  <si>
    <t>17031-0003-0002</t>
  </si>
  <si>
    <t>Betonvereniging</t>
  </si>
  <si>
    <t>10021671</t>
  </si>
  <si>
    <t>2000034</t>
  </si>
  <si>
    <t>-5320-TOM-Overig-17031\-0003\-0002</t>
  </si>
  <si>
    <t>17031-0003-0003</t>
  </si>
  <si>
    <t>Edufarma</t>
  </si>
  <si>
    <t>10021447</t>
  </si>
  <si>
    <t>Edufarma B.V.</t>
  </si>
  <si>
    <t>2000035</t>
  </si>
  <si>
    <t>-5320-TOM-Overig-17031\-0003\-0003</t>
  </si>
  <si>
    <t>17031-0003-0004</t>
  </si>
  <si>
    <t>Intop Mediationtoets</t>
  </si>
  <si>
    <t>10021683</t>
  </si>
  <si>
    <t>2000036</t>
  </si>
  <si>
    <t>-5320-TOM-Overig-17031\-0003\-0004</t>
  </si>
  <si>
    <t>17031-0003-0005</t>
  </si>
  <si>
    <t>SWON, Stg. Wijnonderwijs Nederland</t>
  </si>
  <si>
    <t>2000037</t>
  </si>
  <si>
    <t>-5320-TOM-Overig-17031\-0003\-0005</t>
  </si>
  <si>
    <t>17031-0003-0006</t>
  </si>
  <si>
    <t>Examenbureau TCI</t>
  </si>
  <si>
    <t>10021435</t>
  </si>
  <si>
    <t>2000038</t>
  </si>
  <si>
    <t>-5320-TOM-Overig-17031\-0003\-0006</t>
  </si>
  <si>
    <t>17031-0003-0007</t>
  </si>
  <si>
    <t>Nyenrode Business Universiteit</t>
  </si>
  <si>
    <t>25350</t>
  </si>
  <si>
    <t>2000039</t>
  </si>
  <si>
    <t>-5320-TOM-Overig-17031\-0003\-0007</t>
  </si>
  <si>
    <t>18542-0001</t>
  </si>
  <si>
    <t>Peil.Onderwijs Rekenen-Wiskunde 2018-2019</t>
  </si>
  <si>
    <t>18542</t>
  </si>
  <si>
    <t>-5310-TOM-Overig-18542</t>
  </si>
  <si>
    <t>18277-0001</t>
  </si>
  <si>
    <t>Rekenen voor kleuters 2018</t>
  </si>
  <si>
    <t>18277</t>
  </si>
  <si>
    <t>2522</t>
  </si>
  <si>
    <t>-5110-Uitgeverij-PO-18277\-0001</t>
  </si>
  <si>
    <t>17109</t>
  </si>
  <si>
    <t>ET-S Regulier 2016-2018</t>
  </si>
  <si>
    <t>2036</t>
  </si>
  <si>
    <t>Floor Scheltens</t>
  </si>
  <si>
    <t>-5110-Uitgeverij-PO-17109</t>
  </si>
  <si>
    <t>AVI CILT Leesplein Buitenland</t>
  </si>
  <si>
    <t>-5110-Uitgeverij-PO-17324</t>
  </si>
  <si>
    <t>17170</t>
  </si>
  <si>
    <t>AVI-CILT Leesplein 2016-2018</t>
  </si>
  <si>
    <t>-5110-Uitgeverij-PO-17170</t>
  </si>
  <si>
    <t>Peil.Onderwijs Rekenen-Wiskunde 2018-2021</t>
  </si>
  <si>
    <t>18373</t>
  </si>
  <si>
    <t>Bewegen en leerprestaties UMCG 2018</t>
  </si>
  <si>
    <t>10022266</t>
  </si>
  <si>
    <t>UMCG</t>
  </si>
  <si>
    <t>2000146</t>
  </si>
  <si>
    <t>-5310-TOM-Overig-18373</t>
  </si>
  <si>
    <t>18373-0001</t>
  </si>
  <si>
    <t>17858-0003</t>
  </si>
  <si>
    <t>Ankeropgaven peilingen Engels, Rekenen Schrijfvaardigheid'19</t>
  </si>
  <si>
    <t>Ankeropgaven t.b.v. peilingen</t>
  </si>
  <si>
    <t>17132-0003</t>
  </si>
  <si>
    <t>KLT MVT Spaans 2018</t>
  </si>
  <si>
    <t>17132</t>
  </si>
  <si>
    <t>-5130-Uitgeverij-VO-17132\-0003</t>
  </si>
  <si>
    <t>17134-0003</t>
  </si>
  <si>
    <t>KLT MVT Frans 2018</t>
  </si>
  <si>
    <t>17134</t>
  </si>
  <si>
    <t>-5130-Uitgeverij-VO-17134\-0003</t>
  </si>
  <si>
    <t>17136-0003</t>
  </si>
  <si>
    <t>KLT MVT Engels 2018</t>
  </si>
  <si>
    <t>17136</t>
  </si>
  <si>
    <t>-5130-Uitgeverij-VO-17136\-0003</t>
  </si>
  <si>
    <t>17138-0003</t>
  </si>
  <si>
    <t>KLT MVT Duits 2018</t>
  </si>
  <si>
    <t>17138</t>
  </si>
  <si>
    <t>-5130-Uitgeverij-VO-17138\-0003</t>
  </si>
  <si>
    <t>18122</t>
  </si>
  <si>
    <t>LVS VO</t>
  </si>
  <si>
    <t>-5120-Uitgeverij-VO-18122</t>
  </si>
  <si>
    <t>17863</t>
  </si>
  <si>
    <t>Exploitatie VO</t>
  </si>
  <si>
    <t>-5120-Uitgeverij-VO-17863</t>
  </si>
  <si>
    <t>17380</t>
  </si>
  <si>
    <t>Diverse Opbrengsten VO</t>
  </si>
  <si>
    <t>2851</t>
  </si>
  <si>
    <t>Bernadette Kruijver</t>
  </si>
  <si>
    <t>-5120-Uitgeverij-VO-17380</t>
  </si>
  <si>
    <t>18071</t>
  </si>
  <si>
    <t>Diverse Opbrengsten VO (onbelast) 2017-2018</t>
  </si>
  <si>
    <t>-5120-Uitgeverij-VO-18071</t>
  </si>
  <si>
    <t>17150-0003</t>
  </si>
  <si>
    <t>T0-3 Ontwikkeling inhoud 2018</t>
  </si>
  <si>
    <t>17150</t>
  </si>
  <si>
    <t>-5120-Uitgeverij-VO-17150\-0003</t>
  </si>
  <si>
    <t>17152-0004</t>
  </si>
  <si>
    <t>Beheer en onderhoud Volgsysteem VO 2018</t>
  </si>
  <si>
    <t>17152</t>
  </si>
  <si>
    <t>-5120-Uitgeverij-VO-17152\-0004</t>
  </si>
  <si>
    <t>17380-0003</t>
  </si>
  <si>
    <t>Diverse Opbrengsten VO 2018</t>
  </si>
  <si>
    <t>-5120-Uitgeverij-VO-17380\-0003</t>
  </si>
  <si>
    <t>17380-0003-0001</t>
  </si>
  <si>
    <t>-5120-Uitgeverij-VO-17380\-0003\-0001</t>
  </si>
  <si>
    <t>17863-0002</t>
  </si>
  <si>
    <t>Exploitatie VO 2018</t>
  </si>
  <si>
    <t>-5120-Uitgeverij-VO-17863\-0002</t>
  </si>
  <si>
    <t>18122-0002</t>
  </si>
  <si>
    <t>Diagnostische toets(ontwikkeling extra modules 4e generatie)</t>
  </si>
  <si>
    <t>-5120-Uitgeverij-VO-18122\-0002</t>
  </si>
  <si>
    <t>18122-0003</t>
  </si>
  <si>
    <t>Volgplaatsingstoetsen (ontwikkeling basismodule 4e generatie</t>
  </si>
  <si>
    <t>18470</t>
  </si>
  <si>
    <t>Training VO (onbelast)</t>
  </si>
  <si>
    <t>-5120-Uitgeverij-VO-18470</t>
  </si>
  <si>
    <t>18472</t>
  </si>
  <si>
    <t>-5120-Uitgeverij-VO-18472</t>
  </si>
  <si>
    <t>T0-3 Beheer en onderhoud Volgsysteem VO 2016-2018</t>
  </si>
  <si>
    <t>-5120-Uitgeverij-VO-17152</t>
  </si>
  <si>
    <t>T0-3 Ontwikkeling inhoud 2016-2018</t>
  </si>
  <si>
    <t>-5120-Uitgeverij-VO-17150</t>
  </si>
  <si>
    <t>17142-0003</t>
  </si>
  <si>
    <t>KLT Nederlands 2018</t>
  </si>
  <si>
    <t>17142</t>
  </si>
  <si>
    <t>-5130-Uitgeverij-VO-17142\-0003</t>
  </si>
  <si>
    <t>18371</t>
  </si>
  <si>
    <t>Uren externe medewerkers BV (Headfirst) 2018</t>
  </si>
  <si>
    <t>-9540---18371</t>
  </si>
  <si>
    <t>18363</t>
  </si>
  <si>
    <t>Questify 2018 (tot 12 feb 2018)</t>
  </si>
  <si>
    <t>-9540---18363</t>
  </si>
  <si>
    <t>18369</t>
  </si>
  <si>
    <t>DAPP 2018 - Generieke componenten</t>
  </si>
  <si>
    <t>-9540-Overige-Overig-18369</t>
  </si>
  <si>
    <t>KLT MVT Spaans 2016-2018</t>
  </si>
  <si>
    <t>3106</t>
  </si>
  <si>
    <t>Marc Hendriks</t>
  </si>
  <si>
    <t>-5130-Uitgeverij-VO-17132</t>
  </si>
  <si>
    <t>KLT Nederlands 2016-2018</t>
  </si>
  <si>
    <t>-5130-Uitgeverij-VO-17142</t>
  </si>
  <si>
    <t>KLT MVT Duits 2016-2018</t>
  </si>
  <si>
    <t>-5130-Uitgeverij-VO-17138</t>
  </si>
  <si>
    <t>KLT MVT Engels 2016-2018</t>
  </si>
  <si>
    <t>-5130-Uitgeverij-VO-17136</t>
  </si>
  <si>
    <t>KLT MVT Frans 2016-2018</t>
  </si>
  <si>
    <t>-5130-Uitgeverij-VO-17134</t>
  </si>
  <si>
    <t>17865</t>
  </si>
  <si>
    <t>Klantenservice productie uren BV</t>
  </si>
  <si>
    <t>3214</t>
  </si>
  <si>
    <t>Els Bosma</t>
  </si>
  <si>
    <t>-5620-Overige-Overig-17865</t>
  </si>
  <si>
    <t>5620</t>
  </si>
  <si>
    <t>17865-0002</t>
  </si>
  <si>
    <t>Klantenservice productie uren BV 2018</t>
  </si>
  <si>
    <t>-5620-Overige-Overig-17865\-0002</t>
  </si>
  <si>
    <t>18026</t>
  </si>
  <si>
    <t>2419</t>
  </si>
  <si>
    <t>Anne-Marie König</t>
  </si>
  <si>
    <t>2875</t>
  </si>
  <si>
    <t>Ingrid Kwak</t>
  </si>
  <si>
    <t>-5610-Overige-Overig-18026</t>
  </si>
  <si>
    <t>18022</t>
  </si>
  <si>
    <t>-5540-Uitgeverij-Overig-18022</t>
  </si>
  <si>
    <t>18363-0001</t>
  </si>
  <si>
    <t>Questify 2018 (tot 12 feb 2018) - SIG</t>
  </si>
  <si>
    <t>-9540---18363\-0001</t>
  </si>
  <si>
    <t>18363-0002</t>
  </si>
  <si>
    <t>Questify 2018 (tot 12 feb 2018) - Regulier</t>
  </si>
  <si>
    <t>-9540---18363\-0002</t>
  </si>
  <si>
    <t>18363-0003</t>
  </si>
  <si>
    <t>Questify 2018 (tot 12 feb 2018) - Ontvlechting</t>
  </si>
  <si>
    <t>-9540---18363\-0003</t>
  </si>
  <si>
    <t>18363-0004</t>
  </si>
  <si>
    <t>Questify 2018 (tot 12 feb 2018) - Open source</t>
  </si>
  <si>
    <t>-9540---18363\-0004</t>
  </si>
  <si>
    <t>Questify 2018 Stichting</t>
  </si>
  <si>
    <t>-9580-Intern-Staf-18329</t>
  </si>
  <si>
    <t>17109-0003</t>
  </si>
  <si>
    <t>ET Regulier 2018</t>
  </si>
  <si>
    <t>-5110-Uitgeverij-PO-17109\-0003</t>
  </si>
  <si>
    <t>17097-0003</t>
  </si>
  <si>
    <t>Computerprogramma LOVS 2018</t>
  </si>
  <si>
    <t>17097</t>
  </si>
  <si>
    <t>-5110-Uitgeverij-PO-17097\-0003</t>
  </si>
  <si>
    <t>17093-0003</t>
  </si>
  <si>
    <t>LVS Woordenschat 2018</t>
  </si>
  <si>
    <t>-5110-Uitgeverij-PO-17093\-0003</t>
  </si>
  <si>
    <t>17677-0002</t>
  </si>
  <si>
    <t>Exploitatie LVS 2018</t>
  </si>
  <si>
    <t>-5110-Uitgeverij-PO-17677\-0002</t>
  </si>
  <si>
    <t>18279</t>
  </si>
  <si>
    <t>LVS Spelling 4.0 2018-2019</t>
  </si>
  <si>
    <t>-5110-Uitgeverij-PO-18279</t>
  </si>
  <si>
    <t>18279-0001</t>
  </si>
  <si>
    <t>LVS Spelling 4.0 2018</t>
  </si>
  <si>
    <t>-5110-Uitgeverij-PO-18279\-0001</t>
  </si>
  <si>
    <t>18282</t>
  </si>
  <si>
    <t>LVS Begrijpend Lezen 4.0</t>
  </si>
  <si>
    <t>-5110-Uitgeverij-PO-18282</t>
  </si>
  <si>
    <t>18282-0001</t>
  </si>
  <si>
    <t>LVS Begrijpend lezen 4.0 2018</t>
  </si>
  <si>
    <t>-5110-Uitgeverij-PO-18282\-0001</t>
  </si>
  <si>
    <t>18283</t>
  </si>
  <si>
    <t>LVS Rekenen 4.0 2018-2019</t>
  </si>
  <si>
    <t>-5110-Uitgeverij-PO-18283</t>
  </si>
  <si>
    <t>18283-0001</t>
  </si>
  <si>
    <t>LVS Rekenen 4.0 2018</t>
  </si>
  <si>
    <t>-5110-Uitgeverij-PO-18283\-0001</t>
  </si>
  <si>
    <t>18356</t>
  </si>
  <si>
    <t>LVS Digitale geletterdheid 18-19</t>
  </si>
  <si>
    <t>-5110-Uitgeverij-PO-18356</t>
  </si>
  <si>
    <t>18356-0001</t>
  </si>
  <si>
    <t>LVS Digitale geletterdheid 2018</t>
  </si>
  <si>
    <t>-5110-Uitgeverij-PO-18356\-0001</t>
  </si>
  <si>
    <t>18358</t>
  </si>
  <si>
    <t>LVS Engels 2018-2019</t>
  </si>
  <si>
    <t>-5110-Uitgeverij-PO-18358</t>
  </si>
  <si>
    <t>18358-0001</t>
  </si>
  <si>
    <t>LVS Engels 2018</t>
  </si>
  <si>
    <t>-5110-Uitgeverij-PO-18358\-0001</t>
  </si>
  <si>
    <t>18468</t>
  </si>
  <si>
    <t>Training PO (onbelast)</t>
  </si>
  <si>
    <t>-5110-Uitgeverij-PO-18468</t>
  </si>
  <si>
    <t>18468-0001</t>
  </si>
  <si>
    <t>Training PO 2018 (onbelast)</t>
  </si>
  <si>
    <t>-5110-Uitgeverij-PO-18468\-0001</t>
  </si>
  <si>
    <t>18468-0001-0001</t>
  </si>
  <si>
    <t>Training PO 2018 (onbelast) - Kits Primair</t>
  </si>
  <si>
    <t>57699</t>
  </si>
  <si>
    <t>Kits Primair</t>
  </si>
  <si>
    <t>2000153</t>
  </si>
  <si>
    <t>-5110-Uitgeverij-PO-18468\-0001\-0001</t>
  </si>
  <si>
    <t>18468-0001-0002</t>
  </si>
  <si>
    <t>Training PO 2018 (onbelast) - SSBO De Vlinderboom</t>
  </si>
  <si>
    <t>18297</t>
  </si>
  <si>
    <t>SSBO De Vlinderboom</t>
  </si>
  <si>
    <t>2000154</t>
  </si>
  <si>
    <t>-5110-Uitgeverij-PO-18468\-0001\-0002</t>
  </si>
  <si>
    <t>18468-0001-0003</t>
  </si>
  <si>
    <t>Training PO 2018 (onbelast) - LOGOS Stichting voor Protestan</t>
  </si>
  <si>
    <t>29250</t>
  </si>
  <si>
    <t>LOGOS Stichting voor Protestant Christelijk Onderwijs</t>
  </si>
  <si>
    <t>2000155</t>
  </si>
  <si>
    <t>-5110-Uitgeverij-PO-18468\-0001\-0003</t>
  </si>
  <si>
    <t>18468-0001-0004</t>
  </si>
  <si>
    <t>Training PO 2018 (onbelast) - Professor H Burgerschool</t>
  </si>
  <si>
    <t>27106</t>
  </si>
  <si>
    <t>Professor H Burgerschool</t>
  </si>
  <si>
    <t>2000156</t>
  </si>
  <si>
    <t>-5110-Uitgeverij-PO-18468\-0001\-0004</t>
  </si>
  <si>
    <t>18468-0001-0005</t>
  </si>
  <si>
    <t>Training PO 2018 (onbelast) - Stichting RENN4</t>
  </si>
  <si>
    <t>29270</t>
  </si>
  <si>
    <t>Stichting RENN4</t>
  </si>
  <si>
    <t>2000157</t>
  </si>
  <si>
    <t>-5110-Uitgeverij-PO-18468\-0001\-0005</t>
  </si>
  <si>
    <t>18468-0001-0006</t>
  </si>
  <si>
    <t>Training PO 2018 (onbelast) - Medilex Onderwijs</t>
  </si>
  <si>
    <t>10029505</t>
  </si>
  <si>
    <t>Medilex Onderwijs</t>
  </si>
  <si>
    <t>2000158</t>
  </si>
  <si>
    <t>-5110-Uitgeverij-PO-18468\-0001\-0006</t>
  </si>
  <si>
    <t>18468-0001-0007</t>
  </si>
  <si>
    <t>Training PO 2018 (onbelast) - Mytylschool De Thermiek</t>
  </si>
  <si>
    <t>27531</t>
  </si>
  <si>
    <t>Mytylschool De Thermiek</t>
  </si>
  <si>
    <t>2000159</t>
  </si>
  <si>
    <t>-5110-Uitgeverij-PO-18468\-0001\-0007</t>
  </si>
  <si>
    <t>18468-0001-0008</t>
  </si>
  <si>
    <t>Training PO 2018 (onbelast) - De Bargeweide</t>
  </si>
  <si>
    <t>13229</t>
  </si>
  <si>
    <t>De Bargeweide</t>
  </si>
  <si>
    <t>2000160</t>
  </si>
  <si>
    <t>-5110-Uitgeverij-PO-18468\-0001\-0008</t>
  </si>
  <si>
    <t>18468-0001-0009</t>
  </si>
  <si>
    <t>Training PO 2018 (onbelast) - Alexander Roozendaalschool</t>
  </si>
  <si>
    <t>27127</t>
  </si>
  <si>
    <t>Alexander Roozendaalschool20WR00</t>
  </si>
  <si>
    <t>2000161</t>
  </si>
  <si>
    <t>-5110-Uitgeverij-PO-18468\-0001\-0009</t>
  </si>
  <si>
    <t>18468-0001-0010</t>
  </si>
  <si>
    <t>Training PO 2018 (onbelast) - Stichting primair onderwijs Fl</t>
  </si>
  <si>
    <t>21665</t>
  </si>
  <si>
    <t>Stichting primair onderwijs Fluvius</t>
  </si>
  <si>
    <t>2000162</t>
  </si>
  <si>
    <t>-5110-Uitgeverij-PO-18468\-0001\-0010</t>
  </si>
  <si>
    <t>17322-0003</t>
  </si>
  <si>
    <t>Diverse opbrengsten BaO 2018 (belast)</t>
  </si>
  <si>
    <t>17322</t>
  </si>
  <si>
    <t>-5110-Uitgeverij-PO-17322\-0003</t>
  </si>
  <si>
    <t>17322-0003-0001</t>
  </si>
  <si>
    <t>Vooruitgefactureerd 2018</t>
  </si>
  <si>
    <t>-5110-Uitgeverij-PO-17322\-0003\-0001</t>
  </si>
  <si>
    <t>17322-0003-0002</t>
  </si>
  <si>
    <t>Synaxion</t>
  </si>
  <si>
    <t>54769</t>
  </si>
  <si>
    <t>2000051</t>
  </si>
  <si>
    <t>-5110-Uitgeverij-PO-17322\-0003\-0002</t>
  </si>
  <si>
    <t>17322-0003-0003</t>
  </si>
  <si>
    <t>Onderwijs Transparant</t>
  </si>
  <si>
    <t>54498</t>
  </si>
  <si>
    <t>2000052</t>
  </si>
  <si>
    <t>-5110-Uitgeverij-PO-17322\-0003\-0003</t>
  </si>
  <si>
    <t>17322-0003-0004</t>
  </si>
  <si>
    <t>Boom test uitgevers</t>
  </si>
  <si>
    <t>10022061</t>
  </si>
  <si>
    <t>Boomuitgevers Amsterdam</t>
  </si>
  <si>
    <t>2000053</t>
  </si>
  <si>
    <t>-5110-Uitgeverij-PO-17322\-0003\-0004</t>
  </si>
  <si>
    <t>17322-0003-0005</t>
  </si>
  <si>
    <t>Edutopics B.V.</t>
  </si>
  <si>
    <t>10021734</t>
  </si>
  <si>
    <t>Topicus.Education B.V.</t>
  </si>
  <si>
    <t>2000054</t>
  </si>
  <si>
    <t>-5110-Uitgeverij-PO-17322\-0003\-0005</t>
  </si>
  <si>
    <t>17322-0003-0006</t>
  </si>
  <si>
    <t>CED</t>
  </si>
  <si>
    <t>10021655</t>
  </si>
  <si>
    <t>2000055</t>
  </si>
  <si>
    <t>-5110-Uitgeverij-PO-17322\-0003\-0006</t>
  </si>
  <si>
    <t>17322-0003-0007</t>
  </si>
  <si>
    <t>Rovict BV</t>
  </si>
  <si>
    <t>10021743</t>
  </si>
  <si>
    <t>2000056</t>
  </si>
  <si>
    <t>-5110-Uitgeverij-PO-17322\-0003\-0007</t>
  </si>
  <si>
    <t>17322-0003-0008</t>
  </si>
  <si>
    <t>F.T.S.S. B.V.</t>
  </si>
  <si>
    <t>10022043</t>
  </si>
  <si>
    <t>2000057</t>
  </si>
  <si>
    <t>-5110-Uitgeverij-PO-17322\-0003\-0008</t>
  </si>
  <si>
    <t>17322-0003-0009</t>
  </si>
  <si>
    <t>Stichting Onderwijsdata</t>
  </si>
  <si>
    <t>55388</t>
  </si>
  <si>
    <t>2000058</t>
  </si>
  <si>
    <t>-5110-Uitgeverij-PO-17322\-0003\-0009</t>
  </si>
  <si>
    <t>17322-0003-0010</t>
  </si>
  <si>
    <t>DigiDOO B.V.</t>
  </si>
  <si>
    <t>55290</t>
  </si>
  <si>
    <t>2000059</t>
  </si>
  <si>
    <t>-5110-Uitgeverij-PO-17322\-0003\-0010</t>
  </si>
  <si>
    <t>17322-0003-0011</t>
  </si>
  <si>
    <t>'Stichting SKOzoK', Samen Koersen op zic</t>
  </si>
  <si>
    <t>19538</t>
  </si>
  <si>
    <t>Atalenta Kinderopvang en Primair Onderwijs</t>
  </si>
  <si>
    <t>2000060</t>
  </si>
  <si>
    <t>-5110-Uitgeverij-PO-17322\-0003\-0011</t>
  </si>
  <si>
    <t>17322-0003-0012</t>
  </si>
  <si>
    <t>UItgeverij Zwijsen</t>
  </si>
  <si>
    <t>23143</t>
  </si>
  <si>
    <t>Uitgeverij Zwijsen</t>
  </si>
  <si>
    <t>2000061</t>
  </si>
  <si>
    <t>-5110-Uitgeverij-PO-17322\-0003\-0012</t>
  </si>
  <si>
    <t>17322-0003-0013</t>
  </si>
  <si>
    <t>Dotcomschool B.V.</t>
  </si>
  <si>
    <t>55414</t>
  </si>
  <si>
    <t>2000062</t>
  </si>
  <si>
    <t>-5110-Uitgeverij-PO-17322\-0003\-0013</t>
  </si>
  <si>
    <t>17170-0003</t>
  </si>
  <si>
    <t>AVI-CILT Leesplein 2018</t>
  </si>
  <si>
    <t>-5110-Uitgeverij-PO-17170\-0003</t>
  </si>
  <si>
    <t>17170-0003-0001</t>
  </si>
  <si>
    <t>-5110-Uitgeverij-PO-17170\-0003\-0001</t>
  </si>
  <si>
    <t>17172</t>
  </si>
  <si>
    <t>Squla 2016-2018</t>
  </si>
  <si>
    <t>-5110-Uitgeverij-PO-17172</t>
  </si>
  <si>
    <t>17172-0003</t>
  </si>
  <si>
    <t>Squla 2018</t>
  </si>
  <si>
    <t>-5110-Uitgeverij-PO-17172\-0003</t>
  </si>
  <si>
    <t>Rekenen voor kleuters 2018-2019</t>
  </si>
  <si>
    <t>-5110-Uitgeverij-PO-18277</t>
  </si>
  <si>
    <t>18169-0002</t>
  </si>
  <si>
    <t>Taal voor Kleuters 2018</t>
  </si>
  <si>
    <t>18169</t>
  </si>
  <si>
    <t>-5110-Uitgeverij-PO-18169\-0002</t>
  </si>
  <si>
    <t>Diverse opbrengsten BaO 2016-2018</t>
  </si>
  <si>
    <t>-5110-Uitgeverij-PO-17322</t>
  </si>
  <si>
    <t>18060</t>
  </si>
  <si>
    <t>-5110-Uitgeverij-PO-18060</t>
  </si>
  <si>
    <t>Groeimeter 2017-2018</t>
  </si>
  <si>
    <t>-5110-Uitgeverij-PO-18069</t>
  </si>
  <si>
    <t>Computerprogramma LOVS 2016-2018</t>
  </si>
  <si>
    <t>-5110-Uitgeverij-PO-17097</t>
  </si>
  <si>
    <t>18142</t>
  </si>
  <si>
    <t>PO device onafhankelijk</t>
  </si>
  <si>
    <t>-5110-Uitgeverij-PO-18142</t>
  </si>
  <si>
    <t>Ontwerpfase Kleutertoetsen</t>
  </si>
  <si>
    <t>-5110-Uitgeverij-PO-18169</t>
  </si>
  <si>
    <t>17124</t>
  </si>
  <si>
    <t>Spelling papier 2016-2018</t>
  </si>
  <si>
    <t>-5110-Uitgeverij-PO-17124</t>
  </si>
  <si>
    <t>17124-0003</t>
  </si>
  <si>
    <t>LVS Spelling 2018</t>
  </si>
  <si>
    <t>-5110-Uitgeverij-PO-17124\-0003</t>
  </si>
  <si>
    <t>17128</t>
  </si>
  <si>
    <t>Kennismakingsboekjes 2016-2018</t>
  </si>
  <si>
    <t>-5110-Uitgeverij-PO-17128</t>
  </si>
  <si>
    <t>17128-0003</t>
  </si>
  <si>
    <t>LVS Kennismakingsboekjes 2018</t>
  </si>
  <si>
    <t>-5110-Uitgeverij-PO-17128\-0003</t>
  </si>
  <si>
    <t>Verwerking antwoordbladen 2016-2018</t>
  </si>
  <si>
    <t>-5320-TOM-Overig-17031</t>
  </si>
  <si>
    <t>18024</t>
  </si>
  <si>
    <t>Inkoop en voorraadbeheersing</t>
  </si>
  <si>
    <t>-5510-Uitgeverij-Overig-18024</t>
  </si>
  <si>
    <t>18024-0002</t>
  </si>
  <si>
    <t>Inkoop en voorraadbeheersing 2018</t>
  </si>
  <si>
    <t>-5510-Uitgeverij-Overig-18024\-0002</t>
  </si>
  <si>
    <t>18026-0002</t>
  </si>
  <si>
    <t>Marketing ondersteuning 2018</t>
  </si>
  <si>
    <t>-5610-Overige-Overig-18026\-0002</t>
  </si>
  <si>
    <t>18022-0002</t>
  </si>
  <si>
    <t>Orderverwerking 2018</t>
  </si>
  <si>
    <t>-5540-Uitgeverij-Overig-18022\-0002</t>
  </si>
  <si>
    <t>18470-0001</t>
  </si>
  <si>
    <t>Training VO 2018 (onbelast)</t>
  </si>
  <si>
    <t>-5120-Uitgeverij-VO-18470\-0001</t>
  </si>
  <si>
    <t>18470-0001-0001</t>
  </si>
  <si>
    <t>Training VO 2018 (onbelast) - Koraalgroep</t>
  </si>
  <si>
    <t>10028262</t>
  </si>
  <si>
    <t>Koraalgroep</t>
  </si>
  <si>
    <t>2000163</t>
  </si>
  <si>
    <t>-5120-Uitgeverij-VO-18470\-0001\-0001</t>
  </si>
  <si>
    <t>18470-0001-0002</t>
  </si>
  <si>
    <t>Training VO 2018 (onbelast) - Agrarisch Opleidingscentrum Te</t>
  </si>
  <si>
    <t>39917</t>
  </si>
  <si>
    <t>AOC Terra</t>
  </si>
  <si>
    <t>2000164</t>
  </si>
  <si>
    <t>-5120-Uitgeverij-VO-18470\-0001\-0002</t>
  </si>
  <si>
    <t>18470-0001-0003</t>
  </si>
  <si>
    <t>Training VO 2018 (onbelast) - Coenecoop College</t>
  </si>
  <si>
    <t>23161</t>
  </si>
  <si>
    <t>Coenecoop College</t>
  </si>
  <si>
    <t>2000165</t>
  </si>
  <si>
    <t>-5120-Uitgeverij-VO-18470\-0001\-0003</t>
  </si>
  <si>
    <t>18472-0001</t>
  </si>
  <si>
    <t>-5120-Uitgeverij-VO-18472\-0001</t>
  </si>
  <si>
    <t>18472-0001-0001</t>
  </si>
  <si>
    <t>Consultancy 2018 - Da Vinci College loc. Lammenschans</t>
  </si>
  <si>
    <t>Da Vinci College loc. Lammenschans</t>
  </si>
  <si>
    <t>2000166</t>
  </si>
  <si>
    <t>-5120-Uitgeverij-VO-18472\-0001\-0001</t>
  </si>
  <si>
    <t>18472-0001-0002</t>
  </si>
  <si>
    <t>Consultancy 2018 - LOGOS Stichting voor Protestant Christel</t>
  </si>
  <si>
    <t>2000167</t>
  </si>
  <si>
    <t>-5120-Uitgeverij-VO-18472\-0001\-0002</t>
  </si>
  <si>
    <t>18472-0001-0003</t>
  </si>
  <si>
    <t>Consultancy 2018 - Professor H Burgerschool</t>
  </si>
  <si>
    <t>2000168</t>
  </si>
  <si>
    <t>-5120-Uitgeverij-VO-18472\-0001\-0003</t>
  </si>
  <si>
    <t>18472-0001-0004</t>
  </si>
  <si>
    <t>Consultancy 2018 - basisschool De Repelaer, locatie Eddingt</t>
  </si>
  <si>
    <t>56423</t>
  </si>
  <si>
    <t>BS De Repelaer loc. Eddingtonweg</t>
  </si>
  <si>
    <t>2000169</t>
  </si>
  <si>
    <t>-5120-Uitgeverij-VO-18472\-0001\-0004</t>
  </si>
  <si>
    <t>18472-0001-0005</t>
  </si>
  <si>
    <t>Consultancy 2018 - Stichting Kindante</t>
  </si>
  <si>
    <t>25707</t>
  </si>
  <si>
    <t>Stichting Kindante</t>
  </si>
  <si>
    <t>2000170</t>
  </si>
  <si>
    <t>-5120-Uitgeverij-VO-18472\-0001\-0005</t>
  </si>
  <si>
    <t>18472-0001-0006</t>
  </si>
  <si>
    <t>Consultancy 2018 - OnderwijsAdvies, locatie Gouda</t>
  </si>
  <si>
    <t>12028</t>
  </si>
  <si>
    <t>OnderwijsAdvies, locatie Gouda</t>
  </si>
  <si>
    <t>2000171</t>
  </si>
  <si>
    <t>-5120-Uitgeverij-VO-18472\-0001\-0006</t>
  </si>
  <si>
    <t>18472-0001-0007</t>
  </si>
  <si>
    <t>Consultancy 2018 - Stadslink</t>
  </si>
  <si>
    <t>10043591</t>
  </si>
  <si>
    <t>Stadslink</t>
  </si>
  <si>
    <t>2000172</t>
  </si>
  <si>
    <t>-5120-Uitgeverij-VO-18472\-0001\-0007</t>
  </si>
  <si>
    <t>20159</t>
  </si>
  <si>
    <t>ontwikkelen leerlingvolgsysteem vso</t>
  </si>
  <si>
    <t>1000004</t>
  </si>
  <si>
    <t>1000001</t>
  </si>
  <si>
    <t>SLOA INST</t>
  </si>
  <si>
    <t>18605</t>
  </si>
  <si>
    <t>Senne van den Berg</t>
  </si>
  <si>
    <t>8355</t>
  </si>
  <si>
    <t>Leander Dukers</t>
  </si>
  <si>
    <t>29845</t>
  </si>
  <si>
    <t>Tim Visser</t>
  </si>
  <si>
    <t>24-inst-05</t>
  </si>
  <si>
    <t>-2080-LVSVSO--20159</t>
  </si>
  <si>
    <t>2080</t>
  </si>
  <si>
    <t>LVSVSO</t>
  </si>
  <si>
    <t>20159-01</t>
  </si>
  <si>
    <t>Uitvoering lvs speciale leerlingen</t>
  </si>
  <si>
    <t>-2080-LVSVSO--20159\-01</t>
  </si>
  <si>
    <t>20159-02</t>
  </si>
  <si>
    <t>Organisatie lvs speciale leerlingen</t>
  </si>
  <si>
    <t>-2080-LVSVSO--20159\-02</t>
  </si>
  <si>
    <t>30584-0001</t>
  </si>
  <si>
    <t>Klantbeleving 2024</t>
  </si>
  <si>
    <t>30584</t>
  </si>
  <si>
    <t>34495</t>
  </si>
  <si>
    <t>-7040---30584\-0001</t>
  </si>
  <si>
    <t>20130-03</t>
  </si>
  <si>
    <t>ce vo wiskunde</t>
  </si>
  <si>
    <t>20130</t>
  </si>
  <si>
    <t>75340</t>
  </si>
  <si>
    <t>Mariëlle Kruithof</t>
  </si>
  <si>
    <t>27425</t>
  </si>
  <si>
    <t>Janneke Froon</t>
  </si>
  <si>
    <t>23-inst-01</t>
  </si>
  <si>
    <t>-2100-SLOA-OCW-20130\-03</t>
  </si>
  <si>
    <t>2100</t>
  </si>
  <si>
    <t>SLOA</t>
  </si>
  <si>
    <t>OCW</t>
  </si>
  <si>
    <t>30599</t>
  </si>
  <si>
    <t>Onderzoek Leervertraging VO</t>
  </si>
  <si>
    <t>25705</t>
  </si>
  <si>
    <t>Bregtje Seton</t>
  </si>
  <si>
    <t>-5120---30599</t>
  </si>
  <si>
    <t>30599-0001</t>
  </si>
  <si>
    <t>Onderzoek Leervertraging VO 2024</t>
  </si>
  <si>
    <t>-5120---30599\-0001</t>
  </si>
  <si>
    <t>20160-20</t>
  </si>
  <si>
    <t>ce vo beroeps BWI Z&amp;W Groen</t>
  </si>
  <si>
    <t>20160</t>
  </si>
  <si>
    <t>2489</t>
  </si>
  <si>
    <t>Rienke Voorburg</t>
  </si>
  <si>
    <t>24-inst-01</t>
  </si>
  <si>
    <t>-2100-CEVO--20160\-20</t>
  </si>
  <si>
    <t>CEVO</t>
  </si>
  <si>
    <t>20160-21</t>
  </si>
  <si>
    <t>ce vo beroeps HBR D&amp;P MVI</t>
  </si>
  <si>
    <t>-2100-CEVO--20160\-21</t>
  </si>
  <si>
    <t>20130-20</t>
  </si>
  <si>
    <t>-2100-SLOA-OCW-20130\-20</t>
  </si>
  <si>
    <t>20130-12</t>
  </si>
  <si>
    <t>ce vo sylabuscommissie beroeps</t>
  </si>
  <si>
    <t>-2100-SLOA-OCW-20130\-12</t>
  </si>
  <si>
    <t>20160-04</t>
  </si>
  <si>
    <t>ce vo natuurwetenschappen</t>
  </si>
  <si>
    <t>2566</t>
  </si>
  <si>
    <t>Evert Limburg</t>
  </si>
  <si>
    <t>-2100-CEVO--20160\-04</t>
  </si>
  <si>
    <t>20160-16</t>
  </si>
  <si>
    <t>ce vo olympiade</t>
  </si>
  <si>
    <t>-2100-CEVO--20160\-16</t>
  </si>
  <si>
    <t>20130-16</t>
  </si>
  <si>
    <t>-2100-SLOA-OCW-20130\-16</t>
  </si>
  <si>
    <t>20130-04</t>
  </si>
  <si>
    <t>-2100-SLOA-OCW-20130\-04</t>
  </si>
  <si>
    <t>20160-05-02</t>
  </si>
  <si>
    <t>ce vo onderzoek en innovatie</t>
  </si>
  <si>
    <t>20160-05</t>
  </si>
  <si>
    <t>-2100-CEVO--20160\-05\-02</t>
  </si>
  <si>
    <t>20130-01</t>
  </si>
  <si>
    <t>ce vo NE EN</t>
  </si>
  <si>
    <t>2760</t>
  </si>
  <si>
    <t>Wilma Vrijs</t>
  </si>
  <si>
    <t>-2100-SLOA-OCW-20130\-01</t>
  </si>
  <si>
    <t>20160-01</t>
  </si>
  <si>
    <t>-2100-CEVO--20160\-01</t>
  </si>
  <si>
    <t>20169</t>
  </si>
  <si>
    <t>ce vo Pilotexamens E&amp;O 2024</t>
  </si>
  <si>
    <t>SLOA PROJ</t>
  </si>
  <si>
    <t>3090</t>
  </si>
  <si>
    <t>Tom Damen</t>
  </si>
  <si>
    <t>23-proj-05</t>
  </si>
  <si>
    <t>-2100-PILOTEO--20169</t>
  </si>
  <si>
    <t>PILOTEO</t>
  </si>
  <si>
    <t>20130-22</t>
  </si>
  <si>
    <t>ce vo beroeps M&amp;T E&amp;O PIE</t>
  </si>
  <si>
    <t>-2100-SLOA-OCW-20130\-22</t>
  </si>
  <si>
    <t>20139</t>
  </si>
  <si>
    <t>ce vo Pilotexamens E&amp;O</t>
  </si>
  <si>
    <t>-2100-SLOA-OCW-20139</t>
  </si>
  <si>
    <t>20130-02</t>
  </si>
  <si>
    <t>ce vo wereldtalen</t>
  </si>
  <si>
    <t>2891</t>
  </si>
  <si>
    <t>Rosa Bartman</t>
  </si>
  <si>
    <t>-2100-SLOA-OCW-20130\-02</t>
  </si>
  <si>
    <t>30588</t>
  </si>
  <si>
    <t>Doorstroomtoets doorontwikkeling</t>
  </si>
  <si>
    <t>32085</t>
  </si>
  <si>
    <t>-5111---30588</t>
  </si>
  <si>
    <t>30588-0001</t>
  </si>
  <si>
    <t>Doorstroomtoets doorontwikkeling 2024</t>
  </si>
  <si>
    <t>-5111---30588\-0001</t>
  </si>
  <si>
    <t>30588-0002</t>
  </si>
  <si>
    <t>Doorstroomtoets doorontwikkeling 2025</t>
  </si>
  <si>
    <t>-5111---30588\-0002</t>
  </si>
  <si>
    <t>30588-0003</t>
  </si>
  <si>
    <t>DST 2024-2025 doorontw.</t>
  </si>
  <si>
    <t>-5111---30588\-0003</t>
  </si>
  <si>
    <t>20160-22</t>
  </si>
  <si>
    <t>-2100-CEVO--20160\-22</t>
  </si>
  <si>
    <t>20130-19</t>
  </si>
  <si>
    <t>ce vo MIJ filo podiumkunst</t>
  </si>
  <si>
    <t>68200</t>
  </si>
  <si>
    <t>Anne Hemker</t>
  </si>
  <si>
    <t>-2100-SLOA-OCW-20130\-19</t>
  </si>
  <si>
    <t>20160-18</t>
  </si>
  <si>
    <t>ce vo GS Kunst alg</t>
  </si>
  <si>
    <t>-2100-CEVO--20160\-18</t>
  </si>
  <si>
    <t>20160-19</t>
  </si>
  <si>
    <t>-2100-CEVO--20160\-19</t>
  </si>
  <si>
    <t>20160-13</t>
  </si>
  <si>
    <t>ce vo syllabus co avo vakken</t>
  </si>
  <si>
    <t>-2100-CEVO--20160\-13</t>
  </si>
  <si>
    <t>20160-03</t>
  </si>
  <si>
    <t>-2100-CEVO--20160\-03</t>
  </si>
  <si>
    <t>20160-02</t>
  </si>
  <si>
    <t>-2100-CEVO--20160\-02</t>
  </si>
  <si>
    <t>20130-06</t>
  </si>
  <si>
    <t>ce vo caribisch Nederland</t>
  </si>
  <si>
    <t>2989</t>
  </si>
  <si>
    <t>Ingrid Heinen</t>
  </si>
  <si>
    <t>-2100-SLOA-OCW-20130\-06</t>
  </si>
  <si>
    <t>20130-17</t>
  </si>
  <si>
    <t>ce vo AK ECO BE</t>
  </si>
  <si>
    <t>-2100-SLOA-OCW-20130\-17</t>
  </si>
  <si>
    <t>20160-06</t>
  </si>
  <si>
    <t>-2100-CEVO--20160\-06</t>
  </si>
  <si>
    <t>20160-17</t>
  </si>
  <si>
    <t>-2100-CEVO--20160\-17</t>
  </si>
  <si>
    <t>20160-12</t>
  </si>
  <si>
    <t>ce vo syllabus co nieuwe beroepsgerichte profielen</t>
  </si>
  <si>
    <t>3025</t>
  </si>
  <si>
    <t>Jolanda Braam - Lamers</t>
  </si>
  <si>
    <t>-2100-CEVO--20160\-12</t>
  </si>
  <si>
    <t>20130-18</t>
  </si>
  <si>
    <t>6288</t>
  </si>
  <si>
    <t>Saskia de Boer</t>
  </si>
  <si>
    <t>-2100-SLOA-OCW-20130\-18</t>
  </si>
  <si>
    <t>20130-21</t>
  </si>
  <si>
    <t>6777</t>
  </si>
  <si>
    <t>Anne Fleuren - van den Wildenberg</t>
  </si>
  <si>
    <t>-2100-SLOA-OCW-20130\-21</t>
  </si>
  <si>
    <t>30524-0002</t>
  </si>
  <si>
    <t>Marketing LIB DST 2024</t>
  </si>
  <si>
    <t>37575</t>
  </si>
  <si>
    <t>Rody de Winter</t>
  </si>
  <si>
    <t>2724</t>
  </si>
  <si>
    <t>Ingrid Williams</t>
  </si>
  <si>
    <t>-5111-LIBDST--30524\-0002</t>
  </si>
  <si>
    <t>30376-0004</t>
  </si>
  <si>
    <t>Marketing KIB 2024</t>
  </si>
  <si>
    <t>-5110-KIB--30376\-0004</t>
  </si>
  <si>
    <t>30376-0005</t>
  </si>
  <si>
    <t>Marketing LIB LVS 2024</t>
  </si>
  <si>
    <t>-5110-LIBLVS--30376\-0005</t>
  </si>
  <si>
    <t>20160-08</t>
  </si>
  <si>
    <t>ce vo normhandhaving</t>
  </si>
  <si>
    <t>2275</t>
  </si>
  <si>
    <t>Bettina Erens</t>
  </si>
  <si>
    <t>2726</t>
  </si>
  <si>
    <t>Harco Weemink</t>
  </si>
  <si>
    <t>-2100-CEVO--20160\-08</t>
  </si>
  <si>
    <t>20130-08</t>
  </si>
  <si>
    <t>-2100-SLOA-OCW-20130\-08</t>
  </si>
  <si>
    <t>20132-01</t>
  </si>
  <si>
    <t>Advisering PO</t>
  </si>
  <si>
    <t>20132</t>
  </si>
  <si>
    <t>2630</t>
  </si>
  <si>
    <t>Marie-Anne Keizer - Mittelhaëuser</t>
  </si>
  <si>
    <t>23-inst-03</t>
  </si>
  <si>
    <t>-2080-SLOA-OCW-20132\-01</t>
  </si>
  <si>
    <t>20132-02</t>
  </si>
  <si>
    <t>Stichting Cito Control</t>
  </si>
  <si>
    <t>-2080-SLOA-OCW-20132\-02</t>
  </si>
  <si>
    <t>30553</t>
  </si>
  <si>
    <t>VSO naar platform</t>
  </si>
  <si>
    <t>IVIT</t>
  </si>
  <si>
    <t>-5120-Uitgeverij-Overig-30553</t>
  </si>
  <si>
    <t>30553-0001</t>
  </si>
  <si>
    <t>VSO naar platform 2023</t>
  </si>
  <si>
    <t>-5120-Uitgeverij-Overig-30553\-0001</t>
  </si>
  <si>
    <t>20133-01</t>
  </si>
  <si>
    <t>PCET samenstellen en analyseren</t>
  </si>
  <si>
    <t>20133</t>
  </si>
  <si>
    <t>25365</t>
  </si>
  <si>
    <t>Christien van den Akker</t>
  </si>
  <si>
    <t>23-inst-04</t>
  </si>
  <si>
    <t>-2080-SLOA-OCW-20133\-01</t>
  </si>
  <si>
    <t>20133-02</t>
  </si>
  <si>
    <t>ACET samenstellen en analyseren</t>
  </si>
  <si>
    <t>-2080-SLOA-OCW-20133\-02</t>
  </si>
  <si>
    <t>20133-03</t>
  </si>
  <si>
    <t>CET onderzoek en organisatie</t>
  </si>
  <si>
    <t>-2080-SLOA-OCW-20133\-03</t>
  </si>
  <si>
    <t>30621-0001</t>
  </si>
  <si>
    <t>Constructieplatform 2025</t>
  </si>
  <si>
    <t>38675</t>
  </si>
  <si>
    <t>Martijn Brussen</t>
  </si>
  <si>
    <t>-6010---30621\-0001</t>
  </si>
  <si>
    <t>Peiling schrijven VO</t>
  </si>
  <si>
    <t>-5311-TOM-OH-30544</t>
  </si>
  <si>
    <t>30562</t>
  </si>
  <si>
    <t>Wiscat afnames particuliere pabo's</t>
  </si>
  <si>
    <t>58874</t>
  </si>
  <si>
    <t>Academica University of Applied Sciences</t>
  </si>
  <si>
    <t>2000266</t>
  </si>
  <si>
    <t>-5310-TOM-HO-30562</t>
  </si>
  <si>
    <t>30562-0001</t>
  </si>
  <si>
    <t>Wiscat afnames particuliere pabo's 2023</t>
  </si>
  <si>
    <t>-5310-TOM-HO-30562\-0001</t>
  </si>
  <si>
    <t>30535</t>
  </si>
  <si>
    <t>IVIT Beheer &amp; onderhoud Cito Platform</t>
  </si>
  <si>
    <t>IVIT behee</t>
  </si>
  <si>
    <t>-7040-Overige-Overig-30535</t>
  </si>
  <si>
    <t>30535-0001</t>
  </si>
  <si>
    <t>IVIT Beheer &amp; onderhoud Cito Platform Administratie 2023</t>
  </si>
  <si>
    <t>-7040-Overige-Overig-30535\-0001</t>
  </si>
  <si>
    <t>30535-0002</t>
  </si>
  <si>
    <t>IVIT Beheer &amp; onderhoud Cito Platform Toets 2023</t>
  </si>
  <si>
    <t>-7040-Overige-Overig-30535\-0002</t>
  </si>
  <si>
    <t>30535-0003</t>
  </si>
  <si>
    <t>IVIT Beheer &amp; onderhoud Cito Platform Rapportage 2023</t>
  </si>
  <si>
    <t>-7040-Overige-Overig-30535\-0003</t>
  </si>
  <si>
    <t>30536</t>
  </si>
  <si>
    <t>IT Sturing Algemeen</t>
  </si>
  <si>
    <t>-7040-Overige-Overig-30536</t>
  </si>
  <si>
    <t>30536-0001</t>
  </si>
  <si>
    <t>IT Architectuur &amp; Roadmap 2023</t>
  </si>
  <si>
    <t>-7040-Overige-Overig-30536\-0001</t>
  </si>
  <si>
    <t>30537</t>
  </si>
  <si>
    <t>Platform IVIT 2023</t>
  </si>
  <si>
    <t>-7040-Overige-Overig-30537</t>
  </si>
  <si>
    <t>30537-0001</t>
  </si>
  <si>
    <t>PBV04 - cluster 1 - registratie</t>
  </si>
  <si>
    <t>-7040-Overige-Overig-30537\-0001</t>
  </si>
  <si>
    <t>30537-0002</t>
  </si>
  <si>
    <t>PBV04 - cluster 2 - onboarding</t>
  </si>
  <si>
    <t>-7040-Overige-Overig-30537\-0002</t>
  </si>
  <si>
    <t>30537-0003</t>
  </si>
  <si>
    <t>PBV04 - cluster 3 - contructie</t>
  </si>
  <si>
    <t>-7040-Overige-Overig-30537\-0003</t>
  </si>
  <si>
    <t>30537-0004</t>
  </si>
  <si>
    <t>PBV04 - cluster 4 - plannen</t>
  </si>
  <si>
    <t>-7040-Overige-Overig-30537\-0004</t>
  </si>
  <si>
    <t>30537-0005</t>
  </si>
  <si>
    <t>PBV04 - cluster 5 - digitale afname</t>
  </si>
  <si>
    <t>-7040-Overige-Overig-30537\-0005</t>
  </si>
  <si>
    <t>30537-0006</t>
  </si>
  <si>
    <t>PBV04 - cluster 6 - papier</t>
  </si>
  <si>
    <t>-7040-Overige-Overig-30537\-0006</t>
  </si>
  <si>
    <t>30537-0007</t>
  </si>
  <si>
    <t>PBV04 - cluster 7 - normering</t>
  </si>
  <si>
    <t>-7040-Overige-Overig-30537\-0007</t>
  </si>
  <si>
    <t>30537-0008</t>
  </si>
  <si>
    <t>PBV04 - cluster 8 - rapportage</t>
  </si>
  <si>
    <t>-7040-Overige-Overig-30537\-0008</t>
  </si>
  <si>
    <t>30537-0009</t>
  </si>
  <si>
    <t>PBV17 - Fase 2</t>
  </si>
  <si>
    <t>-7040-Overige-Overig-30537\-0009</t>
  </si>
  <si>
    <t>30537-0010</t>
  </si>
  <si>
    <t>PBV04 - cluster 9</t>
  </si>
  <si>
    <t>-7040-Overige-Overig-30537\-0010</t>
  </si>
  <si>
    <t>30537-0011</t>
  </si>
  <si>
    <t>Doorstroomtoets specifiek onboarding bouw &amp; test</t>
  </si>
  <si>
    <t>-7040-Overige-Overig-30537\-0011</t>
  </si>
  <si>
    <t>30537-0012</t>
  </si>
  <si>
    <t>Doorstroomtoets specifiek plannen bouw &amp; test</t>
  </si>
  <si>
    <t>-7040-Overige-Overig-30537\-0012</t>
  </si>
  <si>
    <t>30537-0013</t>
  </si>
  <si>
    <t>Doorstroomtoets specifiek digitale afname bouw &amp; Test</t>
  </si>
  <si>
    <t>-7040-Overige-Overig-30537\-0013</t>
  </si>
  <si>
    <t>30537-0014</t>
  </si>
  <si>
    <t>Doorstroomtoets specifiek rapporteren bouw &amp; Test</t>
  </si>
  <si>
    <t>-7040-Overige-Overig-30537\-0014</t>
  </si>
  <si>
    <t>30537-0015</t>
  </si>
  <si>
    <t>Doorstroomtoets specifiek 2023</t>
  </si>
  <si>
    <t>-7040-Overige-Overig-30537\-0015</t>
  </si>
  <si>
    <t>30541</t>
  </si>
  <si>
    <t>Restant budget IVIT</t>
  </si>
  <si>
    <t>-7040-Overige-Overig-30541</t>
  </si>
  <si>
    <t>30541-0001</t>
  </si>
  <si>
    <t>Restant budget IVIT 2023</t>
  </si>
  <si>
    <t>-7040-Overige-Overig-30541\-0001</t>
  </si>
  <si>
    <t>30543</t>
  </si>
  <si>
    <t>Beheer en onderhoud proeftoetsen en Normeringsonderzoek</t>
  </si>
  <si>
    <t>-7040-Overige-Overig-30543</t>
  </si>
  <si>
    <t>30543-0001</t>
  </si>
  <si>
    <t>Beheer en onderhoud proeftoetsen en Normeringsonderzoek 2023</t>
  </si>
  <si>
    <t>-7040-Overige-Overig-30543\-0001</t>
  </si>
  <si>
    <t>30561</t>
  </si>
  <si>
    <t>LIB VO, CVVO naar platform IT</t>
  </si>
  <si>
    <t>-7040-Overige-Overig-30561</t>
  </si>
  <si>
    <t>30561-0001</t>
  </si>
  <si>
    <t>LIB VO, CVVO naar platform IT 2023</t>
  </si>
  <si>
    <t>-7040-Overige-Overig-30561\-0001</t>
  </si>
  <si>
    <t>30534</t>
  </si>
  <si>
    <t>IVIT Beheer &amp; onderhoud Toetsketens</t>
  </si>
  <si>
    <t>-5310-TOM-Overig-30534</t>
  </si>
  <si>
    <t>30534-0001</t>
  </si>
  <si>
    <t>IVIT Beheer &amp; onderhoud Toetsketens 2023</t>
  </si>
  <si>
    <t>-5310-TOM-Overig-30534\-0001</t>
  </si>
  <si>
    <t>30539</t>
  </si>
  <si>
    <t>Stex Nt2 BMT migratie Portal naar Ciam</t>
  </si>
  <si>
    <t>-5310-TOM-Overig-30539</t>
  </si>
  <si>
    <t>30539-0001</t>
  </si>
  <si>
    <t>-5310-TOM-Overig-30539\-0001</t>
  </si>
  <si>
    <t>30554-0001</t>
  </si>
  <si>
    <t>UWLR 2023</t>
  </si>
  <si>
    <t>30554</t>
  </si>
  <si>
    <t>-5110-Uitgeverij-Overig-30554\-0001</t>
  </si>
  <si>
    <t>30404-0004</t>
  </si>
  <si>
    <t>Antwoordbladen 2024</t>
  </si>
  <si>
    <t>-5310-ZM--30404\-0004</t>
  </si>
  <si>
    <t>Peiling Kunstzinnige Oriëntatie 2023</t>
  </si>
  <si>
    <t>-5311-TOM-OH-30558</t>
  </si>
  <si>
    <t>30558-0001</t>
  </si>
  <si>
    <t>-5311-TOM-OH-30558\-0001</t>
  </si>
  <si>
    <t>Vakmanschapsroutes</t>
  </si>
  <si>
    <t>-5320-TOM-TTV-30563</t>
  </si>
  <si>
    <t>30084-0009</t>
  </si>
  <si>
    <t>Toelatingstoetsen Pabo sept - dec 2023</t>
  </si>
  <si>
    <t>-5310-TOM-HO-30084\-0009</t>
  </si>
  <si>
    <t>30583-0002</t>
  </si>
  <si>
    <t>Online - aandeel BV 2025(pro rata)</t>
  </si>
  <si>
    <t>-6010---30583\-0002</t>
  </si>
  <si>
    <t>30378-0005</t>
  </si>
  <si>
    <t>Intelligence - aandeel BV 2025(ex btw)</t>
  </si>
  <si>
    <t>-6010---30378\-0005</t>
  </si>
  <si>
    <t>30563-0001</t>
  </si>
  <si>
    <t>Vakmanschapsroutes 2023</t>
  </si>
  <si>
    <t>-5320-TOM-TTV-30563\-0001</t>
  </si>
  <si>
    <t>30617-0001</t>
  </si>
  <si>
    <t>BOOST 1e Performance en ketentesten campagnes 2025</t>
  </si>
  <si>
    <t>30617</t>
  </si>
  <si>
    <t>-9546---30617\-0001</t>
  </si>
  <si>
    <t>9546</t>
  </si>
  <si>
    <t>BOOST 1e Performance en Ketentesten campagnes</t>
  </si>
  <si>
    <t>-9545---30617</t>
  </si>
  <si>
    <t>9545</t>
  </si>
  <si>
    <t>30612</t>
  </si>
  <si>
    <t>VO Licentiemodel</t>
  </si>
  <si>
    <t>-5120---30612</t>
  </si>
  <si>
    <t>30612-0001</t>
  </si>
  <si>
    <t>VO Licentiemodel 2025</t>
  </si>
  <si>
    <t>-5120---30612\-0001</t>
  </si>
  <si>
    <t>30611</t>
  </si>
  <si>
    <t>PO Licentiemodel</t>
  </si>
  <si>
    <t>-5110---30611</t>
  </si>
  <si>
    <t>30611-0001</t>
  </si>
  <si>
    <t>PO Licentiemodel 2025</t>
  </si>
  <si>
    <t>-5110---30611\-0001</t>
  </si>
  <si>
    <t>30548-0003</t>
  </si>
  <si>
    <t>Tongerlo 2025</t>
  </si>
  <si>
    <t>-5121-TRAINCERTVO--30548\-0003</t>
  </si>
  <si>
    <t>30473-0005</t>
  </si>
  <si>
    <t>Carmel 2025</t>
  </si>
  <si>
    <t>-5121-TRAINCERTVO--30473\-0005</t>
  </si>
  <si>
    <t>30544-0001</t>
  </si>
  <si>
    <t>Peiling schrijven VO 2023</t>
  </si>
  <si>
    <t>-5311-TOM-OH-30544\-0001</t>
  </si>
  <si>
    <t>30401-0004</t>
  </si>
  <si>
    <t>Marketing &amp; Sales VO 2024</t>
  </si>
  <si>
    <t>-5120-CVVO--30401\-0004</t>
  </si>
  <si>
    <t>30550</t>
  </si>
  <si>
    <t>PBV29 LIB VO</t>
  </si>
  <si>
    <t>-5120-Uitgeverij-Overig-30550</t>
  </si>
  <si>
    <t>30550-0001</t>
  </si>
  <si>
    <t>PBV29 LIB VO 2023</t>
  </si>
  <si>
    <t>-5120-Uitgeverij-Overig-30550\-0001</t>
  </si>
  <si>
    <t>Klantbeleving</t>
  </si>
  <si>
    <t>-7040---30584</t>
  </si>
  <si>
    <t>30532</t>
  </si>
  <si>
    <t>IVIT Beheer &amp; onderhoud legacy CVVO</t>
  </si>
  <si>
    <t>-5120-Uitgeverij-Overig-30532</t>
  </si>
  <si>
    <t>30532-0001</t>
  </si>
  <si>
    <t>IVIT Beheer &amp; onderhoud legacy CVVO 2023</t>
  </si>
  <si>
    <t>-5120-Uitgeverij-Overig-30532\-0001</t>
  </si>
  <si>
    <t>30540</t>
  </si>
  <si>
    <t>PBV26 Koppeling CVVO en NUMO</t>
  </si>
  <si>
    <t>-5120-Uitgeverij-Overig-30540</t>
  </si>
  <si>
    <t>30540-0001</t>
  </si>
  <si>
    <t>-5120-Uitgeverij-Overig-30540\-0001</t>
  </si>
  <si>
    <t>30533</t>
  </si>
  <si>
    <t>IVIT Beheer &amp; onderhoud legacy Overig Uitgeverij</t>
  </si>
  <si>
    <t>-5100-Uitgeverij-Overig-30533</t>
  </si>
  <si>
    <t>30533-0001</t>
  </si>
  <si>
    <t>IVIT Beheer &amp; onderhoud legacy Overig Uitgeverij 2023</t>
  </si>
  <si>
    <t>-5100-Uitgeverij-Overig-30533\-0001</t>
  </si>
  <si>
    <t>30531</t>
  </si>
  <si>
    <t>IVIT Beheer &amp; onderhoud legacy LOVS</t>
  </si>
  <si>
    <t>-5110-Uitgeverij-Overig-30531</t>
  </si>
  <si>
    <t>30531-0001</t>
  </si>
  <si>
    <t>IVIT Beheer &amp; onderhoud legacy LOVS 2023</t>
  </si>
  <si>
    <t>-5110-Uitgeverij-Overig-30531\-0001</t>
  </si>
  <si>
    <t>30538</t>
  </si>
  <si>
    <t>Platform IVIT lib-po</t>
  </si>
  <si>
    <t>-5110-Uitgeverij-Overig-30538</t>
  </si>
  <si>
    <t>30538-0001</t>
  </si>
  <si>
    <t>PLIB04 - Fase 2</t>
  </si>
  <si>
    <t>-5110-Uitgeverij-Overig-30538\-0001</t>
  </si>
  <si>
    <t>30538-0002</t>
  </si>
  <si>
    <t>PLIB02- Fase 2</t>
  </si>
  <si>
    <t>-5110-Uitgeverij-Overig-30538\-0002</t>
  </si>
  <si>
    <t>30538-0003</t>
  </si>
  <si>
    <t>PLIB00 Preformance</t>
  </si>
  <si>
    <t>-5110-Uitgeverij-Overig-30538\-0003</t>
  </si>
  <si>
    <t>30545</t>
  </si>
  <si>
    <t>Beheer en onderhoud LIB specifiek</t>
  </si>
  <si>
    <t>-5110-Uitgeverij-Overig-30545</t>
  </si>
  <si>
    <t>30545-0001</t>
  </si>
  <si>
    <t>Beheer en onderhoud LIB specifiek 2023</t>
  </si>
  <si>
    <t>-5110-Uitgeverij-Overig-30545\-0001</t>
  </si>
  <si>
    <t>30583-0003</t>
  </si>
  <si>
    <t>Online - aandeel BV 2026(pro rata)</t>
  </si>
  <si>
    <t>41035</t>
  </si>
  <si>
    <t>-6010---30583\-0003</t>
  </si>
  <si>
    <t>30378-0006</t>
  </si>
  <si>
    <t>Intelligence - aandeel BV 2026(ex btw)</t>
  </si>
  <si>
    <t>-6010---30378\-0006</t>
  </si>
  <si>
    <t>30599-0002</t>
  </si>
  <si>
    <t>Onderzoek Leervertraging VO 2025</t>
  </si>
  <si>
    <t>-5120---30599\-0002</t>
  </si>
  <si>
    <t>30547</t>
  </si>
  <si>
    <t>LIB Excellente E-afname</t>
  </si>
  <si>
    <t>6003</t>
  </si>
  <si>
    <t>Paul Gillijns</t>
  </si>
  <si>
    <t>-5110-Uitgeverij-Overig-30547</t>
  </si>
  <si>
    <t>30547-0001</t>
  </si>
  <si>
    <t>LIB Excellente E-afname 2023</t>
  </si>
  <si>
    <t>-5110-Uitgeverij-Overig-30547\-0001</t>
  </si>
  <si>
    <t>20162-01</t>
  </si>
  <si>
    <t>Ontwikkelen Doorstroomtoets OH</t>
  </si>
  <si>
    <t>20162</t>
  </si>
  <si>
    <t>2534</t>
  </si>
  <si>
    <t>Maaike van Groen</t>
  </si>
  <si>
    <t>24-inst-04</t>
  </si>
  <si>
    <t>-2080-DSTDOE--20162\-01</t>
  </si>
  <si>
    <t>DSTDOE</t>
  </si>
  <si>
    <t>20162-02</t>
  </si>
  <si>
    <t>ICT Doorstroomtoets OH</t>
  </si>
  <si>
    <t>-2080-DSTDOE--20162\-02</t>
  </si>
  <si>
    <t>20163-01</t>
  </si>
  <si>
    <t>20163</t>
  </si>
  <si>
    <t>22605</t>
  </si>
  <si>
    <t>Karin Pilz</t>
  </si>
  <si>
    <t>24-inst-03</t>
  </si>
  <si>
    <t>-2080-ADVIESPO--20163\-01</t>
  </si>
  <si>
    <t>ADVIESPO</t>
  </si>
  <si>
    <t>30641</t>
  </si>
  <si>
    <t>Snelheid Genereren Rapportages</t>
  </si>
  <si>
    <t>34955</t>
  </si>
  <si>
    <t>-5110---30641</t>
  </si>
  <si>
    <t>30641-0001</t>
  </si>
  <si>
    <t>Snelheid Genereren Rapportages 2026</t>
  </si>
  <si>
    <t>-5110---30641\-0001</t>
  </si>
  <si>
    <t>30642</t>
  </si>
  <si>
    <t>UI/UX optimalisatie Lib-LVS</t>
  </si>
  <si>
    <t>-5110---30642</t>
  </si>
  <si>
    <t>30642-0001</t>
  </si>
  <si>
    <t>UI/UX optimalisatie Lib-LVS 2026</t>
  </si>
  <si>
    <t>-5110---30642\-0001</t>
  </si>
  <si>
    <t>30640</t>
  </si>
  <si>
    <t>-5110---30640</t>
  </si>
  <si>
    <t>30640-0001</t>
  </si>
  <si>
    <t>Groeimeter 2026</t>
  </si>
  <si>
    <t>-5110---30640\-0001</t>
  </si>
  <si>
    <t>30628</t>
  </si>
  <si>
    <t xml:space="preserve">Lib PO doorontwikkeling - Papdig 	</t>
  </si>
  <si>
    <t>36555</t>
  </si>
  <si>
    <t>-5110---30628</t>
  </si>
  <si>
    <t>30628-0001</t>
  </si>
  <si>
    <t>Lib PO doorontwikkeling - Papdig 2025</t>
  </si>
  <si>
    <t>-5110---30628\-0001</t>
  </si>
  <si>
    <t>30625</t>
  </si>
  <si>
    <t>Bestuursrapportage PO</t>
  </si>
  <si>
    <t>-5110---30625</t>
  </si>
  <si>
    <t>30625-0001</t>
  </si>
  <si>
    <t>Bestuursrapportage PO 2025</t>
  </si>
  <si>
    <t>-5110---30625\-0001</t>
  </si>
  <si>
    <t>30625-0002</t>
  </si>
  <si>
    <t>Bestuursrapportage PO 2026</t>
  </si>
  <si>
    <t>-5110---30625\-0002</t>
  </si>
  <si>
    <t>30627</t>
  </si>
  <si>
    <t>Referentiesets ankers DST 2025</t>
  </si>
  <si>
    <t>-5110---30627</t>
  </si>
  <si>
    <t>30627-0001</t>
  </si>
  <si>
    <t>-5110---30627\-0001</t>
  </si>
  <si>
    <t>30627-0001-0001</t>
  </si>
  <si>
    <t>Referentiesets ankers DST 2025 facturatie Cito Stg</t>
  </si>
  <si>
    <t>20095</t>
  </si>
  <si>
    <t>Stichting Cito</t>
  </si>
  <si>
    <t>2000288</t>
  </si>
  <si>
    <t>-5110---30627\-0001\-0001</t>
  </si>
  <si>
    <t>Constructieplatform</t>
  </si>
  <si>
    <t>37055</t>
  </si>
  <si>
    <t>Mathijs Rauwenhoff</t>
  </si>
  <si>
    <t>-6010---30621</t>
  </si>
  <si>
    <t>30610</t>
  </si>
  <si>
    <t>Kwaliteitsimpuls</t>
  </si>
  <si>
    <t>-5720---30610</t>
  </si>
  <si>
    <t>5720</t>
  </si>
  <si>
    <t>30610-0001</t>
  </si>
  <si>
    <t>Kwaliteitsimpuls 2025</t>
  </si>
  <si>
    <t>-5720---30610\-0001</t>
  </si>
  <si>
    <t>LIB DST subsidie</t>
  </si>
  <si>
    <t>-5110-Uitgeverij-PO-30565</t>
  </si>
  <si>
    <t>30565-0001</t>
  </si>
  <si>
    <t>LIB DST subsidie 2023</t>
  </si>
  <si>
    <t>-5110-Uitgeverij-PO-30565\-0001</t>
  </si>
  <si>
    <t>UWLR</t>
  </si>
  <si>
    <t>-5110-Uitgeverij-Overig-30554</t>
  </si>
  <si>
    <t>30586-0001</t>
  </si>
  <si>
    <t>LIB VO, scenario 26 2024</t>
  </si>
  <si>
    <t>-5120---30586\-0001</t>
  </si>
  <si>
    <t>30586-0002</t>
  </si>
  <si>
    <t>LIB VO, scenario 26 2025</t>
  </si>
  <si>
    <t>-5120---30586\-0002</t>
  </si>
  <si>
    <t>30587</t>
  </si>
  <si>
    <t>LIB VO, scenario 0</t>
  </si>
  <si>
    <t>-5120---30587</t>
  </si>
  <si>
    <t>30587-0001</t>
  </si>
  <si>
    <t>LIB VO, scenario 0 2024</t>
  </si>
  <si>
    <t>-5120---30587\-0001</t>
  </si>
  <si>
    <t>LIB VO, scenario 26</t>
  </si>
  <si>
    <t>-5120---30586</t>
  </si>
  <si>
    <t>20160-07</t>
  </si>
  <si>
    <t>ce vo procesvoering en ict</t>
  </si>
  <si>
    <t>21445</t>
  </si>
  <si>
    <t>Hester Van Twillert</t>
  </si>
  <si>
    <t>-2020-CEVO--20160\-07</t>
  </si>
  <si>
    <t>2020</t>
  </si>
  <si>
    <t>20101-02</t>
  </si>
  <si>
    <t>Constructieforums 2023</t>
  </si>
  <si>
    <t>20101</t>
  </si>
  <si>
    <t>2473</t>
  </si>
  <si>
    <t>Jankees Tanger</t>
  </si>
  <si>
    <t>23-proj-01</t>
  </si>
  <si>
    <t>-2010-SLOA-OCW-20101\-02</t>
  </si>
  <si>
    <t>2010</t>
  </si>
  <si>
    <t>20168-02</t>
  </si>
  <si>
    <t>Curriculumvernieuwing Beroepsgerichte profielvakken 2024</t>
  </si>
  <si>
    <t>20168</t>
  </si>
  <si>
    <t>24-proj-03</t>
  </si>
  <si>
    <t>-2090-CURVER--20168\-02</t>
  </si>
  <si>
    <t>2090</t>
  </si>
  <si>
    <t>CURVER</t>
  </si>
  <si>
    <t>Ontwikkelen centrale eindtoets PO</t>
  </si>
  <si>
    <t>-2080-SLOA-OCW-20133</t>
  </si>
  <si>
    <t>20131</t>
  </si>
  <si>
    <t>Ontwikkelen centrale examens mbo</t>
  </si>
  <si>
    <t>2371</t>
  </si>
  <si>
    <t>Mieke Hodzelmans</t>
  </si>
  <si>
    <t>23-inst-02</t>
  </si>
  <si>
    <t>-2070-SLOA-OCW-20131</t>
  </si>
  <si>
    <t>2070</t>
  </si>
  <si>
    <t>20131-01</t>
  </si>
  <si>
    <t>ce mbo Engels</t>
  </si>
  <si>
    <t>-2070-SLOA-OCW-20131\-01</t>
  </si>
  <si>
    <t>20131-02</t>
  </si>
  <si>
    <t>ce mbo Nederlands</t>
  </si>
  <si>
    <t>-2070-SLOA-OCW-20131\-02</t>
  </si>
  <si>
    <t>20131-04</t>
  </si>
  <si>
    <t>ce mbo management en onderzoek</t>
  </si>
  <si>
    <t>-2070-SLOA-OCW-20131\-04</t>
  </si>
  <si>
    <t>20131-04-01</t>
  </si>
  <si>
    <t>ce mbo management en coördinatie</t>
  </si>
  <si>
    <t>-2070-SLOA-OCW-20131\-04\-01</t>
  </si>
  <si>
    <t>20131-04-02</t>
  </si>
  <si>
    <t>ce mbo onderzoek</t>
  </si>
  <si>
    <t>-2070-SLOA-OCW-20131\-04\-02</t>
  </si>
  <si>
    <t>ce vo centrale examens voortgezet onderwijs</t>
  </si>
  <si>
    <t>-2100-CEVO--20160</t>
  </si>
  <si>
    <t>20160-09</t>
  </si>
  <si>
    <t>ce vo Compex</t>
  </si>
  <si>
    <t>-2100-CEVO--20160\-09</t>
  </si>
  <si>
    <t>ce vo management en activiteitenkosten</t>
  </si>
  <si>
    <t>-2100-CEVO--20160\-05</t>
  </si>
  <si>
    <t>20160-05-01</t>
  </si>
  <si>
    <t>-2100-CEVO--20160\-05\-01</t>
  </si>
  <si>
    <t>20160-05-03</t>
  </si>
  <si>
    <t>ce vo communicatie</t>
  </si>
  <si>
    <t>-2100-CEVO--20160\-05\-03</t>
  </si>
  <si>
    <t>-2100-SLOA-OCW-20130</t>
  </si>
  <si>
    <t>20130-05</t>
  </si>
  <si>
    <t>-2100-SLOA-OCW-20130\-05</t>
  </si>
  <si>
    <t>20130-05-01</t>
  </si>
  <si>
    <t>-2100-SLOA-OCW-20130\-05\-01</t>
  </si>
  <si>
    <t>20090-03</t>
  </si>
  <si>
    <t>aanvull werkzaamheden 2023</t>
  </si>
  <si>
    <t>20090</t>
  </si>
  <si>
    <t>23-proj-02</t>
  </si>
  <si>
    <t>-2100-SLOA-OCW-20090\-03</t>
  </si>
  <si>
    <t>20090-03-01</t>
  </si>
  <si>
    <t>extra productie tweede en derde tv</t>
  </si>
  <si>
    <t>-2100-SLOA-OCW-20090\-03\-01</t>
  </si>
  <si>
    <t>20090-03-03</t>
  </si>
  <si>
    <t>vaardigheidsonderzoek vo</t>
  </si>
  <si>
    <t>20090-03-02</t>
  </si>
  <si>
    <t>normering en onderzoek systematiek</t>
  </si>
  <si>
    <t>-2100-SLOA-OCW-20090\-03\-02</t>
  </si>
  <si>
    <t>-2080-ADVIESPO--20163</t>
  </si>
  <si>
    <t>Doorstroomtoets OH</t>
  </si>
  <si>
    <t>-2080-DSTDOE--20162</t>
  </si>
  <si>
    <t>30560-0001</t>
  </si>
  <si>
    <t>-5110-Uitgeverij-PO-30560\-0001</t>
  </si>
  <si>
    <t>20130-09</t>
  </si>
  <si>
    <t>1171</t>
  </si>
  <si>
    <t>Mark Martinot</t>
  </si>
  <si>
    <t>-2100-SLOA-OCW-20130\-09</t>
  </si>
  <si>
    <t>20160-07-02</t>
  </si>
  <si>
    <t>ce vo Stichting IT Beheer &amp; Onderhoud</t>
  </si>
  <si>
    <t>-2020-CEVO--20160\-07\-02</t>
  </si>
  <si>
    <t>20160-07-03</t>
  </si>
  <si>
    <t>ce vo Stichting IT Ontwikkeling</t>
  </si>
  <si>
    <t>-2020-CEVO--20160\-07\-03</t>
  </si>
  <si>
    <t>30357-0006</t>
  </si>
  <si>
    <t>Peiling Mens en Maatschappij 2025</t>
  </si>
  <si>
    <t>-5311-ONDERZOEK-PEIL-30357\-0006</t>
  </si>
  <si>
    <t>30431-0004</t>
  </si>
  <si>
    <t>Peilingen te verwerven 2024</t>
  </si>
  <si>
    <t>-5311-ONDERZOEK-PEIL-30431\-0004</t>
  </si>
  <si>
    <t>20137</t>
  </si>
  <si>
    <t>-9100-SLOA-OCW-20137</t>
  </si>
  <si>
    <t>20137-01</t>
  </si>
  <si>
    <t>Strategische communicatie – lopende zaken</t>
  </si>
  <si>
    <t>-9100-SLOA-OCW-20137\-01</t>
  </si>
  <si>
    <t>20137-02</t>
  </si>
  <si>
    <t>Strategische communicatie – projecten</t>
  </si>
  <si>
    <t>-9100-SLOA-OCW-20137\-02</t>
  </si>
  <si>
    <t>20137-03</t>
  </si>
  <si>
    <t>Strategische communicatie – HRM opdrachten</t>
  </si>
  <si>
    <t>-9100-SLOA-OCW-20137\-03</t>
  </si>
  <si>
    <t>20168-01</t>
  </si>
  <si>
    <t>Curriculumvernieuwing AVO 2024</t>
  </si>
  <si>
    <t>2308</t>
  </si>
  <si>
    <t>Paul van der Molen</t>
  </si>
  <si>
    <t>-2090-CURVER--20168\-01</t>
  </si>
  <si>
    <t>20138</t>
  </si>
  <si>
    <t>Curriculum herziening</t>
  </si>
  <si>
    <t>1133</t>
  </si>
  <si>
    <t>Lody Smeets</t>
  </si>
  <si>
    <t>23-proj-03</t>
  </si>
  <si>
    <t>-2090-SLOA-OCW-20138</t>
  </si>
  <si>
    <t>20138-01</t>
  </si>
  <si>
    <t>Vakvernieuwing 2023</t>
  </si>
  <si>
    <t>-2090-SLOA-OCW-20138\-01</t>
  </si>
  <si>
    <t>20138-02</t>
  </si>
  <si>
    <t>Curr vernieuwing wiskunde vmbo</t>
  </si>
  <si>
    <t>-2090-SLOA-OCW-20138\-02</t>
  </si>
  <si>
    <t>20130-05-02</t>
  </si>
  <si>
    <t>-2100-SLOA-OCW-20130\-05\-02</t>
  </si>
  <si>
    <t>20088-01</t>
  </si>
  <si>
    <t>TIMMS en peil. rekenen en wiskunde 2021</t>
  </si>
  <si>
    <t>20088</t>
  </si>
  <si>
    <t>1000005</t>
  </si>
  <si>
    <t>Universiteit Twente</t>
  </si>
  <si>
    <t>1000011</t>
  </si>
  <si>
    <t>-3000-OKI-Overig-20088\-01</t>
  </si>
  <si>
    <t>3000</t>
  </si>
  <si>
    <t>20050</t>
  </si>
  <si>
    <t>OECD secundaire data-analyse</t>
  </si>
  <si>
    <t>1000022</t>
  </si>
  <si>
    <t>Organisation for Economic Co-operation And Development</t>
  </si>
  <si>
    <t>1000015</t>
  </si>
  <si>
    <t>-3000-OKI-SUB-20050</t>
  </si>
  <si>
    <t>SUB</t>
  </si>
  <si>
    <t>20075</t>
  </si>
  <si>
    <t>Haalbaarheidsstudie gecentraliseerde toetsen 2021</t>
  </si>
  <si>
    <t>1000030</t>
  </si>
  <si>
    <t>Vlaamse overheid Afdeling Strategische Beleidsondersteuning</t>
  </si>
  <si>
    <t>1000024</t>
  </si>
  <si>
    <t>-3000-OKI-SUB-20075</t>
  </si>
  <si>
    <t>20077</t>
  </si>
  <si>
    <t>Corona onderzoek vo</t>
  </si>
  <si>
    <t>1000037</t>
  </si>
  <si>
    <t>1000028</t>
  </si>
  <si>
    <t>-3000-OKI-SUB-20077</t>
  </si>
  <si>
    <t>20082</t>
  </si>
  <si>
    <t>Aanvullend onderzoek leerachterstanden vo</t>
  </si>
  <si>
    <t>-3000-OKI-SUB-20082</t>
  </si>
  <si>
    <t>20057</t>
  </si>
  <si>
    <t>Haalbaarheidsstudie gecentraliseerde toetsen</t>
  </si>
  <si>
    <t>-3000-OKI-SUB-20057</t>
  </si>
  <si>
    <t>20088-02</t>
  </si>
  <si>
    <t>TIMMS en peil. rekenen en wiskunde 2022</t>
  </si>
  <si>
    <t>-3010-OKI-Overig-20088\-02</t>
  </si>
  <si>
    <t>20103</t>
  </si>
  <si>
    <t>Validity and measurement properties in technology-enhanced t</t>
  </si>
  <si>
    <t>1000046</t>
  </si>
  <si>
    <t>International Association for the Evaluation of Educational Achievement</t>
  </si>
  <si>
    <t>1000035</t>
  </si>
  <si>
    <t>-3010-OKI-Overig-20103</t>
  </si>
  <si>
    <t>20104</t>
  </si>
  <si>
    <t>Analyses rekentoets mbo</t>
  </si>
  <si>
    <t>Coöperatie Examens MBO</t>
  </si>
  <si>
    <t>1000034</t>
  </si>
  <si>
    <t>-3010-OKI-Overig-20104</t>
  </si>
  <si>
    <t>20106-02</t>
  </si>
  <si>
    <t>Cornelsen Datastudy</t>
  </si>
  <si>
    <t>20106</t>
  </si>
  <si>
    <t>Cornelsen Verlag GmbH</t>
  </si>
  <si>
    <t>1000036</t>
  </si>
  <si>
    <t>-3010-OKI-Overig-20106\-02</t>
  </si>
  <si>
    <t>20107</t>
  </si>
  <si>
    <t>Analyses leervertragingen</t>
  </si>
  <si>
    <t>-3010-OKI-Overig-20107</t>
  </si>
  <si>
    <t>20110</t>
  </si>
  <si>
    <t>Evaluatie cesuurbepaling LHK</t>
  </si>
  <si>
    <t>1000049</t>
  </si>
  <si>
    <t>Huisartsopleiding Nederland</t>
  </si>
  <si>
    <t>1000038</t>
  </si>
  <si>
    <t>-3010-OKI-Overig-20110</t>
  </si>
  <si>
    <t>20111</t>
  </si>
  <si>
    <t>CBR LOFT</t>
  </si>
  <si>
    <t>CBR</t>
  </si>
  <si>
    <t>1000025</t>
  </si>
  <si>
    <t>-3010-OKI-Overig-20111</t>
  </si>
  <si>
    <t>20114</t>
  </si>
  <si>
    <t>Analyse LVS resultaten SDVB</t>
  </si>
  <si>
    <t>1000052</t>
  </si>
  <si>
    <t>Stichting De Verre Bergen</t>
  </si>
  <si>
    <t>1000040</t>
  </si>
  <si>
    <t>-3010-OKI-Overig-20114</t>
  </si>
  <si>
    <t>20114-01</t>
  </si>
  <si>
    <t>Analyse LVS resultaten SDVB 2022</t>
  </si>
  <si>
    <t>-3010-OKI-Overig-20114\-01</t>
  </si>
  <si>
    <t>20115</t>
  </si>
  <si>
    <t>Leervertraging Amsterdam</t>
  </si>
  <si>
    <t>1000050</t>
  </si>
  <si>
    <t>Gemeente Amsterdam</t>
  </si>
  <si>
    <t>1000041</t>
  </si>
  <si>
    <t>-3010-OKI-Overig-20115</t>
  </si>
  <si>
    <t>20060-04</t>
  </si>
  <si>
    <t>ce vo beroeps</t>
  </si>
  <si>
    <t>20060</t>
  </si>
  <si>
    <t>21-inst-01</t>
  </si>
  <si>
    <t>-2040-SLOA-OCW-20060\-04</t>
  </si>
  <si>
    <t>2040</t>
  </si>
  <si>
    <t>20060-12</t>
  </si>
  <si>
    <t>-2040-SLOA-OCW-20060\-12</t>
  </si>
  <si>
    <t>20116-01</t>
  </si>
  <si>
    <t>trial introducing the use of IRT 2022</t>
  </si>
  <si>
    <t>20116</t>
  </si>
  <si>
    <t>1000017</t>
  </si>
  <si>
    <t>1000014</t>
  </si>
  <si>
    <t>-3010-OKI-Overig-20116\-01</t>
  </si>
  <si>
    <t>20118</t>
  </si>
  <si>
    <t>Scenario ontwikkeling LHK</t>
  </si>
  <si>
    <t>-3010-OKI-Overig-20118</t>
  </si>
  <si>
    <t>20119</t>
  </si>
  <si>
    <t>Extension CAT simulator</t>
  </si>
  <si>
    <t>1000056</t>
  </si>
  <si>
    <t>1000043</t>
  </si>
  <si>
    <t>-3010-OKI-Overig-20119</t>
  </si>
  <si>
    <t>20117</t>
  </si>
  <si>
    <t>Peiling mondelinge taalvaardigheid</t>
  </si>
  <si>
    <t>1000054</t>
  </si>
  <si>
    <t>Freihov B.V.</t>
  </si>
  <si>
    <t>1000042</t>
  </si>
  <si>
    <t>-3020-OKI-SUB-20117</t>
  </si>
  <si>
    <t>3020</t>
  </si>
  <si>
    <t>20172</t>
  </si>
  <si>
    <t>Stichting Cito Intern</t>
  </si>
  <si>
    <t>-9100---20172</t>
  </si>
  <si>
    <t>20172-01</t>
  </si>
  <si>
    <t>-9100---20172\-01</t>
  </si>
  <si>
    <t>20006</t>
  </si>
  <si>
    <t>E-Quality</t>
  </si>
  <si>
    <t>1000007</t>
  </si>
  <si>
    <t>Universiteit Utrecht</t>
  </si>
  <si>
    <t>1000009</t>
  </si>
  <si>
    <t>-3000-OKI-Overig-20006</t>
  </si>
  <si>
    <t>20019</t>
  </si>
  <si>
    <t>Citolab bestemmingsreserve</t>
  </si>
  <si>
    <t>overig</t>
  </si>
  <si>
    <t>-3000-OKI-Overig-20019</t>
  </si>
  <si>
    <t>18248-05</t>
  </si>
  <si>
    <t>Uitv. onderz. - toetsen in de toekomst</t>
  </si>
  <si>
    <t>18248</t>
  </si>
  <si>
    <t>18-inst-06</t>
  </si>
  <si>
    <t>-2010-SLOA-OCW-18248\-05</t>
  </si>
  <si>
    <t>Cornelsen</t>
  </si>
  <si>
    <t>-3000-OKI-Overig-20106</t>
  </si>
  <si>
    <t>20106-01</t>
  </si>
  <si>
    <t>Cornelsen Management</t>
  </si>
  <si>
    <t>-3000-OKI-Overig-20106\-01</t>
  </si>
  <si>
    <t>20099</t>
  </si>
  <si>
    <t>Uitvoeren onderzoek</t>
  </si>
  <si>
    <t>22-inst-06</t>
  </si>
  <si>
    <t>-3000-SLOA-OCW-20099</t>
  </si>
  <si>
    <t>20172-03</t>
  </si>
  <si>
    <t>Datawarehouse Bedrijfsvoering 1.5</t>
  </si>
  <si>
    <t>3233</t>
  </si>
  <si>
    <t>Wouter Verweij</t>
  </si>
  <si>
    <t>-9100---20172\-03</t>
  </si>
  <si>
    <t>20097-02</t>
  </si>
  <si>
    <t>ce vo kc mm</t>
  </si>
  <si>
    <t>20097</t>
  </si>
  <si>
    <t>22-inst-01</t>
  </si>
  <si>
    <t>-2010-SLOA-OCW-20097\-02</t>
  </si>
  <si>
    <t>20123</t>
  </si>
  <si>
    <t>FLIP+</t>
  </si>
  <si>
    <t>1000060</t>
  </si>
  <si>
    <t>Ministeres Education Jeunesse Sports</t>
  </si>
  <si>
    <t>1000047</t>
  </si>
  <si>
    <t>-3030-OKI-Overig-20123</t>
  </si>
  <si>
    <t>20106-03</t>
  </si>
  <si>
    <t>Cornelsen Prototype</t>
  </si>
  <si>
    <t>-3030-OKI-Overig-20106\-03</t>
  </si>
  <si>
    <t>20120-01</t>
  </si>
  <si>
    <t>Innovation consultancy IB 2022</t>
  </si>
  <si>
    <t>PT</t>
  </si>
  <si>
    <t>-3030-OKI-Overig-20120\-01</t>
  </si>
  <si>
    <t>20062-04</t>
  </si>
  <si>
    <t>Uitvoeren onderzoek - Prototypes</t>
  </si>
  <si>
    <t>20062</t>
  </si>
  <si>
    <t>21-inst-06</t>
  </si>
  <si>
    <t>-2010-SLOA-OCW-20062\-04</t>
  </si>
  <si>
    <t>20099-06</t>
  </si>
  <si>
    <t>Uitvoeren onderzoek - Software voor Toetsdeskundigen</t>
  </si>
  <si>
    <t>-2010-SLOA-OCW-20099\-06</t>
  </si>
  <si>
    <t>20099-04</t>
  </si>
  <si>
    <t>-2010-SLOA-OCW-20099\-04</t>
  </si>
  <si>
    <t>20040-04</t>
  </si>
  <si>
    <t>Uitvoeren onderzoek - prototypes</t>
  </si>
  <si>
    <t>20040</t>
  </si>
  <si>
    <t>20-inst-06</t>
  </si>
  <si>
    <t>-2010-SLOA-OCW-20040\-04</t>
  </si>
  <si>
    <t>20027</t>
  </si>
  <si>
    <t>Diggel</t>
  </si>
  <si>
    <t>-3000-OKI-Overig-20027</t>
  </si>
  <si>
    <t>20032</t>
  </si>
  <si>
    <t>E-Quality prototype</t>
  </si>
  <si>
    <t>-3000-OKI-Overig-20032</t>
  </si>
  <si>
    <t>20172-02</t>
  </si>
  <si>
    <t>29815</t>
  </si>
  <si>
    <t>Sam van den Hoven</t>
  </si>
  <si>
    <t>-9100---20172\-02</t>
  </si>
  <si>
    <t>18288-05-02</t>
  </si>
  <si>
    <t>ce mbo management onderzoek</t>
  </si>
  <si>
    <t>18288-05</t>
  </si>
  <si>
    <t>2711</t>
  </si>
  <si>
    <t>Wim Mulder</t>
  </si>
  <si>
    <t>2505</t>
  </si>
  <si>
    <t>Peter Hakvoort</t>
  </si>
  <si>
    <t>18-inst-02</t>
  </si>
  <si>
    <t>-2070-SLOA-OCW-18288\-05\-02</t>
  </si>
  <si>
    <t>18288-03</t>
  </si>
  <si>
    <t>ce mbo rekenen</t>
  </si>
  <si>
    <t>18288</t>
  </si>
  <si>
    <t>-2070-SLOA-OCW-18288\-03</t>
  </si>
  <si>
    <t>20013-05-02</t>
  </si>
  <si>
    <t>20013-05</t>
  </si>
  <si>
    <t>19-inst-02</t>
  </si>
  <si>
    <t>-2070-SLOA-OCW-20013\-05\-02</t>
  </si>
  <si>
    <t>20014-03-02</t>
  </si>
  <si>
    <t>rvo onderzoek</t>
  </si>
  <si>
    <t>20014-03</t>
  </si>
  <si>
    <t>19-inst-03</t>
  </si>
  <si>
    <t>-2070-SLOA-OCW-20014\-03\-02</t>
  </si>
  <si>
    <t>18296-03-02</t>
  </si>
  <si>
    <t>rvo management onderzoek</t>
  </si>
  <si>
    <t>18296-03</t>
  </si>
  <si>
    <t>18-inst-03</t>
  </si>
  <si>
    <t>-2070-SLOA-OCW-18296\-03\-02</t>
  </si>
  <si>
    <t>18296-01</t>
  </si>
  <si>
    <t>rvo rekenen</t>
  </si>
  <si>
    <t>18296</t>
  </si>
  <si>
    <t>-2070-SLOA-OCW-18296\-01</t>
  </si>
  <si>
    <t>20013-03</t>
  </si>
  <si>
    <t>20013</t>
  </si>
  <si>
    <t>-2070-SLOA-OCW-20013\-03</t>
  </si>
  <si>
    <t>20014-01</t>
  </si>
  <si>
    <t>20014</t>
  </si>
  <si>
    <t>-2070-SLOA-OCW-20014\-01</t>
  </si>
  <si>
    <t>18288-04</t>
  </si>
  <si>
    <t>ce mbo ketenbeheer en ict</t>
  </si>
  <si>
    <t>1068</t>
  </si>
  <si>
    <t>Mia van Boxel</t>
  </si>
  <si>
    <t>-2070-SLOA-OCW-18288\-04</t>
  </si>
  <si>
    <t>18296-02</t>
  </si>
  <si>
    <t>rvo ketenbeheer en ict</t>
  </si>
  <si>
    <t>-2070-SLOA-OCW-18296\-02</t>
  </si>
  <si>
    <t>20013-04</t>
  </si>
  <si>
    <t>-2070-SLOA-OCW-20013\-04</t>
  </si>
  <si>
    <t>20014-02</t>
  </si>
  <si>
    <t>-2070-SLOA-OCW-20014\-02</t>
  </si>
  <si>
    <t>18296-03-01</t>
  </si>
  <si>
    <t>rvo management staf</t>
  </si>
  <si>
    <t>-2070-SLOA-OCW-18296\-03\-01</t>
  </si>
  <si>
    <t>rvo management en onderzoek</t>
  </si>
  <si>
    <t>-2070-SLOA-OCW-20014\-03</t>
  </si>
  <si>
    <t>-2070-SLOA-OCW-18288\-05</t>
  </si>
  <si>
    <t>-2070-SLOA-OCW-20013\-05</t>
  </si>
  <si>
    <t>20013-01</t>
  </si>
  <si>
    <t>-2070-SLOA-OCW-20013\-01</t>
  </si>
  <si>
    <t>20013-02</t>
  </si>
  <si>
    <t>-2070-SLOA-OCW-20013\-02</t>
  </si>
  <si>
    <t>18288-01</t>
  </si>
  <si>
    <t>ce mbo engels</t>
  </si>
  <si>
    <t>-2070-SLOA-OCW-18288\-01</t>
  </si>
  <si>
    <t>18288-02</t>
  </si>
  <si>
    <t>ce mbo nederlands</t>
  </si>
  <si>
    <t>-2070-SLOA-OCW-18288\-02</t>
  </si>
  <si>
    <t>20130-07-02</t>
  </si>
  <si>
    <t>ce vo Stichting IT Sturing Algemeen</t>
  </si>
  <si>
    <t>20130-07</t>
  </si>
  <si>
    <t>-2020-SLOA-OCW-20130\-07\-02</t>
  </si>
  <si>
    <t>20130-07-03</t>
  </si>
  <si>
    <t>-2020-SLOA-OCW-20130\-07\-03</t>
  </si>
  <si>
    <t>20130-07-04</t>
  </si>
  <si>
    <t>ce vo Stichting IT Campagnes</t>
  </si>
  <si>
    <t>-2020-SLOA-OCW-20130\-07\-04</t>
  </si>
  <si>
    <t>20130-07-05</t>
  </si>
  <si>
    <t>-2020-SLOA-OCW-20130\-07\-05</t>
  </si>
  <si>
    <t>20041-04-02</t>
  </si>
  <si>
    <t>20041-04</t>
  </si>
  <si>
    <t>2747</t>
  </si>
  <si>
    <t>Karen Keune</t>
  </si>
  <si>
    <t>20-inst-02</t>
  </si>
  <si>
    <t>-2070-SLOA-OCW-20041\-04\-02</t>
  </si>
  <si>
    <t>20041</t>
  </si>
  <si>
    <t>-2070-SLOA-OCW-20041\-04</t>
  </si>
  <si>
    <t>20100</t>
  </si>
  <si>
    <t>22-inst-02</t>
  </si>
  <si>
    <t>-2070-SLOA-OCW-20100</t>
  </si>
  <si>
    <t>20100-01</t>
  </si>
  <si>
    <t>20100-02</t>
  </si>
  <si>
    <t>20100-03</t>
  </si>
  <si>
    <t>20041-01</t>
  </si>
  <si>
    <t>-2070-SLOA-OCW-20041\-01</t>
  </si>
  <si>
    <t>20041-02</t>
  </si>
  <si>
    <t>-2070-SLOA-OCW-20041\-02</t>
  </si>
  <si>
    <t>20063</t>
  </si>
  <si>
    <t>21-inst-02</t>
  </si>
  <si>
    <t>-2070-SLOA-OCW-20063</t>
  </si>
  <si>
    <t>20063-01</t>
  </si>
  <si>
    <t>-2070-SLOA-OCW-20063\-01</t>
  </si>
  <si>
    <t>20063-02</t>
  </si>
  <si>
    <t>-2070-SLOA-OCW-20063\-02</t>
  </si>
  <si>
    <t>20041-05</t>
  </si>
  <si>
    <t>ce mbo Questify generiek</t>
  </si>
  <si>
    <t>-2070-SLOA-OCW-20041\-05</t>
  </si>
  <si>
    <t>20063-05</t>
  </si>
  <si>
    <t>-2070-SLOA-OCW-20063\-05</t>
  </si>
  <si>
    <t>20041-03</t>
  </si>
  <si>
    <t>-2070-SLOA-OCW-20041\-03</t>
  </si>
  <si>
    <t>20063-03</t>
  </si>
  <si>
    <t>-2070-SLOA-OCW-20063\-03</t>
  </si>
  <si>
    <t>20097-01</t>
  </si>
  <si>
    <t>ce vo talen</t>
  </si>
  <si>
    <t>-2010-SLOA-OCW-20097\-01</t>
  </si>
  <si>
    <t>20060-01</t>
  </si>
  <si>
    <t>-2030-SLOA-OCW-20060\-01</t>
  </si>
  <si>
    <t>2030</t>
  </si>
  <si>
    <t>20060-14</t>
  </si>
  <si>
    <t>ce vo sylabuscommissie Nederlands</t>
  </si>
  <si>
    <t>-2030-SLOA-OCW-20060\-14</t>
  </si>
  <si>
    <t>Doorstroomtoetsen</t>
  </si>
  <si>
    <t>-2080-SLOA-OCW-20132</t>
  </si>
  <si>
    <t>20102</t>
  </si>
  <si>
    <t>22-inst-03</t>
  </si>
  <si>
    <t>-2080-SLOA-OCW-20102</t>
  </si>
  <si>
    <t>20113-05</t>
  </si>
  <si>
    <t>ICT in de keten 2023</t>
  </si>
  <si>
    <t>20113</t>
  </si>
  <si>
    <t>22-proj-04</t>
  </si>
  <si>
    <t>-2100-SLOA-OCW-20113\-05</t>
  </si>
  <si>
    <t>20131-03</t>
  </si>
  <si>
    <t>-2070-SLOA-OCW-20131\-03</t>
  </si>
  <si>
    <t>20097-03</t>
  </si>
  <si>
    <t>ce vo exact</t>
  </si>
  <si>
    <t>-2010-SLOA-OCW-20097\-03</t>
  </si>
  <si>
    <t>20097-16</t>
  </si>
  <si>
    <t>-2010-SLOA-OCW-20097\-16</t>
  </si>
  <si>
    <t>20060-08</t>
  </si>
  <si>
    <t>-2010-SLOA-OCW-20060\-08</t>
  </si>
  <si>
    <t>20089-03</t>
  </si>
  <si>
    <t>aanpassing tooling dataverwerking en nhh onderzoek</t>
  </si>
  <si>
    <t>20089</t>
  </si>
  <si>
    <t>21-proj-02</t>
  </si>
  <si>
    <t>-2010-SLOA-OCW-20089\-03</t>
  </si>
  <si>
    <t>20089-04</t>
  </si>
  <si>
    <t>aanvullend vaardigheidsonderzoek</t>
  </si>
  <si>
    <t>-2010-SLOA-OCW-20089\-04</t>
  </si>
  <si>
    <t>20161</t>
  </si>
  <si>
    <t>24-inst-02</t>
  </si>
  <si>
    <t>-2070-CEMBO--20161</t>
  </si>
  <si>
    <t>CEMBO</t>
  </si>
  <si>
    <t>20161-01</t>
  </si>
  <si>
    <t>-2070-CEMBO--20161\-01</t>
  </si>
  <si>
    <t>20161-02</t>
  </si>
  <si>
    <t>-2070-CEMBO--20161\-02</t>
  </si>
  <si>
    <t>20161-03</t>
  </si>
  <si>
    <t>-2070-CEMBO--20161\-03</t>
  </si>
  <si>
    <t>20161-04</t>
  </si>
  <si>
    <t>-2070-CEMBO--20161\-04</t>
  </si>
  <si>
    <t>20161-04-01</t>
  </si>
  <si>
    <t>-2070-CEMBO--20161\-04\-01</t>
  </si>
  <si>
    <t>20161-04-02</t>
  </si>
  <si>
    <t>-2070-CEMBO--20161\-04\-02</t>
  </si>
  <si>
    <t>2916</t>
  </si>
  <si>
    <t>Roelien Linthorst</t>
  </si>
  <si>
    <t>-2030-SLOA-OCW-20060</t>
  </si>
  <si>
    <t>-2010-SLOA-OCW-20097</t>
  </si>
  <si>
    <t>20097-08</t>
  </si>
  <si>
    <t>-2010-SLOA-OCW-20097\-08</t>
  </si>
  <si>
    <t>20060-10</t>
  </si>
  <si>
    <t>ce vo examenhelpdesk</t>
  </si>
  <si>
    <t>2032</t>
  </si>
  <si>
    <t>Esther Pieters</t>
  </si>
  <si>
    <t>-2020-SLOA-OCW-20060\-10</t>
  </si>
  <si>
    <t>20060-11</t>
  </si>
  <si>
    <t>ce vo najaarcorrectie</t>
  </si>
  <si>
    <t>-2020-SLOA-OCW-20060\-11</t>
  </si>
  <si>
    <t>20185-01</t>
  </si>
  <si>
    <t>Programma digitaal examineren 2024</t>
  </si>
  <si>
    <t>20185</t>
  </si>
  <si>
    <t>24-proj-04</t>
  </si>
  <si>
    <t>-2020-DIGEXAM--20185\-01</t>
  </si>
  <si>
    <t>DIGEXAM</t>
  </si>
  <si>
    <t>20113-06</t>
  </si>
  <si>
    <t>Toetsportaal 2024</t>
  </si>
  <si>
    <t>-2020-ICT--20113\-06</t>
  </si>
  <si>
    <t>ICT</t>
  </si>
  <si>
    <t>20099-07</t>
  </si>
  <si>
    <t>Uitvoeren onderzoek - Kennisdeling Positionering Exp Centr</t>
  </si>
  <si>
    <t>-2010-SLOA-OCW-20099\-07</t>
  </si>
  <si>
    <t>20099-08</t>
  </si>
  <si>
    <t>Uitvoeren onderzoek - Beleidsonderzoek</t>
  </si>
  <si>
    <t>-2010-SLOA-OCW-20099\-08</t>
  </si>
  <si>
    <t>18248-02</t>
  </si>
  <si>
    <t>Uitv. onderz. - Onderwijskundig informatie techn</t>
  </si>
  <si>
    <t>-2010-SLOA-OCW-18248\-02</t>
  </si>
  <si>
    <t>20099-03</t>
  </si>
  <si>
    <t>Uitvoeren onderzoek - Kennisdeling onderwijs</t>
  </si>
  <si>
    <t>OKO</t>
  </si>
  <si>
    <t>-2010-SLOA-OCW-20099\-03</t>
  </si>
  <si>
    <t>20099-05</t>
  </si>
  <si>
    <t>Uitvoeren onderzoek -Onderzoek naar onderwijskundig meten</t>
  </si>
  <si>
    <t>-2010-SLOA-OCW-20099\-05</t>
  </si>
  <si>
    <t>20062-05</t>
  </si>
  <si>
    <t>Uitvoeren onderzoek - Onderwijskundig Onderzoek</t>
  </si>
  <si>
    <t>-2010-SLOA-OCW-20062\-05</t>
  </si>
  <si>
    <t>20062-03</t>
  </si>
  <si>
    <t>Uitvoeren onderzoek - Kennisdeling</t>
  </si>
  <si>
    <t>-2010-SLOA-OCW-20062\-03</t>
  </si>
  <si>
    <t>20040-05</t>
  </si>
  <si>
    <t>Uitvoeren onderzoek - MJBP onderzoek</t>
  </si>
  <si>
    <t>-2010-SLOA-OCW-20040\-05</t>
  </si>
  <si>
    <t>20040-03</t>
  </si>
  <si>
    <t>Uitvoeren onderzoek - kennisdeling</t>
  </si>
  <si>
    <t>-2010-SLOA-OCW-20040\-03</t>
  </si>
  <si>
    <t>20056</t>
  </si>
  <si>
    <t>Projectondersteuning RCEC CBR</t>
  </si>
  <si>
    <t>RCEC B.V. Villa de Regentes</t>
  </si>
  <si>
    <t>1000023</t>
  </si>
  <si>
    <t>-3000-OKI-Overig-20056</t>
  </si>
  <si>
    <t>20069</t>
  </si>
  <si>
    <t>OCCAM 2021</t>
  </si>
  <si>
    <t>1000010</t>
  </si>
  <si>
    <t>1000006</t>
  </si>
  <si>
    <t>-3000-OKI-Overig-20069</t>
  </si>
  <si>
    <t>20019-02</t>
  </si>
  <si>
    <t>Qinsight</t>
  </si>
  <si>
    <t>-3000-OKI-Overig-20019\-02</t>
  </si>
  <si>
    <t>20117-01</t>
  </si>
  <si>
    <t>Peiling mondelinge taalvaardigheid 2022</t>
  </si>
  <si>
    <t>-3020-OKI-SUB-20117\-01</t>
  </si>
  <si>
    <t>20106-04</t>
  </si>
  <si>
    <t>Cornelsen PoC</t>
  </si>
  <si>
    <t>-3020-OKI-Overig-20106\-04</t>
  </si>
  <si>
    <t>20108</t>
  </si>
  <si>
    <t>Noordhoff Junior Cloud</t>
  </si>
  <si>
    <t>Uitgeverij Noordhoff</t>
  </si>
  <si>
    <t>-3020-OKI-Overig-20108</t>
  </si>
  <si>
    <t>20109</t>
  </si>
  <si>
    <t>Advisering LVS 2022</t>
  </si>
  <si>
    <t>1000027</t>
  </si>
  <si>
    <t>Nederlandse Organisatie voor Wetenschappelijk Onderzoek</t>
  </si>
  <si>
    <t>-3020-OKI-Overig-20109</t>
  </si>
  <si>
    <t>20054</t>
  </si>
  <si>
    <t>cancellen</t>
  </si>
  <si>
    <t>1000026</t>
  </si>
  <si>
    <t>Nationaal Regieorgaan Onderwijsonderzoek</t>
  </si>
  <si>
    <t>1000021</t>
  </si>
  <si>
    <t>-3000-OKI-SUB-20054</t>
  </si>
  <si>
    <t>20055</t>
  </si>
  <si>
    <t>Advisering leerwinstrapportage NCO</t>
  </si>
  <si>
    <t>-3000-OKI-SUB-20055</t>
  </si>
  <si>
    <t>20070</t>
  </si>
  <si>
    <t>MBO op maat deel II  vanaf 2021</t>
  </si>
  <si>
    <t>1000013</t>
  </si>
  <si>
    <t>ITTA Kennisinstutuut voor Taalontwikkeling UvA</t>
  </si>
  <si>
    <t>1000012</t>
  </si>
  <si>
    <t>-3000-OKI-SUB-20070</t>
  </si>
  <si>
    <t>20070-01</t>
  </si>
  <si>
    <t>MBO op maat deel II 2021</t>
  </si>
  <si>
    <t>-3000-OKI-SUB-20070\-01</t>
  </si>
  <si>
    <t>20072</t>
  </si>
  <si>
    <t>Peiling digitale geletterdheid vanaf 2021</t>
  </si>
  <si>
    <t>-3000-OKI-SUB-20072</t>
  </si>
  <si>
    <t>20072-01</t>
  </si>
  <si>
    <t>Peiling digitale geletterdheid 2021</t>
  </si>
  <si>
    <t>-3000-OKI-SUB-20072\-01</t>
  </si>
  <si>
    <t>20073</t>
  </si>
  <si>
    <t>Werkplaats Burgerschap</t>
  </si>
  <si>
    <t>1000029</t>
  </si>
  <si>
    <t>ROC van Twente afd. Practoraat Burgerschap</t>
  </si>
  <si>
    <t>-3000-OKI-SUB-20073</t>
  </si>
  <si>
    <t>20073-01</t>
  </si>
  <si>
    <t>Werkplaats Burgerschap 2021</t>
  </si>
  <si>
    <t>-3000-OKI-SUB-20073\-01</t>
  </si>
  <si>
    <t>20028</t>
  </si>
  <si>
    <t>mbo op maat naar 2F</t>
  </si>
  <si>
    <t>-3000-OKI-SUB-20028</t>
  </si>
  <si>
    <t>20033</t>
  </si>
  <si>
    <t>mbo op maat naar 2F deel II</t>
  </si>
  <si>
    <t>-3000-OKI-SUB-20033</t>
  </si>
  <si>
    <t>20043</t>
  </si>
  <si>
    <t>MBO op maat 2F deel II</t>
  </si>
  <si>
    <t>-3000-OKI-SUB-20043</t>
  </si>
  <si>
    <t>20046</t>
  </si>
  <si>
    <t>Verkenning module advanced skills 2020</t>
  </si>
  <si>
    <t>-3000-OKI-SUB-20046</t>
  </si>
  <si>
    <t>20049</t>
  </si>
  <si>
    <t>Peiling digitale geletterdheid 2020</t>
  </si>
  <si>
    <t>-3000-OKI-SUB-20049</t>
  </si>
  <si>
    <t>20076</t>
  </si>
  <si>
    <t>WEVER meting</t>
  </si>
  <si>
    <t>-3000-OKI-Overig-20076</t>
  </si>
  <si>
    <t>20091</t>
  </si>
  <si>
    <t>Advisering LVS</t>
  </si>
  <si>
    <t>-3000-OKI-Overig-20091</t>
  </si>
  <si>
    <t>20070-02</t>
  </si>
  <si>
    <t>MBO op maat deel II 2022</t>
  </si>
  <si>
    <t>-3020-OKI-SUB-20070\-02</t>
  </si>
  <si>
    <t>20072-02</t>
  </si>
  <si>
    <t>Peiling digitale geletterdheid 2022</t>
  </si>
  <si>
    <t>-3020-OKI-SUB-20072\-02</t>
  </si>
  <si>
    <t>20073-02</t>
  </si>
  <si>
    <t>Werkplaats Burgerschap 2022</t>
  </si>
  <si>
    <t>-3020-OKI-SUB-20073\-02</t>
  </si>
  <si>
    <t>20112-01</t>
  </si>
  <si>
    <t>ASTLA4CPRE 2022</t>
  </si>
  <si>
    <t>20112</t>
  </si>
  <si>
    <t>1000048</t>
  </si>
  <si>
    <t>1000039</t>
  </si>
  <si>
    <t>-3020-OKI-Overig-20112\-01</t>
  </si>
  <si>
    <t>20124</t>
  </si>
  <si>
    <t>Groeifonds 2022</t>
  </si>
  <si>
    <t>1000061</t>
  </si>
  <si>
    <t>Stichting Kennisnet</t>
  </si>
  <si>
    <t>-3020-OKI-Overig-20124</t>
  </si>
  <si>
    <t>20124-01</t>
  </si>
  <si>
    <t>Coördinator Groeifonds 2022</t>
  </si>
  <si>
    <t>-3020-OKI-Overig-20124\-01</t>
  </si>
  <si>
    <t>20124-02</t>
  </si>
  <si>
    <t>Katalysator onderwijsverbetering</t>
  </si>
  <si>
    <t>-3020-OKI-Overig-20124\-02</t>
  </si>
  <si>
    <t>20019-01</t>
  </si>
  <si>
    <t>Onderwijsdialoog</t>
  </si>
  <si>
    <t>2481</t>
  </si>
  <si>
    <t>Ilse Papenburg</t>
  </si>
  <si>
    <t>-3000-OKI-Overig-20019\-01</t>
  </si>
  <si>
    <t>20019-04</t>
  </si>
  <si>
    <t>Beeldverhaal</t>
  </si>
  <si>
    <t>-3000-OKI-Overig-20019\-04</t>
  </si>
  <si>
    <t>20019-03</t>
  </si>
  <si>
    <t>Adapt en leerkracht UU</t>
  </si>
  <si>
    <t>-3000-OKI-Overig-20019\-03</t>
  </si>
  <si>
    <t>20122-01</t>
  </si>
  <si>
    <t>INVALSI 2022</t>
  </si>
  <si>
    <t>-3010-OKI-Overig-20122\-01</t>
  </si>
  <si>
    <t>20074</t>
  </si>
  <si>
    <t>Pilot study and workshop IRT 2021</t>
  </si>
  <si>
    <t>-3000-OKI-Overig-20074</t>
  </si>
  <si>
    <t>20065</t>
  </si>
  <si>
    <t>Aanpassing ATA</t>
  </si>
  <si>
    <t>-3000-OKI-Overig-20065</t>
  </si>
  <si>
    <t>20047</t>
  </si>
  <si>
    <t>Pilot study and workshop IRT 2020</t>
  </si>
  <si>
    <t>-3000-OKI-Overig-20047</t>
  </si>
  <si>
    <t>20053</t>
  </si>
  <si>
    <t>Adaptvurder</t>
  </si>
  <si>
    <t>Lesesenteret Universitet Stavanger</t>
  </si>
  <si>
    <t>1000020</t>
  </si>
  <si>
    <t>-3000-OKI-Overig-20053</t>
  </si>
  <si>
    <t>20088-04</t>
  </si>
  <si>
    <t>TIMMS en peil. rekenen en wiskunde 2024</t>
  </si>
  <si>
    <t>CITOLAB</t>
  </si>
  <si>
    <t>-3000---20088\-04</t>
  </si>
  <si>
    <t>20099-01</t>
  </si>
  <si>
    <t>Uitvoeren onderzoek - Psychometrisch onderzoek</t>
  </si>
  <si>
    <t>POD</t>
  </si>
  <si>
    <t>-2010-SLOA-OCW-20099\-01</t>
  </si>
  <si>
    <t>20099-02</t>
  </si>
  <si>
    <t>Uitvoeren onderzoek - Software voor psychometrici</t>
  </si>
  <si>
    <t>-2010-SLOA-OCW-20099\-02</t>
  </si>
  <si>
    <t>-2010-SLOA-OCW-20062</t>
  </si>
  <si>
    <t>20062-01</t>
  </si>
  <si>
    <t>-2010-SLOA-OCW-20062\-01</t>
  </si>
  <si>
    <t>20062-02</t>
  </si>
  <si>
    <t>Uitvoeren onderzoek - Software</t>
  </si>
  <si>
    <t>-2010-SLOA-OCW-20062\-02</t>
  </si>
  <si>
    <t>20040-01</t>
  </si>
  <si>
    <t>Uitvoeren onderzoek - psychometrie</t>
  </si>
  <si>
    <t>-2010-SLOA-OCW-20040\-01</t>
  </si>
  <si>
    <t>20040-02</t>
  </si>
  <si>
    <t>Uitvoeren onderzoek - software</t>
  </si>
  <si>
    <t>-2010-SLOA-OCW-20040\-02</t>
  </si>
  <si>
    <t>20092</t>
  </si>
  <si>
    <t>IRT analyses screeningsinstrument</t>
  </si>
  <si>
    <t>Stichting Milo</t>
  </si>
  <si>
    <t>1000032</t>
  </si>
  <si>
    <t>-3000-OKI-Overig-20092</t>
  </si>
  <si>
    <t>20093</t>
  </si>
  <si>
    <t>Effect onderzoek Estafette</t>
  </si>
  <si>
    <t>Uitgeverij Zwijsen BV</t>
  </si>
  <si>
    <t>1000033</t>
  </si>
  <si>
    <t>-3000-OKI-Overig-20093</t>
  </si>
  <si>
    <t>20094</t>
  </si>
  <si>
    <t>Validation LASLLIAM</t>
  </si>
  <si>
    <t>Council of Europe</t>
  </si>
  <si>
    <t>-3000-OKI-Overig-20094</t>
  </si>
  <si>
    <t>20078</t>
  </si>
  <si>
    <t>Workshop analyses Silvas</t>
  </si>
  <si>
    <t>Silvas Development &amp; Technology:</t>
  </si>
  <si>
    <t>-3000-OKI-Overig-20078</t>
  </si>
  <si>
    <t>20080</t>
  </si>
  <si>
    <t>Ontsluiting Dexter CBR</t>
  </si>
  <si>
    <t>-3000-OKI-Overig-20080</t>
  </si>
  <si>
    <t>20081</t>
  </si>
  <si>
    <t>Analyses survey data LASLLIAM</t>
  </si>
  <si>
    <t>-3000-OKI-Overig-20081</t>
  </si>
  <si>
    <t>20087</t>
  </si>
  <si>
    <t>secundaire analyses PISA</t>
  </si>
  <si>
    <t>-3000-OKI-Overig-20087</t>
  </si>
  <si>
    <t>20154-01</t>
  </si>
  <si>
    <t>Onderzoek schoolexamens fase 1 2023</t>
  </si>
  <si>
    <t>20154</t>
  </si>
  <si>
    <t>23-proj-07</t>
  </si>
  <si>
    <t>-2010-SLOA-OCW-20154\-01</t>
  </si>
  <si>
    <t>20063-04</t>
  </si>
  <si>
    <t>-2070-SLOA-OCW-20063\-04</t>
  </si>
  <si>
    <t>20063-04-01</t>
  </si>
  <si>
    <t>-2070-SLOA-OCW-20063\-04\-01</t>
  </si>
  <si>
    <t>20063-04-02</t>
  </si>
  <si>
    <t>-2070-SLOA-OCW-20063\-04\-02</t>
  </si>
  <si>
    <t>aanvullende werkzaamheden ce vo 2021</t>
  </si>
  <si>
    <t>-2010-SLOA-OCW-20089</t>
  </si>
  <si>
    <t>20089-01</t>
  </si>
  <si>
    <t>versnelde productie tweede en derde tijdvak</t>
  </si>
  <si>
    <t>-2010-SLOA-OCW-20089\-01</t>
  </si>
  <si>
    <t>20089-02</t>
  </si>
  <si>
    <t>examenafname op scholen/locatie en corr</t>
  </si>
  <si>
    <t>-2010-SLOA-OCW-20089\-02</t>
  </si>
  <si>
    <t>20101-03</t>
  </si>
  <si>
    <t>Constructieforums 2024</t>
  </si>
  <si>
    <t>22-proj-01</t>
  </si>
  <si>
    <t>-2100-DOCPAR--20101\-03</t>
  </si>
  <si>
    <t>DOCPAR</t>
  </si>
  <si>
    <t>20060-05-03</t>
  </si>
  <si>
    <t>ce vo additionele kosten 2021</t>
  </si>
  <si>
    <t>20060-05</t>
  </si>
  <si>
    <t>-2010-SLOA-OCW-20060\-05\-03</t>
  </si>
  <si>
    <t>20060-06</t>
  </si>
  <si>
    <t>-2010-SLOA-OCW-20060\-06</t>
  </si>
  <si>
    <t>20060-03</t>
  </si>
  <si>
    <t>2430</t>
  </si>
  <si>
    <t>Bregje van der Werf</t>
  </si>
  <si>
    <t>-2050-SLOA-OCW-20060\-03</t>
  </si>
  <si>
    <t>2050</t>
  </si>
  <si>
    <t>20097-07-08</t>
  </si>
  <si>
    <t>ce vo Stichting IT Ontwikkeling cp</t>
  </si>
  <si>
    <t>20097-07</t>
  </si>
  <si>
    <t>-2010-SLOA-OCW-20097\-07\-08</t>
  </si>
  <si>
    <t>20097-07-09</t>
  </si>
  <si>
    <t>ce vo Stichting IT Ontwikkeling toetsportaal</t>
  </si>
  <si>
    <t>-2010-SLOA-OCW-20097\-07\-09</t>
  </si>
  <si>
    <t>20173</t>
  </si>
  <si>
    <t>Secure downloadomgeving</t>
  </si>
  <si>
    <t>24-proj-01</t>
  </si>
  <si>
    <t>-2020-CTEDOWNLOAD--20173</t>
  </si>
  <si>
    <t>CTEDOWNLOAD</t>
  </si>
  <si>
    <t>20100-04-01</t>
  </si>
  <si>
    <t>20100-04</t>
  </si>
  <si>
    <t>20060-07</t>
  </si>
  <si>
    <t>ce vo bedrijfsbureau en ict</t>
  </si>
  <si>
    <t>-2020-SLOA-OCW-20060\-07</t>
  </si>
  <si>
    <t>20060-07-01</t>
  </si>
  <si>
    <t>ce vo bedrijfsbureau</t>
  </si>
  <si>
    <t>-2020-SLOA-OCW-20060\-07\-01</t>
  </si>
  <si>
    <t>20130-07-06</t>
  </si>
  <si>
    <t>ce vo Stichting IT inzet GA QDC</t>
  </si>
  <si>
    <t>-2020-SLOA-OCW-20130\-07\-06</t>
  </si>
  <si>
    <t>20097-09</t>
  </si>
  <si>
    <t>-2010-SLOA-OCW-20097\-09</t>
  </si>
  <si>
    <t>20113-01</t>
  </si>
  <si>
    <t>Versnellen CP</t>
  </si>
  <si>
    <t>-2010-SLOA-OCW-20113\-01</t>
  </si>
  <si>
    <t>20113-02</t>
  </si>
  <si>
    <t>Toetsportaal</t>
  </si>
  <si>
    <t>-2010-SLOA-OCW-20113\-02</t>
  </si>
  <si>
    <t>20060-09</t>
  </si>
  <si>
    <t>-2020-SLOA-OCW-20060\-09</t>
  </si>
  <si>
    <t>20113-03</t>
  </si>
  <si>
    <t>Toetsportaal 2023</t>
  </si>
  <si>
    <t>-2020-SLOA-OCW-20113\-03</t>
  </si>
  <si>
    <t>20113-04</t>
  </si>
  <si>
    <t>Versnellen CP 2023</t>
  </si>
  <si>
    <t>-2020-SLOA-OCW-20113\-04</t>
  </si>
  <si>
    <t>20100-05</t>
  </si>
  <si>
    <t>20131-05</t>
  </si>
  <si>
    <t>-2070-SLOA-OCW-20131\-05</t>
  </si>
  <si>
    <t>20060-05-02</t>
  </si>
  <si>
    <t>1135</t>
  </si>
  <si>
    <t>Anne-Marie Anthonissen</t>
  </si>
  <si>
    <t>-2010-SLOA-OCW-20060\-05\-02</t>
  </si>
  <si>
    <t>20097-05-02</t>
  </si>
  <si>
    <t>20097-05</t>
  </si>
  <si>
    <t>-2010-SLOA-OCW-20097\-05\-02</t>
  </si>
  <si>
    <t>20060-02</t>
  </si>
  <si>
    <t>-2060-SLOA-OCW-20060\-02</t>
  </si>
  <si>
    <t>2060</t>
  </si>
  <si>
    <t>20060-16</t>
  </si>
  <si>
    <t>-2060-SLOA-OCW-20060\-16</t>
  </si>
  <si>
    <t>20101-01</t>
  </si>
  <si>
    <t>Constructieforums 2022</t>
  </si>
  <si>
    <t>-2010-SLOA-OCW-20101</t>
  </si>
  <si>
    <t>20097-06</t>
  </si>
  <si>
    <t>-2010-SLOA-OCW-20097\-06</t>
  </si>
  <si>
    <t>aanvullende werkzaamheden ce vo 2022</t>
  </si>
  <si>
    <t>-2010-SLOA-OCW-20090</t>
  </si>
  <si>
    <t>20090-01</t>
  </si>
  <si>
    <t>aanvull werkzaamheden 2021</t>
  </si>
  <si>
    <t>21-proj-03</t>
  </si>
  <si>
    <t>-2010-SLOA-OCW-20090\-01</t>
  </si>
  <si>
    <t>20090-01-01</t>
  </si>
  <si>
    <t>versnelde productie tweede en derde tv</t>
  </si>
  <si>
    <t>-2010-SLOA-OCW-20090\-01\-01</t>
  </si>
  <si>
    <t>20090-01-02</t>
  </si>
  <si>
    <t>-2010-SLOA-OCW-20090\-01\-02</t>
  </si>
  <si>
    <t>20090-02</t>
  </si>
  <si>
    <t>aanvull werkzaamheden 2022</t>
  </si>
  <si>
    <t>22-proj-02</t>
  </si>
  <si>
    <t>-2010-SLOA-OCW-20090\-02</t>
  </si>
  <si>
    <t>20090-02-02</t>
  </si>
  <si>
    <t>20090-02-03</t>
  </si>
  <si>
    <t>20090-02-01</t>
  </si>
  <si>
    <t>-2010-SLOA-OCW-20090\-02\-01</t>
  </si>
  <si>
    <t>20090-02-04</t>
  </si>
  <si>
    <t>-2010-SLOA-OCW-20090\-02\-04</t>
  </si>
  <si>
    <t>-2010-SLOA-OCW-20097\-05</t>
  </si>
  <si>
    <t>20097-05-01</t>
  </si>
  <si>
    <t>-2010-SLOA-OCW-20097\-05\-01</t>
  </si>
  <si>
    <t>20100-04-02</t>
  </si>
  <si>
    <t>20161-05</t>
  </si>
  <si>
    <t>-2070-CEMBO--20161\-05</t>
  </si>
  <si>
    <t>-2010-SLOA-OCW-20060\-05</t>
  </si>
  <si>
    <t>20060-05-01</t>
  </si>
  <si>
    <t>-2010-SLOA-OCW-20060\-05\-01</t>
  </si>
  <si>
    <t>20160-07-01</t>
  </si>
  <si>
    <t>ce vo procesvoering</t>
  </si>
  <si>
    <t>-2020-CEVO--20160\-07\-01</t>
  </si>
  <si>
    <t>20175-01</t>
  </si>
  <si>
    <t>Ontwikkelen toegankelijke vormgeving examendocumenten 2024</t>
  </si>
  <si>
    <t>20175</t>
  </si>
  <si>
    <t>24-proj-02</t>
  </si>
  <si>
    <t>-2020-TOEVORM--20175\-01</t>
  </si>
  <si>
    <t>TOEVORM</t>
  </si>
  <si>
    <t>-2020-SLOA-OCW-20130\-07</t>
  </si>
  <si>
    <t>20130-07-01</t>
  </si>
  <si>
    <t>-2020-SLOA-OCW-20130\-07\-01</t>
  </si>
  <si>
    <t>20160-10</t>
  </si>
  <si>
    <t>-2100-CEVO--20160\-10</t>
  </si>
  <si>
    <t>20160-11</t>
  </si>
  <si>
    <t>ce vo najaarscorr en pre-test corr</t>
  </si>
  <si>
    <t>-2100-CEVO--20160\-11</t>
  </si>
  <si>
    <t>20130-10</t>
  </si>
  <si>
    <t>-2100-SLOA-OCW-20130\-10</t>
  </si>
  <si>
    <t>20130-11</t>
  </si>
  <si>
    <t>-2100-SLOA-OCW-20130\-11</t>
  </si>
  <si>
    <t>20097-10</t>
  </si>
  <si>
    <t>-2010-SLOA-OCW-20097\-10</t>
  </si>
  <si>
    <t>20097-11</t>
  </si>
  <si>
    <t>ce vo najaarscorrectie</t>
  </si>
  <si>
    <t>-2010-SLOA-OCW-20097\-11</t>
  </si>
  <si>
    <t>-2010-SLOA-OCW-20097\-07</t>
  </si>
  <si>
    <t>20097-07-07</t>
  </si>
  <si>
    <t>ce vo Stichting IT Ontwikkeling_Doel</t>
  </si>
  <si>
    <t>20097-07-01</t>
  </si>
  <si>
    <t>-2010-SLOA-OCW-20097\-07\-01</t>
  </si>
  <si>
    <t>20097-04</t>
  </si>
  <si>
    <t>-2010-SLOA-OCW-20097\-04</t>
  </si>
  <si>
    <t>20097-12</t>
  </si>
  <si>
    <t>-2010-SLOA-OCW-20097\-12</t>
  </si>
  <si>
    <t>18285</t>
  </si>
  <si>
    <t>Leernetwerk summ. toetsing schrijfv. vo</t>
  </si>
  <si>
    <t>1336</t>
  </si>
  <si>
    <t>Alex van de Kerkhof</t>
  </si>
  <si>
    <t>18-proj-02</t>
  </si>
  <si>
    <t>-2010-SLOA-OCW-18285</t>
  </si>
  <si>
    <t>18311-07-02</t>
  </si>
  <si>
    <t>ce vo ICT Facet en ontwikkeling</t>
  </si>
  <si>
    <t>18311-07</t>
  </si>
  <si>
    <t>1352</t>
  </si>
  <si>
    <t>Mariette Lieverse</t>
  </si>
  <si>
    <t>18-inst-01</t>
  </si>
  <si>
    <t>-2020-SLOA-OCW-18311\-07\-02</t>
  </si>
  <si>
    <t>18311-09</t>
  </si>
  <si>
    <t>18311</t>
  </si>
  <si>
    <t>-2020-SLOA-OCW-18311\-09</t>
  </si>
  <si>
    <t>20174</t>
  </si>
  <si>
    <t>Psychometrisch updaten regelingen PO</t>
  </si>
  <si>
    <t>1400</t>
  </si>
  <si>
    <t>Bas Hemker</t>
  </si>
  <si>
    <t>-3000---20174</t>
  </si>
  <si>
    <t>18311-07-05</t>
  </si>
  <si>
    <t>ce vo ontwikkeling Citoshare en  sharepoint</t>
  </si>
  <si>
    <t>2548</t>
  </si>
  <si>
    <t>Delphine Kerkmeester</t>
  </si>
  <si>
    <t>-2020-SLOA-OCW-18311\-07\-05</t>
  </si>
  <si>
    <t>20016-07-05</t>
  </si>
  <si>
    <t>ce vo ontwikkeling Citoshare</t>
  </si>
  <si>
    <t>20016-07</t>
  </si>
  <si>
    <t>19-inst-01</t>
  </si>
  <si>
    <t>-2020-SLOA-OCW-20016\-07\-05</t>
  </si>
  <si>
    <t>18311-07-06</t>
  </si>
  <si>
    <t>ce vo ontwikkeling CPTE</t>
  </si>
  <si>
    <t>-2020-SLOA-OCW-18311\-07\-06</t>
  </si>
  <si>
    <t>20016-07-06</t>
  </si>
  <si>
    <t>-2020-SLOA-OCW-20016\-07\-06</t>
  </si>
  <si>
    <t>20016-07-03</t>
  </si>
  <si>
    <t>ce vo ontwikkeling Wolf</t>
  </si>
  <si>
    <t>1235</t>
  </si>
  <si>
    <t>René Alberts</t>
  </si>
  <si>
    <t>-2020-SLOA-OCW-20016\-07\-03</t>
  </si>
  <si>
    <t>18311-07-03</t>
  </si>
  <si>
    <t>-2020-SLOA-OCW-18311\-07\-03</t>
  </si>
  <si>
    <t>20016-07-04</t>
  </si>
  <si>
    <t>ce vo ontwikkeling HTML PCI</t>
  </si>
  <si>
    <t>2103</t>
  </si>
  <si>
    <t>Fabian Pothof</t>
  </si>
  <si>
    <t>-2020-SLOA-OCW-20016\-07\-04</t>
  </si>
  <si>
    <t>18311-11</t>
  </si>
  <si>
    <t>-2020-SLOA-OCW-18311\-11</t>
  </si>
  <si>
    <t>18311-07-04</t>
  </si>
  <si>
    <t>-2020-SLOA-OCW-18311\-07\-04</t>
  </si>
  <si>
    <t>18248-04</t>
  </si>
  <si>
    <t>Onderst. Curacao, Aruba, St. M. en voorlicht bezoekers Buite</t>
  </si>
  <si>
    <t>-2010-SLOA-OCW-18248\-04</t>
  </si>
  <si>
    <t>18248-01</t>
  </si>
  <si>
    <t>Uitv. onderz. - Psychometrie</t>
  </si>
  <si>
    <t>-2010-SLOA-OCW-18248\-01</t>
  </si>
  <si>
    <t>20025-03</t>
  </si>
  <si>
    <t>AEA</t>
  </si>
  <si>
    <t>-8610-Intern-Staf-20025\-03</t>
  </si>
  <si>
    <t>8610</t>
  </si>
  <si>
    <t>20001</t>
  </si>
  <si>
    <t>eXplain Xquiry</t>
  </si>
  <si>
    <t>1000008</t>
  </si>
  <si>
    <t>eX:plain</t>
  </si>
  <si>
    <t>1000000</t>
  </si>
  <si>
    <t>-8610-OKI-Overig-20001</t>
  </si>
  <si>
    <t>20002</t>
  </si>
  <si>
    <t>CAT cursus 10Voordeleraar</t>
  </si>
  <si>
    <t>Vereniging Hogescholen | 10voordeleraar</t>
  </si>
  <si>
    <t>-8610-OKI-Overig-20002</t>
  </si>
  <si>
    <t>20005</t>
  </si>
  <si>
    <t>OCCAM 2018</t>
  </si>
  <si>
    <t>-8610-OKI-Overig-20005</t>
  </si>
  <si>
    <t>20009</t>
  </si>
  <si>
    <t>Occam 2019</t>
  </si>
  <si>
    <t>-8610-OKI-Overig-20009</t>
  </si>
  <si>
    <t>20017</t>
  </si>
  <si>
    <t>Advise-me Erasmus</t>
  </si>
  <si>
    <t>-8610-OKI-Overig-20017</t>
  </si>
  <si>
    <t>20034</t>
  </si>
  <si>
    <t>Pilot study and workshop IRT</t>
  </si>
  <si>
    <t>-8610-OKI-Overig-20034</t>
  </si>
  <si>
    <t>20042</t>
  </si>
  <si>
    <t>OCCAM 2020</t>
  </si>
  <si>
    <t>-8610-OKI-Overig-20042</t>
  </si>
  <si>
    <t>20029</t>
  </si>
  <si>
    <t>Verkenning module advanced skills</t>
  </si>
  <si>
    <t>UvA fac. der Maatschappij- en Gedragswetenschappen</t>
  </si>
  <si>
    <t>-8610-OKI-SUB-20029</t>
  </si>
  <si>
    <t>20061-03</t>
  </si>
  <si>
    <t>20061</t>
  </si>
  <si>
    <t>21-inst-04</t>
  </si>
  <si>
    <t>-2080-SLOA-OCW-20061\-03</t>
  </si>
  <si>
    <t>18262-03</t>
  </si>
  <si>
    <t>18262</t>
  </si>
  <si>
    <t>18-inst-04</t>
  </si>
  <si>
    <t>-2080-SLOA-OCW-18262\-03</t>
  </si>
  <si>
    <t>20011-03</t>
  </si>
  <si>
    <t>20011</t>
  </si>
  <si>
    <t>19-inst-04</t>
  </si>
  <si>
    <t>-2080-SLOA-OCW-20011\-03</t>
  </si>
  <si>
    <t>20061-05</t>
  </si>
  <si>
    <t>CET Questify generiek</t>
  </si>
  <si>
    <t>-2080-SLOA-OCW-20061\-05</t>
  </si>
  <si>
    <t>18262-02</t>
  </si>
  <si>
    <t>1505</t>
  </si>
  <si>
    <t>Riny Mayer</t>
  </si>
  <si>
    <t>-2080-SLOA-OCW-18262\-02</t>
  </si>
  <si>
    <t>20061-02</t>
  </si>
  <si>
    <t>-2080-SLOA-OCW-20061\-02</t>
  </si>
  <si>
    <t>20011-02</t>
  </si>
  <si>
    <t>-2080-SLOA-OCW-20011\-02</t>
  </si>
  <si>
    <t>-2080-SLOA-OCW-20061</t>
  </si>
  <si>
    <t>20061-01</t>
  </si>
  <si>
    <t>CET itemconstructie</t>
  </si>
  <si>
    <t>-2080-SLOA-OCW-20061\-01</t>
  </si>
  <si>
    <t>20061-04</t>
  </si>
  <si>
    <t>-2080-SLOA-OCW-20061\-04</t>
  </si>
  <si>
    <t>20011-01</t>
  </si>
  <si>
    <t>2535</t>
  </si>
  <si>
    <t>Rianne van der Werff</t>
  </si>
  <si>
    <t>-2080-SLOA-OCW-20011\-01</t>
  </si>
  <si>
    <t>18262-01</t>
  </si>
  <si>
    <t>-2080-SLOA-OCW-18262\-01</t>
  </si>
  <si>
    <t>18209-01</t>
  </si>
  <si>
    <t>rmt proeftoetsing</t>
  </si>
  <si>
    <t>18209</t>
  </si>
  <si>
    <t>18-proj-01</t>
  </si>
  <si>
    <t>-2080-SLOA-OCW-18209\-01</t>
  </si>
  <si>
    <t>18209-02</t>
  </si>
  <si>
    <t>rmt verantwoording</t>
  </si>
  <si>
    <t>-2080-SLOA-OCW-18209\-02</t>
  </si>
  <si>
    <t>18209-03</t>
  </si>
  <si>
    <t>rmt standaardsetting</t>
  </si>
  <si>
    <t>-2080-SLOA-OCW-18209\-03</t>
  </si>
  <si>
    <t>18262-04</t>
  </si>
  <si>
    <t>-2080-SLOA-OCW-18262\-04</t>
  </si>
  <si>
    <t>-2080-SLOA-OCW-20011</t>
  </si>
  <si>
    <t>20039-01</t>
  </si>
  <si>
    <t>20039</t>
  </si>
  <si>
    <t>20-inst-04</t>
  </si>
  <si>
    <t>-2080-SLOA-OCW-20039\-01</t>
  </si>
  <si>
    <t>20011-04</t>
  </si>
  <si>
    <t>-2080-SLOA-OCW-20011\-04</t>
  </si>
  <si>
    <t>20039-04</t>
  </si>
  <si>
    <t>-2080-SLOA-OCW-20039\-04</t>
  </si>
  <si>
    <t>-2080-SLOA-OCW-18262</t>
  </si>
  <si>
    <t>18311-02</t>
  </si>
  <si>
    <t>ce vo kc-mm</t>
  </si>
  <si>
    <t>1550</t>
  </si>
  <si>
    <t>Anton Beguin</t>
  </si>
  <si>
    <t>-2060-SLOA-OCW-18311\-02</t>
  </si>
  <si>
    <t>18311-15</t>
  </si>
  <si>
    <t>ce vo syllabustraject aardrijksk en maatsch.</t>
  </si>
  <si>
    <t>-2060-SLOA-OCW-18311\-15</t>
  </si>
  <si>
    <t>18311-07-01</t>
  </si>
  <si>
    <t>-2020-SLOA-OCW-18311\-07\-01</t>
  </si>
  <si>
    <t>20037-10</t>
  </si>
  <si>
    <t>20037</t>
  </si>
  <si>
    <t>20-inst-01</t>
  </si>
  <si>
    <t>-2020-SLOA-OCW-20037\-10</t>
  </si>
  <si>
    <t>20037-11</t>
  </si>
  <si>
    <t>-2020-SLOA-OCW-20037\-11</t>
  </si>
  <si>
    <t>18311-06</t>
  </si>
  <si>
    <t>ce vo caribisch nederland</t>
  </si>
  <si>
    <t>-2020-SLOA-OCW-18311\-06</t>
  </si>
  <si>
    <t>18311-10</t>
  </si>
  <si>
    <t>-2020-SLOA-OCW-18311\-10</t>
  </si>
  <si>
    <t>ce vo bedrijfsbureau &amp; ict</t>
  </si>
  <si>
    <t>20016</t>
  </si>
  <si>
    <t>-2020-SLOA-OCW-20016\-07</t>
  </si>
  <si>
    <t>20016-07-01</t>
  </si>
  <si>
    <t>-2020-SLOA-OCW-20016\-07\-01</t>
  </si>
  <si>
    <t>20016-10</t>
  </si>
  <si>
    <t>-2020-SLOA-OCW-20016\-10</t>
  </si>
  <si>
    <t>20037-07</t>
  </si>
  <si>
    <t>-2020-SLOA-OCW-20037\-07</t>
  </si>
  <si>
    <t>20037-07-01</t>
  </si>
  <si>
    <t>-2020-SLOA-OCW-20037\-07\-01</t>
  </si>
  <si>
    <t>20016-08</t>
  </si>
  <si>
    <t>-2020-SLOA-OCW-20016\-08</t>
  </si>
  <si>
    <t>18311-08</t>
  </si>
  <si>
    <t>-2020-SLOA-OCW-18311\-08</t>
  </si>
  <si>
    <t>20000</t>
  </si>
  <si>
    <t>ce vo toetsen Maastricht</t>
  </si>
  <si>
    <t>-2010-SLOA-OCW-20000</t>
  </si>
  <si>
    <t>-2010-SLOA-OCW-18248</t>
  </si>
  <si>
    <t>18311-01</t>
  </si>
  <si>
    <t>-2030-SLOA-OCW-18311\-01</t>
  </si>
  <si>
    <t>18311-14</t>
  </si>
  <si>
    <t>ce vo syllabuscommissie Nederlands</t>
  </si>
  <si>
    <t>-2030-SLOA-OCW-18311\-14</t>
  </si>
  <si>
    <t>-2020-SLOA-OCW-18311\-07</t>
  </si>
  <si>
    <t>18287</t>
  </si>
  <si>
    <t>DTT Helpdeskfunctie en overdracht</t>
  </si>
  <si>
    <t>WOOS</t>
  </si>
  <si>
    <t>18-woos-01</t>
  </si>
  <si>
    <t>-2080-SLOA-WOOS-18287</t>
  </si>
  <si>
    <t>-2080-SLOA-OCW-20039</t>
  </si>
  <si>
    <t>rmt referentieniveau mondelinge taalvaardigheid</t>
  </si>
  <si>
    <t>-2080-SLOA-OCW-18209</t>
  </si>
  <si>
    <t>20037-09</t>
  </si>
  <si>
    <t>-2020-SLOA-OCW-20037\-09</t>
  </si>
  <si>
    <t>20016-02</t>
  </si>
  <si>
    <t>-2060-SLOA-OCW-20016\-02</t>
  </si>
  <si>
    <t>20016-16</t>
  </si>
  <si>
    <t>ce vo Olympiade</t>
  </si>
  <si>
    <t>-2060-SLOA-OCW-20016\-16</t>
  </si>
  <si>
    <t>20037-02</t>
  </si>
  <si>
    <t>-2060-SLOA-OCW-20037\-02</t>
  </si>
  <si>
    <t>20037-16</t>
  </si>
  <si>
    <t>ce vo  olympiade</t>
  </si>
  <si>
    <t>-2060-SLOA-OCW-20037\-16</t>
  </si>
  <si>
    <t>18311-03</t>
  </si>
  <si>
    <t>-2050-SLOA-OCW-18311\-03</t>
  </si>
  <si>
    <t>18311-16</t>
  </si>
  <si>
    <t>-2050-SLOA-OCW-18311\-16</t>
  </si>
  <si>
    <t>20037-14</t>
  </si>
  <si>
    <t>-2030-SLOA-OCW-20037\-14</t>
  </si>
  <si>
    <t>18311-05-02</t>
  </si>
  <si>
    <t>18311-05</t>
  </si>
  <si>
    <t>-2010-SLOA-OCW-18311\-05\-02</t>
  </si>
  <si>
    <t>20016-05-02</t>
  </si>
  <si>
    <t>20016-05</t>
  </si>
  <si>
    <t>-2010-SLOA-OCW-20016\-05\-02</t>
  </si>
  <si>
    <t>20037-05-02</t>
  </si>
  <si>
    <t>20037-05</t>
  </si>
  <si>
    <t>-2010-SLOA-OCW-20037\-05\-02</t>
  </si>
  <si>
    <t>20037-08</t>
  </si>
  <si>
    <t>-2020-SLOA-OCW-20037\-08</t>
  </si>
  <si>
    <t>20010</t>
  </si>
  <si>
    <t>19-inst-06</t>
  </si>
  <si>
    <t>-2010-SLOA-OCW-20010</t>
  </si>
  <si>
    <t>20010-01</t>
  </si>
  <si>
    <t>Uitvoeren onderzoek - Psychometrie</t>
  </si>
  <si>
    <t>-2010-SLOA-OCW-20010\-01</t>
  </si>
  <si>
    <t>20010-02</t>
  </si>
  <si>
    <t>Uitvoeren onderzoek - oit</t>
  </si>
  <si>
    <t>-2010-SLOA-OCW-20010\-02</t>
  </si>
  <si>
    <t>-2010-SLOA-OCW-20040</t>
  </si>
  <si>
    <t>20014-03-01</t>
  </si>
  <si>
    <t>rvo management en coördinatie</t>
  </si>
  <si>
    <t>-2070-SLOA-OCW-20014\-03\-01</t>
  </si>
  <si>
    <t>20013-05-01</t>
  </si>
  <si>
    <t>-2070-SLOA-OCW-20013\-05\-01</t>
  </si>
  <si>
    <t>Centraal ontwikkelde examens mbo</t>
  </si>
  <si>
    <t>-2070-SLOA-OCW-18288</t>
  </si>
  <si>
    <t>18248-03</t>
  </si>
  <si>
    <t>Uitvoeren onderzoek - Kenniscentrum</t>
  </si>
  <si>
    <t>-2010-SLOA-OCW-18248\-03</t>
  </si>
  <si>
    <t>20016-03</t>
  </si>
  <si>
    <t>-2050-SLOA-OCW-20016\-03</t>
  </si>
  <si>
    <t>20037-03</t>
  </si>
  <si>
    <t>-2050-SLOA-OCW-20037\-03</t>
  </si>
  <si>
    <t>20016-06</t>
  </si>
  <si>
    <t>-2020-SLOA-OCW-20016\-06</t>
  </si>
  <si>
    <t>20012</t>
  </si>
  <si>
    <t>Docentenparticipatie</t>
  </si>
  <si>
    <t>19-proj-03</t>
  </si>
  <si>
    <t>-2010-SLOA-OCW-20012</t>
  </si>
  <si>
    <t>20012-01</t>
  </si>
  <si>
    <t>Docentenparticipatie - itemconstructie op afstand</t>
  </si>
  <si>
    <t>-2010-SLOA-OCW-20012\-01</t>
  </si>
  <si>
    <t>20012-02</t>
  </si>
  <si>
    <t>Docentenparticipatie - discussieflora</t>
  </si>
  <si>
    <t>-2010-SLOA-OCW-20012\-02</t>
  </si>
  <si>
    <t>20012-03</t>
  </si>
  <si>
    <t>Docentenparticipatie - pre- en testcorrectie</t>
  </si>
  <si>
    <t>-2010-SLOA-OCW-20012\-03</t>
  </si>
  <si>
    <t>18286</t>
  </si>
  <si>
    <t>docentenparticipatie</t>
  </si>
  <si>
    <t>18-proj-03</t>
  </si>
  <si>
    <t>-2010-SLOA-OCW-18286</t>
  </si>
  <si>
    <t>20058</t>
  </si>
  <si>
    <t>Maatwerktoetsen</t>
  </si>
  <si>
    <t>20-proj-02</t>
  </si>
  <si>
    <t>-2010-SLOA-OCW-20058</t>
  </si>
  <si>
    <t>20037-06</t>
  </si>
  <si>
    <t>-2010-SLOA-OCW-20037\-06</t>
  </si>
  <si>
    <t>20038</t>
  </si>
  <si>
    <t>20-proj-01</t>
  </si>
  <si>
    <t>-2010-SLOA-OCW-20038</t>
  </si>
  <si>
    <t>20038-01</t>
  </si>
  <si>
    <t>-2010-SLOA-OCW-20038\-01</t>
  </si>
  <si>
    <t>20038-02</t>
  </si>
  <si>
    <t>Docentenparticipatie - pré- en testcorrectie</t>
  </si>
  <si>
    <t>-2010-SLOA-OCW-20038\-02</t>
  </si>
  <si>
    <t>20041-04-01</t>
  </si>
  <si>
    <t>-2070-SLOA-OCW-20041\-04\-01</t>
  </si>
  <si>
    <t>-2070-SLOA-OCW-20041</t>
  </si>
  <si>
    <t>Centrale examens mbo</t>
  </si>
  <si>
    <t>-2070-SLOA-OCW-20013</t>
  </si>
  <si>
    <t>Rekentoets vo</t>
  </si>
  <si>
    <t>-2070-SLOA-OCW-20014</t>
  </si>
  <si>
    <t>-2070-SLOA-OCW-18296</t>
  </si>
  <si>
    <t>18244</t>
  </si>
  <si>
    <t>EZ ontwikkelen examens groen vmbo</t>
  </si>
  <si>
    <t>18-EZ-01</t>
  </si>
  <si>
    <t>-2040-SLOA-OCW-18244</t>
  </si>
  <si>
    <t>18311-04</t>
  </si>
  <si>
    <t>-2040-SLOA-OCW-18311\-04</t>
  </si>
  <si>
    <t>18311-12</t>
  </si>
  <si>
    <t>ce vo syllabuscommissie beroeps</t>
  </si>
  <si>
    <t>-2040-SLOA-OCW-18311\-12</t>
  </si>
  <si>
    <t>20016-04</t>
  </si>
  <si>
    <t>-2040-SLOA-OCW-20016\-04</t>
  </si>
  <si>
    <t>20016-12</t>
  </si>
  <si>
    <t>-2040-SLOA-OCW-20016\-12</t>
  </si>
  <si>
    <t>20037-04</t>
  </si>
  <si>
    <t>-2040-SLOA-OCW-20037\-04</t>
  </si>
  <si>
    <t>20037-12</t>
  </si>
  <si>
    <t>-2040-SLOA-OCW-20037\-12</t>
  </si>
  <si>
    <t>18302</t>
  </si>
  <si>
    <t>18-inst-05</t>
  </si>
  <si>
    <t>-2010-SLOA-OCW-18302</t>
  </si>
  <si>
    <t>20015</t>
  </si>
  <si>
    <t>19-inst-05</t>
  </si>
  <si>
    <t>-2010-SLOA-OCW-20015</t>
  </si>
  <si>
    <t>ce vo management en coördinatie</t>
  </si>
  <si>
    <t>-2010-SLOA-OCW-20037\-05</t>
  </si>
  <si>
    <t>20037-05-01</t>
  </si>
  <si>
    <t>-2010-SLOA-OCW-20037\-05\-01</t>
  </si>
  <si>
    <t>-2010-SLOA-OCW-20016</t>
  </si>
  <si>
    <t>-2010-SLOA-OCW-20016\-05</t>
  </si>
  <si>
    <t>20016-05-01</t>
  </si>
  <si>
    <t>-2010-SLOA-OCW-20016\-05\-01</t>
  </si>
  <si>
    <t>20031</t>
  </si>
  <si>
    <t>Headstart ankerset luistervaardigheid</t>
  </si>
  <si>
    <t>19-proj-04</t>
  </si>
  <si>
    <t>-2080-SLOA-OCW-20031</t>
  </si>
  <si>
    <t>20037-01</t>
  </si>
  <si>
    <t>-2030-SLOA-OCW-20037\-01</t>
  </si>
  <si>
    <t>20016-01</t>
  </si>
  <si>
    <t>-2030-SLOA-OCW-20016\-01</t>
  </si>
  <si>
    <t>20016-14</t>
  </si>
  <si>
    <t>ce syllabuscommissie Nederlands</t>
  </si>
  <si>
    <t>-2030-SLOA-OCW-20016\-14</t>
  </si>
  <si>
    <t>-2010-SLOA-OCW-18311</t>
  </si>
  <si>
    <t>-2010-SLOA-OCW-18311\-05</t>
  </si>
  <si>
    <t>18311-05-01</t>
  </si>
  <si>
    <t>-2010-SLOA-OCW-18311\-05\-01</t>
  </si>
  <si>
    <t>20097-07-02</t>
  </si>
  <si>
    <t>-2010-SLOA-OCW-20097\-07\-02</t>
  </si>
  <si>
    <t>20097-07-03</t>
  </si>
  <si>
    <t>ce vo Stichting IT Analysefase</t>
  </si>
  <si>
    <t>-2010-SLOA-OCW-20097\-07\-03</t>
  </si>
  <si>
    <t>20097-07-04</t>
  </si>
  <si>
    <t>-2010-SLOA-OCW-20097\-07\-04</t>
  </si>
  <si>
    <t>20097-07-05</t>
  </si>
  <si>
    <t>-2010-SLOA-OCW-20097\-07\-05</t>
  </si>
  <si>
    <t>20097-07-06</t>
  </si>
  <si>
    <t>ce vo Stichting IT Ontwikkeling_Bestaand</t>
  </si>
  <si>
    <t>-2010-SLOA-OCW-20097\-07\-06</t>
  </si>
  <si>
    <t>20060-07-02</t>
  </si>
  <si>
    <t>-2020-SLOA-OCW-20060\-07\-02</t>
  </si>
  <si>
    <t>20060-07-03</t>
  </si>
  <si>
    <t>-2020-SLOA-OCW-20060\-07\-03</t>
  </si>
  <si>
    <t>20060-07-04</t>
  </si>
  <si>
    <t>ce vo ontwikkeling html pci</t>
  </si>
  <si>
    <t>-2020-SLOA-OCW-20060\-07\-04</t>
  </si>
  <si>
    <t>20060-07-05</t>
  </si>
  <si>
    <t>-2020-SLOA-OCW-20060\-07\-05</t>
  </si>
  <si>
    <t>20060-07-06</t>
  </si>
  <si>
    <t>ce vo ontwikkeling Questify overig</t>
  </si>
  <si>
    <t>-2020-SLOA-OCW-20060\-07\-06</t>
  </si>
  <si>
    <t>20060-07-07</t>
  </si>
  <si>
    <t>ce vo ontwikkeling Questify verbreding</t>
  </si>
  <si>
    <t>-2020-SLOA-OCW-20060\-07\-07</t>
  </si>
  <si>
    <t>20016-07-02</t>
  </si>
  <si>
    <t>-2020-SLOA-OCW-20016\-07\-02</t>
  </si>
  <si>
    <t>20016-07-07</t>
  </si>
  <si>
    <t>ce vo ontwikkeling overig Questify</t>
  </si>
  <si>
    <t>-2020-SLOA-OCW-20016\-07\-07</t>
  </si>
  <si>
    <t>20016-09</t>
  </si>
  <si>
    <t>-2020-SLOA-OCW-20016\-09</t>
  </si>
  <si>
    <t>20037-07-02</t>
  </si>
  <si>
    <t>-2020-SLOA-OCW-20037\-07\-02</t>
  </si>
  <si>
    <t>20037-07-03</t>
  </si>
  <si>
    <t>ce co ontwikkeling Wolf</t>
  </si>
  <si>
    <t>-2020-SLOA-OCW-20037\-07\-03</t>
  </si>
  <si>
    <t>20037-07-05</t>
  </si>
  <si>
    <t>-2020-SLOA-OCW-20037\-07\-05</t>
  </si>
  <si>
    <t>20037-07-06</t>
  </si>
  <si>
    <t>ce vo ontwikkeling Questify generiek</t>
  </si>
  <si>
    <t>-2020-SLOA-OCW-20037\-07\-06</t>
  </si>
  <si>
    <t>20037-07-04</t>
  </si>
  <si>
    <t>-2020-SLOA-OCW-20037\-07\-04</t>
  </si>
  <si>
    <t>20016-11</t>
  </si>
  <si>
    <t>-2020-SLOA-OCW-20016\-11</t>
  </si>
  <si>
    <t>-2070-SLOA-OCW-18296\-03</t>
  </si>
  <si>
    <t>18288-05-01</t>
  </si>
  <si>
    <t>ce mbo management staf</t>
  </si>
  <si>
    <t>-2070-SLOA-OCW-18288\-05\-01</t>
  </si>
  <si>
    <t>20105</t>
  </si>
  <si>
    <t>----20105</t>
  </si>
  <si>
    <t>20064</t>
  </si>
  <si>
    <t>-9100-Intern-Staf-20064</t>
  </si>
  <si>
    <t>20064-01</t>
  </si>
  <si>
    <t>Strategische communicatie - lopende zaken</t>
  </si>
  <si>
    <t>-9100-Intern-Staf-20064\-01</t>
  </si>
  <si>
    <t>20064-02</t>
  </si>
  <si>
    <t>Strategische communicatie - projecten</t>
  </si>
  <si>
    <t>-9100-Intern-Staf-20064\-02</t>
  </si>
  <si>
    <t>20105-01</t>
  </si>
  <si>
    <t>-9100-Intern-Staf-20105\-01</t>
  </si>
  <si>
    <t>20105-02</t>
  </si>
  <si>
    <t>-9100-Intern-Staf-20105\-02</t>
  </si>
  <si>
    <t>20105-03</t>
  </si>
  <si>
    <t>-9100-Intern-Staf-20105\-03</t>
  </si>
  <si>
    <t>20048</t>
  </si>
  <si>
    <t>Digitaal kanaal 2020 stichting</t>
  </si>
  <si>
    <t>-9550-Intern-Staf-20048</t>
  </si>
  <si>
    <t>20030</t>
  </si>
  <si>
    <t>Digitaal kanaal stichting</t>
  </si>
  <si>
    <t>3381</t>
  </si>
  <si>
    <t>Ton Drapers</t>
  </si>
  <si>
    <t>-9550-Intern-Staf-20030</t>
  </si>
  <si>
    <t>20066</t>
  </si>
  <si>
    <t>Constructie op afstand</t>
  </si>
  <si>
    <t>21-proj-01</t>
  </si>
  <si>
    <t>-2010-SLOA-OCW-20066</t>
  </si>
  <si>
    <t>-2010-SLOA-OCW-20037</t>
  </si>
  <si>
    <t>20036</t>
  </si>
  <si>
    <t>20-inst-05</t>
  </si>
  <si>
    <t>-2010-SLOA-OCW-20036</t>
  </si>
  <si>
    <t>20018</t>
  </si>
  <si>
    <t>Leernetwerk summatieve toetsing schrijfvaardigheid vo</t>
  </si>
  <si>
    <t>19-proj-02</t>
  </si>
  <si>
    <t>-2030-SLOA-OCW-20018</t>
  </si>
  <si>
    <t>18329-05</t>
  </si>
  <si>
    <t>Questify 2018 Stichting-QDC</t>
  </si>
  <si>
    <t>3034</t>
  </si>
  <si>
    <t>Iris Smits</t>
  </si>
  <si>
    <t>-9580-Intern-Staf-18329\-05</t>
  </si>
  <si>
    <t>20102-03</t>
  </si>
  <si>
    <t>Doorstroomtoets overheid</t>
  </si>
  <si>
    <t>-2080-SLOA-OCW-20102\-03</t>
  </si>
  <si>
    <t>20132-03</t>
  </si>
  <si>
    <t>Ontwikkelen doorstroomtoets OH</t>
  </si>
  <si>
    <t>-2080-SLOA-OCW-20132\-03</t>
  </si>
  <si>
    <t>20132-04</t>
  </si>
  <si>
    <t>Ontwikkelen ICT doorstroomtoets OH</t>
  </si>
  <si>
    <t>23-proj-06</t>
  </si>
  <si>
    <t>-2080-SLOA-OCW-20132\-04</t>
  </si>
  <si>
    <t>20039-02</t>
  </si>
  <si>
    <t>-2080-SLOA-OCW-20039\-02</t>
  </si>
  <si>
    <t>20039-03</t>
  </si>
  <si>
    <t>-2080-SLOA-OCW-20039\-03</t>
  </si>
  <si>
    <t>20039-05</t>
  </si>
  <si>
    <t>-2080-SLOA-OCW-20039\-05</t>
  </si>
  <si>
    <t>20129</t>
  </si>
  <si>
    <t>23-inst-05</t>
  </si>
  <si>
    <t>-2080-SLOA-OCW-20129</t>
  </si>
  <si>
    <t>20129-01</t>
  </si>
  <si>
    <t>LVS projectleiding en ondersteuning</t>
  </si>
  <si>
    <t>-2080-SLOA-OCW-20129\-01</t>
  </si>
  <si>
    <t>20129-02</t>
  </si>
  <si>
    <t>LVS toekomst lvs (v)so</t>
  </si>
  <si>
    <t>-2080-SLOA-OCW-20129\-02</t>
  </si>
  <si>
    <t>20129-03</t>
  </si>
  <si>
    <t>LVS ontwikkeling toetsen zml rekenen en taal</t>
  </si>
  <si>
    <t>-2080-SLOA-OCW-20129\-03</t>
  </si>
  <si>
    <t>20129-04</t>
  </si>
  <si>
    <t>LVS Cluster 2</t>
  </si>
  <si>
    <t>-2080-SLOA-OCW-20129\-04</t>
  </si>
  <si>
    <t>20129-05</t>
  </si>
  <si>
    <t>LVS Cluster 1</t>
  </si>
  <si>
    <t>-2080-SLOA-OCW-20129\-05</t>
  </si>
  <si>
    <t>20129-06</t>
  </si>
  <si>
    <t>LVS kennisdeling &amp; gebruikersservice</t>
  </si>
  <si>
    <t>-2080-SLOA-OCW-20129\-06</t>
  </si>
  <si>
    <t>20098</t>
  </si>
  <si>
    <t>22-inst-04</t>
  </si>
  <si>
    <t>-2080-SLOA-OCW-20098</t>
  </si>
  <si>
    <t>20098-01</t>
  </si>
  <si>
    <t>-2080-SLOA-OCW-20098\-01</t>
  </si>
  <si>
    <t>20098-02</t>
  </si>
  <si>
    <t>-2080-SLOA-OCW-20098\-02</t>
  </si>
  <si>
    <t>20098-03</t>
  </si>
  <si>
    <t>-2080-SLOA-OCW-20098\-03</t>
  </si>
  <si>
    <t>20098-04</t>
  </si>
  <si>
    <t>-2080-SLOA-OCW-20098\-04</t>
  </si>
  <si>
    <t>20098-05</t>
  </si>
  <si>
    <t>-2080-SLOA-OCW-20098\-05</t>
  </si>
  <si>
    <t>20102-01</t>
  </si>
  <si>
    <t>Nieuw stelsel toetsen PO</t>
  </si>
  <si>
    <t>20102-02</t>
  </si>
  <si>
    <t>20147-04</t>
  </si>
  <si>
    <t>Ondersteuning normering LHK maart</t>
  </si>
  <si>
    <t>20147</t>
  </si>
  <si>
    <t>-3010-CitoLab-Overig-20147\-04</t>
  </si>
  <si>
    <t>CitoLab</t>
  </si>
  <si>
    <t>20147-01</t>
  </si>
  <si>
    <t>Workshop CAT simulator</t>
  </si>
  <si>
    <t>-3010-CitoLab-Overig-20147\-01</t>
  </si>
  <si>
    <t>20143</t>
  </si>
  <si>
    <t>Cursus methodologie peilingsonderzoek OI</t>
  </si>
  <si>
    <t>-3010-CitoLab-OH-20143</t>
  </si>
  <si>
    <t>20088-03</t>
  </si>
  <si>
    <t>TIMMS en peil. rekenen en wiskunde 2023</t>
  </si>
  <si>
    <t>-3010-CitoLab-Overig-20088\-03</t>
  </si>
  <si>
    <t>20146</t>
  </si>
  <si>
    <t>Harno workshop itembanking</t>
  </si>
  <si>
    <t>1000062</t>
  </si>
  <si>
    <t>Education and Youth Board</t>
  </si>
  <si>
    <t>-3010-CitoLab-Overig-20146</t>
  </si>
  <si>
    <t>Dienstverlening Citolab diversen</t>
  </si>
  <si>
    <t>-3010-CitoLab-Overig-20147</t>
  </si>
  <si>
    <t>20147-08</t>
  </si>
  <si>
    <t>Toetsing sociaalwetenschappelijk redeneren</t>
  </si>
  <si>
    <t>-3000-CitoLab-Overig-20147\-08</t>
  </si>
  <si>
    <t>20164-07</t>
  </si>
  <si>
    <t>20164</t>
  </si>
  <si>
    <t>24-inst-06</t>
  </si>
  <si>
    <t>-3000-UITOND--20164\-07</t>
  </si>
  <si>
    <t>UITOND</t>
  </si>
  <si>
    <t>20134-07</t>
  </si>
  <si>
    <t>20134</t>
  </si>
  <si>
    <t>23-inst-06</t>
  </si>
  <si>
    <t>-2010-SLOA-OCW-20134\-07</t>
  </si>
  <si>
    <t>-3000-UITOND--20164</t>
  </si>
  <si>
    <t>20134-04</t>
  </si>
  <si>
    <t>-2010-SLOA-OCW-20134\-04</t>
  </si>
  <si>
    <t>20120-02</t>
  </si>
  <si>
    <t>Innovation consultancy IB 2023</t>
  </si>
  <si>
    <t>-3030-OKI-Overig-20120\-02</t>
  </si>
  <si>
    <t>20164-03</t>
  </si>
  <si>
    <t>-3000-UITOND--20164\-03</t>
  </si>
  <si>
    <t>20164-04</t>
  </si>
  <si>
    <t>-3000-UITOND--20164\-04</t>
  </si>
  <si>
    <t>20164-05</t>
  </si>
  <si>
    <t>-3000-UITOND--20164\-05</t>
  </si>
  <si>
    <t>20164-06</t>
  </si>
  <si>
    <t>-3000-UITOND--20164\-06</t>
  </si>
  <si>
    <t>20147-06</t>
  </si>
  <si>
    <t>IB Chat GPT</t>
  </si>
  <si>
    <t>1000064</t>
  </si>
  <si>
    <t>IB Global Centre</t>
  </si>
  <si>
    <t>20155-02</t>
  </si>
  <si>
    <t>Inzet K. Lek SDVB 2024</t>
  </si>
  <si>
    <t>20155</t>
  </si>
  <si>
    <t>-3020---20155\-02</t>
  </si>
  <si>
    <t>20147-02</t>
  </si>
  <si>
    <t>IB Chat GPT - klantcontract onjuist</t>
  </si>
  <si>
    <t>-3030-CitoLab-Overig-20147\-02</t>
  </si>
  <si>
    <t>20147-05</t>
  </si>
  <si>
    <t>Flip+ bugfixing</t>
  </si>
  <si>
    <t>-3030-CitoLab-Overig-20147\-05</t>
  </si>
  <si>
    <t>20112-03</t>
  </si>
  <si>
    <t>ASTLA4CPRE 2024</t>
  </si>
  <si>
    <t>-3020---20112\-03</t>
  </si>
  <si>
    <t>20152-02</t>
  </si>
  <si>
    <t>Praktijkonderwijs Parkstad Limburg 2024</t>
  </si>
  <si>
    <t>20152</t>
  </si>
  <si>
    <t>1000069</t>
  </si>
  <si>
    <t>Beroepscollege Parkstad Limburg</t>
  </si>
  <si>
    <t>-3020---20152\-02</t>
  </si>
  <si>
    <t>20117-03</t>
  </si>
  <si>
    <t>Peiling mondelinge taalvaardigheid 2024</t>
  </si>
  <si>
    <t>-3020---20117\-03</t>
  </si>
  <si>
    <t>20121-03</t>
  </si>
  <si>
    <t>Noordhoff doorontwikkeling Junior Cloud 2024</t>
  </si>
  <si>
    <t>20121</t>
  </si>
  <si>
    <t>-3020---20121\-03</t>
  </si>
  <si>
    <t>20149-02</t>
  </si>
  <si>
    <t>Doorontwikkeling LDGM 2024</t>
  </si>
  <si>
    <t>20149</t>
  </si>
  <si>
    <t>1000065</t>
  </si>
  <si>
    <t>Sectorraad GO</t>
  </si>
  <si>
    <t>1000053</t>
  </si>
  <si>
    <t>-3020---20149\-02</t>
  </si>
  <si>
    <t>20154-02</t>
  </si>
  <si>
    <t>Onderzoek schoolexamens 2024</t>
  </si>
  <si>
    <t>-3000-ONDSE--20154\-02</t>
  </si>
  <si>
    <t>ONDSE</t>
  </si>
  <si>
    <t>20164-08</t>
  </si>
  <si>
    <t>-3000-UITOND--20164\-08</t>
  </si>
  <si>
    <t>20140</t>
  </si>
  <si>
    <t>Scenario ontwikkeling LHK 2023</t>
  </si>
  <si>
    <t>-3010-CitoLab-Overig-20140</t>
  </si>
  <si>
    <t>20170-06</t>
  </si>
  <si>
    <t>RCEC R script</t>
  </si>
  <si>
    <t>20170</t>
  </si>
  <si>
    <t>-3020---20170\-06</t>
  </si>
  <si>
    <t>20158-01</t>
  </si>
  <si>
    <t>Impuls Open Leermiddelen 2024</t>
  </si>
  <si>
    <t>20158</t>
  </si>
  <si>
    <t>-3020---20158\-01</t>
  </si>
  <si>
    <t>20158-01-01</t>
  </si>
  <si>
    <t>IOL Coordinator 2024</t>
  </si>
  <si>
    <t>-3020---20158\-01\-01</t>
  </si>
  <si>
    <t>20158-01-02</t>
  </si>
  <si>
    <t>IOL 2024</t>
  </si>
  <si>
    <t>-3020---20158\-01\-02</t>
  </si>
  <si>
    <t>20186-01</t>
  </si>
  <si>
    <t>Checkmate NOLAI 2024</t>
  </si>
  <si>
    <t>20186</t>
  </si>
  <si>
    <t>1000084</t>
  </si>
  <si>
    <t>NOLAI Radboud Universiteit Faculteit Sociale Wetenschappen</t>
  </si>
  <si>
    <t>1000070</t>
  </si>
  <si>
    <t>AI</t>
  </si>
  <si>
    <t>-3020---20186\-01</t>
  </si>
  <si>
    <t>20150</t>
  </si>
  <si>
    <t>Peiling bewegen en sport</t>
  </si>
  <si>
    <t>1000066</t>
  </si>
  <si>
    <t>Rijksuniversiteit Groningen</t>
  </si>
  <si>
    <t>1000055</t>
  </si>
  <si>
    <t>-3010-CitoLab-Overig-20150</t>
  </si>
  <si>
    <t>20177</t>
  </si>
  <si>
    <t>Workshop psychometric topics</t>
  </si>
  <si>
    <t>1000078</t>
  </si>
  <si>
    <t>National Assessment and Examinations Center</t>
  </si>
  <si>
    <t>-3000---20177</t>
  </si>
  <si>
    <t>20166-01</t>
  </si>
  <si>
    <t>PISA 2024</t>
  </si>
  <si>
    <t>20166</t>
  </si>
  <si>
    <t>-3000---20166\-01</t>
  </si>
  <si>
    <t>Dienstverlening Citolab diversen 2024</t>
  </si>
  <si>
    <t>1000073</t>
  </si>
  <si>
    <t>Trinity College London</t>
  </si>
  <si>
    <t>-3000---20170</t>
  </si>
  <si>
    <t>20170-03</t>
  </si>
  <si>
    <t>Harno workshop 2024</t>
  </si>
  <si>
    <t>20170-01</t>
  </si>
  <si>
    <t>Workshop TCL</t>
  </si>
  <si>
    <t>-3000---20170\-01</t>
  </si>
  <si>
    <t>20170-02</t>
  </si>
  <si>
    <t>Extension adaptive engine TCL</t>
  </si>
  <si>
    <t>-3000---20170\-02</t>
  </si>
  <si>
    <t>20170-04</t>
  </si>
  <si>
    <t>EHA Progress Test  2024</t>
  </si>
  <si>
    <t>1000075</t>
  </si>
  <si>
    <t>1000059</t>
  </si>
  <si>
    <t>-3000---20170\-04</t>
  </si>
  <si>
    <t>20170-05</t>
  </si>
  <si>
    <t>Adaptive algorithm support - AlphaPlus</t>
  </si>
  <si>
    <t>-3000---20170\-05</t>
  </si>
  <si>
    <t>20170-07</t>
  </si>
  <si>
    <t>EHA exam 2024</t>
  </si>
  <si>
    <t>-3000---20170\-07</t>
  </si>
  <si>
    <t>20157</t>
  </si>
  <si>
    <t>Peilingsmethodologie</t>
  </si>
  <si>
    <t>-3000-CitoLab-Overig-20157</t>
  </si>
  <si>
    <t>20180</t>
  </si>
  <si>
    <t>Ontwerpstudie LVS vo</t>
  </si>
  <si>
    <t>-3000---20180</t>
  </si>
  <si>
    <t>20165-01</t>
  </si>
  <si>
    <t>Actualisatie referentiesets 2024</t>
  </si>
  <si>
    <t>20165</t>
  </si>
  <si>
    <t>23-proj-08</t>
  </si>
  <si>
    <t>-3000-REFSETPO--20165\-01</t>
  </si>
  <si>
    <t>REFSETPO</t>
  </si>
  <si>
    <t>20164-01</t>
  </si>
  <si>
    <t>-3000-UITOND--20164\-01</t>
  </si>
  <si>
    <t>20164-02</t>
  </si>
  <si>
    <t>-3000-UITOND--20164\-02</t>
  </si>
  <si>
    <t>20182-01</t>
  </si>
  <si>
    <t>Onderzoeksagenda toetsstelsel PO 2024</t>
  </si>
  <si>
    <t>20182</t>
  </si>
  <si>
    <t>24-proj-06</t>
  </si>
  <si>
    <t>-3000-ONDPO--20182\-01</t>
  </si>
  <si>
    <t>ONDPO</t>
  </si>
  <si>
    <t>20116-03</t>
  </si>
  <si>
    <t>trial introducing the use of IRT 2024</t>
  </si>
  <si>
    <t>-3010---20116\-03</t>
  </si>
  <si>
    <t>20122-03</t>
  </si>
  <si>
    <t>INVALSI 2024</t>
  </si>
  <si>
    <t>-3010---20122\-03</t>
  </si>
  <si>
    <t>20150-02</t>
  </si>
  <si>
    <t>Peiling bewegen en sport 2024</t>
  </si>
  <si>
    <t>-3010---20150\-02</t>
  </si>
  <si>
    <t>20151-02</t>
  </si>
  <si>
    <t>Peiling rekenen en wiskunde 2024</t>
  </si>
  <si>
    <t>20151</t>
  </si>
  <si>
    <t>1000068</t>
  </si>
  <si>
    <t>-3010---20151\-02</t>
  </si>
  <si>
    <t>20148-02</t>
  </si>
  <si>
    <t>Verwerking toetsgegevens SDVB  2024</t>
  </si>
  <si>
    <t>20148</t>
  </si>
  <si>
    <t>-3010---20148\-02</t>
  </si>
  <si>
    <t>20153-02</t>
  </si>
  <si>
    <t>LHK - introductie scenarios 2024</t>
  </si>
  <si>
    <t>20153</t>
  </si>
  <si>
    <t>-3010---20153\-02</t>
  </si>
  <si>
    <t>20156-02</t>
  </si>
  <si>
    <t>Peiling leesvaardigheid en PIRLS 2024</t>
  </si>
  <si>
    <t>20156</t>
  </si>
  <si>
    <t>-3010---20156\-02</t>
  </si>
  <si>
    <t>20157-02</t>
  </si>
  <si>
    <t>Peilingsmethodologie 2024</t>
  </si>
  <si>
    <t>-3010---20157\-02</t>
  </si>
  <si>
    <t>20096</t>
  </si>
  <si>
    <t>17265</t>
  </si>
  <si>
    <t>Wencke Post - Kraaijvanger</t>
  </si>
  <si>
    <t>22-inst-05</t>
  </si>
  <si>
    <t>-2010-SLOA-OCW-20096</t>
  </si>
  <si>
    <t>20096-01</t>
  </si>
  <si>
    <t>LVS onderzoek digitaal systeem</t>
  </si>
  <si>
    <t>20096-02</t>
  </si>
  <si>
    <t>VSO-Pro vernieuwing</t>
  </si>
  <si>
    <t>20096-03</t>
  </si>
  <si>
    <t>LVS ontwikkeling toetsen zml SO</t>
  </si>
  <si>
    <t>20096-05</t>
  </si>
  <si>
    <t>LVS Cluster 1 SO en VSO</t>
  </si>
  <si>
    <t>20096-07</t>
  </si>
  <si>
    <t>20096-08</t>
  </si>
  <si>
    <t>LVS rapportagemodule sbo</t>
  </si>
  <si>
    <t>20096-09</t>
  </si>
  <si>
    <t>LVS Cluster 2 spelling</t>
  </si>
  <si>
    <t>20059</t>
  </si>
  <si>
    <t>21-inst-05</t>
  </si>
  <si>
    <t>-2010-SLOA-OCW-20059</t>
  </si>
  <si>
    <t>20059-01</t>
  </si>
  <si>
    <t>LVS levenslang leren</t>
  </si>
  <si>
    <t>-2010-SLOA-OCW-20059\-01</t>
  </si>
  <si>
    <t>20059-02</t>
  </si>
  <si>
    <t>LVS Pro vernieuwing</t>
  </si>
  <si>
    <t>-2010-SLOA-OCW-20059\-02</t>
  </si>
  <si>
    <t>20059-03</t>
  </si>
  <si>
    <t>-2010-SLOA-OCW-20059\-03</t>
  </si>
  <si>
    <t>20059-05</t>
  </si>
  <si>
    <t>-2010-SLOA-OCW-20059\-05</t>
  </si>
  <si>
    <t>20059-06</t>
  </si>
  <si>
    <t>LVS passende perspectieven</t>
  </si>
  <si>
    <t>-2010-SLOA-OCW-20059\-06</t>
  </si>
  <si>
    <t>20059-07</t>
  </si>
  <si>
    <t>-2010-SLOA-OCW-20059\-07</t>
  </si>
  <si>
    <t>20059-08</t>
  </si>
  <si>
    <t>-2010-SLOA-OCW-20059\-08</t>
  </si>
  <si>
    <t>20059-09</t>
  </si>
  <si>
    <t>-2010-SLOA-OCW-20059\-09</t>
  </si>
  <si>
    <t>18244-02</t>
  </si>
  <si>
    <t>EZ bedrijfsbureau ontw examens groen</t>
  </si>
  <si>
    <t>-2020-SLOA-OCW-18244\-02</t>
  </si>
  <si>
    <t>18244-03</t>
  </si>
  <si>
    <t>EZ management ontwikkeling examens groen</t>
  </si>
  <si>
    <t>-2010-SLOA-OCW-18244\-03</t>
  </si>
  <si>
    <t>18244-01</t>
  </si>
  <si>
    <t>EZ ontwikkelen examens groen</t>
  </si>
  <si>
    <t>-2040-SLOA-OCW-18244\-01</t>
  </si>
  <si>
    <t>20200</t>
  </si>
  <si>
    <t>Ondersteuning Volgtoetsen FO ETE</t>
  </si>
  <si>
    <t>1000082</t>
  </si>
  <si>
    <t>-3010---20200</t>
  </si>
  <si>
    <t>20135</t>
  </si>
  <si>
    <t>Impuls Open Leermiddelen 2023</t>
  </si>
  <si>
    <t>-3020-OKI-Overig-20135</t>
  </si>
  <si>
    <t>20135-01</t>
  </si>
  <si>
    <t>Coördinator Groeifonds 2023</t>
  </si>
  <si>
    <t>-3020-OKI-Overig-20135\-01</t>
  </si>
  <si>
    <t>20135-02</t>
  </si>
  <si>
    <t>Expertgroep bijdrage</t>
  </si>
  <si>
    <t>-3020-OKI-Overig-20135\-02</t>
  </si>
  <si>
    <t>20112-02</t>
  </si>
  <si>
    <t>ASTLA4CPRE 2023</t>
  </si>
  <si>
    <t>-3020-OKI-Overig-20112\-02</t>
  </si>
  <si>
    <t>20149-01</t>
  </si>
  <si>
    <t>Doorontwikkeling LDGM 2023</t>
  </si>
  <si>
    <t>-3020-CitoLab-Overig-20149\-01</t>
  </si>
  <si>
    <t>20141</t>
  </si>
  <si>
    <t>Advisering LVS 2023</t>
  </si>
  <si>
    <t>-3020-CitoLab-Overig-20141</t>
  </si>
  <si>
    <t>20152-01</t>
  </si>
  <si>
    <t>Praktijkonderwijs Parkstad Limburg 2023</t>
  </si>
  <si>
    <t>-3020-CitoLab-Overig-20152</t>
  </si>
  <si>
    <t>20155-01</t>
  </si>
  <si>
    <t>Inzet K Lek SDVB 2023</t>
  </si>
  <si>
    <t>-3020-CitoLab-Overig-20155\-01</t>
  </si>
  <si>
    <t>20073-03</t>
  </si>
  <si>
    <t>Werkplaats Burgerschap 2023</t>
  </si>
  <si>
    <t>-3020-CitoLab-SUB-20073\-03</t>
  </si>
  <si>
    <t>20117-02</t>
  </si>
  <si>
    <t>Peiling mondelinge taalvaardigheid 2023</t>
  </si>
  <si>
    <t>-3020-CitoLab-SUB-20117\-02</t>
  </si>
  <si>
    <t>20147-09</t>
  </si>
  <si>
    <t>Hulpvraag QTI converter naar .CSV</t>
  </si>
  <si>
    <t>-3010-CitoLab-Overig-20147\-09</t>
  </si>
  <si>
    <t>20134-05</t>
  </si>
  <si>
    <t>-2010-SLOA-OCW-20134\-05</t>
  </si>
  <si>
    <t>20134-08</t>
  </si>
  <si>
    <t>-2010-SLOA-OCW-20134\-08</t>
  </si>
  <si>
    <t>20134-03</t>
  </si>
  <si>
    <t>-2010-SLOA-OCW-20134\-03</t>
  </si>
  <si>
    <t>20121-02</t>
  </si>
  <si>
    <t>Noordhoff doorontwikkeling Junior Cloud 2023</t>
  </si>
  <si>
    <t>-3020-OKI-Overig-20121</t>
  </si>
  <si>
    <t>20121-01</t>
  </si>
  <si>
    <t>Noordhoff doorontwikkeling Junior Cloud 2022</t>
  </si>
  <si>
    <t>-3020-OKI-Overig-20121\-01</t>
  </si>
  <si>
    <t>-2010-SLOA-OCW-20134</t>
  </si>
  <si>
    <t>Noordhoff doorontwikkeling Junior Cloud</t>
  </si>
  <si>
    <t>20134-06</t>
  </si>
  <si>
    <t>-2010-SLOA-OCW-20134\-06</t>
  </si>
  <si>
    <t>20036-01</t>
  </si>
  <si>
    <t>lvs Leren leren</t>
  </si>
  <si>
    <t>Userstatus 5</t>
  </si>
  <si>
    <t>-2010-SLOA-OCW-20036\-01</t>
  </si>
  <si>
    <t>20036-02</t>
  </si>
  <si>
    <t>lvs Levenslang leren VSO en PRO</t>
  </si>
  <si>
    <t>-2010-SLOA-OCW-20036\-02</t>
  </si>
  <si>
    <t>20036-03</t>
  </si>
  <si>
    <t>lvs Ontwikkeling toetsen zml SO</t>
  </si>
  <si>
    <t>-2010-SLOA-OCW-20036\-03</t>
  </si>
  <si>
    <t>20036-04</t>
  </si>
  <si>
    <t>lvs SEO voor ZML</t>
  </si>
  <si>
    <t>-2010-SLOA-OCW-20036\-04</t>
  </si>
  <si>
    <t>20036-05</t>
  </si>
  <si>
    <t>lvs Cluster 1 SO en VSO</t>
  </si>
  <si>
    <t>-2010-SLOA-OCW-20036\-05</t>
  </si>
  <si>
    <t>20036-06</t>
  </si>
  <si>
    <t>lvs Passende perspectieven</t>
  </si>
  <si>
    <t>-2010-SLOA-OCW-20036\-06</t>
  </si>
  <si>
    <t>20036-07</t>
  </si>
  <si>
    <t>lvs Kennisdeling &amp; Gebruikersservice</t>
  </si>
  <si>
    <t>-2010-SLOA-OCW-20036\-07</t>
  </si>
  <si>
    <t>20036-08</t>
  </si>
  <si>
    <t>lvs rapportagemodule sbo</t>
  </si>
  <si>
    <t>-2010-SLOA-OCW-20036\-08</t>
  </si>
  <si>
    <t>20036-09</t>
  </si>
  <si>
    <t>lvs cluster 2</t>
  </si>
  <si>
    <t>-2010-SLOA-OCW-20036\-09</t>
  </si>
  <si>
    <t>18302-01</t>
  </si>
  <si>
    <t>lvs leren leren sbo-so cluster 4, zml</t>
  </si>
  <si>
    <t>-2010-SLOA-OCW-18302\-01</t>
  </si>
  <si>
    <t>18302-02</t>
  </si>
  <si>
    <t>levenslang leren vso en pro</t>
  </si>
  <si>
    <t>-2010-SLOA-OCW-18302\-02</t>
  </si>
  <si>
    <t>18302-03</t>
  </si>
  <si>
    <t>ontwikkeling toetsen zml so</t>
  </si>
  <si>
    <t>-2010-SLOA-OCW-18302\-03</t>
  </si>
  <si>
    <t>18302-04</t>
  </si>
  <si>
    <t>lvs sociaal-emotioneel functioneren zml so en vso</t>
  </si>
  <si>
    <t>-2010-SLOA-OCW-18302\-04</t>
  </si>
  <si>
    <t>18302-05</t>
  </si>
  <si>
    <t>Lvs cluster 1 so en vso</t>
  </si>
  <si>
    <t>-2010-SLOA-OCW-18302\-05</t>
  </si>
  <si>
    <t>18302-06</t>
  </si>
  <si>
    <t>Passende perspectieven so en rw</t>
  </si>
  <si>
    <t>-2010-SLOA-OCW-18302\-06</t>
  </si>
  <si>
    <t>18302-07</t>
  </si>
  <si>
    <t>Implementatie vso/pro</t>
  </si>
  <si>
    <t>-2010-SLOA-OCW-18302\-07</t>
  </si>
  <si>
    <t>18302-08</t>
  </si>
  <si>
    <t>Merkbare vaardigheden</t>
  </si>
  <si>
    <t>-2010-SLOA-OCW-18302\-08</t>
  </si>
  <si>
    <t>20015-01</t>
  </si>
  <si>
    <t>lvs Leren leren SO zml</t>
  </si>
  <si>
    <t>-2010-SLOA-OCW-20015\-01</t>
  </si>
  <si>
    <t>20015-02</t>
  </si>
  <si>
    <t>lvs Levenslang leren VSO en PrO</t>
  </si>
  <si>
    <t>-2010-SLOA-OCW-20015\-02</t>
  </si>
  <si>
    <t>20015-03</t>
  </si>
  <si>
    <t>-2010-SLOA-OCW-20015\-03</t>
  </si>
  <si>
    <t>20015-04</t>
  </si>
  <si>
    <t>lvs Soc.-emotionele ontw. SO-VSO IQ35</t>
  </si>
  <si>
    <t>-2010-SLOA-OCW-20015\-04</t>
  </si>
  <si>
    <t>20015-05</t>
  </si>
  <si>
    <t>-2010-SLOA-OCW-20015\-05</t>
  </si>
  <si>
    <t>20015-06</t>
  </si>
  <si>
    <t>lvs Passende Perpectieven</t>
  </si>
  <si>
    <t>-2010-SLOA-OCW-20015\-06</t>
  </si>
  <si>
    <t>20015-07</t>
  </si>
  <si>
    <t>lvs Kennisdeling_Gebruikersservice</t>
  </si>
  <si>
    <t>-2010-SLOA-OCW-20015\-07</t>
  </si>
  <si>
    <t>20179-01</t>
  </si>
  <si>
    <t>Peiling digitale geletterdheid vo 2024</t>
  </si>
  <si>
    <t>20179</t>
  </si>
  <si>
    <t>1000063</t>
  </si>
  <si>
    <t>-3000---20179\-01</t>
  </si>
  <si>
    <t>20134-01</t>
  </si>
  <si>
    <t>-2010-SLOA-OCW-20134\-01</t>
  </si>
  <si>
    <t>20134-02</t>
  </si>
  <si>
    <t>-2010-SLOA-OCW-20134\-02</t>
  </si>
  <si>
    <t>20156-01</t>
  </si>
  <si>
    <t>Peiling leesvaardheid en PIRLS 2023</t>
  </si>
  <si>
    <t>-3000-CitoLab-Overig-20156\-01</t>
  </si>
  <si>
    <t>20157-01</t>
  </si>
  <si>
    <t>Peilingsmethodologie 2023</t>
  </si>
  <si>
    <t>-3000-CitoLab-Overig-20157\-01</t>
  </si>
  <si>
    <t>20136</t>
  </si>
  <si>
    <t>Validity and measurement properties in techn 2023</t>
  </si>
  <si>
    <t>-3010-OKI-Overig-20136</t>
  </si>
  <si>
    <t>20114-02</t>
  </si>
  <si>
    <t>Analyse LVS resultaten SDVB 2023</t>
  </si>
  <si>
    <t>-3010-CitoLab-Overig-20114\-02</t>
  </si>
  <si>
    <t>20116-02</t>
  </si>
  <si>
    <t>trial introducing the use of IRT 2023</t>
  </si>
  <si>
    <t>-3010-CitoLab-Overig-20116\-02</t>
  </si>
  <si>
    <t>20122-02</t>
  </si>
  <si>
    <t>INVALSI 2023</t>
  </si>
  <si>
    <t>-3010-CitoLab-Overig-20122\-02</t>
  </si>
  <si>
    <t>20142</t>
  </si>
  <si>
    <t>Analyses rekentoets mbo 2023</t>
  </si>
  <si>
    <t>-3010-CitoLab-Overig-20142</t>
  </si>
  <si>
    <t>20144</t>
  </si>
  <si>
    <t>Workshop adaptive testing</t>
  </si>
  <si>
    <t>Axxell Utbildning Ab</t>
  </si>
  <si>
    <t>-3010-CitoLab-Overig-20144</t>
  </si>
  <si>
    <t>20145</t>
  </si>
  <si>
    <t>Cornelsen data study 2023</t>
  </si>
  <si>
    <t>-3010-CitoLab-Overig-20145</t>
  </si>
  <si>
    <t>20147-03</t>
  </si>
  <si>
    <t>Cursus Litouwen</t>
  </si>
  <si>
    <t>1000051</t>
  </si>
  <si>
    <t>-3010-CitoLab-Overig-20147\-03</t>
  </si>
  <si>
    <t>20147-07</t>
  </si>
  <si>
    <t>Effectiviteitsanalyse SDBV</t>
  </si>
  <si>
    <t>-3010-CitoLab-Overig-20147\-07</t>
  </si>
  <si>
    <t>20147-10</t>
  </si>
  <si>
    <t>Inzet A Timmers SDVB</t>
  </si>
  <si>
    <t>-3010-CitoLab-Overig-20147\-10</t>
  </si>
  <si>
    <t>20148-01</t>
  </si>
  <si>
    <t>Verwerking toetsgegevens SDVB 2023</t>
  </si>
  <si>
    <t>-3010-CitoLab-Overig-20148\-01</t>
  </si>
  <si>
    <t>20150-01</t>
  </si>
  <si>
    <t>Peiling bewegen en sport 2023</t>
  </si>
  <si>
    <t>-3010-CitoLab-Overig-20150\-01</t>
  </si>
  <si>
    <t>20151-01</t>
  </si>
  <si>
    <t>Peiling rekenen en wiskunde 2023</t>
  </si>
  <si>
    <t>-3010-CitoLab-Overig-20151</t>
  </si>
  <si>
    <t>20153-01</t>
  </si>
  <si>
    <t>LHK - introductie scenarios 2023</t>
  </si>
  <si>
    <t>-3010-CitoLab-Overig-20153</t>
  </si>
  <si>
    <t>20184-01</t>
  </si>
  <si>
    <t>Inwerktraject toetsmethodoloog ETE 2024</t>
  </si>
  <si>
    <t>20184</t>
  </si>
  <si>
    <t>-3010---20184\-01</t>
  </si>
  <si>
    <t>20176-01</t>
  </si>
  <si>
    <t>Peiling rekenen mbo 2024</t>
  </si>
  <si>
    <t>20176</t>
  </si>
  <si>
    <t>-3010---20176\-01</t>
  </si>
  <si>
    <t>20167</t>
  </si>
  <si>
    <t>analyses rekenexamens mbo</t>
  </si>
  <si>
    <t>-3010---20167</t>
  </si>
  <si>
    <t>20170-08</t>
  </si>
  <si>
    <t>IRT cursus CBR 2024</t>
  </si>
  <si>
    <t>1000081</t>
  </si>
  <si>
    <t>-3010---20170\-08</t>
  </si>
  <si>
    <t>20183-01</t>
  </si>
  <si>
    <t>peilingsmethodologie steekproefdesign 2024</t>
  </si>
  <si>
    <t>20183</t>
  </si>
  <si>
    <t>-3010---20183\-01</t>
  </si>
  <si>
    <t>20181-01</t>
  </si>
  <si>
    <t>Vaardigheidsonderzoek 2024</t>
  </si>
  <si>
    <t>20181</t>
  </si>
  <si>
    <t>24-proj-05</t>
  </si>
  <si>
    <t>-2100-VAARONDVO--20181\-01</t>
  </si>
  <si>
    <t>VAARONDVO</t>
  </si>
  <si>
    <t>20163-02</t>
  </si>
  <si>
    <t>Psychometrisch loket PO</t>
  </si>
  <si>
    <t>-2080-ADVIESPO--20163\-02</t>
  </si>
  <si>
    <t>17873-0010-0004</t>
  </si>
  <si>
    <t>Marketing Training en Advies nationaal</t>
  </si>
  <si>
    <t>17873-0010</t>
  </si>
  <si>
    <t>3202</t>
  </si>
  <si>
    <t>Georges Issa</t>
  </si>
  <si>
    <t>-5210-TA-Overig-17873\-0010\-0004</t>
  </si>
  <si>
    <t>17873-0010-0005</t>
  </si>
  <si>
    <t>Marketing Training en Advies internationaal</t>
  </si>
  <si>
    <t>-5220-TA-Int-17873\-0010\-0005</t>
  </si>
  <si>
    <t>18490</t>
  </si>
  <si>
    <t>IV/IT Volgsysteem PO</t>
  </si>
  <si>
    <t>-5110-Uitgeverij-PO-18490</t>
  </si>
  <si>
    <t>18490-0001</t>
  </si>
  <si>
    <t>IV/IT Volgsysteem PO 2018</t>
  </si>
  <si>
    <t>-5110-Uitgeverij-PO-18490\-0001</t>
  </si>
  <si>
    <t>18499</t>
  </si>
  <si>
    <t>IV/IT Toetsketens Beroepsb.</t>
  </si>
  <si>
    <t>-5320-TOM-Overig-18499</t>
  </si>
  <si>
    <t>18499-0001</t>
  </si>
  <si>
    <t>IV/IT Toetsketens Beroepsb. 2018</t>
  </si>
  <si>
    <t>-5320-TOM-Overig-18499\-0001</t>
  </si>
  <si>
    <t>17873-0010-0006</t>
  </si>
  <si>
    <t>Marketing Toetsontwikkeling onderwijs en overheid</t>
  </si>
  <si>
    <t>-5310-TOM-OH-17873\-0010\-0006</t>
  </si>
  <si>
    <t>17873-0010-0007</t>
  </si>
  <si>
    <t>Marketing Toetsketens beroepsbeoefenaren</t>
  </si>
  <si>
    <t>-5320-TOM-Overig-17873\-0010\-0007</t>
  </si>
  <si>
    <t>17873-0010-0003</t>
  </si>
  <si>
    <t>Marketing Schoolexamens (KLT)</t>
  </si>
  <si>
    <t>3019</t>
  </si>
  <si>
    <t>Koen Bakkers</t>
  </si>
  <si>
    <t>-5130-Uitgeverij-VO-17873\-0010\-0003</t>
  </si>
  <si>
    <t>18495</t>
  </si>
  <si>
    <t>IV/IT Schoolexamens</t>
  </si>
  <si>
    <t>-5130-Uitgeverij-VO-18495</t>
  </si>
  <si>
    <t>18495-0001</t>
  </si>
  <si>
    <t>IV/IT Schoolexamens 2018</t>
  </si>
  <si>
    <t>-5130-Uitgeverij-VO-18495\-0001</t>
  </si>
  <si>
    <t>17873</t>
  </si>
  <si>
    <t>Marketing Business 2018</t>
  </si>
  <si>
    <t>-5610-Overige-Overig-17873</t>
  </si>
  <si>
    <t>-5610-Overige-Overig-17873\-0010</t>
  </si>
  <si>
    <t>17873-0011</t>
  </si>
  <si>
    <t>Marketing Algemeen 2018</t>
  </si>
  <si>
    <t>-5610-Overige-Overig-17873\-0011</t>
  </si>
  <si>
    <t>17873-0010-0001</t>
  </si>
  <si>
    <t>Marketing Volgsysteem po/so (LVS)</t>
  </si>
  <si>
    <t>-5110-Uitgeverij-PO-17873\-0010\-0001</t>
  </si>
  <si>
    <t>17873-0011-0002</t>
  </si>
  <si>
    <t>Marketing Datamarketing 2018</t>
  </si>
  <si>
    <t>3036</t>
  </si>
  <si>
    <t>Ilse Klein Herenbrink - van Hecke</t>
  </si>
  <si>
    <t>-5610-Overige-Overig-17873\-0011\-0002</t>
  </si>
  <si>
    <t>17873-0011-0003</t>
  </si>
  <si>
    <t>Marketing Marktanalyse 2018</t>
  </si>
  <si>
    <t>-5610-Overige-Overig-17873\-0011\-0003</t>
  </si>
  <si>
    <t>17873-0011-0004</t>
  </si>
  <si>
    <t>Marketing Tools ontwikkeling 2018</t>
  </si>
  <si>
    <t>-5610-Overige-Overig-17873\-0011\-0004</t>
  </si>
  <si>
    <t>17873-0011-0001</t>
  </si>
  <si>
    <t>Marketing Brand 2018</t>
  </si>
  <si>
    <t>-5610-Overige-Overig-17873\-0011\-0001</t>
  </si>
  <si>
    <t>17873-0010-0002</t>
  </si>
  <si>
    <t>Marketing Volgsysteem vo/vso (VAS)</t>
  </si>
  <si>
    <t>-5120-Uitgeverij-VO-17873\-0010\-0002</t>
  </si>
  <si>
    <t>18492</t>
  </si>
  <si>
    <t>IV/IT Volgsysteem VO</t>
  </si>
  <si>
    <t>-5120-Uitgeverij-VO-18492</t>
  </si>
  <si>
    <t>18492-0001</t>
  </si>
  <si>
    <t>IV/IT Volgsysteem VO 2018</t>
  </si>
  <si>
    <t>-5120-Uitgeverij-VO-18492\-0001</t>
  </si>
  <si>
    <t>18497</t>
  </si>
  <si>
    <t>IV/IT Onderwijs&amp;Overheid</t>
  </si>
  <si>
    <t>-5310-TOM-OH-18497</t>
  </si>
  <si>
    <t>18497-0001</t>
  </si>
  <si>
    <t>IV/IT Onderwijs&amp;Overheid 2018</t>
  </si>
  <si>
    <t>-5310-TOM-OH-18497\-0001</t>
  </si>
  <si>
    <t>18501</t>
  </si>
  <si>
    <t>BV Algemeen</t>
  </si>
  <si>
    <t>-7020-Overige-Overig-18501</t>
  </si>
  <si>
    <t>18501-0001</t>
  </si>
  <si>
    <t>BV algemeen 2018</t>
  </si>
  <si>
    <t>-7020-Overige-Overig-18501\-0001</t>
  </si>
  <si>
    <t>30283</t>
  </si>
  <si>
    <t>Woots BV</t>
  </si>
  <si>
    <t>3077</t>
  </si>
  <si>
    <t>Koen Voermans</t>
  </si>
  <si>
    <t>3412</t>
  </si>
  <si>
    <t>Naomi van Hoeijen</t>
  </si>
  <si>
    <t>-7020-Overige-Overig-30283</t>
  </si>
  <si>
    <t>30278</t>
  </si>
  <si>
    <t>Peil.Onderwijs MTV S(B)O 2020</t>
  </si>
  <si>
    <t>-5310-TOM-Overig-30278</t>
  </si>
  <si>
    <t>30273</t>
  </si>
  <si>
    <t>NGS Computerafname 2020</t>
  </si>
  <si>
    <t>-5320-TOM-ZORG-30273</t>
  </si>
  <si>
    <t>30284</t>
  </si>
  <si>
    <t>Business Case vervanging Argus</t>
  </si>
  <si>
    <t>-5320-TOM-FZD-30284</t>
  </si>
  <si>
    <t>30046-0001</t>
  </si>
  <si>
    <t>-5310-TOM-Overig-30046\-0001</t>
  </si>
  <si>
    <t>30191-0002</t>
  </si>
  <si>
    <t>Peiling Leesvaardigheid 2020</t>
  </si>
  <si>
    <t>-5310-TOM-OH-30191\-0002</t>
  </si>
  <si>
    <t>30191-0003</t>
  </si>
  <si>
    <t>Peiling Leesvaardigheid 2021</t>
  </si>
  <si>
    <t>-5310-TOM-OH-30191\-0003</t>
  </si>
  <si>
    <t>30280</t>
  </si>
  <si>
    <t>-5320-TOM-TTV-30280</t>
  </si>
  <si>
    <t>30190-0005</t>
  </si>
  <si>
    <t>Peiling ICCS 2023</t>
  </si>
  <si>
    <t>-5311-TOM-Overig-30190\-0005</t>
  </si>
  <si>
    <t>30282</t>
  </si>
  <si>
    <t>Kazachstan Standard Setting English</t>
  </si>
  <si>
    <t>-5220-TA-Int-30282</t>
  </si>
  <si>
    <t>30274</t>
  </si>
  <si>
    <t>Naar 30292 - Ontw. Volgtoetsen Alg. ETE Deel I</t>
  </si>
  <si>
    <t>-5320-TA-Int-30274</t>
  </si>
  <si>
    <t>30275</t>
  </si>
  <si>
    <t>-5220-TA-Int-30275</t>
  </si>
  <si>
    <t>30279</t>
  </si>
  <si>
    <t>Consultancy &amp; Training Zanzibar 2020</t>
  </si>
  <si>
    <t>-5220-TA-Int-30279</t>
  </si>
  <si>
    <t>30276</t>
  </si>
  <si>
    <t>Consultancy en Training Serbia 2020</t>
  </si>
  <si>
    <t>-5220-TA-Int-30276</t>
  </si>
  <si>
    <t>30281</t>
  </si>
  <si>
    <t>Consultancy &amp; Training Cyprus</t>
  </si>
  <si>
    <t>-5220-TA-Int-30281</t>
  </si>
  <si>
    <t>20202-02</t>
  </si>
  <si>
    <t>Selection test Kazachstan 2026</t>
  </si>
  <si>
    <t>20202</t>
  </si>
  <si>
    <t>2755</t>
  </si>
  <si>
    <t>Servaas Frissen</t>
  </si>
  <si>
    <t>40055</t>
  </si>
  <si>
    <t>Jacko van der Windt</t>
  </si>
  <si>
    <t>-3010---20202\-02</t>
  </si>
  <si>
    <t>20181-02</t>
  </si>
  <si>
    <t>Vaardigheidsonderzoek 2025</t>
  </si>
  <si>
    <t>-2100-VAARONDVO--20181\-02</t>
  </si>
  <si>
    <t>20220-12</t>
  </si>
  <si>
    <t>ce vo Normering en coordinatie</t>
  </si>
  <si>
    <t>20220</t>
  </si>
  <si>
    <t>26-inst-01</t>
  </si>
  <si>
    <t>-2100-CEVO--20220\-12</t>
  </si>
  <si>
    <t>20190-01</t>
  </si>
  <si>
    <t>20190</t>
  </si>
  <si>
    <t>25-inst-01</t>
  </si>
  <si>
    <t>-2100-CEVO--20190\-01</t>
  </si>
  <si>
    <t>20220-02</t>
  </si>
  <si>
    <t>ce vo Wereldtalen</t>
  </si>
  <si>
    <t>-2100-CEVO--20220\-02</t>
  </si>
  <si>
    <t>20190-02</t>
  </si>
  <si>
    <t>-2100-CEVO--20190\-02</t>
  </si>
  <si>
    <t>20190-05-03</t>
  </si>
  <si>
    <t>20190-05</t>
  </si>
  <si>
    <t>-2100-CEVO--20190\-05\-03</t>
  </si>
  <si>
    <t>Ontwikkelen centrale examens vo</t>
  </si>
  <si>
    <t>-2100-CEVO--20220</t>
  </si>
  <si>
    <t>20113-11</t>
  </si>
  <si>
    <t>ICT in de keten - 2025</t>
  </si>
  <si>
    <t>-2020-ICT--20113\-11</t>
  </si>
  <si>
    <t>20190-12</t>
  </si>
  <si>
    <t>ce vo normering en coordinatie</t>
  </si>
  <si>
    <t>-2100-CEVO--20190\-12</t>
  </si>
  <si>
    <t>Vaardigheidsonderzoek</t>
  </si>
  <si>
    <t>-2100-VAARONDVO--20181</t>
  </si>
  <si>
    <t>20220-16</t>
  </si>
  <si>
    <t>ce vo Olympiades</t>
  </si>
  <si>
    <t>-2100-CEVO--20220\-16</t>
  </si>
  <si>
    <t>20190-08</t>
  </si>
  <si>
    <t>-2100-CEVO--20190\-08</t>
  </si>
  <si>
    <t>20220-08</t>
  </si>
  <si>
    <t>ce vo Normhandhaving</t>
  </si>
  <si>
    <t>-2100-CEVO--20220\-08</t>
  </si>
  <si>
    <t>20190-05-02</t>
  </si>
  <si>
    <t>-2100-CEVO--20190\-05\-02</t>
  </si>
  <si>
    <t>20190-16</t>
  </si>
  <si>
    <t>ce vo olympiades</t>
  </si>
  <si>
    <t>-2100-CEVO--20190\-16</t>
  </si>
  <si>
    <t>20220-04</t>
  </si>
  <si>
    <t>ce vo Natuurwetenschappen</t>
  </si>
  <si>
    <t>-2100-CEVO--20220\-04</t>
  </si>
  <si>
    <t>20190-20</t>
  </si>
  <si>
    <t>-2100-CEVO--20190\-20</t>
  </si>
  <si>
    <t>20168-06</t>
  </si>
  <si>
    <t>Curriculum vernieuwing beroeps 2026</t>
  </si>
  <si>
    <t>-2090-CURVER--20168\-06</t>
  </si>
  <si>
    <t>20168-04</t>
  </si>
  <si>
    <t>curriculum vernieuwing beroepsgerichte profielvakken 2025</t>
  </si>
  <si>
    <t>-2090-CURVER--20168\-04</t>
  </si>
  <si>
    <t>20220-03</t>
  </si>
  <si>
    <t>ce vo Wiskunde</t>
  </si>
  <si>
    <t>-2100-CEVO--20220\-03</t>
  </si>
  <si>
    <t>20190-22</t>
  </si>
  <si>
    <t>-2100-CEVO--20190\-22</t>
  </si>
  <si>
    <t>20220-20</t>
  </si>
  <si>
    <t>ce vo Beroeps BWI, Z&amp;W en Groen</t>
  </si>
  <si>
    <t>-2100-CEVO--20220\-20</t>
  </si>
  <si>
    <t>20220-01</t>
  </si>
  <si>
    <t>ce vo Nederlands, Engels</t>
  </si>
  <si>
    <t>42275</t>
  </si>
  <si>
    <t>Eric de Jong</t>
  </si>
  <si>
    <t>-2100-CEVO--20220\-01</t>
  </si>
  <si>
    <t>20220-19</t>
  </si>
  <si>
    <t>ce vo Mijfiges</t>
  </si>
  <si>
    <t>-2100-CEVO--20220\-19</t>
  </si>
  <si>
    <t>20190-21</t>
  </si>
  <si>
    <t>41335</t>
  </si>
  <si>
    <t>Hans Cornielje</t>
  </si>
  <si>
    <t>-2100-CEVO--20190\-21</t>
  </si>
  <si>
    <t>20220-21</t>
  </si>
  <si>
    <t>ce vo Beroeps HBR, D&amp;P en MVI</t>
  </si>
  <si>
    <t>-2100-CEVO--20220\-21</t>
  </si>
  <si>
    <t>20190-04</t>
  </si>
  <si>
    <t>41525</t>
  </si>
  <si>
    <t>Rolf Karstanje</t>
  </si>
  <si>
    <t>-2100-CEVO--20190\-04</t>
  </si>
  <si>
    <t>20220-06</t>
  </si>
  <si>
    <t>ce vo Caribisch Nederland</t>
  </si>
  <si>
    <t>-2100-CEVO--20220\-06</t>
  </si>
  <si>
    <t>20190-17</t>
  </si>
  <si>
    <t>-2100-CEVO--20190\-17</t>
  </si>
  <si>
    <t>20190-06</t>
  </si>
  <si>
    <t>-2100-CEVO--20190\-06</t>
  </si>
  <si>
    <t>20190-09</t>
  </si>
  <si>
    <t>ce vo compex</t>
  </si>
  <si>
    <t>2976</t>
  </si>
  <si>
    <t>Marieke Kraft</t>
  </si>
  <si>
    <t>-2100-CEVO--20190\-09</t>
  </si>
  <si>
    <t>20190-18</t>
  </si>
  <si>
    <t>ce vo kunsten</t>
  </si>
  <si>
    <t>-2100-CEVO--20190\-18</t>
  </si>
  <si>
    <t>20220-09</t>
  </si>
  <si>
    <t>-2100-CEVO--20220\-09</t>
  </si>
  <si>
    <t>20220-18</t>
  </si>
  <si>
    <t>ce vo Kunstvakken</t>
  </si>
  <si>
    <t>-2100-CEVO--20220\-18</t>
  </si>
  <si>
    <t>20220-17</t>
  </si>
  <si>
    <t>-2100-CEVO--20220\-17</t>
  </si>
  <si>
    <t>20190-03</t>
  </si>
  <si>
    <t>-2100-CEVO--20190\-03</t>
  </si>
  <si>
    <t>20190-19</t>
  </si>
  <si>
    <t>ce vo mijfiges</t>
  </si>
  <si>
    <t>-2100-CEVO--20190\-19</t>
  </si>
  <si>
    <t>20190-13</t>
  </si>
  <si>
    <t>ce vo syllabusonderhoud</t>
  </si>
  <si>
    <t>-2100-CEVO--20190\-13</t>
  </si>
  <si>
    <t>20220-22</t>
  </si>
  <si>
    <t>ce vo Beroeps M&amp;T, E&amp;O en PIE</t>
  </si>
  <si>
    <t>-2100-CEVO--20220\-22</t>
  </si>
  <si>
    <t>20183-02</t>
  </si>
  <si>
    <t>peilingsmethodologie steekproefdesign 2025</t>
  </si>
  <si>
    <t>-3010---20183\-02</t>
  </si>
  <si>
    <t>Inwerktraject toetsmethodoloog ETE</t>
  </si>
  <si>
    <t>-3010---20184</t>
  </si>
  <si>
    <t>Peiling rekenen mbo</t>
  </si>
  <si>
    <t>-3010---20176</t>
  </si>
  <si>
    <t>20176-02</t>
  </si>
  <si>
    <t>Peiling rekenen mbo 2025</t>
  </si>
  <si>
    <t>-3010---20176\-02</t>
  </si>
  <si>
    <t>20176-03</t>
  </si>
  <si>
    <t>Peiling rekenen mbo 2026</t>
  </si>
  <si>
    <t>-3010---20176\-03</t>
  </si>
  <si>
    <t>20178-02</t>
  </si>
  <si>
    <t>NFER 2025</t>
  </si>
  <si>
    <t>20178</t>
  </si>
  <si>
    <t>1000079</t>
  </si>
  <si>
    <t>-3010---20178\-02</t>
  </si>
  <si>
    <t>Peilingsmethodologie steekproefdesign</t>
  </si>
  <si>
    <t>-3010---20183</t>
  </si>
  <si>
    <t>20152-03</t>
  </si>
  <si>
    <t>Praktijkonderwijs Parkstad Limburg 2025</t>
  </si>
  <si>
    <t>18955</t>
  </si>
  <si>
    <t>Emmelien van der Scheer</t>
  </si>
  <si>
    <t>-3020---20152\-03</t>
  </si>
  <si>
    <t>20154-03</t>
  </si>
  <si>
    <t>Onderzoek schoolexamens 2025</t>
  </si>
  <si>
    <t>-3020-ONDSE--20154\-03</t>
  </si>
  <si>
    <t>20194-03</t>
  </si>
  <si>
    <t>20194</t>
  </si>
  <si>
    <t>25-inst-06</t>
  </si>
  <si>
    <t>-3020-UITOND--20194\-03</t>
  </si>
  <si>
    <t>20194-05</t>
  </si>
  <si>
    <t>-3020-UITOND--20194\-05</t>
  </si>
  <si>
    <t>20194-08</t>
  </si>
  <si>
    <t>-3020-UITOND--20194\-08</t>
  </si>
  <si>
    <t>20224-03</t>
  </si>
  <si>
    <t>Uitvoeren onderzoek - Kennisdeling in de  onderwijspraktijk</t>
  </si>
  <si>
    <t>20224</t>
  </si>
  <si>
    <t>26-inst-06</t>
  </si>
  <si>
    <t>-3020-UITOND--20224\-03</t>
  </si>
  <si>
    <t>20224-05</t>
  </si>
  <si>
    <t>Uitvoeren onderzoek - Onderwijskundig Meten</t>
  </si>
  <si>
    <t>-3020-UITOND--20224\-05</t>
  </si>
  <si>
    <t>20224-08</t>
  </si>
  <si>
    <t>-3020-UITOND--20224\-08</t>
  </si>
  <si>
    <t>20205</t>
  </si>
  <si>
    <t>Peiling burgerschap</t>
  </si>
  <si>
    <t>-3010---20205</t>
  </si>
  <si>
    <t>20205-01</t>
  </si>
  <si>
    <t>Peiling burgerschap 2025</t>
  </si>
  <si>
    <t>-3010---20205\-01</t>
  </si>
  <si>
    <t>20205-02</t>
  </si>
  <si>
    <t>Peiling burgerschap 2026</t>
  </si>
  <si>
    <t>-3010---20205\-02</t>
  </si>
  <si>
    <t>20207</t>
  </si>
  <si>
    <t>Kwalitatief onderzoek Burgerschap</t>
  </si>
  <si>
    <t>1000093</t>
  </si>
  <si>
    <t>HvA Lectoraat Burgerschapsponderwijs</t>
  </si>
  <si>
    <t>-3010---20207</t>
  </si>
  <si>
    <t>20207-01</t>
  </si>
  <si>
    <t>Kwalitatief onderzoek Burgerschap 2025</t>
  </si>
  <si>
    <t>-3010---20207\-01</t>
  </si>
  <si>
    <t>20207-02</t>
  </si>
  <si>
    <t>Kwalitatief onderzoek Burgerschap 2026</t>
  </si>
  <si>
    <t>-3010---20207\-02</t>
  </si>
  <si>
    <t>20184-02</t>
  </si>
  <si>
    <t>Inwerktraject toetsmethodoloog ETE 2025</t>
  </si>
  <si>
    <t>-3010---20184\-02</t>
  </si>
  <si>
    <t>20184-03</t>
  </si>
  <si>
    <t>Inwerktraject toetsmethodoloog ETE 2026</t>
  </si>
  <si>
    <t>-3010---20184\-03</t>
  </si>
  <si>
    <t>20195</t>
  </si>
  <si>
    <t>Dienstverlening Citolab diversen 2025</t>
  </si>
  <si>
    <t>-3010---20195</t>
  </si>
  <si>
    <t>20195-01</t>
  </si>
  <si>
    <t>EHA Progress Test add 2024 in 2025</t>
  </si>
  <si>
    <t>-3010---20195\-01</t>
  </si>
  <si>
    <t>20195-02</t>
  </si>
  <si>
    <t>CBR IRT cursus 2025</t>
  </si>
  <si>
    <t>-3010---20195\-02</t>
  </si>
  <si>
    <t>20195-03</t>
  </si>
  <si>
    <t>Ontwerpstudie LVS vo 2025</t>
  </si>
  <si>
    <t>-3010---20195\-03</t>
  </si>
  <si>
    <t>20195-04</t>
  </si>
  <si>
    <t>EHA Exam 2025</t>
  </si>
  <si>
    <t>-3010---20195\-04</t>
  </si>
  <si>
    <t>20195-05</t>
  </si>
  <si>
    <t>EHA Progress test 2025</t>
  </si>
  <si>
    <t>-3010---20195\-05</t>
  </si>
  <si>
    <t>20195-06</t>
  </si>
  <si>
    <t>Training sessions Singapore Institute of Technology</t>
  </si>
  <si>
    <t>1000085</t>
  </si>
  <si>
    <t>SINGAPORE INSTITUTE OF TECHNOLOGY</t>
  </si>
  <si>
    <t>1000071</t>
  </si>
  <si>
    <t>-3010---20195\-06</t>
  </si>
  <si>
    <t>20195-07</t>
  </si>
  <si>
    <t>Training Dextergui VAVO Haaglanden</t>
  </si>
  <si>
    <t>1000086</t>
  </si>
  <si>
    <t>ROC Mondriaan - VAVO (mavo - havo - vwo)</t>
  </si>
  <si>
    <t>-3010---20195\-07</t>
  </si>
  <si>
    <t>20195-08</t>
  </si>
  <si>
    <t>Taalcentrum VU Toetssamenstelling 2025</t>
  </si>
  <si>
    <t>1000089</t>
  </si>
  <si>
    <t>Taalcentrum VU</t>
  </si>
  <si>
    <t>1000077</t>
  </si>
  <si>
    <t>-3010---20195\-08</t>
  </si>
  <si>
    <t>20195-09</t>
  </si>
  <si>
    <t>CBR ATA softw LOFT en IRT 2025</t>
  </si>
  <si>
    <t>-3010---20195\-09</t>
  </si>
  <si>
    <t>20195-10</t>
  </si>
  <si>
    <t>AHOVOKS analyses toelatingsexamens Vlaanderen</t>
  </si>
  <si>
    <t>1000094</t>
  </si>
  <si>
    <t>AHOVOKS - Agentschap Hoger Onderwijs, Volwassenenonderwijs, Kwalificatie &amp; Studietoelagen</t>
  </si>
  <si>
    <t>-3010---20195\-10</t>
  </si>
  <si>
    <t>20195-11</t>
  </si>
  <si>
    <t>Analyses leerprestaties SWV Amsterdam</t>
  </si>
  <si>
    <t>1000096</t>
  </si>
  <si>
    <t>Samenwerkingsverband VO Amsterdam</t>
  </si>
  <si>
    <t>1000083</t>
  </si>
  <si>
    <t>-3010---20195\-11</t>
  </si>
  <si>
    <t>20195-12</t>
  </si>
  <si>
    <t>Burgerschap 2025 - Coöperatie mbo</t>
  </si>
  <si>
    <t>-3010---20195\-12</t>
  </si>
  <si>
    <t>20197</t>
  </si>
  <si>
    <t>Psychometrisch updaten regelingen PO 2025</t>
  </si>
  <si>
    <t>-3010---20197</t>
  </si>
  <si>
    <t>20198</t>
  </si>
  <si>
    <t>Standaardbepaling schrijfvaardigheid vo</t>
  </si>
  <si>
    <t>-3010---20198</t>
  </si>
  <si>
    <t>20199</t>
  </si>
  <si>
    <t>Analyses rekenexamens mbo 2025</t>
  </si>
  <si>
    <t>-3010---20199</t>
  </si>
  <si>
    <t>20112-04</t>
  </si>
  <si>
    <t>ASTLA4CPRE 2025</t>
  </si>
  <si>
    <t>-3020---20112\-04</t>
  </si>
  <si>
    <t>20149-03</t>
  </si>
  <si>
    <t>Doorontwikkeling LDGM 2025</t>
  </si>
  <si>
    <t>-3020---20149\-03</t>
  </si>
  <si>
    <t>20149-04</t>
  </si>
  <si>
    <t>Doorontwikkeling LDGM 2026</t>
  </si>
  <si>
    <t>-3020---20149\-04</t>
  </si>
  <si>
    <t>20155-03</t>
  </si>
  <si>
    <t>Inzet K. Lek SDVB 2025</t>
  </si>
  <si>
    <t>-3020---20155\-03</t>
  </si>
  <si>
    <t>20158-02-02</t>
  </si>
  <si>
    <t>IOL 2025</t>
  </si>
  <si>
    <t>20158-02</t>
  </si>
  <si>
    <t>-3020---20158\-02\-02</t>
  </si>
  <si>
    <t>20158-03</t>
  </si>
  <si>
    <t>Impuls Open Leermiddelen 2026</t>
  </si>
  <si>
    <t>-3020---20158\-03</t>
  </si>
  <si>
    <t>20158-03-01</t>
  </si>
  <si>
    <t>IOL 2026</t>
  </si>
  <si>
    <t>-3020---20158\-03\-01</t>
  </si>
  <si>
    <t>20206</t>
  </si>
  <si>
    <t>PZW validatie HAN</t>
  </si>
  <si>
    <t>1000092</t>
  </si>
  <si>
    <t>HAN Academie Paramedische studies</t>
  </si>
  <si>
    <t>1000080</t>
  </si>
  <si>
    <t>-3020---20206</t>
  </si>
  <si>
    <t>20206-01</t>
  </si>
  <si>
    <t>PZW validatie HAN 2025</t>
  </si>
  <si>
    <t>-3020---20206\-01</t>
  </si>
  <si>
    <t>20206-02</t>
  </si>
  <si>
    <t>PZW validatie HAN 2026</t>
  </si>
  <si>
    <t>-3020---20206\-02</t>
  </si>
  <si>
    <t>20225-05</t>
  </si>
  <si>
    <t>CBR onderzoek openbare itembank  theorie-examens</t>
  </si>
  <si>
    <t>20225</t>
  </si>
  <si>
    <t>-3020---20225\-05</t>
  </si>
  <si>
    <t>20225-06</t>
  </si>
  <si>
    <t>Academica gastdocentschap</t>
  </si>
  <si>
    <t>1000099</t>
  </si>
  <si>
    <t>-3020---20225\-06</t>
  </si>
  <si>
    <t>Peiling digitale geletterdheid vo</t>
  </si>
  <si>
    <t>-3000---20179</t>
  </si>
  <si>
    <t>Actualisatie referentiesets</t>
  </si>
  <si>
    <t>-3000-REFSETPO--20165</t>
  </si>
  <si>
    <t>20201</t>
  </si>
  <si>
    <t>Workshop March 2025 Georgia</t>
  </si>
  <si>
    <t>1000087</t>
  </si>
  <si>
    <t>Ministry of Education, Science and Youth of Georgia (MESY)</t>
  </si>
  <si>
    <t>1000074</t>
  </si>
  <si>
    <t>-3010---20201</t>
  </si>
  <si>
    <t>Selection test Kazachstan</t>
  </si>
  <si>
    <t>-3010---20202</t>
  </si>
  <si>
    <t>20202-01</t>
  </si>
  <si>
    <t>Selection test Kazachstan 2025</t>
  </si>
  <si>
    <t>-3010---20202\-01</t>
  </si>
  <si>
    <t>20166-02</t>
  </si>
  <si>
    <t>PISA 2025</t>
  </si>
  <si>
    <t>-3010---20166\-02</t>
  </si>
  <si>
    <t>20166-03</t>
  </si>
  <si>
    <t>PISA 2026</t>
  </si>
  <si>
    <t>-3010---20166\-03</t>
  </si>
  <si>
    <t>20153-03</t>
  </si>
  <si>
    <t>LHK - introductie scenarios 2025</t>
  </si>
  <si>
    <t>-3010---20153\-03</t>
  </si>
  <si>
    <t>20153-04</t>
  </si>
  <si>
    <t>LHK - introductie scenarios 2026</t>
  </si>
  <si>
    <t>-3010---20153\-04</t>
  </si>
  <si>
    <t>20148-03</t>
  </si>
  <si>
    <t>Verwerking toetsgegevens SDVB  2025</t>
  </si>
  <si>
    <t>-3010---20148\-03</t>
  </si>
  <si>
    <t>20148-04</t>
  </si>
  <si>
    <t>Verwerking toetsgegevens SDVB 2026</t>
  </si>
  <si>
    <t>-3010---20148\-04</t>
  </si>
  <si>
    <t>20151-03</t>
  </si>
  <si>
    <t>Peiling rekenen en wiskunde vo 2025</t>
  </si>
  <si>
    <t>-3010---20151\-03</t>
  </si>
  <si>
    <t>20151-04</t>
  </si>
  <si>
    <t>Peiling rekenen en wiskunde vo 2026</t>
  </si>
  <si>
    <t>-3010---20151\-04</t>
  </si>
  <si>
    <t>LHK - introductie scenarios</t>
  </si>
  <si>
    <t>-3010---20153</t>
  </si>
  <si>
    <t>20122-05</t>
  </si>
  <si>
    <t>INVALSI 2025</t>
  </si>
  <si>
    <t>-3010---20122\-05</t>
  </si>
  <si>
    <t>Verwerking toetsgegevens 2023 tm 2025</t>
  </si>
  <si>
    <t>-3010---20148</t>
  </si>
  <si>
    <t>Onderzoeksagenda toetsstelsel PO</t>
  </si>
  <si>
    <t>-3000-ONDPO--20182</t>
  </si>
  <si>
    <t>20196-04</t>
  </si>
  <si>
    <t>Cito AI</t>
  </si>
  <si>
    <t>20196</t>
  </si>
  <si>
    <t>-3000---20196\-04</t>
  </si>
  <si>
    <t>PISA 2025 2026</t>
  </si>
  <si>
    <t>-3000---20166</t>
  </si>
  <si>
    <t>20208</t>
  </si>
  <si>
    <t>Onderzoek ankervolgorde</t>
  </si>
  <si>
    <t>-3010---20208</t>
  </si>
  <si>
    <t>20208-01</t>
  </si>
  <si>
    <t>Onderzoek ankervolgorde  2025</t>
  </si>
  <si>
    <t>-3010---20208\-01</t>
  </si>
  <si>
    <t>Dienstverlening Citolab diversen 2026</t>
  </si>
  <si>
    <t>-3010---20225</t>
  </si>
  <si>
    <t>20225-01</t>
  </si>
  <si>
    <t>CBR IRT cursus 2026</t>
  </si>
  <si>
    <t>-3010---20225\-01</t>
  </si>
  <si>
    <t>20225-02</t>
  </si>
  <si>
    <t>Analyses rekenexamens mbo 2026</t>
  </si>
  <si>
    <t>-3010---20225\-02</t>
  </si>
  <si>
    <t>20225-03</t>
  </si>
  <si>
    <t>Burgerschap 2026 - Coöperatie mbo</t>
  </si>
  <si>
    <t>-3010---20225\-03</t>
  </si>
  <si>
    <t>20225-04</t>
  </si>
  <si>
    <t>Analyses Screeningsinstrument OOK-OC 2026</t>
  </si>
  <si>
    <t>-3010---20225\-04</t>
  </si>
  <si>
    <t>20225-08</t>
  </si>
  <si>
    <t>Trinity College - Adaptive assesment</t>
  </si>
  <si>
    <t>-3010---20225\-08</t>
  </si>
  <si>
    <t>NFER</t>
  </si>
  <si>
    <t>-3000---20178</t>
  </si>
  <si>
    <t>20178-01</t>
  </si>
  <si>
    <t>-3000---20178\-01</t>
  </si>
  <si>
    <t>20178-03</t>
  </si>
  <si>
    <t>NFER 2026</t>
  </si>
  <si>
    <t>-3000---20178\-03</t>
  </si>
  <si>
    <t>20182-02</t>
  </si>
  <si>
    <t>Onderzoeksagenda toetsstelsel po 2025</t>
  </si>
  <si>
    <t>-3010-ONDPO--20182\-02</t>
  </si>
  <si>
    <t>20182-03</t>
  </si>
  <si>
    <t>Onderzoeksagenda toetsstelsel po 2026</t>
  </si>
  <si>
    <t>-3010-ONDPO--20182\-03</t>
  </si>
  <si>
    <t>20122-04</t>
  </si>
  <si>
    <t>INVALSI 2025 (niet in gebruik)</t>
  </si>
  <si>
    <t>-3010--Overig-20122\-04</t>
  </si>
  <si>
    <t>20194-01</t>
  </si>
  <si>
    <t>-3010-UITOND--20194\-01</t>
  </si>
  <si>
    <t>20194-02</t>
  </si>
  <si>
    <t>-3010-UITOND--20194\-02</t>
  </si>
  <si>
    <t>20224-01</t>
  </si>
  <si>
    <t>Uitvoeren onderzoek - Psychometrisch Onderzoek</t>
  </si>
  <si>
    <t>-3010-UITOND--20224\-01</t>
  </si>
  <si>
    <t>20224-02</t>
  </si>
  <si>
    <t>Uitvoeren onderzoek - Software voor Psychometrici</t>
  </si>
  <si>
    <t>-3010-UITOND--20224\-02</t>
  </si>
  <si>
    <t>20203</t>
  </si>
  <si>
    <t>Peiling leesvaardigheid mbo 2026 2027</t>
  </si>
  <si>
    <t>-3010---20203</t>
  </si>
  <si>
    <t>20203-01</t>
  </si>
  <si>
    <t>Peiling leesvaardigheid mbo</t>
  </si>
  <si>
    <t>-3010---20203\-01</t>
  </si>
  <si>
    <t>20186-03</t>
  </si>
  <si>
    <t>Checkmate NOLAI 2026</t>
  </si>
  <si>
    <t>-3020---20186\-03</t>
  </si>
  <si>
    <t>Impuls Open Leermiddelen</t>
  </si>
  <si>
    <t>-3020---20158</t>
  </si>
  <si>
    <t>Impuls Open Leermiddelen 2025</t>
  </si>
  <si>
    <t>-3020---20158\-02</t>
  </si>
  <si>
    <t>Peiling rekenen en wiskunde</t>
  </si>
  <si>
    <t>Checkmate NOLAI</t>
  </si>
  <si>
    <t>-3020---20186</t>
  </si>
  <si>
    <t>20204</t>
  </si>
  <si>
    <t>Assessment Literacy and Psychom Brazil</t>
  </si>
  <si>
    <t>1000091</t>
  </si>
  <si>
    <t>CAEd Foundation</t>
  </si>
  <si>
    <t>-3010---20204</t>
  </si>
  <si>
    <t>20204-01</t>
  </si>
  <si>
    <t>Assessm Literacy and Psychom Brazil 2025</t>
  </si>
  <si>
    <t>-3010---20204\-01</t>
  </si>
  <si>
    <t>20204-02</t>
  </si>
  <si>
    <t>-3010---20204\-02</t>
  </si>
  <si>
    <t>20156-03</t>
  </si>
  <si>
    <t>Peiling leesvaardigheid en PIRLS 2025</t>
  </si>
  <si>
    <t>-3030---20156\-03</t>
  </si>
  <si>
    <t>20156-04</t>
  </si>
  <si>
    <t>Peiling leesvaardigheid en PIRLS 2026</t>
  </si>
  <si>
    <t>-3030---20156\-04</t>
  </si>
  <si>
    <t>20158-02-01</t>
  </si>
  <si>
    <t>IOL QTI Player deel 2</t>
  </si>
  <si>
    <t>-3030---20158\-02\-01</t>
  </si>
  <si>
    <t>20179-02</t>
  </si>
  <si>
    <t>Peiling digitale geletterdheid vo 2025</t>
  </si>
  <si>
    <t>-3030---20179\-02</t>
  </si>
  <si>
    <t>20179-03</t>
  </si>
  <si>
    <t>Peiling digitale geletterdheid vo 2026</t>
  </si>
  <si>
    <t>-3030---20179\-03</t>
  </si>
  <si>
    <t>20186-02</t>
  </si>
  <si>
    <t>Checkmate NOLAI 2025</t>
  </si>
  <si>
    <t>-3030---20186\-02</t>
  </si>
  <si>
    <t>20195-13</t>
  </si>
  <si>
    <t>CDFD - masterclass en brainstorm AI examenketen 2025</t>
  </si>
  <si>
    <t>1000098</t>
  </si>
  <si>
    <t>College Deskundigheid Financiële Dienstverlening</t>
  </si>
  <si>
    <t>-3030---20195\-13</t>
  </si>
  <si>
    <t>20209</t>
  </si>
  <si>
    <t>PT-praktijkvaardigheden Oberon</t>
  </si>
  <si>
    <t>1000097</t>
  </si>
  <si>
    <t>Oberon B.V.</t>
  </si>
  <si>
    <t>-3030---20209</t>
  </si>
  <si>
    <t>20225-07</t>
  </si>
  <si>
    <t>Udir - Pilot Schrijfblik and Digital testing</t>
  </si>
  <si>
    <t>1000101</t>
  </si>
  <si>
    <t>Udir</t>
  </si>
  <si>
    <t>-3030---20225\-07</t>
  </si>
  <si>
    <t>Doorontwikkeling LDGM</t>
  </si>
  <si>
    <t>-3020-CitoLab-Overig-20149</t>
  </si>
  <si>
    <t>Praktijkonderwijs Parkstad Limburg</t>
  </si>
  <si>
    <t>Inzet K Lek SDVB</t>
  </si>
  <si>
    <t>-3020---20155</t>
  </si>
  <si>
    <t>20194-04</t>
  </si>
  <si>
    <t>-3030-UITOND--20194\-04</t>
  </si>
  <si>
    <t>20194-06</t>
  </si>
  <si>
    <t>-3030-UITOND--20194\-06</t>
  </si>
  <si>
    <t>20224-04</t>
  </si>
  <si>
    <t>-3030-UITOND--20224\-04</t>
  </si>
  <si>
    <t>20224-06</t>
  </si>
  <si>
    <t>Uitvoeren onderzoek -AI</t>
  </si>
  <si>
    <t>-3030-UITOND--20224\-06</t>
  </si>
  <si>
    <t>-3000-UITOND--20194</t>
  </si>
  <si>
    <t>20194-07</t>
  </si>
  <si>
    <t>-3000-UITOND--20194\-07</t>
  </si>
  <si>
    <t>-3000-UITOND--20224</t>
  </si>
  <si>
    <t>20224-07</t>
  </si>
  <si>
    <t>Uitvoeren onderzoek - Positionering Kennisorganisatie</t>
  </si>
  <si>
    <t>-3000-UITOND--20224\-07</t>
  </si>
  <si>
    <t>Peiling leesvaardigheid en PIRLS</t>
  </si>
  <si>
    <t>-3000-CitoLab-Overig-20156</t>
  </si>
  <si>
    <t>20189</t>
  </si>
  <si>
    <t>Ontwikkelen leerlingvolgsysteem vso</t>
  </si>
  <si>
    <t>2062</t>
  </si>
  <si>
    <t>Julet Harms</t>
  </si>
  <si>
    <t>25-inst-05</t>
  </si>
  <si>
    <t>-2080-LVSVSO--20189</t>
  </si>
  <si>
    <t>20189-01</t>
  </si>
  <si>
    <t>-2080-LVSVSO--20189\-01</t>
  </si>
  <si>
    <t>20189-02</t>
  </si>
  <si>
    <t>-2080-LVSVSO--20189\-02</t>
  </si>
  <si>
    <t>20219</t>
  </si>
  <si>
    <t>LVS Spec.ondersteuningsbehoefte</t>
  </si>
  <si>
    <t>26-inst-05</t>
  </si>
  <si>
    <t>-2080-LVSVSO--20219</t>
  </si>
  <si>
    <t>20219-01</t>
  </si>
  <si>
    <t>-2080-LVSVSO--20219\-01</t>
  </si>
  <si>
    <t>20192</t>
  </si>
  <si>
    <t>25-inst-04</t>
  </si>
  <si>
    <t>-2080-DSTDOE--20192</t>
  </si>
  <si>
    <t>20192-01</t>
  </si>
  <si>
    <t>-2080-DSTDOE--20192\-01</t>
  </si>
  <si>
    <t>20192-02</t>
  </si>
  <si>
    <t>-2080-DSTDOE--20192\-02</t>
  </si>
  <si>
    <t>20222</t>
  </si>
  <si>
    <t>26-inst-04</t>
  </si>
  <si>
    <t>-2080-DSTDOE--20222</t>
  </si>
  <si>
    <t>20222-01</t>
  </si>
  <si>
    <t>-2080-DSTDOE--20222\-01</t>
  </si>
  <si>
    <t>20222-02</t>
  </si>
  <si>
    <t>-2080-DSTDOE--20222\-02</t>
  </si>
  <si>
    <t>20165-03</t>
  </si>
  <si>
    <t>Actualisatie referentiesets PO 2026</t>
  </si>
  <si>
    <t>9625</t>
  </si>
  <si>
    <t>Anne Basten</t>
  </si>
  <si>
    <t>-3010-REFSETPO--20165\-03</t>
  </si>
  <si>
    <t>20165-02</t>
  </si>
  <si>
    <t>Actualisatie referentiesets 2025</t>
  </si>
  <si>
    <t>-3010-REFSETPO--20165\-02</t>
  </si>
  <si>
    <t>20203-02</t>
  </si>
  <si>
    <t>Peiling leesvaardigheid mbo 2026</t>
  </si>
  <si>
    <t>30885</t>
  </si>
  <si>
    <t>Friso Koman</t>
  </si>
  <si>
    <t>-3010---20203\-02</t>
  </si>
  <si>
    <t>18446</t>
  </si>
  <si>
    <t>IC uren stichting naar BV</t>
  </si>
  <si>
    <t>IC CITO BV</t>
  </si>
  <si>
    <t>1000003</t>
  </si>
  <si>
    <t>20112-05</t>
  </si>
  <si>
    <t>ASTLA4CPRE 2026</t>
  </si>
  <si>
    <t>-3020---20112\-05</t>
  </si>
  <si>
    <t>20088-05</t>
  </si>
  <si>
    <t>TIMMS en peil. rekenen en wiskunde 2025</t>
  </si>
  <si>
    <t>-3020---20088\-05</t>
  </si>
  <si>
    <t>ASTLA4CPRE</t>
  </si>
  <si>
    <t>-3020-OKI-Overig-20112</t>
  </si>
  <si>
    <t>20168-03</t>
  </si>
  <si>
    <t>Curriculumvernieuwing avo 2025</t>
  </si>
  <si>
    <t>-2090-CURVER--20168\-03</t>
  </si>
  <si>
    <t>20168-05</t>
  </si>
  <si>
    <t>Curriculum vernieuwing avo 2026</t>
  </si>
  <si>
    <t>-2090-CURVER--20168\-05</t>
  </si>
  <si>
    <t>trial introducing the use of IRT</t>
  </si>
  <si>
    <t>-3010-OKI-Overig-20116</t>
  </si>
  <si>
    <t>20175-02</t>
  </si>
  <si>
    <t>Ontwikkelen toegankelijke vormgeving examendocumenten 2025</t>
  </si>
  <si>
    <t>2456</t>
  </si>
  <si>
    <t>Bas Molenaar</t>
  </si>
  <si>
    <t>-2020-TOEVORM--20175\-02</t>
  </si>
  <si>
    <t>20175-03</t>
  </si>
  <si>
    <t>Ontwikkelen toegankelijke vormgeving examendocumenten 2026</t>
  </si>
  <si>
    <t>-2020-TOEVORM--20175\-03</t>
  </si>
  <si>
    <t>Ontwikkelen toegankelijke vormgeving examendocumenten</t>
  </si>
  <si>
    <t>-2020---20175</t>
  </si>
  <si>
    <t>Onderzoek schoolexamens</t>
  </si>
  <si>
    <t>-2010-SLOA-OCW-20154</t>
  </si>
  <si>
    <t>20191</t>
  </si>
  <si>
    <t>ontwikkelen centrale examens mbo</t>
  </si>
  <si>
    <t>25-inst-02</t>
  </si>
  <si>
    <t>-2070-CEMBO--20191</t>
  </si>
  <si>
    <t>20191-01</t>
  </si>
  <si>
    <t>-2070-CEMBO--20191\-01</t>
  </si>
  <si>
    <t>20191-02</t>
  </si>
  <si>
    <t>-2070-CEMBO--20191\-02</t>
  </si>
  <si>
    <t>20191-03</t>
  </si>
  <si>
    <t>-2070-CEMBO--20191\-03</t>
  </si>
  <si>
    <t>20191-04</t>
  </si>
  <si>
    <t>-2070-CEMBO--20191\-04</t>
  </si>
  <si>
    <t>20191-04-01</t>
  </si>
  <si>
    <t>-2070-CEMBO--20191\-04\-01</t>
  </si>
  <si>
    <t>20191-04-02</t>
  </si>
  <si>
    <t>-2070-CEMBO--20191\-04\-02</t>
  </si>
  <si>
    <t>20191-05</t>
  </si>
  <si>
    <t>ce mbo questify</t>
  </si>
  <si>
    <t>-2070-CEMBO--20191\-05</t>
  </si>
  <si>
    <t>20221</t>
  </si>
  <si>
    <t>ce mbo</t>
  </si>
  <si>
    <t>26-inst-02</t>
  </si>
  <si>
    <t>-2070-CEMBO--20221</t>
  </si>
  <si>
    <t>20221-01</t>
  </si>
  <si>
    <t>-2070-CEMBO--20221\-01</t>
  </si>
  <si>
    <t>20221-02</t>
  </si>
  <si>
    <t>-2070-CEMBO--20221\-02</t>
  </si>
  <si>
    <t>20221-03</t>
  </si>
  <si>
    <t>ce mbo Ketenbeheer en ICT</t>
  </si>
  <si>
    <t>-2070-CEMBO--20221\-03</t>
  </si>
  <si>
    <t>20221-04</t>
  </si>
  <si>
    <t>ce mbo co en onderz</t>
  </si>
  <si>
    <t>-2070-CEMBO--20221\-04</t>
  </si>
  <si>
    <t>20221-04-01</t>
  </si>
  <si>
    <t>ce mbo Management en coordinatie</t>
  </si>
  <si>
    <t>-2070-CEMBO--20221\-04\-01</t>
  </si>
  <si>
    <t>20221-04-02</t>
  </si>
  <si>
    <t>ce mbo Onderzoek</t>
  </si>
  <si>
    <t>-2070-CEMBO--20221\-04\-02</t>
  </si>
  <si>
    <t>20221-05</t>
  </si>
  <si>
    <t>ce mbo man act ond en inn</t>
  </si>
  <si>
    <t>-2070-CEMBO--20221\-05</t>
  </si>
  <si>
    <t>20221-05-01</t>
  </si>
  <si>
    <t>ce mbo Questify</t>
  </si>
  <si>
    <t>-2070-CEMBO--20221\-05\-01</t>
  </si>
  <si>
    <t>Constructieforums</t>
  </si>
  <si>
    <t>20101-04</t>
  </si>
  <si>
    <t>Constructieforums 2025</t>
  </si>
  <si>
    <t>-2100-DOCPAR--20101\-04</t>
  </si>
  <si>
    <t>20101-05</t>
  </si>
  <si>
    <t>Docentenparticipatie constructieforums</t>
  </si>
  <si>
    <t>-2100-DOCPAR--20101\-05</t>
  </si>
  <si>
    <t>TIMMS en peil. rekenen en wiskunde</t>
  </si>
  <si>
    <t>-3000-OKI-Overig-20088</t>
  </si>
  <si>
    <t>20113-07</t>
  </si>
  <si>
    <t>Versnellen CP 2024</t>
  </si>
  <si>
    <t>-2020-ICT--20113\-07</t>
  </si>
  <si>
    <t>20113-08</t>
  </si>
  <si>
    <t>ICT in de keten 2024</t>
  </si>
  <si>
    <t>-2020-ICT--20113\-08</t>
  </si>
  <si>
    <t>20113-09</t>
  </si>
  <si>
    <t>Ontwikkeling toetsportaal 2025</t>
  </si>
  <si>
    <t>-2020-ICT--20113\-09</t>
  </si>
  <si>
    <t>20113-10</t>
  </si>
  <si>
    <t>Ontwikkeling cp 25</t>
  </si>
  <si>
    <t>-2020-ICT--20113\-10</t>
  </si>
  <si>
    <t>20154-04</t>
  </si>
  <si>
    <t>Onderzoek schoolexamens 2026</t>
  </si>
  <si>
    <t>-3020-ONDSE--20154\-04</t>
  </si>
  <si>
    <t>20220-05-02</t>
  </si>
  <si>
    <t>ce vo Onderzoek en innovatie</t>
  </si>
  <si>
    <t>20220-05</t>
  </si>
  <si>
    <t>-2020-CEVO--20220\-05\-02</t>
  </si>
  <si>
    <t>20113-12</t>
  </si>
  <si>
    <t>Ontwikkeling toetsportaal 2026</t>
  </si>
  <si>
    <t>-2020-ICT--20113\-12</t>
  </si>
  <si>
    <t>20113-14</t>
  </si>
  <si>
    <t>ICT in de keten 2026</t>
  </si>
  <si>
    <t>-2020-ICT--20113\-14</t>
  </si>
  <si>
    <t>ce vo management en onderzoek</t>
  </si>
  <si>
    <t>-2100-CEVO--20190\-05</t>
  </si>
  <si>
    <t>20190-05-01</t>
  </si>
  <si>
    <t>-2100-CEVO--20190\-05\-01</t>
  </si>
  <si>
    <t>-2100-CEVO--20190</t>
  </si>
  <si>
    <t>ce vo man act ond en inn</t>
  </si>
  <si>
    <t>-2100-CEVO--20220\-05</t>
  </si>
  <si>
    <t>20220-05-01</t>
  </si>
  <si>
    <t>ce vo Management en activiteitenkosten</t>
  </si>
  <si>
    <t>-2100-CEVO--20220\-05\-01</t>
  </si>
  <si>
    <t>Programma digitaal examineren</t>
  </si>
  <si>
    <t>-2020-DIGEXAM--20185</t>
  </si>
  <si>
    <t>Curriculumvernieuwing</t>
  </si>
  <si>
    <t>-2090-CURVER--20168</t>
  </si>
  <si>
    <t>20188</t>
  </si>
  <si>
    <t>Secure downloadomgeving 2025</t>
  </si>
  <si>
    <t>-2020-CTEDOWNLOAD--20188</t>
  </si>
  <si>
    <t>20237</t>
  </si>
  <si>
    <t>Leesvaardigheid</t>
  </si>
  <si>
    <t>-2010---20237</t>
  </si>
  <si>
    <t>20237-01</t>
  </si>
  <si>
    <t>-2010---20237\-01</t>
  </si>
  <si>
    <t>20190-15</t>
  </si>
  <si>
    <t>ce vo management - additioneel tbv kb bb papier</t>
  </si>
  <si>
    <t>-2100-CEVO--20190\-15</t>
  </si>
  <si>
    <t>20185-02</t>
  </si>
  <si>
    <t>Programma digitaal examineren 2025</t>
  </si>
  <si>
    <t>-2020-DIGEXAM--20185\-02</t>
  </si>
  <si>
    <t>20190-10</t>
  </si>
  <si>
    <t>36195</t>
  </si>
  <si>
    <t>Igor Frid</t>
  </si>
  <si>
    <t>-2100-CEVO--20190\-10</t>
  </si>
  <si>
    <t>20190-11</t>
  </si>
  <si>
    <t>-2100-CEVO--20190\-11</t>
  </si>
  <si>
    <t>20220-10</t>
  </si>
  <si>
    <t>ce vo Examenhelpdesk</t>
  </si>
  <si>
    <t>-2100-CEVO--20220\-10</t>
  </si>
  <si>
    <t>20220-11</t>
  </si>
  <si>
    <t>ce vo Pre- en testcorrectie en najaarscorrectie</t>
  </si>
  <si>
    <t>-2100-CEVO--20220\-11</t>
  </si>
  <si>
    <t>20190-07</t>
  </si>
  <si>
    <t>-2020-CEVO--20190\-07</t>
  </si>
  <si>
    <t>20190-07-01</t>
  </si>
  <si>
    <t>-2020-CEVO--20190\-07\-01</t>
  </si>
  <si>
    <t>20190-07-02</t>
  </si>
  <si>
    <t>ce vo ict beheer en onderhoud</t>
  </si>
  <si>
    <t>-2020-CEVO--20190\-07\-02</t>
  </si>
  <si>
    <t>20190-07-03</t>
  </si>
  <si>
    <t>ce vo ict ontwikkeling</t>
  </si>
  <si>
    <t>-2020-CEVO--20190\-07\-03</t>
  </si>
  <si>
    <t>20220-07</t>
  </si>
  <si>
    <t>ce vo ICT beh en ond ont</t>
  </si>
  <si>
    <t>-2020-CEVO--20220\-07</t>
  </si>
  <si>
    <t>20220-07-01</t>
  </si>
  <si>
    <t>ce vo Procesvoering</t>
  </si>
  <si>
    <t>-2020-CEVO--20220\-07\-01</t>
  </si>
  <si>
    <t>20220-07-02</t>
  </si>
  <si>
    <t>ce vo ICT Beheer en onderhoud</t>
  </si>
  <si>
    <t>-2020-CEVO--20220\-07\-02</t>
  </si>
  <si>
    <t>20220-07-03</t>
  </si>
  <si>
    <t>ce vo ICT Ontwikkeling</t>
  </si>
  <si>
    <t>-2020-CEVO--20220\-07\-03</t>
  </si>
  <si>
    <t>ICT versnelling</t>
  </si>
  <si>
    <t>-2010-SLOA-OCW-20113</t>
  </si>
  <si>
    <t>20185-03</t>
  </si>
  <si>
    <t>Programma digitaal examineren 2026</t>
  </si>
  <si>
    <t>36415</t>
  </si>
  <si>
    <t>Max van Haastrecht</t>
  </si>
  <si>
    <t>-2020-DIGEXAM--20185\-03</t>
  </si>
  <si>
    <t>20113-13</t>
  </si>
  <si>
    <t>Ontwikkeling constructieplatform 2026</t>
  </si>
  <si>
    <t>41795</t>
  </si>
  <si>
    <t>Imke Lenkens</t>
  </si>
  <si>
    <t>-2020-ICT--20113\-13</t>
  </si>
  <si>
    <t>20193-02</t>
  </si>
  <si>
    <t>Psychometrisch loket</t>
  </si>
  <si>
    <t>20193</t>
  </si>
  <si>
    <t>25-inst-03</t>
  </si>
  <si>
    <t>-2080-ADVIESPO--20193\-02</t>
  </si>
  <si>
    <t>3056</t>
  </si>
  <si>
    <t>Maryse de Smet</t>
  </si>
  <si>
    <t>-2080-ADVIESPO--20193</t>
  </si>
  <si>
    <t>20193-01</t>
  </si>
  <si>
    <t>-2080-ADVIESPO--20193\-01</t>
  </si>
  <si>
    <t>20223</t>
  </si>
  <si>
    <t>26-inst-03</t>
  </si>
  <si>
    <t>-2080-ADVIESPO--20223</t>
  </si>
  <si>
    <t>20223-01</t>
  </si>
  <si>
    <t>-2080-ADVIESPO--20223\-01</t>
  </si>
  <si>
    <t>20223-02</t>
  </si>
  <si>
    <t>-2080-ADVIESPO--20223\-02</t>
  </si>
  <si>
    <t>20196-06</t>
  </si>
  <si>
    <t>Communicatie IPON</t>
  </si>
  <si>
    <t>40925</t>
  </si>
  <si>
    <t>Kim Berendsen</t>
  </si>
  <si>
    <t>-9250---20196\-06</t>
  </si>
  <si>
    <t>20196-03</t>
  </si>
  <si>
    <t>-9100---20196\-03</t>
  </si>
  <si>
    <t>20196-05</t>
  </si>
  <si>
    <t>MDIEU algemeen</t>
  </si>
  <si>
    <t>-9400---20196\-05</t>
  </si>
  <si>
    <t>9400</t>
  </si>
  <si>
    <t>Communicatie e.a.</t>
  </si>
  <si>
    <t>-9250---20196</t>
  </si>
  <si>
    <t>20196-01</t>
  </si>
  <si>
    <t>Communicatie</t>
  </si>
  <si>
    <t>-9250---20196\-01</t>
  </si>
  <si>
    <t>20196-02</t>
  </si>
  <si>
    <t>2845</t>
  </si>
  <si>
    <t>Monique Kelder</t>
  </si>
  <si>
    <t>-9640---20196\-02</t>
  </si>
  <si>
    <t>9640</t>
  </si>
  <si>
    <t>20241</t>
  </si>
  <si>
    <t>NKO Toetsdrukproject</t>
  </si>
  <si>
    <t>1000104</t>
  </si>
  <si>
    <t>VU-Sectie Onderwijswetenschappen</t>
  </si>
  <si>
    <t>1000090</t>
  </si>
  <si>
    <t>42105</t>
  </si>
  <si>
    <t>Luke Hebing</t>
  </si>
  <si>
    <t>-3020---20241</t>
  </si>
  <si>
    <t>20241-01</t>
  </si>
  <si>
    <t>NKO Toetsdrukproject 2026</t>
  </si>
  <si>
    <t>-3020---20241\-01</t>
  </si>
  <si>
    <t>20242</t>
  </si>
  <si>
    <t>LNAE - Strength.assessment of learning</t>
  </si>
  <si>
    <t>1000105</t>
  </si>
  <si>
    <t>Nacionaliné Švietimo Agentura</t>
  </si>
  <si>
    <t>-3020---20242</t>
  </si>
  <si>
    <t>20242-01</t>
  </si>
  <si>
    <t>LNAE - Strength.assessment of learning 2026</t>
  </si>
  <si>
    <t>-3020---20242\-01</t>
  </si>
  <si>
    <t>20088-06</t>
  </si>
  <si>
    <t>TIMMS en peil.rekenen en wiskunde 2026</t>
  </si>
  <si>
    <t>-3020---20088\-06</t>
  </si>
  <si>
    <t>20240</t>
  </si>
  <si>
    <t>Peiling Rekenen en wiskunde PO en TIMMS</t>
  </si>
  <si>
    <t>-3020---20240</t>
  </si>
  <si>
    <t>20210</t>
  </si>
  <si>
    <t>NRO AID Kennis voor Onderwijs van de Toekomst</t>
  </si>
  <si>
    <t>-3020---20210</t>
  </si>
  <si>
    <t>20210-01</t>
  </si>
  <si>
    <t>NRO AID Kennis voor Onderwijs vd Toekomst 2026</t>
  </si>
  <si>
    <t>-3020---20210\-01</t>
  </si>
  <si>
    <t>20225-11</t>
  </si>
  <si>
    <t>Standaardsetting Vlaamse hogescholenraad</t>
  </si>
  <si>
    <t>1000103</t>
  </si>
  <si>
    <t>Vlaamse Hogescholenraad</t>
  </si>
  <si>
    <t>-3010---20225\-11</t>
  </si>
  <si>
    <t>20239</t>
  </si>
  <si>
    <t>NRO Meta-analyses woordleren</t>
  </si>
  <si>
    <t>-3010---20239</t>
  </si>
  <si>
    <t>20239-01</t>
  </si>
  <si>
    <t>NRO Meta-analyses woorleren 2026</t>
  </si>
  <si>
    <t>-3010---20239\-01</t>
  </si>
  <si>
    <t>20225-09</t>
  </si>
  <si>
    <t>EHA Exam 2026</t>
  </si>
  <si>
    <t>-3010---20225\-09</t>
  </si>
  <si>
    <t>20225-10</t>
  </si>
  <si>
    <t>EHA Progress Test 2026</t>
  </si>
  <si>
    <t>-3010---20225\-10</t>
  </si>
  <si>
    <t>20240-01</t>
  </si>
  <si>
    <t>-3020---20240\-01</t>
  </si>
  <si>
    <t>30398-0005</t>
  </si>
  <si>
    <t>Afname Bodemenergie 2026</t>
  </si>
  <si>
    <t>42805</t>
  </si>
  <si>
    <t>-5310-ZM-BODEM-30398\-0005</t>
  </si>
  <si>
    <t>30631-0002</t>
  </si>
  <si>
    <t>NCTV Nieuwe examens 2026</t>
  </si>
  <si>
    <t>-5310-ZM-NCTV-30631\-0002</t>
  </si>
  <si>
    <t>30631-0003</t>
  </si>
  <si>
    <t>NCTV Nieuwe examens fase 2-2026</t>
  </si>
  <si>
    <t>-5310-ZM-NCTV-30631\-0003</t>
  </si>
  <si>
    <t>30396-0005</t>
  </si>
  <si>
    <t>Afnames ISSO LPA 2026</t>
  </si>
  <si>
    <t>-5310-ZM-ISSOLPA-30396\-0005</t>
  </si>
  <si>
    <t>30616-0002</t>
  </si>
  <si>
    <t>Afnames CDD ABN 2026</t>
  </si>
  <si>
    <t>-5310-ZM-CDD-30616\-0002</t>
  </si>
  <si>
    <t>30397-0005</t>
  </si>
  <si>
    <t>Afnames ISSO EPA 2026</t>
  </si>
  <si>
    <t>-5310-ZM-ISSOEPA-30397\-0005</t>
  </si>
  <si>
    <t>30563-0003</t>
  </si>
  <si>
    <t>Afnames Vakmanschapsroutes 2026</t>
  </si>
  <si>
    <t>-5310-ZM-VAKMANROUTE-30563\-0003</t>
  </si>
  <si>
    <t>30410-0005</t>
  </si>
  <si>
    <t>Afnames NCTV 2026</t>
  </si>
  <si>
    <t>-5310-ZM-NCTV-30410\-0005</t>
  </si>
  <si>
    <t>30373-0012</t>
  </si>
  <si>
    <t>Te verwerven 2026 ZM</t>
  </si>
  <si>
    <t>-5310-ZM--30373\-0012</t>
  </si>
  <si>
    <t>30403-0006</t>
  </si>
  <si>
    <t>Afnames Medisch Rekenen 2026</t>
  </si>
  <si>
    <t>-5310-ZM-MEDREK-30403\-0006</t>
  </si>
  <si>
    <t>30399-0005</t>
  </si>
  <si>
    <t>Afnames NVHP 2026</t>
  </si>
  <si>
    <t>-5310-ZM-NVHP-30399\-0005</t>
  </si>
  <si>
    <t>30598-0006</t>
  </si>
  <si>
    <t>Digitalisering examens SDEN 2026</t>
  </si>
  <si>
    <t>-5310-ZM--30598\-0006</t>
  </si>
  <si>
    <t>30411-0005</t>
  </si>
  <si>
    <t>Afnames PE-Elektrolassen 2026</t>
  </si>
  <si>
    <t>-5310-ZM-LASSER-30411\-0005</t>
  </si>
  <si>
    <t>30623-0002</t>
  </si>
  <si>
    <t>ProRail examenontwikkeling 2026</t>
  </si>
  <si>
    <t>-5310-ZM--30623\-0002</t>
  </si>
  <si>
    <t>30652-0001</t>
  </si>
  <si>
    <t>Talen/Nt2 algemeen 2026</t>
  </si>
  <si>
    <t>-5310-TALEN--30652\-0001</t>
  </si>
  <si>
    <t>30410-0006</t>
  </si>
  <si>
    <t>Afnames NCTV logistiek-fase 2 - 2026</t>
  </si>
  <si>
    <t>-5310-ZM-NCTV-30410\-0006</t>
  </si>
  <si>
    <t>30651</t>
  </si>
  <si>
    <t>Peilingen algemeen</t>
  </si>
  <si>
    <t>-5311-ONDERZOEK-PEIL-30651</t>
  </si>
  <si>
    <t>30651-0001</t>
  </si>
  <si>
    <t>Peilingen algemeen 2026</t>
  </si>
  <si>
    <t>30596-0003</t>
  </si>
  <si>
    <t>Naturalisatie Caribische eilanden aanb 2026</t>
  </si>
  <si>
    <t>-5310-TALEN-NATURALISATIE-30596\-0003</t>
  </si>
  <si>
    <t>30596-0004</t>
  </si>
  <si>
    <t>Naturalisatietoets Caribische eilanden - verlenging 2026</t>
  </si>
  <si>
    <t>-5310-TALEN-NATURALISATIE-30596\-0004</t>
  </si>
  <si>
    <t>30645-0001</t>
  </si>
  <si>
    <t>Uitbreiding NT2 niveautoetsen in eigen beheer 2026</t>
  </si>
  <si>
    <t>-5310-TALEN-STEX-30645\-0001</t>
  </si>
  <si>
    <t>30646-0001</t>
  </si>
  <si>
    <t>Stex BMT Licentie Beheer en Onderhoud 2026</t>
  </si>
  <si>
    <t>-5310-TALEN-STEX-30646\-0001</t>
  </si>
  <si>
    <t>30649-0001</t>
  </si>
  <si>
    <t>Stex Nt2 Afname vaste kosten 2026</t>
  </si>
  <si>
    <t>-5310-TALEN-STEX-30649\-0001</t>
  </si>
  <si>
    <t>30373-0011</t>
  </si>
  <si>
    <t>Te verwerven 2026 TALEN</t>
  </si>
  <si>
    <t>-5310-TALEN--30373\-0011</t>
  </si>
  <si>
    <t>30647-0001</t>
  </si>
  <si>
    <t>Stex Nt2 Ontwikkeling examens 2026</t>
  </si>
  <si>
    <t>-5310-TALEN-STEX-30647\-0001</t>
  </si>
  <si>
    <t>30648-0001</t>
  </si>
  <si>
    <t>Stex Nt2 afname beoordeling Spreken 2026</t>
  </si>
  <si>
    <t>-5310-TALEN-STEX-30648\-0001</t>
  </si>
  <si>
    <t>30650-0001</t>
  </si>
  <si>
    <t>Stex Nt2 BMT ontwikkeling 2026</t>
  </si>
  <si>
    <t>-5310-TALEN-STEX-30650\-0001</t>
  </si>
  <si>
    <t>30615-0002</t>
  </si>
  <si>
    <t>Alfatoetsen art verkopen en licenties 2026</t>
  </si>
  <si>
    <t>-5310-TALEN--30615\-0002</t>
  </si>
  <si>
    <t>30478-0006</t>
  </si>
  <si>
    <t>Inburgering Perceel 4 2026</t>
  </si>
  <si>
    <t>40975</t>
  </si>
  <si>
    <t>-5310-TALEN-INBU-30478\-0006</t>
  </si>
  <si>
    <t>30477-0006</t>
  </si>
  <si>
    <t>Inburgering Perceel 3 2026</t>
  </si>
  <si>
    <t>-5310-TALEN-INBU-30477\-0006</t>
  </si>
  <si>
    <t>30471-0006</t>
  </si>
  <si>
    <t>Inburgering Perceel 2 2026</t>
  </si>
  <si>
    <t>-5310-TALEN-INBU-30471\-0006</t>
  </si>
  <si>
    <t>30629-0002</t>
  </si>
  <si>
    <t>NVT Bonaire MBO Proeftoets 2026</t>
  </si>
  <si>
    <t>-5310-TALEN-STEX-30629\-0002</t>
  </si>
  <si>
    <t>30653</t>
  </si>
  <si>
    <t>Peiling Leesvaardigheid VO 26-28</t>
  </si>
  <si>
    <t>-5310-ONDERZOEK-PEIL-30653</t>
  </si>
  <si>
    <t>30653-0001</t>
  </si>
  <si>
    <t>Peiling Leesvaardigheid VO 2026</t>
  </si>
  <si>
    <t>-5310-ONDERZOEK-PEIL-30653\-0001</t>
  </si>
  <si>
    <t>30618-0003</t>
  </si>
  <si>
    <t>Toelatingstoetsen Pabo 2026</t>
  </si>
  <si>
    <t>-5310-BONDERW-PABO-30618\-0003</t>
  </si>
  <si>
    <t>30614-0002</t>
  </si>
  <si>
    <t>Pabo Particulieren 2026</t>
  </si>
  <si>
    <t>-5310-BONDERW-PABO-30614\-0002</t>
  </si>
  <si>
    <t>30079-0011</t>
  </si>
  <si>
    <t>RWT Pabo 2026</t>
  </si>
  <si>
    <t>-5310-BONDERW-PABO-30079\-0011</t>
  </si>
  <si>
    <t>30079-0011-0001</t>
  </si>
  <si>
    <t>RWT Pabo 2026 facturatie NCOI</t>
  </si>
  <si>
    <t>-5310-BONDERW-PABO-30079\-0011\-0001</t>
  </si>
  <si>
    <t>30079-0011-0002</t>
  </si>
  <si>
    <t>RWT Pabo 2026 facturatie LOI</t>
  </si>
  <si>
    <t>-5310-BONDERW-PABO-30079\-0011\-0002</t>
  </si>
  <si>
    <t>30644-0001</t>
  </si>
  <si>
    <t>Beroepsonderwijs algemeen 2026</t>
  </si>
  <si>
    <t>-5310-BONDERW--30644\-0001</t>
  </si>
  <si>
    <t>30613-0002</t>
  </si>
  <si>
    <t>AWT 2026</t>
  </si>
  <si>
    <t>-5310-BONDERW-AWT-30613\-0002</t>
  </si>
  <si>
    <t>30597-0003</t>
  </si>
  <si>
    <t>Peiling Engels 2026</t>
  </si>
  <si>
    <t>-5310-ONDERZOEK-PEIL-30597\-0003</t>
  </si>
  <si>
    <t>30619-0002</t>
  </si>
  <si>
    <t>Peiling leesvaardigheid MBO 2026</t>
  </si>
  <si>
    <t>-5310-ONDERZOEK-PEIL-30619\-0002</t>
  </si>
  <si>
    <t>30431-0006</t>
  </si>
  <si>
    <t>Te verwerven Peilingen 2026</t>
  </si>
  <si>
    <t>-5311-ONDERZOEK-PEIL-30431\-0006</t>
  </si>
  <si>
    <t>30620-0002</t>
  </si>
  <si>
    <t>Peiling rekenen-wiskunde PO 2026</t>
  </si>
  <si>
    <t>-5311-ONDERZOEK-PEIL-30620\-0002</t>
  </si>
  <si>
    <t>30558-0004</t>
  </si>
  <si>
    <t>Peiling Kunstzinnige Oriëntatie 2026</t>
  </si>
  <si>
    <t>-5311-ONDERZOEK-PEIL-30558\-0004</t>
  </si>
  <si>
    <t>30654</t>
  </si>
  <si>
    <t>Visualisatieservice 2.0</t>
  </si>
  <si>
    <t>41945</t>
  </si>
  <si>
    <t>Willem de Bruijn</t>
  </si>
  <si>
    <t>43515</t>
  </si>
  <si>
    <t>-9546---30654</t>
  </si>
  <si>
    <t>30654-0001</t>
  </si>
  <si>
    <t>Visualisatieservice 2.0 - 2026</t>
  </si>
  <si>
    <t>-9546---30654\-0001</t>
  </si>
  <si>
    <t>20023</t>
  </si>
  <si>
    <t>Questify 2019</t>
  </si>
  <si>
    <t>3318</t>
  </si>
  <si>
    <t>Petra Hagreize</t>
  </si>
  <si>
    <t>4865</t>
  </si>
  <si>
    <t>Martin Breukers</t>
  </si>
  <si>
    <t>-9580-Intern-Staf-20023</t>
  </si>
  <si>
    <t>20023-01</t>
  </si>
  <si>
    <t>Questify Builder</t>
  </si>
  <si>
    <t>-9580-Intern-Staf-20023\-01</t>
  </si>
  <si>
    <t>20023-02</t>
  </si>
  <si>
    <t>Questify 2019 - regulier</t>
  </si>
  <si>
    <t>-9580-Intern-Staf-20023\-02</t>
  </si>
  <si>
    <t>20023-03</t>
  </si>
  <si>
    <t>Questify 2019 - innovatie</t>
  </si>
  <si>
    <t>-9580-Intern-Staf-20023\-03</t>
  </si>
  <si>
    <t>20023-04</t>
  </si>
  <si>
    <t>Questify 2019 - kritische wijzigingen</t>
  </si>
  <si>
    <t>-9580-Intern-Staf-20023\-04</t>
  </si>
  <si>
    <t>20023-05</t>
  </si>
  <si>
    <t>QDC analyse</t>
  </si>
  <si>
    <t>-9580-Intern-Staf-20023\-05</t>
  </si>
  <si>
    <t>20035</t>
  </si>
  <si>
    <t>Arlande 2019</t>
  </si>
  <si>
    <t>-9510-Intern-Staf-20035</t>
  </si>
  <si>
    <t>9510</t>
  </si>
  <si>
    <t>Klant in zicht 2027</t>
  </si>
  <si>
    <t>30626-0003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</si>
</sst>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quot;€&quot;\ * #,##0_ ;_ &quot;€&quot;\ * \-#,##0_ ;_ &quot;€&quot;\ * &quot;-&quot;??_ ;_ @_ "/>
    <numFmt numFmtId="165" formatCode="#,##0_ ;\-#,##0\ "/>
  </numFmts>
  <fonts count="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name val="Calibri"/>
      <family val="2"/>
    </font>
    <font>
      <sz val="8"/>
      <name val="Calibri"/>
      <family val="2"/>
      <scheme val="minor"/>
    </font>
    <font>
      <i/>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39997558519241921"/>
        <bgColor indexed="64"/>
      </patternFill>
    </fill>
  </fills>
  <borders count="2">
    <border>
      <left/>
      <right/>
      <top/>
      <bottom/>
      <diagonal/>
    </border>
    <border>
      <left/>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22" fontId="0" fillId="0" borderId="0" xfId="0" applyNumberFormat="1"/>
    <xf numFmtId="0" fontId="2" fillId="0" borderId="0" xfId="0" applyFont="1"/>
    <xf numFmtId="0" fontId="0" fillId="2" borderId="0" xfId="0" applyFill="1"/>
    <xf numFmtId="164" fontId="0" fillId="0" borderId="0" xfId="1" applyNumberFormat="1" applyFont="1"/>
    <xf numFmtId="164" fontId="0" fillId="2" borderId="0" xfId="1" applyNumberFormat="1" applyFont="1" applyFill="1"/>
    <xf numFmtId="9" fontId="0" fillId="2" borderId="0" xfId="2" applyFont="1" applyFill="1"/>
    <xf numFmtId="9" fontId="0" fillId="0" borderId="0" xfId="0" applyNumberFormat="1"/>
    <xf numFmtId="165" fontId="0" fillId="0" borderId="0" xfId="1" applyNumberFormat="1" applyFont="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1" xfId="0" applyFont="1" applyBorder="1"/>
    <xf numFmtId="165" fontId="2" fillId="0" borderId="1" xfId="1" applyNumberFormat="1" applyFont="1" applyBorder="1"/>
    <xf numFmtId="44" fontId="0" fillId="3" borderId="0" xfId="1" applyFont="1" applyFill="1"/>
    <xf numFmtId="14" fontId="0" fillId="3" borderId="0" xfId="0" applyNumberFormat="1" applyFill="1"/>
    <xf numFmtId="164" fontId="2" fillId="0" borderId="1" xfId="0" applyNumberFormat="1" applyFont="1" applyBorder="1"/>
    <xf numFmtId="14" fontId="0" fillId="0" borderId="0" xfId="0" applyNumberFormat="1"/>
    <xf numFmtId="0" fontId="0" fillId="8" borderId="0" xfId="0" applyFill="1"/>
    <xf numFmtId="0" fontId="4" fillId="0" borderId="0" xfId="0" applyFont="1"/>
    <xf numFmtId="49" fontId="0" fillId="2" borderId="0" xfId="0" applyNumberFormat="1" applyFill="1"/>
    <xf numFmtId="9" fontId="0" fillId="0" borderId="0" xfId="2" applyFont="1"/>
    <xf numFmtId="0" fontId="2" fillId="9" borderId="0" xfId="0" applyFont="1" applyFill="1"/>
    <xf numFmtId="2" fontId="2" fillId="0" borderId="0" xfId="0" applyNumberFormat="1" applyFont="1"/>
    <xf numFmtId="164" fontId="0" fillId="0" borderId="0" xfId="0" applyNumberFormat="1"/>
    <xf numFmtId="3" fontId="0" fillId="0" borderId="0" xfId="0" applyNumberFormat="1"/>
    <xf numFmtId="9" fontId="0" fillId="3" borderId="0" xfId="0" applyNumberFormat="1" applyFill="1"/>
    <xf numFmtId="0" fontId="5" fillId="0" borderId="0" xfId="0" applyFont="1" applyAlignment="1">
      <alignment horizontal="left"/>
    </xf>
    <xf numFmtId="44" fontId="0" fillId="2" borderId="0" xfId="1" applyFont="1" applyFill="1"/>
    <xf numFmtId="0" fontId="7" fillId="0" borderId="0" xfId="0" applyFont="1"/>
    <xf numFmtId="0" fontId="0" fillId="10" borderId="0" xfId="0" applyFill="1"/>
    <xf numFmtId="164" fontId="0" fillId="10" borderId="0" xfId="1" applyNumberFormat="1" applyFont="1" applyFill="1"/>
  </cellXfs>
  <cellStyles count="3">
    <cellStyle name="Procent" xfId="2" builtinId="5"/>
    <cellStyle name="Standaard" xfId="0" builtinId="0"/>
    <cellStyle name="Valuta" xfId="1" builtinId="4"/>
  </cellStyles>
  <dxfs count="33">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Tim Visser" id="{4E27D6F7-054B-43FC-ADDE-2CD6D07F2E24}" userId="S::tim.visser@cito.nl::bee9538d-cf03-4d7f-932a-9f538be0956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C48FDF4-0BBE-4BDC-AD5C-8E05317518CB}" autoFormatId="16" applyNumberFormats="0" applyBorderFormats="0" applyFontFormats="0" applyPatternFormats="0" applyAlignmentFormats="0" applyWidthHeightFormats="0">
  <queryTableRefresh nextId="11" unboundColumnsRight="2">
    <queryTableFields count="9">
      <queryTableField id="1" name="BedrijfsCode" tableColumnId="1"/>
      <queryTableField id="2" name="Boekjaar" tableColumnId="2"/>
      <queryTableField id="3" name="CategorieCode" tableColumnId="3"/>
      <queryTableField id="4" name="CategorieNaam" tableColumnId="4"/>
      <queryTableField id="5" name="CategorieGroep" tableColumnId="5"/>
      <queryTableField id="6" name="PrijsInkoop" tableColumnId="6"/>
      <queryTableField id="7" name="PrijsVerkoop" tableColumnId="7"/>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496A4F-456E-4BEC-9FBA-C45D0A69EC7F}" autoFormatId="16" applyNumberFormats="0" applyBorderFormats="0" applyFontFormats="0" applyPatternFormats="0" applyAlignmentFormats="0" applyWidthHeightFormats="0">
  <queryTableRefresh nextId="39">
    <queryTableFields count="26">
      <queryTableField id="1" name="BedrijfsCode" tableColumnId="1"/>
      <queryTableField id="2" name="ProjectCode" tableColumnId="2"/>
      <queryTableField id="3" name="ProjectNaam" tableColumnId="3"/>
      <queryTableField id="4" name="HoofdProjectCode" tableColumnId="4"/>
      <queryTableField id="5" name="KlantNummer" tableColumnId="5"/>
      <queryTableField id="23" name="KlantNaam" tableColumnId="23"/>
      <queryTableField id="6" name="DatumBegin" tableColumnId="6"/>
      <queryTableField id="7" name="DatumEinde" tableColumnId="7"/>
      <queryTableField id="8" name="ProjectStatus" tableColumnId="8"/>
      <queryTableField id="9" name="ContractId" tableColumnId="9"/>
      <queryTableField id="10" name="BTWCode" tableColumnId="10"/>
      <queryTableField id="35" name="ProjectGroep" tableColumnId="11"/>
      <queryTableField id="12" name="PersoneelsNummerProjectLeider" tableColumnId="12"/>
      <queryTableField id="24" name="NaamProjectLeider" tableColumnId="24"/>
      <queryTableField id="13" name="PersoneelsNummerVerkoper" tableColumnId="13"/>
      <queryTableField id="25" name="NaamVerkoper" tableColumnId="25"/>
      <queryTableField id="36" name="PersoneelsNummerControler" tableColumnId="14"/>
      <queryTableField id="32" name="NaamController" tableColumnId="28"/>
      <queryTableField id="15" name="SorteerCode1" tableColumnId="15"/>
      <queryTableField id="16" name="SorteerCode2" tableColumnId="16"/>
      <queryTableField id="17" name="SorteerCode3" tableColumnId="17"/>
      <queryTableField id="18" name="GrootboekAccount" tableColumnId="18"/>
      <queryTableField id="19" name="Kostenplaats" tableColumnId="19"/>
      <queryTableField id="20" name="Kostendrager" tableColumnId="20"/>
      <queryTableField id="21" name="Variant" tableColumnId="21"/>
      <queryTableField id="22" name="Project"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F1BA31-B4DC-44A0-92EF-C92A23583325}" name="report_B_CategorieBoekjaar" displayName="report_B_CategorieBoekjaar" ref="A1:I2387" tableType="queryTable" totalsRowShown="0">
  <autoFilter ref="A1:I2387" xr:uid="{B5F1BA31-B4DC-44A0-92EF-C92A23583325}">
    <filterColumn colId="0">
      <filters>
        <filter val="001"/>
      </filters>
    </filterColumn>
  </autoFilter>
  <sortState xmlns:xlrd2="http://schemas.microsoft.com/office/spreadsheetml/2017/richdata2" ref="A2:I2387">
    <sortCondition descending="1" ref="B1:B2387"/>
  </sortState>
  <tableColumns count="9">
    <tableColumn id="1" xr3:uid="{076EA698-2E3A-46F9-9463-7B45D1D230BD}" uniqueName="1" name="BedrijfsCode" queryTableFieldId="1" dataDxfId="6"/>
    <tableColumn id="2" xr3:uid="{5B07888A-D1A7-44D9-B9FD-7F60A3CFA0CC}" uniqueName="2" name="Boekjaar" queryTableFieldId="2" dataDxfId="5"/>
    <tableColumn id="3" xr3:uid="{8A1DCA78-D034-46B1-81A9-5C16A03E9F2E}" uniqueName="3" name="CategorieCode" queryTableFieldId="3" dataDxfId="4"/>
    <tableColumn id="4" xr3:uid="{D0E84BDC-A4F3-4CC6-9D95-1B81B27F964E}" uniqueName="4" name="CategorieNaam" queryTableFieldId="4" dataDxfId="3"/>
    <tableColumn id="5" xr3:uid="{CE7E45E3-C8B4-49CA-9643-5D681D983AFD}" uniqueName="5" name="CategorieGroep" queryTableFieldId="5" dataDxfId="2"/>
    <tableColumn id="6" xr3:uid="{8F667F5D-AD61-47F4-B7C7-F02D5A213924}" uniqueName="6" name="PrijsInkoop" queryTableFieldId="6"/>
    <tableColumn id="7" xr3:uid="{C972A3E4-1FE0-4367-8EC0-35C0E7CF7545}" uniqueName="7" name="PrijsVerkoop" queryTableFieldId="7"/>
    <tableColumn id="9" xr3:uid="{D79C1D94-D073-40BD-9A1B-1E5971B355B4}" uniqueName="9" name="hulpkolom kostprijs" queryTableFieldId="9" dataDxfId="1">
      <calculatedColumnFormula>IF(report_B_CategorieBoekjaar[[#This Row],[BedrijfsCode]]="002",IF(report_B_CategorieBoekjaar[[#This Row],[Boekjaar]]=Projectbegroting!$K$1,report_B_CategorieBoekjaar[[#This Row],[CategorieCode]],0),0)</calculatedColumnFormula>
    </tableColumn>
    <tableColumn id="10" xr3:uid="{D04EE4FD-F438-4F9B-9173-73D2769982C8}" uniqueName="10" name="Hulp kolom verkoopprijs" queryTableFieldId="10" dataDxfId="0">
      <calculatedColumnFormula>IF(report_B_CategorieBoekjaar[[#This Row],[BedrijfsCode]]="001",IF(report_B_CategorieBoekjaar[[#This Row],[Boekjaar]]=Projectbegroting!$K$1,report_B_CategorieBoekjaar[[#This Row],[CategorieCode]],0),0)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D66BE4-FEEC-4BEE-A31D-230EE20DCDD4}" name="report_B_Project" displayName="report_B_Project" ref="A1:Z2783" tableType="queryTable" totalsRowShown="0">
  <autoFilter ref="A1:Z2783" xr:uid="{E2D66BE4-FEEC-4BEE-A31D-230EE20DCDD4}"/>
  <tableColumns count="26">
    <tableColumn id="1" xr3:uid="{A4987148-B951-4645-BC9D-E76777FACBF6}" uniqueName="1" name="BedrijfsCode" queryTableFieldId="1" dataDxfId="32"/>
    <tableColumn id="2" xr3:uid="{2CC6B65A-5688-440A-96B5-F575A0750397}" uniqueName="2" name="ProjectCode" queryTableFieldId="2" dataDxfId="31"/>
    <tableColumn id="3" xr3:uid="{DED7BDCB-58C7-4DE8-9852-EB65CF916093}" uniqueName="3" name="ProjectNaam" queryTableFieldId="3" dataDxfId="30"/>
    <tableColumn id="4" xr3:uid="{44C0C61E-85DD-4599-8A0D-93542F46769A}" uniqueName="4" name="HoofdProjectCode" queryTableFieldId="4" dataDxfId="29"/>
    <tableColumn id="5" xr3:uid="{8A8FD4B0-EC1E-4AF0-ABED-15C8AAA622CD}" uniqueName="5" name="KlantNummer" queryTableFieldId="5" dataDxfId="28"/>
    <tableColumn id="23" xr3:uid="{2E655ABB-2C70-4DED-8E27-B6780AB93AA7}" uniqueName="23" name="KlantNaam" queryTableFieldId="23" dataDxfId="27"/>
    <tableColumn id="6" xr3:uid="{ED548413-E24D-4911-A4AB-6C69781D7DE2}" uniqueName="6" name="DatumBegin" queryTableFieldId="6" dataDxfId="26"/>
    <tableColumn id="7" xr3:uid="{2CC0F19D-9BDA-4917-9684-7BD827A3423D}" uniqueName="7" name="DatumEinde" queryTableFieldId="7" dataDxfId="25"/>
    <tableColumn id="8" xr3:uid="{81ACAA80-73E7-42AB-AB3E-C019F24D9B48}" uniqueName="8" name="ProjectStatus" queryTableFieldId="8" dataDxfId="24"/>
    <tableColumn id="9" xr3:uid="{4CE9FE27-D8DE-46C6-B76E-0172BCFD1C59}" uniqueName="9" name="ContractId" queryTableFieldId="9" dataDxfId="23"/>
    <tableColumn id="10" xr3:uid="{FEE3E188-3D64-464F-BA52-B87836BE0D04}" uniqueName="10" name="BTWCode" queryTableFieldId="10" dataDxfId="22"/>
    <tableColumn id="11" xr3:uid="{D93A09A6-7DFA-4A4D-AA43-D01C97C68D72}" uniqueName="11" name="ProjectGroep" queryTableFieldId="35" dataDxfId="21"/>
    <tableColumn id="12" xr3:uid="{44E5E519-D862-4969-BD7B-97494F47C448}" uniqueName="12" name="PersoneelsNummerProjectLeider" queryTableFieldId="12" dataDxfId="20"/>
    <tableColumn id="24" xr3:uid="{E89DBDA2-40F7-4B50-80D8-A407A7CDB6C9}" uniqueName="24" name="NaamProjectLeider" queryTableFieldId="24" dataDxfId="19"/>
    <tableColumn id="13" xr3:uid="{8862428C-BE33-4EE5-A541-5AAA6FCAF73F}" uniqueName="13" name="PersoneelsNummerVerkoper" queryTableFieldId="13" dataDxfId="18"/>
    <tableColumn id="25" xr3:uid="{DF6E5228-075B-4ABA-9288-707E9A8FE0EE}" uniqueName="25" name="NaamVerkoper" queryTableFieldId="25" dataDxfId="17"/>
    <tableColumn id="14" xr3:uid="{69E0EA2E-8545-42CB-ACC6-FDD373E80932}" uniqueName="14" name="PersoneelsNummerControler" queryTableFieldId="36" dataDxfId="16"/>
    <tableColumn id="28" xr3:uid="{3AB7CB2B-EF08-4FF5-8610-173C35CC6813}" uniqueName="28" name="NaamController" queryTableFieldId="32" dataDxfId="15"/>
    <tableColumn id="15" xr3:uid="{365C2B97-EB74-4A71-9E66-BA7B0A6F897E}" uniqueName="15" name="SorteerCode1" queryTableFieldId="15" dataDxfId="14"/>
    <tableColumn id="16" xr3:uid="{69B966AF-750C-4768-BDC8-1FA4743DF272}" uniqueName="16" name="SorteerCode2" queryTableFieldId="16" dataDxfId="13"/>
    <tableColumn id="17" xr3:uid="{D636D99C-807C-484A-BBDE-3D74586EB3D8}" uniqueName="17" name="SorteerCode3" queryTableFieldId="17" dataDxfId="12"/>
    <tableColumn id="18" xr3:uid="{CE2268CF-EFA0-44D6-AD6E-735264846EF6}" uniqueName="18" name="GrootboekAccount" queryTableFieldId="18" dataDxfId="11"/>
    <tableColumn id="19" xr3:uid="{D949CE9D-2A5E-4A2D-8A78-3F78E64230B8}" uniqueName="19" name="Kostenplaats" queryTableFieldId="19" dataDxfId="10"/>
    <tableColumn id="20" xr3:uid="{039CE6CB-FE10-4887-A66C-B88159C67F47}" uniqueName="20" name="Kostendrager" queryTableFieldId="20" dataDxfId="9"/>
    <tableColumn id="21" xr3:uid="{FDBF8A74-0FA1-4671-A997-3627550FAE46}" uniqueName="21" name="Variant" queryTableFieldId="21" dataDxfId="8"/>
    <tableColumn id="22" xr3:uid="{55CC25E1-A8C6-4B1C-B8E6-52CC7B314B09}" uniqueName="22" name="Project" queryTableFieldId="22" dataDxfId="7"/>
  </tableColumns>
  <tableStyleInfo name="TableStyleMedium7"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5-31T08:11:19.35" personId="{4E27D6F7-054B-43FC-ADDE-2CD6D07F2E24}" id="{8B2CD4D1-45CC-4C59-8B24-04CB06058FBB}">
    <text>Door 01-01-jaartal in te vullen wordt automatisch juiste tarief van jaar gevuld</text>
  </threadedComment>
  <threadedComment ref="D94" dT="2024-05-31T08:11:39.46" personId="{4E27D6F7-054B-43FC-ADDE-2CD6D07F2E24}" id="{1DC1C65D-963D-4706-972F-7AAEC7CC8031}">
    <text>checken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0D9D2-530F-4061-92FB-A1BE13BBC4F9}">
  <dimension ref="A1:S109"/>
  <sheetViews>
    <sheetView tabSelected="1" topLeftCell="A83" zoomScaleNormal="100" workbookViewId="0">
      <selection activeCell="F101" sqref="F101"/>
    </sheetView>
  </sheetViews>
  <sheetFormatPr defaultRowHeight="14.4" x14ac:dyDescent="0.3"/>
  <cols>
    <col min="1" max="1" width="18.44140625" bestFit="1" customWidth="1"/>
    <col min="2" max="2" width="30.33203125" bestFit="1" customWidth="1"/>
    <col min="3" max="3" width="59.6640625" bestFit="1" customWidth="1"/>
    <col min="4" max="4" width="12.6640625" bestFit="1" customWidth="1"/>
    <col min="5" max="5" width="16.33203125" bestFit="1" customWidth="1"/>
    <col min="6" max="6" width="15.6640625" bestFit="1" customWidth="1"/>
    <col min="7" max="7" width="16.33203125" bestFit="1" customWidth="1"/>
    <col min="8" max="10" width="10.33203125" bestFit="1" customWidth="1"/>
    <col min="11" max="11" width="10.33203125" customWidth="1"/>
    <col min="12" max="14" width="10.33203125" bestFit="1" customWidth="1"/>
    <col min="15" max="18" width="8.6640625" bestFit="1" customWidth="1"/>
  </cols>
  <sheetData>
    <row r="1" spans="1:11" x14ac:dyDescent="0.3">
      <c r="A1" t="s">
        <v>0</v>
      </c>
      <c r="J1" s="10" t="s">
        <v>1</v>
      </c>
      <c r="K1" s="18">
        <v>46023</v>
      </c>
    </row>
    <row r="2" spans="1:11" x14ac:dyDescent="0.3">
      <c r="A2" s="3" t="s">
        <v>2</v>
      </c>
      <c r="J2" s="10" t="s">
        <v>3</v>
      </c>
      <c r="K2" s="29">
        <v>0</v>
      </c>
    </row>
    <row r="3" spans="1:11" x14ac:dyDescent="0.3">
      <c r="J3" s="10"/>
      <c r="K3" s="18"/>
    </row>
    <row r="5" spans="1:11" x14ac:dyDescent="0.3">
      <c r="A5" s="9" t="s">
        <v>4</v>
      </c>
      <c r="B5" t="s">
        <v>5</v>
      </c>
      <c r="C5" s="9" t="s">
        <v>6</v>
      </c>
    </row>
    <row r="6" spans="1:11" x14ac:dyDescent="0.3">
      <c r="A6" s="9" t="s">
        <v>7</v>
      </c>
      <c r="B6" s="23" t="s">
        <v>2272</v>
      </c>
      <c r="C6" s="9"/>
    </row>
    <row r="7" spans="1:11" x14ac:dyDescent="0.3">
      <c r="A7" s="9" t="s">
        <v>8</v>
      </c>
      <c r="B7" s="3" t="str">
        <f>_xlfn.XLOOKUP(B6,'report B_Project'!B:B,'report B_Project'!C:C,"niet bekend")</f>
        <v>Klant in beeld 2026</v>
      </c>
    </row>
    <row r="8" spans="1:11" x14ac:dyDescent="0.3">
      <c r="A8" s="9" t="s">
        <v>9</v>
      </c>
      <c r="B8" s="3" t="s">
        <v>9885</v>
      </c>
    </row>
    <row r="9" spans="1:11" x14ac:dyDescent="0.3">
      <c r="A9" s="9" t="s">
        <v>10</v>
      </c>
      <c r="B9" s="23" t="s">
        <v>9886</v>
      </c>
    </row>
    <row r="10" spans="1:11" x14ac:dyDescent="0.3">
      <c r="A10" s="9" t="s">
        <v>11</v>
      </c>
      <c r="B10" s="20">
        <v>46388</v>
      </c>
    </row>
    <row r="11" spans="1:11" x14ac:dyDescent="0.3">
      <c r="A11" s="9" t="s">
        <v>12</v>
      </c>
      <c r="B11" s="20">
        <v>46752</v>
      </c>
    </row>
    <row r="13" spans="1:11" x14ac:dyDescent="0.3">
      <c r="A13" s="9" t="s">
        <v>13</v>
      </c>
      <c r="B13" s="3" t="str">
        <f>_xlfn.XLOOKUP(B6,'report B_Project'!B:B,'report B_Project'!N:N,"niet bekend ")</f>
        <v>Pim de Burger</v>
      </c>
      <c r="C13" s="21"/>
      <c r="D13" t="s">
        <v>14</v>
      </c>
      <c r="E13">
        <f>_xlfn.XLOOKUP(B13,Lijsten!N:N,Lijsten!O:O,"niet bekend")</f>
        <v>25955</v>
      </c>
    </row>
    <row r="14" spans="1:11" x14ac:dyDescent="0.3">
      <c r="A14" s="32" t="s">
        <v>15</v>
      </c>
      <c r="B14" s="3" t="str">
        <f>_xlfn.XLOOKUP(B6,'report B_Project'!B:B,'report B_Project'!P:P,"niet bekend ")</f>
        <v>Roel Bakker</v>
      </c>
      <c r="C14" s="21"/>
      <c r="D14" t="s">
        <v>14</v>
      </c>
      <c r="E14" t="str">
        <f>_xlfn.XLOOKUP(B14,Lijsten!Q:Q,Lijsten!R:R,"niet bekend")</f>
        <v>niet bekend</v>
      </c>
    </row>
    <row r="15" spans="1:11" x14ac:dyDescent="0.3">
      <c r="A15" s="32" t="s">
        <v>16</v>
      </c>
      <c r="B15" s="3" t="str">
        <f>_xlfn.XLOOKUP(B6,'report B_Project'!B:B,'report B_Project'!R:R,"niet bekend ")</f>
        <v>George Pavel</v>
      </c>
      <c r="C15" s="21"/>
      <c r="D15" t="s">
        <v>14</v>
      </c>
      <c r="E15">
        <f>_xlfn.XLOOKUP(B15,Lijsten!K:K,Lijsten!L:L,"niet bekend")</f>
        <v>2061</v>
      </c>
    </row>
    <row r="16" spans="1:11" x14ac:dyDescent="0.3">
      <c r="A16" s="9" t="s">
        <v>17</v>
      </c>
      <c r="B16" s="3" t="str">
        <f>_xlfn.XLOOKUP(B6,'report B_Project'!B:B,'report B_Project'!S:S,"niet bekend")</f>
        <v>AUT-POC</v>
      </c>
    </row>
    <row r="18" spans="1:19" x14ac:dyDescent="0.3">
      <c r="A18" s="9" t="s">
        <v>18</v>
      </c>
      <c r="B18" s="3" t="s">
        <v>217</v>
      </c>
      <c r="C18" s="21"/>
    </row>
    <row r="19" spans="1:19" x14ac:dyDescent="0.3">
      <c r="A19" s="9" t="s">
        <v>20</v>
      </c>
      <c r="B19" s="3">
        <v>7040</v>
      </c>
      <c r="C19" s="21"/>
    </row>
    <row r="20" spans="1:19" x14ac:dyDescent="0.3">
      <c r="A20" s="9" t="s">
        <v>21</v>
      </c>
      <c r="B20" s="3"/>
      <c r="C20" s="21"/>
    </row>
    <row r="21" spans="1:19" x14ac:dyDescent="0.3">
      <c r="A21" s="9" t="s">
        <v>22</v>
      </c>
      <c r="B21" s="3"/>
      <c r="C21" s="21"/>
    </row>
    <row r="22" spans="1:19" x14ac:dyDescent="0.3">
      <c r="A22" s="9" t="s">
        <v>23</v>
      </c>
      <c r="B22" s="3" t="s">
        <v>24</v>
      </c>
      <c r="C22" s="21"/>
    </row>
    <row r="23" spans="1:19" x14ac:dyDescent="0.3">
      <c r="A23" s="9"/>
      <c r="B23" s="9"/>
      <c r="C23" s="9"/>
    </row>
    <row r="24" spans="1:19" x14ac:dyDescent="0.3">
      <c r="A24" s="32" t="s">
        <v>25</v>
      </c>
      <c r="B24" s="3">
        <v>10021301</v>
      </c>
      <c r="C24" s="9"/>
    </row>
    <row r="25" spans="1:19" x14ac:dyDescent="0.3">
      <c r="A25" s="32" t="s">
        <v>26</v>
      </c>
      <c r="B25" s="3" t="s">
        <v>27</v>
      </c>
      <c r="C25" s="9"/>
    </row>
    <row r="26" spans="1:19" x14ac:dyDescent="0.3">
      <c r="A26" s="32" t="s">
        <v>28</v>
      </c>
      <c r="B26" s="3">
        <v>2000000</v>
      </c>
      <c r="C26" s="9"/>
      <c r="G26" s="2" t="s">
        <v>29</v>
      </c>
      <c r="H26" s="2" t="s">
        <v>30</v>
      </c>
      <c r="I26" s="2" t="s">
        <v>31</v>
      </c>
      <c r="J26" s="2" t="s">
        <v>32</v>
      </c>
      <c r="K26" s="2" t="s">
        <v>33</v>
      </c>
      <c r="L26" s="2" t="s">
        <v>34</v>
      </c>
      <c r="M26" s="2" t="s">
        <v>35</v>
      </c>
      <c r="N26" s="2" t="s">
        <v>36</v>
      </c>
      <c r="O26" s="2" t="s">
        <v>37</v>
      </c>
      <c r="P26" s="2" t="s">
        <v>38</v>
      </c>
      <c r="Q26" s="2" t="s">
        <v>39</v>
      </c>
      <c r="R26" s="2" t="s">
        <v>40</v>
      </c>
      <c r="S26" s="2" t="s">
        <v>41</v>
      </c>
    </row>
    <row r="27" spans="1:19" x14ac:dyDescent="0.3">
      <c r="F27" t="s">
        <v>42</v>
      </c>
      <c r="G27" s="24">
        <f>1/12</f>
        <v>8.3333333333333329E-2</v>
      </c>
      <c r="H27" s="24">
        <f t="shared" ref="H27:R27" si="0">1/12</f>
        <v>8.3333333333333329E-2</v>
      </c>
      <c r="I27" s="24">
        <f t="shared" si="0"/>
        <v>8.3333333333333329E-2</v>
      </c>
      <c r="J27" s="24">
        <f t="shared" si="0"/>
        <v>8.3333333333333329E-2</v>
      </c>
      <c r="K27" s="24">
        <f t="shared" si="0"/>
        <v>8.3333333333333329E-2</v>
      </c>
      <c r="L27" s="24">
        <f t="shared" si="0"/>
        <v>8.3333333333333329E-2</v>
      </c>
      <c r="M27" s="24">
        <f t="shared" si="0"/>
        <v>8.3333333333333329E-2</v>
      </c>
      <c r="N27" s="24">
        <f t="shared" si="0"/>
        <v>8.3333333333333329E-2</v>
      </c>
      <c r="O27" s="24">
        <f t="shared" si="0"/>
        <v>8.3333333333333329E-2</v>
      </c>
      <c r="P27" s="24">
        <f t="shared" si="0"/>
        <v>8.3333333333333329E-2</v>
      </c>
      <c r="Q27" s="24">
        <f t="shared" si="0"/>
        <v>8.3333333333333329E-2</v>
      </c>
      <c r="R27" s="24">
        <f t="shared" si="0"/>
        <v>8.3333333333333329E-2</v>
      </c>
      <c r="S27" s="7">
        <f>SUM(G27:R27)</f>
        <v>1</v>
      </c>
    </row>
    <row r="28" spans="1:19" x14ac:dyDescent="0.3">
      <c r="A28" t="s">
        <v>43</v>
      </c>
      <c r="C28" t="s">
        <v>44</v>
      </c>
      <c r="G28" s="6">
        <f>G27</f>
        <v>8.3333333333333329E-2</v>
      </c>
      <c r="H28" s="6">
        <f t="shared" ref="H28:R28" si="1">H27</f>
        <v>8.3333333333333329E-2</v>
      </c>
      <c r="I28" s="6">
        <f t="shared" si="1"/>
        <v>8.3333333333333329E-2</v>
      </c>
      <c r="J28" s="6">
        <f t="shared" si="1"/>
        <v>8.3333333333333329E-2</v>
      </c>
      <c r="K28" s="6">
        <f t="shared" si="1"/>
        <v>8.3333333333333329E-2</v>
      </c>
      <c r="L28" s="6">
        <f t="shared" si="1"/>
        <v>8.3333333333333329E-2</v>
      </c>
      <c r="M28" s="6">
        <f t="shared" si="1"/>
        <v>8.3333333333333329E-2</v>
      </c>
      <c r="N28" s="6">
        <f t="shared" si="1"/>
        <v>8.3333333333333329E-2</v>
      </c>
      <c r="O28" s="6">
        <f t="shared" si="1"/>
        <v>8.3333333333333329E-2</v>
      </c>
      <c r="P28" s="6">
        <f t="shared" si="1"/>
        <v>8.3333333333333329E-2</v>
      </c>
      <c r="Q28" s="6">
        <f t="shared" si="1"/>
        <v>8.3333333333333329E-2</v>
      </c>
      <c r="R28" s="6">
        <f t="shared" si="1"/>
        <v>8.3333333333333329E-2</v>
      </c>
      <c r="S28" s="7">
        <f>SUM(G28:R28)</f>
        <v>1</v>
      </c>
    </row>
    <row r="30" spans="1:19" x14ac:dyDescent="0.3">
      <c r="A30" s="2" t="s">
        <v>45</v>
      </c>
      <c r="B30" s="2" t="s">
        <v>46</v>
      </c>
      <c r="C30" s="2" t="s">
        <v>47</v>
      </c>
      <c r="D30" s="2" t="s">
        <v>48</v>
      </c>
      <c r="E30" s="2" t="s">
        <v>49</v>
      </c>
      <c r="F30" s="2" t="s">
        <v>50</v>
      </c>
      <c r="G30" s="2" t="s">
        <v>29</v>
      </c>
      <c r="H30" s="2" t="s">
        <v>30</v>
      </c>
      <c r="I30" s="2" t="s">
        <v>31</v>
      </c>
      <c r="J30" s="2" t="s">
        <v>32</v>
      </c>
      <c r="K30" s="2" t="s">
        <v>33</v>
      </c>
      <c r="L30" s="2" t="s">
        <v>34</v>
      </c>
      <c r="M30" s="2" t="s">
        <v>35</v>
      </c>
      <c r="N30" s="2" t="s">
        <v>36</v>
      </c>
      <c r="O30" s="2" t="s">
        <v>37</v>
      </c>
      <c r="P30" s="2" t="s">
        <v>38</v>
      </c>
      <c r="Q30" s="2" t="s">
        <v>39</v>
      </c>
      <c r="R30" s="2" t="s">
        <v>40</v>
      </c>
      <c r="S30" s="2" t="s">
        <v>41</v>
      </c>
    </row>
    <row r="31" spans="1:19" x14ac:dyDescent="0.3">
      <c r="A31" s="11" t="s">
        <v>51</v>
      </c>
      <c r="B31" s="11" t="s">
        <v>52</v>
      </c>
      <c r="C31" s="11" t="s">
        <v>53</v>
      </c>
      <c r="D31" s="4">
        <f>_xlfn.XLOOKUP(B31,'report B_CategorieBoekjaar'!H:H,'report B_CategorieBoekjaar'!F:F,0)</f>
        <v>81</v>
      </c>
      <c r="E31" s="4">
        <f>F31*D31</f>
        <v>0</v>
      </c>
      <c r="F31" s="33"/>
      <c r="G31" s="8">
        <f t="shared" ref="G31:R54" si="2">$E31*G$28</f>
        <v>0</v>
      </c>
      <c r="H31" s="8">
        <f>$E31*H$28</f>
        <v>0</v>
      </c>
      <c r="I31" s="8">
        <f t="shared" ref="H31:R46" si="3">$E31*I$28</f>
        <v>0</v>
      </c>
      <c r="J31" s="8">
        <f t="shared" si="3"/>
        <v>0</v>
      </c>
      <c r="K31" s="8">
        <f t="shared" si="3"/>
        <v>0</v>
      </c>
      <c r="L31" s="8">
        <f t="shared" si="3"/>
        <v>0</v>
      </c>
      <c r="M31" s="8">
        <f t="shared" si="3"/>
        <v>0</v>
      </c>
      <c r="N31" s="8">
        <f t="shared" si="3"/>
        <v>0</v>
      </c>
      <c r="O31" s="8">
        <f t="shared" si="3"/>
        <v>0</v>
      </c>
      <c r="P31" s="8">
        <f t="shared" si="3"/>
        <v>0</v>
      </c>
      <c r="Q31" s="8">
        <f t="shared" si="3"/>
        <v>0</v>
      </c>
      <c r="R31" s="8">
        <f t="shared" si="3"/>
        <v>0</v>
      </c>
      <c r="S31" s="8">
        <f>E31-SUM(G31:R31)</f>
        <v>0</v>
      </c>
    </row>
    <row r="32" spans="1:19" x14ac:dyDescent="0.3">
      <c r="A32" s="11" t="s">
        <v>51</v>
      </c>
      <c r="B32" s="11" t="s">
        <v>54</v>
      </c>
      <c r="C32" s="11" t="s">
        <v>55</v>
      </c>
      <c r="D32" s="4">
        <f>_xlfn.XLOOKUP(B32,'report B_CategorieBoekjaar'!H:H,'report B_CategorieBoekjaar'!F:F,0)</f>
        <v>64</v>
      </c>
      <c r="E32" s="4">
        <f t="shared" ref="E32:E83" si="4">F32*D32</f>
        <v>0</v>
      </c>
      <c r="F32" s="33"/>
      <c r="G32" s="8">
        <f t="shared" si="2"/>
        <v>0</v>
      </c>
      <c r="H32" s="8">
        <f t="shared" si="3"/>
        <v>0</v>
      </c>
      <c r="I32" s="8">
        <f t="shared" si="3"/>
        <v>0</v>
      </c>
      <c r="J32" s="8">
        <f t="shared" si="3"/>
        <v>0</v>
      </c>
      <c r="K32" s="8">
        <f t="shared" si="3"/>
        <v>0</v>
      </c>
      <c r="L32" s="8">
        <f t="shared" si="3"/>
        <v>0</v>
      </c>
      <c r="M32" s="8">
        <f t="shared" si="3"/>
        <v>0</v>
      </c>
      <c r="N32" s="8">
        <f t="shared" si="3"/>
        <v>0</v>
      </c>
      <c r="O32" s="8">
        <f t="shared" si="3"/>
        <v>0</v>
      </c>
      <c r="P32" s="8">
        <f t="shared" si="3"/>
        <v>0</v>
      </c>
      <c r="Q32" s="8">
        <f t="shared" si="3"/>
        <v>0</v>
      </c>
      <c r="R32" s="8">
        <f t="shared" si="3"/>
        <v>0</v>
      </c>
      <c r="S32" s="8">
        <f t="shared" ref="S32:S83" si="5">E32-SUM(G32:R32)</f>
        <v>0</v>
      </c>
    </row>
    <row r="33" spans="1:19" x14ac:dyDescent="0.3">
      <c r="A33" s="11" t="s">
        <v>51</v>
      </c>
      <c r="B33" s="11" t="s">
        <v>56</v>
      </c>
      <c r="C33" s="11" t="s">
        <v>57</v>
      </c>
      <c r="D33" s="4">
        <f>_xlfn.XLOOKUP(B33,'report B_CategorieBoekjaar'!H:H,'report B_CategorieBoekjaar'!F:F,0)</f>
        <v>80</v>
      </c>
      <c r="E33" s="4">
        <f t="shared" si="4"/>
        <v>0</v>
      </c>
      <c r="F33" s="33"/>
      <c r="G33" s="8">
        <f t="shared" si="2"/>
        <v>0</v>
      </c>
      <c r="H33" s="8">
        <f t="shared" si="3"/>
        <v>0</v>
      </c>
      <c r="I33" s="8">
        <f t="shared" si="3"/>
        <v>0</v>
      </c>
      <c r="J33" s="8">
        <f t="shared" si="3"/>
        <v>0</v>
      </c>
      <c r="K33" s="8">
        <f t="shared" si="3"/>
        <v>0</v>
      </c>
      <c r="L33" s="8">
        <f t="shared" si="3"/>
        <v>0</v>
      </c>
      <c r="M33" s="8">
        <f t="shared" si="3"/>
        <v>0</v>
      </c>
      <c r="N33" s="8">
        <f t="shared" si="3"/>
        <v>0</v>
      </c>
      <c r="O33" s="8">
        <f t="shared" si="3"/>
        <v>0</v>
      </c>
      <c r="P33" s="8">
        <f t="shared" si="3"/>
        <v>0</v>
      </c>
      <c r="Q33" s="8">
        <f t="shared" si="3"/>
        <v>0</v>
      </c>
      <c r="R33" s="8">
        <f t="shared" si="3"/>
        <v>0</v>
      </c>
      <c r="S33" s="8">
        <f t="shared" si="5"/>
        <v>0</v>
      </c>
    </row>
    <row r="34" spans="1:19" x14ac:dyDescent="0.3">
      <c r="A34" s="11" t="s">
        <v>51</v>
      </c>
      <c r="B34" s="11" t="s">
        <v>58</v>
      </c>
      <c r="C34" s="11" t="s">
        <v>59</v>
      </c>
      <c r="D34" s="4">
        <f>_xlfn.XLOOKUP(B34,'report B_CategorieBoekjaar'!H:H,'report B_CategorieBoekjaar'!F:F,0)</f>
        <v>64</v>
      </c>
      <c r="E34" s="4">
        <f t="shared" si="4"/>
        <v>0</v>
      </c>
      <c r="F34" s="33"/>
      <c r="G34" s="8">
        <f t="shared" si="2"/>
        <v>0</v>
      </c>
      <c r="H34" s="8">
        <f t="shared" si="3"/>
        <v>0</v>
      </c>
      <c r="I34" s="8">
        <f t="shared" si="3"/>
        <v>0</v>
      </c>
      <c r="J34" s="8">
        <f t="shared" si="3"/>
        <v>0</v>
      </c>
      <c r="K34" s="8">
        <f t="shared" si="3"/>
        <v>0</v>
      </c>
      <c r="L34" s="8">
        <f t="shared" si="3"/>
        <v>0</v>
      </c>
      <c r="M34" s="8">
        <f t="shared" si="3"/>
        <v>0</v>
      </c>
      <c r="N34" s="8">
        <f t="shared" si="3"/>
        <v>0</v>
      </c>
      <c r="O34" s="8">
        <f t="shared" si="3"/>
        <v>0</v>
      </c>
      <c r="P34" s="8">
        <f t="shared" si="3"/>
        <v>0</v>
      </c>
      <c r="Q34" s="8">
        <f t="shared" si="3"/>
        <v>0</v>
      </c>
      <c r="R34" s="8">
        <f t="shared" si="3"/>
        <v>0</v>
      </c>
      <c r="S34" s="8">
        <f t="shared" si="5"/>
        <v>0</v>
      </c>
    </row>
    <row r="35" spans="1:19" x14ac:dyDescent="0.3">
      <c r="A35" s="11" t="s">
        <v>51</v>
      </c>
      <c r="B35" s="11" t="s">
        <v>60</v>
      </c>
      <c r="C35" s="11" t="s">
        <v>61</v>
      </c>
      <c r="D35" s="4">
        <f>_xlfn.XLOOKUP(B35,'report B_CategorieBoekjaar'!H:H,'report B_CategorieBoekjaar'!F:F,0)</f>
        <v>77</v>
      </c>
      <c r="E35" s="4">
        <f t="shared" si="4"/>
        <v>0</v>
      </c>
      <c r="F35" s="33"/>
      <c r="G35" s="8">
        <f t="shared" si="2"/>
        <v>0</v>
      </c>
      <c r="H35" s="8">
        <f t="shared" si="3"/>
        <v>0</v>
      </c>
      <c r="I35" s="8">
        <f t="shared" si="3"/>
        <v>0</v>
      </c>
      <c r="J35" s="8">
        <f t="shared" si="3"/>
        <v>0</v>
      </c>
      <c r="K35" s="8">
        <f t="shared" si="3"/>
        <v>0</v>
      </c>
      <c r="L35" s="8">
        <f t="shared" si="3"/>
        <v>0</v>
      </c>
      <c r="M35" s="8">
        <f t="shared" si="3"/>
        <v>0</v>
      </c>
      <c r="N35" s="8">
        <f t="shared" si="3"/>
        <v>0</v>
      </c>
      <c r="O35" s="8">
        <f t="shared" si="3"/>
        <v>0</v>
      </c>
      <c r="P35" s="8">
        <f t="shared" si="3"/>
        <v>0</v>
      </c>
      <c r="Q35" s="8">
        <f t="shared" si="3"/>
        <v>0</v>
      </c>
      <c r="R35" s="8">
        <f t="shared" si="3"/>
        <v>0</v>
      </c>
      <c r="S35" s="8">
        <f t="shared" si="5"/>
        <v>0</v>
      </c>
    </row>
    <row r="36" spans="1:19" x14ac:dyDescent="0.3">
      <c r="A36" s="11" t="s">
        <v>51</v>
      </c>
      <c r="B36" s="11" t="s">
        <v>62</v>
      </c>
      <c r="C36" s="11" t="s">
        <v>63</v>
      </c>
      <c r="D36" s="4">
        <f>_xlfn.XLOOKUP(B36,'report B_CategorieBoekjaar'!H:H,'report B_CategorieBoekjaar'!F:F,0)</f>
        <v>56</v>
      </c>
      <c r="E36" s="4">
        <f t="shared" si="4"/>
        <v>0</v>
      </c>
      <c r="F36" s="33"/>
      <c r="G36" s="8">
        <f t="shared" si="2"/>
        <v>0</v>
      </c>
      <c r="H36" s="8">
        <f t="shared" si="3"/>
        <v>0</v>
      </c>
      <c r="I36" s="8">
        <f t="shared" si="3"/>
        <v>0</v>
      </c>
      <c r="J36" s="8">
        <f t="shared" si="3"/>
        <v>0</v>
      </c>
      <c r="K36" s="8">
        <f t="shared" si="3"/>
        <v>0</v>
      </c>
      <c r="L36" s="8">
        <f t="shared" si="3"/>
        <v>0</v>
      </c>
      <c r="M36" s="8">
        <f t="shared" si="3"/>
        <v>0</v>
      </c>
      <c r="N36" s="8">
        <f t="shared" si="3"/>
        <v>0</v>
      </c>
      <c r="O36" s="8">
        <f t="shared" si="3"/>
        <v>0</v>
      </c>
      <c r="P36" s="8">
        <f t="shared" si="3"/>
        <v>0</v>
      </c>
      <c r="Q36" s="8">
        <f t="shared" si="3"/>
        <v>0</v>
      </c>
      <c r="R36" s="8">
        <f t="shared" si="3"/>
        <v>0</v>
      </c>
      <c r="S36" s="8">
        <f t="shared" si="5"/>
        <v>0</v>
      </c>
    </row>
    <row r="37" spans="1:19" x14ac:dyDescent="0.3">
      <c r="A37" s="11" t="s">
        <v>51</v>
      </c>
      <c r="B37" s="11" t="s">
        <v>64</v>
      </c>
      <c r="C37" s="11" t="s">
        <v>65</v>
      </c>
      <c r="D37" s="4">
        <f>_xlfn.XLOOKUP(B37,'report B_CategorieBoekjaar'!H:H,'report B_CategorieBoekjaar'!F:F,0)</f>
        <v>50</v>
      </c>
      <c r="E37" s="4">
        <f>F37*D37</f>
        <v>0</v>
      </c>
      <c r="F37" s="33"/>
      <c r="G37" s="8">
        <f t="shared" si="2"/>
        <v>0</v>
      </c>
      <c r="H37" s="8">
        <f t="shared" si="3"/>
        <v>0</v>
      </c>
      <c r="I37" s="8">
        <f t="shared" si="3"/>
        <v>0</v>
      </c>
      <c r="J37" s="8">
        <f t="shared" si="3"/>
        <v>0</v>
      </c>
      <c r="K37" s="8">
        <f t="shared" si="3"/>
        <v>0</v>
      </c>
      <c r="L37" s="8">
        <f t="shared" si="3"/>
        <v>0</v>
      </c>
      <c r="M37" s="8">
        <f t="shared" si="3"/>
        <v>0</v>
      </c>
      <c r="N37" s="8">
        <f t="shared" si="3"/>
        <v>0</v>
      </c>
      <c r="O37" s="8">
        <f t="shared" si="3"/>
        <v>0</v>
      </c>
      <c r="P37" s="8">
        <f t="shared" si="3"/>
        <v>0</v>
      </c>
      <c r="Q37" s="8">
        <f t="shared" si="3"/>
        <v>0</v>
      </c>
      <c r="R37" s="8">
        <f t="shared" si="3"/>
        <v>0</v>
      </c>
      <c r="S37" s="8">
        <f t="shared" si="5"/>
        <v>0</v>
      </c>
    </row>
    <row r="38" spans="1:19" x14ac:dyDescent="0.3">
      <c r="A38" s="11" t="s">
        <v>51</v>
      </c>
      <c r="B38" s="11" t="s">
        <v>66</v>
      </c>
      <c r="C38" s="11" t="s">
        <v>67</v>
      </c>
      <c r="D38" s="4">
        <f>_xlfn.XLOOKUP(B38,'report B_CategorieBoekjaar'!H:H,'report B_CategorieBoekjaar'!F:F,0)</f>
        <v>87</v>
      </c>
      <c r="E38" s="4">
        <f>F38*D38</f>
        <v>0</v>
      </c>
      <c r="F38" s="33"/>
      <c r="G38" s="8">
        <f t="shared" si="2"/>
        <v>0</v>
      </c>
      <c r="H38" s="8">
        <f t="shared" si="3"/>
        <v>0</v>
      </c>
      <c r="I38" s="8">
        <f t="shared" si="3"/>
        <v>0</v>
      </c>
      <c r="J38" s="8">
        <f t="shared" si="3"/>
        <v>0</v>
      </c>
      <c r="K38" s="8">
        <f t="shared" si="3"/>
        <v>0</v>
      </c>
      <c r="L38" s="8">
        <f t="shared" si="3"/>
        <v>0</v>
      </c>
      <c r="M38" s="8">
        <f t="shared" si="3"/>
        <v>0</v>
      </c>
      <c r="N38" s="8">
        <f t="shared" si="3"/>
        <v>0</v>
      </c>
      <c r="O38" s="8">
        <f t="shared" si="3"/>
        <v>0</v>
      </c>
      <c r="P38" s="8">
        <f t="shared" si="3"/>
        <v>0</v>
      </c>
      <c r="Q38" s="8">
        <f t="shared" si="3"/>
        <v>0</v>
      </c>
      <c r="R38" s="8">
        <f t="shared" si="3"/>
        <v>0</v>
      </c>
      <c r="S38" s="8">
        <f t="shared" si="5"/>
        <v>0</v>
      </c>
    </row>
    <row r="39" spans="1:19" x14ac:dyDescent="0.3">
      <c r="A39" s="11" t="s">
        <v>51</v>
      </c>
      <c r="B39" s="11" t="s">
        <v>68</v>
      </c>
      <c r="C39" s="11" t="s">
        <v>69</v>
      </c>
      <c r="D39" s="4">
        <f>_xlfn.XLOOKUP(B39,'report B_CategorieBoekjaar'!H:H,'report B_CategorieBoekjaar'!F:F,0)</f>
        <v>56</v>
      </c>
      <c r="E39" s="4">
        <f t="shared" si="4"/>
        <v>0</v>
      </c>
      <c r="F39" s="33"/>
      <c r="G39" s="8">
        <f t="shared" si="2"/>
        <v>0</v>
      </c>
      <c r="H39" s="8">
        <f t="shared" si="3"/>
        <v>0</v>
      </c>
      <c r="I39" s="8">
        <f t="shared" si="3"/>
        <v>0</v>
      </c>
      <c r="J39" s="8">
        <f t="shared" si="3"/>
        <v>0</v>
      </c>
      <c r="K39" s="8">
        <f t="shared" si="3"/>
        <v>0</v>
      </c>
      <c r="L39" s="8">
        <f t="shared" si="3"/>
        <v>0</v>
      </c>
      <c r="M39" s="8">
        <f t="shared" si="3"/>
        <v>0</v>
      </c>
      <c r="N39" s="8">
        <f t="shared" si="3"/>
        <v>0</v>
      </c>
      <c r="O39" s="8">
        <f t="shared" si="3"/>
        <v>0</v>
      </c>
      <c r="P39" s="8">
        <f t="shared" si="3"/>
        <v>0</v>
      </c>
      <c r="Q39" s="8">
        <f t="shared" si="3"/>
        <v>0</v>
      </c>
      <c r="R39" s="8">
        <f t="shared" si="3"/>
        <v>0</v>
      </c>
      <c r="S39" s="8">
        <f t="shared" si="5"/>
        <v>0</v>
      </c>
    </row>
    <row r="40" spans="1:19" x14ac:dyDescent="0.3">
      <c r="A40" s="11" t="s">
        <v>51</v>
      </c>
      <c r="B40" s="11" t="s">
        <v>70</v>
      </c>
      <c r="C40" s="11" t="s">
        <v>71</v>
      </c>
      <c r="D40" s="4">
        <f>_xlfn.XLOOKUP(B40,'report B_CategorieBoekjaar'!H:H,'report B_CategorieBoekjaar'!F:F,0)</f>
        <v>46</v>
      </c>
      <c r="E40" s="4">
        <f t="shared" si="4"/>
        <v>0</v>
      </c>
      <c r="F40" s="33"/>
      <c r="G40" s="8">
        <f t="shared" si="2"/>
        <v>0</v>
      </c>
      <c r="H40" s="8">
        <f t="shared" si="3"/>
        <v>0</v>
      </c>
      <c r="I40" s="8">
        <f t="shared" si="3"/>
        <v>0</v>
      </c>
      <c r="J40" s="8">
        <f t="shared" si="3"/>
        <v>0</v>
      </c>
      <c r="K40" s="8">
        <f t="shared" si="3"/>
        <v>0</v>
      </c>
      <c r="L40" s="8">
        <f t="shared" si="3"/>
        <v>0</v>
      </c>
      <c r="M40" s="8">
        <f t="shared" si="3"/>
        <v>0</v>
      </c>
      <c r="N40" s="8">
        <f t="shared" si="3"/>
        <v>0</v>
      </c>
      <c r="O40" s="8">
        <f t="shared" si="3"/>
        <v>0</v>
      </c>
      <c r="P40" s="8">
        <f t="shared" si="3"/>
        <v>0</v>
      </c>
      <c r="Q40" s="8">
        <f t="shared" si="3"/>
        <v>0</v>
      </c>
      <c r="R40" s="8">
        <f t="shared" si="3"/>
        <v>0</v>
      </c>
      <c r="S40" s="8">
        <f t="shared" si="5"/>
        <v>0</v>
      </c>
    </row>
    <row r="41" spans="1:19" x14ac:dyDescent="0.3">
      <c r="A41" s="11" t="s">
        <v>51</v>
      </c>
      <c r="B41" s="11" t="s">
        <v>72</v>
      </c>
      <c r="C41" s="11" t="s">
        <v>73</v>
      </c>
      <c r="D41" s="4">
        <f>_xlfn.XLOOKUP(B41,'report B_CategorieBoekjaar'!H:H,'report B_CategorieBoekjaar'!F:F,0)</f>
        <v>63</v>
      </c>
      <c r="E41" s="4">
        <f t="shared" si="4"/>
        <v>0</v>
      </c>
      <c r="F41" s="33"/>
      <c r="G41" s="8">
        <f t="shared" si="2"/>
        <v>0</v>
      </c>
      <c r="H41" s="8">
        <f t="shared" si="3"/>
        <v>0</v>
      </c>
      <c r="I41" s="8">
        <f t="shared" si="3"/>
        <v>0</v>
      </c>
      <c r="J41" s="8">
        <f t="shared" si="3"/>
        <v>0</v>
      </c>
      <c r="K41" s="8">
        <f t="shared" si="3"/>
        <v>0</v>
      </c>
      <c r="L41" s="8">
        <f t="shared" si="3"/>
        <v>0</v>
      </c>
      <c r="M41" s="8">
        <f t="shared" si="3"/>
        <v>0</v>
      </c>
      <c r="N41" s="8">
        <f t="shared" si="3"/>
        <v>0</v>
      </c>
      <c r="O41" s="8">
        <f t="shared" si="3"/>
        <v>0</v>
      </c>
      <c r="P41" s="8">
        <f t="shared" si="3"/>
        <v>0</v>
      </c>
      <c r="Q41" s="8">
        <f t="shared" si="3"/>
        <v>0</v>
      </c>
      <c r="R41" s="8">
        <f t="shared" si="3"/>
        <v>0</v>
      </c>
      <c r="S41" s="8">
        <f t="shared" si="5"/>
        <v>0</v>
      </c>
    </row>
    <row r="42" spans="1:19" x14ac:dyDescent="0.3">
      <c r="A42" s="11" t="s">
        <v>51</v>
      </c>
      <c r="B42" s="11" t="s">
        <v>74</v>
      </c>
      <c r="C42" s="11" t="s">
        <v>75</v>
      </c>
      <c r="D42" s="4">
        <f>_xlfn.XLOOKUP(B42,'report B_CategorieBoekjaar'!H:H,'report B_CategorieBoekjaar'!F:F,0)</f>
        <v>50</v>
      </c>
      <c r="E42" s="4">
        <f t="shared" si="4"/>
        <v>0</v>
      </c>
      <c r="F42" s="33"/>
      <c r="G42" s="8">
        <f t="shared" si="2"/>
        <v>0</v>
      </c>
      <c r="H42" s="8">
        <f t="shared" si="3"/>
        <v>0</v>
      </c>
      <c r="I42" s="8">
        <f t="shared" si="3"/>
        <v>0</v>
      </c>
      <c r="J42" s="8">
        <f t="shared" si="3"/>
        <v>0</v>
      </c>
      <c r="K42" s="8">
        <f t="shared" si="3"/>
        <v>0</v>
      </c>
      <c r="L42" s="8">
        <f t="shared" si="3"/>
        <v>0</v>
      </c>
      <c r="M42" s="8">
        <f t="shared" si="3"/>
        <v>0</v>
      </c>
      <c r="N42" s="8">
        <f t="shared" si="3"/>
        <v>0</v>
      </c>
      <c r="O42" s="8">
        <f t="shared" si="3"/>
        <v>0</v>
      </c>
      <c r="P42" s="8">
        <f t="shared" si="3"/>
        <v>0</v>
      </c>
      <c r="Q42" s="8">
        <f t="shared" si="3"/>
        <v>0</v>
      </c>
      <c r="R42" s="8">
        <f t="shared" si="3"/>
        <v>0</v>
      </c>
      <c r="S42" s="8">
        <f t="shared" si="5"/>
        <v>0</v>
      </c>
    </row>
    <row r="43" spans="1:19" x14ac:dyDescent="0.3">
      <c r="A43" s="11" t="s">
        <v>51</v>
      </c>
      <c r="B43" s="11" t="s">
        <v>76</v>
      </c>
      <c r="C43" s="11" t="s">
        <v>77</v>
      </c>
      <c r="D43" s="4">
        <f>_xlfn.XLOOKUP(B43,'report B_CategorieBoekjaar'!H:H,'report B_CategorieBoekjaar'!F:F,0)</f>
        <v>87</v>
      </c>
      <c r="E43" s="4">
        <f t="shared" si="4"/>
        <v>0</v>
      </c>
      <c r="F43" s="33"/>
      <c r="G43" s="8">
        <f t="shared" si="2"/>
        <v>0</v>
      </c>
      <c r="H43" s="8">
        <f t="shared" si="3"/>
        <v>0</v>
      </c>
      <c r="I43" s="8">
        <f t="shared" si="3"/>
        <v>0</v>
      </c>
      <c r="J43" s="8">
        <f t="shared" si="3"/>
        <v>0</v>
      </c>
      <c r="K43" s="8">
        <f t="shared" si="3"/>
        <v>0</v>
      </c>
      <c r="L43" s="8">
        <f t="shared" si="3"/>
        <v>0</v>
      </c>
      <c r="M43" s="8">
        <f t="shared" si="3"/>
        <v>0</v>
      </c>
      <c r="N43" s="8">
        <f t="shared" si="3"/>
        <v>0</v>
      </c>
      <c r="O43" s="8">
        <f t="shared" si="3"/>
        <v>0</v>
      </c>
      <c r="P43" s="8">
        <f t="shared" si="3"/>
        <v>0</v>
      </c>
      <c r="Q43" s="8">
        <f t="shared" si="3"/>
        <v>0</v>
      </c>
      <c r="R43" s="8">
        <f t="shared" si="3"/>
        <v>0</v>
      </c>
      <c r="S43" s="8">
        <f t="shared" si="5"/>
        <v>0</v>
      </c>
    </row>
    <row r="44" spans="1:19" x14ac:dyDescent="0.3">
      <c r="A44" s="11" t="s">
        <v>51</v>
      </c>
      <c r="B44" s="11" t="s">
        <v>78</v>
      </c>
      <c r="C44" s="11" t="s">
        <v>79</v>
      </c>
      <c r="D44" s="4">
        <f>_xlfn.XLOOKUP(B44,'report B_CategorieBoekjaar'!H:H,'report B_CategorieBoekjaar'!F:F,0)</f>
        <v>76</v>
      </c>
      <c r="E44" s="4">
        <f t="shared" si="4"/>
        <v>0</v>
      </c>
      <c r="F44" s="33"/>
      <c r="G44" s="8">
        <f t="shared" si="2"/>
        <v>0</v>
      </c>
      <c r="H44" s="8">
        <f t="shared" si="3"/>
        <v>0</v>
      </c>
      <c r="I44" s="8">
        <f t="shared" si="3"/>
        <v>0</v>
      </c>
      <c r="J44" s="8">
        <f t="shared" si="3"/>
        <v>0</v>
      </c>
      <c r="K44" s="8">
        <f t="shared" si="3"/>
        <v>0</v>
      </c>
      <c r="L44" s="8">
        <f t="shared" si="3"/>
        <v>0</v>
      </c>
      <c r="M44" s="8">
        <f t="shared" si="3"/>
        <v>0</v>
      </c>
      <c r="N44" s="8">
        <f t="shared" si="3"/>
        <v>0</v>
      </c>
      <c r="O44" s="8">
        <f t="shared" si="3"/>
        <v>0</v>
      </c>
      <c r="P44" s="8">
        <f t="shared" si="3"/>
        <v>0</v>
      </c>
      <c r="Q44" s="8">
        <f t="shared" si="3"/>
        <v>0</v>
      </c>
      <c r="R44" s="8">
        <f t="shared" si="3"/>
        <v>0</v>
      </c>
      <c r="S44" s="8">
        <f t="shared" si="5"/>
        <v>0</v>
      </c>
    </row>
    <row r="45" spans="1:19" x14ac:dyDescent="0.3">
      <c r="A45" s="11" t="s">
        <v>51</v>
      </c>
      <c r="B45" s="11" t="s">
        <v>80</v>
      </c>
      <c r="C45" s="11" t="s">
        <v>81</v>
      </c>
      <c r="D45" s="4">
        <f>_xlfn.XLOOKUP(B45,'report B_CategorieBoekjaar'!H:H,'report B_CategorieBoekjaar'!F:F,0)</f>
        <v>95</v>
      </c>
      <c r="E45" s="4">
        <f t="shared" si="4"/>
        <v>0</v>
      </c>
      <c r="F45" s="33"/>
      <c r="G45" s="8">
        <f t="shared" si="2"/>
        <v>0</v>
      </c>
      <c r="H45" s="8">
        <f t="shared" si="3"/>
        <v>0</v>
      </c>
      <c r="I45" s="8">
        <f t="shared" si="3"/>
        <v>0</v>
      </c>
      <c r="J45" s="8">
        <f t="shared" si="3"/>
        <v>0</v>
      </c>
      <c r="K45" s="8">
        <f t="shared" si="3"/>
        <v>0</v>
      </c>
      <c r="L45" s="8">
        <f t="shared" si="3"/>
        <v>0</v>
      </c>
      <c r="M45" s="8">
        <f t="shared" si="3"/>
        <v>0</v>
      </c>
      <c r="N45" s="8">
        <f t="shared" si="3"/>
        <v>0</v>
      </c>
      <c r="O45" s="8">
        <f t="shared" si="3"/>
        <v>0</v>
      </c>
      <c r="P45" s="8">
        <f t="shared" si="3"/>
        <v>0</v>
      </c>
      <c r="Q45" s="8">
        <f t="shared" si="3"/>
        <v>0</v>
      </c>
      <c r="R45" s="8">
        <f t="shared" si="3"/>
        <v>0</v>
      </c>
      <c r="S45" s="8">
        <f t="shared" si="5"/>
        <v>0</v>
      </c>
    </row>
    <row r="46" spans="1:19" x14ac:dyDescent="0.3">
      <c r="A46" s="11" t="s">
        <v>51</v>
      </c>
      <c r="B46" s="11" t="s">
        <v>82</v>
      </c>
      <c r="C46" s="11" t="s">
        <v>83</v>
      </c>
      <c r="D46" s="4">
        <f>_xlfn.XLOOKUP(B46,'report B_CategorieBoekjaar'!H:H,'report B_CategorieBoekjaar'!F:F,0)</f>
        <v>84</v>
      </c>
      <c r="E46" s="4">
        <f t="shared" si="4"/>
        <v>0</v>
      </c>
      <c r="F46" s="33"/>
      <c r="G46" s="8">
        <f t="shared" si="2"/>
        <v>0</v>
      </c>
      <c r="H46" s="8">
        <f t="shared" si="3"/>
        <v>0</v>
      </c>
      <c r="I46" s="8">
        <f t="shared" si="3"/>
        <v>0</v>
      </c>
      <c r="J46" s="8">
        <f t="shared" si="3"/>
        <v>0</v>
      </c>
      <c r="K46" s="8">
        <f t="shared" si="3"/>
        <v>0</v>
      </c>
      <c r="L46" s="8">
        <f t="shared" si="3"/>
        <v>0</v>
      </c>
      <c r="M46" s="8">
        <f t="shared" si="3"/>
        <v>0</v>
      </c>
      <c r="N46" s="8">
        <f t="shared" si="3"/>
        <v>0</v>
      </c>
      <c r="O46" s="8">
        <f t="shared" si="3"/>
        <v>0</v>
      </c>
      <c r="P46" s="8">
        <f t="shared" si="3"/>
        <v>0</v>
      </c>
      <c r="Q46" s="8">
        <f t="shared" si="3"/>
        <v>0</v>
      </c>
      <c r="R46" s="8">
        <f t="shared" si="3"/>
        <v>0</v>
      </c>
      <c r="S46" s="8">
        <f t="shared" si="5"/>
        <v>0</v>
      </c>
    </row>
    <row r="47" spans="1:19" x14ac:dyDescent="0.3">
      <c r="A47" s="11" t="s">
        <v>51</v>
      </c>
      <c r="B47" s="11" t="s">
        <v>84</v>
      </c>
      <c r="C47" s="11" t="s">
        <v>85</v>
      </c>
      <c r="D47" s="4">
        <f>_xlfn.XLOOKUP(B47,'report B_CategorieBoekjaar'!H:H,'report B_CategorieBoekjaar'!F:F,0)</f>
        <v>70</v>
      </c>
      <c r="E47" s="4">
        <f t="shared" si="4"/>
        <v>0</v>
      </c>
      <c r="F47" s="33"/>
      <c r="G47" s="8">
        <f t="shared" si="2"/>
        <v>0</v>
      </c>
      <c r="H47" s="8">
        <f t="shared" si="2"/>
        <v>0</v>
      </c>
      <c r="I47" s="8">
        <f t="shared" si="2"/>
        <v>0</v>
      </c>
      <c r="J47" s="8">
        <f t="shared" si="2"/>
        <v>0</v>
      </c>
      <c r="K47" s="8">
        <f t="shared" si="2"/>
        <v>0</v>
      </c>
      <c r="L47" s="8">
        <f t="shared" si="2"/>
        <v>0</v>
      </c>
      <c r="M47" s="8">
        <f t="shared" si="2"/>
        <v>0</v>
      </c>
      <c r="N47" s="8">
        <f t="shared" si="2"/>
        <v>0</v>
      </c>
      <c r="O47" s="8">
        <f t="shared" si="2"/>
        <v>0</v>
      </c>
      <c r="P47" s="8">
        <f t="shared" si="2"/>
        <v>0</v>
      </c>
      <c r="Q47" s="8">
        <f t="shared" si="2"/>
        <v>0</v>
      </c>
      <c r="R47" s="8">
        <f t="shared" si="2"/>
        <v>0</v>
      </c>
      <c r="S47" s="8">
        <f t="shared" si="5"/>
        <v>0</v>
      </c>
    </row>
    <row r="48" spans="1:19" x14ac:dyDescent="0.3">
      <c r="A48" s="11" t="s">
        <v>51</v>
      </c>
      <c r="B48" s="11" t="s">
        <v>86</v>
      </c>
      <c r="C48" s="11" t="s">
        <v>87</v>
      </c>
      <c r="D48" s="4">
        <f>_xlfn.XLOOKUP(B48,'report B_CategorieBoekjaar'!H:H,'report B_CategorieBoekjaar'!F:F,0)</f>
        <v>64</v>
      </c>
      <c r="E48" s="4">
        <f t="shared" si="4"/>
        <v>0</v>
      </c>
      <c r="F48" s="33"/>
      <c r="G48" s="8">
        <f t="shared" si="2"/>
        <v>0</v>
      </c>
      <c r="H48" s="8">
        <f t="shared" si="2"/>
        <v>0</v>
      </c>
      <c r="I48" s="8">
        <f t="shared" si="2"/>
        <v>0</v>
      </c>
      <c r="J48" s="8">
        <f t="shared" si="2"/>
        <v>0</v>
      </c>
      <c r="K48" s="8">
        <f t="shared" si="2"/>
        <v>0</v>
      </c>
      <c r="L48" s="8">
        <f t="shared" si="2"/>
        <v>0</v>
      </c>
      <c r="M48" s="8">
        <f t="shared" si="2"/>
        <v>0</v>
      </c>
      <c r="N48" s="8">
        <f t="shared" si="2"/>
        <v>0</v>
      </c>
      <c r="O48" s="8">
        <f t="shared" si="2"/>
        <v>0</v>
      </c>
      <c r="P48" s="8">
        <f t="shared" si="2"/>
        <v>0</v>
      </c>
      <c r="Q48" s="8">
        <f t="shared" si="2"/>
        <v>0</v>
      </c>
      <c r="R48" s="8">
        <f t="shared" si="2"/>
        <v>0</v>
      </c>
      <c r="S48" s="8">
        <f t="shared" si="5"/>
        <v>0</v>
      </c>
    </row>
    <row r="49" spans="1:19" x14ac:dyDescent="0.3">
      <c r="A49" s="11" t="s">
        <v>51</v>
      </c>
      <c r="B49" s="11" t="s">
        <v>88</v>
      </c>
      <c r="C49" s="11" t="s">
        <v>89</v>
      </c>
      <c r="D49" s="4">
        <f>_xlfn.XLOOKUP(B49,'report B_CategorieBoekjaar'!H:H,'report B_CategorieBoekjaar'!F:F,0)</f>
        <v>68</v>
      </c>
      <c r="E49" s="4">
        <f t="shared" si="4"/>
        <v>0</v>
      </c>
      <c r="F49" s="33"/>
      <c r="G49" s="8">
        <f t="shared" si="2"/>
        <v>0</v>
      </c>
      <c r="H49" s="8">
        <f t="shared" si="2"/>
        <v>0</v>
      </c>
      <c r="I49" s="8">
        <f t="shared" si="2"/>
        <v>0</v>
      </c>
      <c r="J49" s="8">
        <f t="shared" si="2"/>
        <v>0</v>
      </c>
      <c r="K49" s="8">
        <f t="shared" si="2"/>
        <v>0</v>
      </c>
      <c r="L49" s="8">
        <f t="shared" si="2"/>
        <v>0</v>
      </c>
      <c r="M49" s="8">
        <f t="shared" si="2"/>
        <v>0</v>
      </c>
      <c r="N49" s="8">
        <f t="shared" si="2"/>
        <v>0</v>
      </c>
      <c r="O49" s="8">
        <f t="shared" si="2"/>
        <v>0</v>
      </c>
      <c r="P49" s="8">
        <f t="shared" si="2"/>
        <v>0</v>
      </c>
      <c r="Q49" s="8">
        <f t="shared" si="2"/>
        <v>0</v>
      </c>
      <c r="R49" s="8">
        <f t="shared" si="2"/>
        <v>0</v>
      </c>
      <c r="S49" s="8">
        <f t="shared" si="5"/>
        <v>0</v>
      </c>
    </row>
    <row r="50" spans="1:19" x14ac:dyDescent="0.3">
      <c r="A50" s="11" t="s">
        <v>51</v>
      </c>
      <c r="B50" s="11" t="s">
        <v>90</v>
      </c>
      <c r="C50" s="11" t="s">
        <v>91</v>
      </c>
      <c r="D50" s="4">
        <f>_xlfn.XLOOKUP(B50,'report B_CategorieBoekjaar'!H:H,'report B_CategorieBoekjaar'!F:F,0)</f>
        <v>49</v>
      </c>
      <c r="E50" s="4">
        <f t="shared" si="4"/>
        <v>0</v>
      </c>
      <c r="F50" s="33"/>
      <c r="G50" s="8">
        <f t="shared" si="2"/>
        <v>0</v>
      </c>
      <c r="H50" s="8">
        <f t="shared" si="2"/>
        <v>0</v>
      </c>
      <c r="I50" s="8">
        <f t="shared" si="2"/>
        <v>0</v>
      </c>
      <c r="J50" s="8">
        <f t="shared" si="2"/>
        <v>0</v>
      </c>
      <c r="K50" s="8">
        <f t="shared" si="2"/>
        <v>0</v>
      </c>
      <c r="L50" s="8">
        <f t="shared" si="2"/>
        <v>0</v>
      </c>
      <c r="M50" s="8">
        <f t="shared" si="2"/>
        <v>0</v>
      </c>
      <c r="N50" s="8">
        <f t="shared" si="2"/>
        <v>0</v>
      </c>
      <c r="O50" s="8">
        <f t="shared" si="2"/>
        <v>0</v>
      </c>
      <c r="P50" s="8">
        <f t="shared" si="2"/>
        <v>0</v>
      </c>
      <c r="Q50" s="8">
        <f t="shared" si="2"/>
        <v>0</v>
      </c>
      <c r="R50" s="8">
        <f t="shared" si="2"/>
        <v>0</v>
      </c>
      <c r="S50" s="8">
        <f t="shared" si="5"/>
        <v>0</v>
      </c>
    </row>
    <row r="51" spans="1:19" x14ac:dyDescent="0.3">
      <c r="A51" s="11" t="s">
        <v>51</v>
      </c>
      <c r="B51" s="11" t="s">
        <v>92</v>
      </c>
      <c r="C51" s="11" t="s">
        <v>93</v>
      </c>
      <c r="D51" s="4">
        <f>_xlfn.XLOOKUP(B51,'report B_CategorieBoekjaar'!H:H,'report B_CategorieBoekjaar'!F:F,0)</f>
        <v>70</v>
      </c>
      <c r="E51" s="4">
        <f t="shared" si="4"/>
        <v>0</v>
      </c>
      <c r="F51" s="33"/>
      <c r="G51" s="8">
        <f t="shared" si="2"/>
        <v>0</v>
      </c>
      <c r="H51" s="8">
        <f t="shared" si="2"/>
        <v>0</v>
      </c>
      <c r="I51" s="8">
        <f t="shared" si="2"/>
        <v>0</v>
      </c>
      <c r="J51" s="8">
        <f t="shared" si="2"/>
        <v>0</v>
      </c>
      <c r="K51" s="8">
        <f t="shared" si="2"/>
        <v>0</v>
      </c>
      <c r="L51" s="8">
        <f t="shared" si="2"/>
        <v>0</v>
      </c>
      <c r="M51" s="8">
        <f t="shared" si="2"/>
        <v>0</v>
      </c>
      <c r="N51" s="8">
        <f t="shared" si="2"/>
        <v>0</v>
      </c>
      <c r="O51" s="8">
        <f t="shared" si="2"/>
        <v>0</v>
      </c>
      <c r="P51" s="8">
        <f t="shared" si="2"/>
        <v>0</v>
      </c>
      <c r="Q51" s="8">
        <f t="shared" si="2"/>
        <v>0</v>
      </c>
      <c r="R51" s="8">
        <f t="shared" si="2"/>
        <v>0</v>
      </c>
      <c r="S51" s="8">
        <f t="shared" si="5"/>
        <v>0</v>
      </c>
    </row>
    <row r="52" spans="1:19" x14ac:dyDescent="0.3">
      <c r="A52" s="11" t="s">
        <v>51</v>
      </c>
      <c r="B52" s="11" t="s">
        <v>94</v>
      </c>
      <c r="C52" s="11" t="s">
        <v>95</v>
      </c>
      <c r="D52" s="4">
        <f>_xlfn.XLOOKUP(B52,'report B_CategorieBoekjaar'!H:H,'report B_CategorieBoekjaar'!F:F,0)</f>
        <v>139</v>
      </c>
      <c r="E52" s="4">
        <f t="shared" si="4"/>
        <v>0</v>
      </c>
      <c r="F52" s="33"/>
      <c r="G52" s="8">
        <f t="shared" si="2"/>
        <v>0</v>
      </c>
      <c r="H52" s="8">
        <f t="shared" si="2"/>
        <v>0</v>
      </c>
      <c r="I52" s="8">
        <f t="shared" si="2"/>
        <v>0</v>
      </c>
      <c r="J52" s="8">
        <f t="shared" si="2"/>
        <v>0</v>
      </c>
      <c r="K52" s="8">
        <f t="shared" si="2"/>
        <v>0</v>
      </c>
      <c r="L52" s="8">
        <f t="shared" si="2"/>
        <v>0</v>
      </c>
      <c r="M52" s="8">
        <f t="shared" si="2"/>
        <v>0</v>
      </c>
      <c r="N52" s="8">
        <f t="shared" si="2"/>
        <v>0</v>
      </c>
      <c r="O52" s="8">
        <f t="shared" si="2"/>
        <v>0</v>
      </c>
      <c r="P52" s="8">
        <f t="shared" si="2"/>
        <v>0</v>
      </c>
      <c r="Q52" s="8">
        <f t="shared" si="2"/>
        <v>0</v>
      </c>
      <c r="R52" s="8">
        <f t="shared" si="2"/>
        <v>0</v>
      </c>
      <c r="S52" s="8">
        <f t="shared" si="5"/>
        <v>0</v>
      </c>
    </row>
    <row r="53" spans="1:19" ht="13.95" customHeight="1" x14ac:dyDescent="0.3">
      <c r="A53" s="11" t="s">
        <v>51</v>
      </c>
      <c r="B53" s="11" t="s">
        <v>96</v>
      </c>
      <c r="C53" s="11" t="s">
        <v>97</v>
      </c>
      <c r="D53" s="4">
        <f>_xlfn.XLOOKUP(B53,'report B_CategorieBoekjaar'!H:H,'report B_CategorieBoekjaar'!F:F,0)</f>
        <v>69</v>
      </c>
      <c r="E53" s="4">
        <f t="shared" si="4"/>
        <v>0</v>
      </c>
      <c r="F53" s="33"/>
      <c r="G53" s="8">
        <f t="shared" si="2"/>
        <v>0</v>
      </c>
      <c r="H53" s="8">
        <f t="shared" si="2"/>
        <v>0</v>
      </c>
      <c r="I53" s="8">
        <f t="shared" si="2"/>
        <v>0</v>
      </c>
      <c r="J53" s="8">
        <f t="shared" si="2"/>
        <v>0</v>
      </c>
      <c r="K53" s="8">
        <f t="shared" si="2"/>
        <v>0</v>
      </c>
      <c r="L53" s="8">
        <f t="shared" si="2"/>
        <v>0</v>
      </c>
      <c r="M53" s="8">
        <f t="shared" si="2"/>
        <v>0</v>
      </c>
      <c r="N53" s="8">
        <f t="shared" si="2"/>
        <v>0</v>
      </c>
      <c r="O53" s="8">
        <f t="shared" si="2"/>
        <v>0</v>
      </c>
      <c r="P53" s="8">
        <f t="shared" si="2"/>
        <v>0</v>
      </c>
      <c r="Q53" s="8">
        <f t="shared" si="2"/>
        <v>0</v>
      </c>
      <c r="R53" s="8">
        <f t="shared" si="2"/>
        <v>0</v>
      </c>
      <c r="S53" s="8">
        <f t="shared" si="5"/>
        <v>0</v>
      </c>
    </row>
    <row r="54" spans="1:19" x14ac:dyDescent="0.3">
      <c r="A54" s="11" t="s">
        <v>51</v>
      </c>
      <c r="B54" s="11" t="s">
        <v>98</v>
      </c>
      <c r="C54" s="11" t="s">
        <v>99</v>
      </c>
      <c r="D54" s="4">
        <f>_xlfn.XLOOKUP(B54,'report B_CategorieBoekjaar'!H:H,'report B_CategorieBoekjaar'!F:F,0)</f>
        <v>90</v>
      </c>
      <c r="E54" s="4">
        <f t="shared" si="4"/>
        <v>0</v>
      </c>
      <c r="F54" s="33"/>
      <c r="G54" s="8">
        <f t="shared" si="2"/>
        <v>0</v>
      </c>
      <c r="H54" s="8">
        <f t="shared" si="2"/>
        <v>0</v>
      </c>
      <c r="I54" s="8">
        <f t="shared" si="2"/>
        <v>0</v>
      </c>
      <c r="J54" s="8">
        <f t="shared" si="2"/>
        <v>0</v>
      </c>
      <c r="K54" s="8">
        <f t="shared" si="2"/>
        <v>0</v>
      </c>
      <c r="L54" s="8">
        <f t="shared" si="2"/>
        <v>0</v>
      </c>
      <c r="M54" s="8">
        <f t="shared" si="2"/>
        <v>0</v>
      </c>
      <c r="N54" s="8">
        <f t="shared" si="2"/>
        <v>0</v>
      </c>
      <c r="O54" s="8">
        <f t="shared" si="2"/>
        <v>0</v>
      </c>
      <c r="P54" s="8">
        <f t="shared" si="2"/>
        <v>0</v>
      </c>
      <c r="Q54" s="8">
        <f t="shared" si="2"/>
        <v>0</v>
      </c>
      <c r="R54" s="8">
        <f t="shared" si="2"/>
        <v>0</v>
      </c>
      <c r="S54" s="8">
        <f t="shared" si="5"/>
        <v>0</v>
      </c>
    </row>
    <row r="55" spans="1:19" x14ac:dyDescent="0.3">
      <c r="A55" s="12" t="s">
        <v>100</v>
      </c>
      <c r="B55" s="12" t="s">
        <v>60</v>
      </c>
      <c r="C55" s="12" t="str">
        <f>_xlfn.XLOOKUP(B55,$B$31:$B$54,$C$31:$C$54,0)</f>
        <v>Toetsdeskundige</v>
      </c>
      <c r="D55" s="4">
        <f>_xlfn.XLOOKUP(B55,'report B_CategorieBoekjaar'!I:I,'report B_CategorieBoekjaar'!G:G,0)</f>
        <v>109</v>
      </c>
      <c r="E55" s="4">
        <f t="shared" si="4"/>
        <v>0</v>
      </c>
      <c r="F55" s="33"/>
      <c r="G55" s="8">
        <f t="shared" ref="G55:G65" si="6">$E55*G$28</f>
        <v>0</v>
      </c>
      <c r="H55" s="8">
        <f t="shared" ref="H55:R65" si="7">$E55*H$28</f>
        <v>0</v>
      </c>
      <c r="I55" s="8">
        <f t="shared" si="7"/>
        <v>0</v>
      </c>
      <c r="J55" s="8">
        <f t="shared" si="7"/>
        <v>0</v>
      </c>
      <c r="K55" s="8">
        <f t="shared" si="7"/>
        <v>0</v>
      </c>
      <c r="L55" s="8">
        <f t="shared" si="7"/>
        <v>0</v>
      </c>
      <c r="M55" s="8">
        <f t="shared" si="7"/>
        <v>0</v>
      </c>
      <c r="N55" s="8">
        <f t="shared" si="7"/>
        <v>0</v>
      </c>
      <c r="O55" s="8">
        <f t="shared" si="7"/>
        <v>0</v>
      </c>
      <c r="P55" s="8">
        <f t="shared" si="7"/>
        <v>0</v>
      </c>
      <c r="Q55" s="8">
        <f t="shared" si="7"/>
        <v>0</v>
      </c>
      <c r="R55" s="8">
        <f t="shared" si="7"/>
        <v>0</v>
      </c>
      <c r="S55" s="8">
        <f t="shared" si="5"/>
        <v>0</v>
      </c>
    </row>
    <row r="56" spans="1:19" x14ac:dyDescent="0.3">
      <c r="A56" s="12" t="s">
        <v>100</v>
      </c>
      <c r="B56" s="12" t="s">
        <v>82</v>
      </c>
      <c r="C56" s="12" t="str">
        <f t="shared" ref="C56:C65" si="8">_xlfn.XLOOKUP(B56,$B$31:$B$54,$C$31:$C$54,0)</f>
        <v>Enterprise Architect</v>
      </c>
      <c r="D56" s="4">
        <f>_xlfn.XLOOKUP(B56,'report B_CategorieBoekjaar'!I:I,'report B_CategorieBoekjaar'!G:G,0)</f>
        <v>116</v>
      </c>
      <c r="E56" s="4">
        <f t="shared" si="4"/>
        <v>0</v>
      </c>
      <c r="F56" s="33"/>
      <c r="G56" s="8">
        <f t="shared" si="6"/>
        <v>0</v>
      </c>
      <c r="H56" s="8">
        <f t="shared" si="7"/>
        <v>0</v>
      </c>
      <c r="I56" s="8">
        <f t="shared" si="7"/>
        <v>0</v>
      </c>
      <c r="J56" s="8">
        <f t="shared" si="7"/>
        <v>0</v>
      </c>
      <c r="K56" s="8">
        <f t="shared" si="7"/>
        <v>0</v>
      </c>
      <c r="L56" s="8">
        <f t="shared" si="7"/>
        <v>0</v>
      </c>
      <c r="M56" s="8">
        <f t="shared" si="7"/>
        <v>0</v>
      </c>
      <c r="N56" s="8">
        <f t="shared" si="7"/>
        <v>0</v>
      </c>
      <c r="O56" s="8">
        <f t="shared" si="7"/>
        <v>0</v>
      </c>
      <c r="P56" s="8">
        <f t="shared" si="7"/>
        <v>0</v>
      </c>
      <c r="Q56" s="8">
        <f t="shared" si="7"/>
        <v>0</v>
      </c>
      <c r="R56" s="8">
        <f t="shared" si="7"/>
        <v>0</v>
      </c>
      <c r="S56" s="8">
        <f t="shared" si="5"/>
        <v>0</v>
      </c>
    </row>
    <row r="57" spans="1:19" x14ac:dyDescent="0.3">
      <c r="A57" s="12" t="s">
        <v>100</v>
      </c>
      <c r="B57" s="12" t="s">
        <v>84</v>
      </c>
      <c r="C57" s="12" t="str">
        <f t="shared" si="8"/>
        <v>Functioneel Beheerder</v>
      </c>
      <c r="D57" s="4">
        <f>_xlfn.XLOOKUP(B57,'report B_CategorieBoekjaar'!I:I,'report B_CategorieBoekjaar'!G:G,0)</f>
        <v>102</v>
      </c>
      <c r="E57" s="4">
        <f t="shared" si="4"/>
        <v>0</v>
      </c>
      <c r="F57" s="33"/>
      <c r="G57" s="8">
        <f t="shared" si="6"/>
        <v>0</v>
      </c>
      <c r="H57" s="8">
        <f t="shared" si="7"/>
        <v>0</v>
      </c>
      <c r="I57" s="8">
        <f t="shared" si="7"/>
        <v>0</v>
      </c>
      <c r="J57" s="8">
        <f t="shared" si="7"/>
        <v>0</v>
      </c>
      <c r="K57" s="8">
        <f t="shared" si="7"/>
        <v>0</v>
      </c>
      <c r="L57" s="8">
        <f t="shared" si="7"/>
        <v>0</v>
      </c>
      <c r="M57" s="8">
        <f t="shared" si="7"/>
        <v>0</v>
      </c>
      <c r="N57" s="8">
        <f t="shared" si="7"/>
        <v>0</v>
      </c>
      <c r="O57" s="8">
        <f t="shared" si="7"/>
        <v>0</v>
      </c>
      <c r="P57" s="8">
        <f t="shared" si="7"/>
        <v>0</v>
      </c>
      <c r="Q57" s="8">
        <f t="shared" si="7"/>
        <v>0</v>
      </c>
      <c r="R57" s="8">
        <f t="shared" si="7"/>
        <v>0</v>
      </c>
      <c r="S57" s="8">
        <f t="shared" si="5"/>
        <v>0</v>
      </c>
    </row>
    <row r="58" spans="1:19" x14ac:dyDescent="0.3">
      <c r="A58" s="12" t="s">
        <v>100</v>
      </c>
      <c r="B58" s="12" t="s">
        <v>96</v>
      </c>
      <c r="C58" s="12" t="str">
        <f t="shared" si="8"/>
        <v>Businessanalist</v>
      </c>
      <c r="D58" s="4">
        <f>_xlfn.XLOOKUP(B58,'report B_CategorieBoekjaar'!I:I,'report B_CategorieBoekjaar'!G:G,0)</f>
        <v>101</v>
      </c>
      <c r="E58" s="4">
        <f t="shared" si="4"/>
        <v>0</v>
      </c>
      <c r="F58" s="33"/>
      <c r="G58" s="8">
        <f t="shared" si="6"/>
        <v>0</v>
      </c>
      <c r="H58" s="8">
        <f t="shared" si="7"/>
        <v>0</v>
      </c>
      <c r="I58" s="8">
        <f t="shared" si="7"/>
        <v>0</v>
      </c>
      <c r="J58" s="8">
        <f t="shared" si="7"/>
        <v>0</v>
      </c>
      <c r="K58" s="8">
        <f t="shared" si="7"/>
        <v>0</v>
      </c>
      <c r="L58" s="8">
        <f t="shared" si="7"/>
        <v>0</v>
      </c>
      <c r="M58" s="8">
        <f t="shared" si="7"/>
        <v>0</v>
      </c>
      <c r="N58" s="8">
        <f t="shared" si="7"/>
        <v>0</v>
      </c>
      <c r="O58" s="8">
        <f t="shared" si="7"/>
        <v>0</v>
      </c>
      <c r="P58" s="8">
        <f t="shared" si="7"/>
        <v>0</v>
      </c>
      <c r="Q58" s="8">
        <f t="shared" si="7"/>
        <v>0</v>
      </c>
      <c r="R58" s="8">
        <f t="shared" si="7"/>
        <v>0</v>
      </c>
      <c r="S58" s="8">
        <f t="shared" si="5"/>
        <v>0</v>
      </c>
    </row>
    <row r="59" spans="1:19" x14ac:dyDescent="0.3">
      <c r="A59" s="12" t="s">
        <v>100</v>
      </c>
      <c r="B59" s="12" t="s">
        <v>86</v>
      </c>
      <c r="C59" s="12" t="str">
        <f t="shared" si="8"/>
        <v>ICT Beheerder</v>
      </c>
      <c r="D59" s="4">
        <f>_xlfn.XLOOKUP(B59,'report B_CategorieBoekjaar'!I:I,'report B_CategorieBoekjaar'!G:G,0)</f>
        <v>96</v>
      </c>
      <c r="E59" s="4">
        <f t="shared" si="4"/>
        <v>0</v>
      </c>
      <c r="F59" s="33"/>
      <c r="G59" s="8">
        <f t="shared" si="6"/>
        <v>0</v>
      </c>
      <c r="H59" s="8">
        <f t="shared" si="7"/>
        <v>0</v>
      </c>
      <c r="I59" s="8">
        <f t="shared" si="7"/>
        <v>0</v>
      </c>
      <c r="J59" s="8">
        <f t="shared" si="7"/>
        <v>0</v>
      </c>
      <c r="K59" s="8">
        <f t="shared" si="7"/>
        <v>0</v>
      </c>
      <c r="L59" s="8">
        <f t="shared" si="7"/>
        <v>0</v>
      </c>
      <c r="M59" s="8">
        <f t="shared" si="7"/>
        <v>0</v>
      </c>
      <c r="N59" s="8">
        <f t="shared" si="7"/>
        <v>0</v>
      </c>
      <c r="O59" s="8">
        <f t="shared" si="7"/>
        <v>0</v>
      </c>
      <c r="P59" s="8">
        <f t="shared" si="7"/>
        <v>0</v>
      </c>
      <c r="Q59" s="8">
        <f t="shared" si="7"/>
        <v>0</v>
      </c>
      <c r="R59" s="8">
        <f t="shared" si="7"/>
        <v>0</v>
      </c>
      <c r="S59" s="8">
        <f t="shared" si="5"/>
        <v>0</v>
      </c>
    </row>
    <row r="60" spans="1:19" x14ac:dyDescent="0.3">
      <c r="A60" s="12" t="s">
        <v>100</v>
      </c>
      <c r="B60" s="12" t="s">
        <v>94</v>
      </c>
      <c r="C60" s="12" t="str">
        <f t="shared" si="8"/>
        <v>ICT medewerker Extern</v>
      </c>
      <c r="D60" s="4">
        <f>_xlfn.XLOOKUP(B60,'report B_CategorieBoekjaar'!I:I,'report B_CategorieBoekjaar'!G:G,0)</f>
        <v>139</v>
      </c>
      <c r="E60" s="4">
        <f t="shared" si="4"/>
        <v>0</v>
      </c>
      <c r="F60" s="33"/>
      <c r="G60" s="8">
        <f t="shared" si="6"/>
        <v>0</v>
      </c>
      <c r="H60" s="8">
        <f t="shared" si="7"/>
        <v>0</v>
      </c>
      <c r="I60" s="8">
        <f t="shared" si="7"/>
        <v>0</v>
      </c>
      <c r="J60" s="8">
        <f t="shared" si="7"/>
        <v>0</v>
      </c>
      <c r="K60" s="8">
        <f t="shared" si="7"/>
        <v>0</v>
      </c>
      <c r="L60" s="8">
        <f t="shared" si="7"/>
        <v>0</v>
      </c>
      <c r="M60" s="8">
        <f t="shared" si="7"/>
        <v>0</v>
      </c>
      <c r="N60" s="8">
        <f t="shared" si="7"/>
        <v>0</v>
      </c>
      <c r="O60" s="8">
        <f t="shared" si="7"/>
        <v>0</v>
      </c>
      <c r="P60" s="8">
        <f t="shared" si="7"/>
        <v>0</v>
      </c>
      <c r="Q60" s="8">
        <f t="shared" si="7"/>
        <v>0</v>
      </c>
      <c r="R60" s="8">
        <f t="shared" si="7"/>
        <v>0</v>
      </c>
      <c r="S60" s="8">
        <f t="shared" si="5"/>
        <v>0</v>
      </c>
    </row>
    <row r="61" spans="1:19" x14ac:dyDescent="0.3">
      <c r="A61" s="12" t="s">
        <v>100</v>
      </c>
      <c r="B61" s="12" t="s">
        <v>88</v>
      </c>
      <c r="C61" s="12" t="str">
        <f t="shared" si="8"/>
        <v>ICT Ontwikkelaar</v>
      </c>
      <c r="D61" s="4">
        <f>_xlfn.XLOOKUP(B61,'report B_CategorieBoekjaar'!I:I,'report B_CategorieBoekjaar'!G:G,0)</f>
        <v>100</v>
      </c>
      <c r="E61" s="4">
        <f t="shared" si="4"/>
        <v>0</v>
      </c>
      <c r="F61" s="33"/>
      <c r="G61" s="8">
        <f t="shared" si="6"/>
        <v>0</v>
      </c>
      <c r="H61" s="8">
        <f t="shared" si="7"/>
        <v>0</v>
      </c>
      <c r="I61" s="8">
        <f t="shared" si="7"/>
        <v>0</v>
      </c>
      <c r="J61" s="8">
        <f t="shared" si="7"/>
        <v>0</v>
      </c>
      <c r="K61" s="8">
        <f t="shared" si="7"/>
        <v>0</v>
      </c>
      <c r="L61" s="8">
        <f t="shared" si="7"/>
        <v>0</v>
      </c>
      <c r="M61" s="8">
        <f t="shared" si="7"/>
        <v>0</v>
      </c>
      <c r="N61" s="8">
        <f t="shared" si="7"/>
        <v>0</v>
      </c>
      <c r="O61" s="8">
        <f t="shared" si="7"/>
        <v>0</v>
      </c>
      <c r="P61" s="8">
        <f t="shared" si="7"/>
        <v>0</v>
      </c>
      <c r="Q61" s="8">
        <f t="shared" si="7"/>
        <v>0</v>
      </c>
      <c r="R61" s="8">
        <f t="shared" si="7"/>
        <v>0</v>
      </c>
      <c r="S61" s="8">
        <f t="shared" si="5"/>
        <v>0</v>
      </c>
    </row>
    <row r="62" spans="1:19" x14ac:dyDescent="0.3">
      <c r="A62" s="12" t="s">
        <v>100</v>
      </c>
      <c r="B62" s="12" t="s">
        <v>98</v>
      </c>
      <c r="C62" s="12" t="str">
        <f t="shared" si="8"/>
        <v>Projectmanager</v>
      </c>
      <c r="D62" s="4">
        <f>_xlfn.XLOOKUP(B62,'report B_CategorieBoekjaar'!I:I,'report B_CategorieBoekjaar'!G:G,0)</f>
        <v>122</v>
      </c>
      <c r="E62" s="4">
        <f t="shared" si="4"/>
        <v>0</v>
      </c>
      <c r="F62" s="33"/>
      <c r="G62" s="8">
        <f t="shared" si="6"/>
        <v>0</v>
      </c>
      <c r="H62" s="8">
        <f t="shared" si="7"/>
        <v>0</v>
      </c>
      <c r="I62" s="8">
        <f t="shared" si="7"/>
        <v>0</v>
      </c>
      <c r="J62" s="8">
        <f t="shared" si="7"/>
        <v>0</v>
      </c>
      <c r="K62" s="8">
        <f t="shared" si="7"/>
        <v>0</v>
      </c>
      <c r="L62" s="8">
        <f t="shared" si="7"/>
        <v>0</v>
      </c>
      <c r="M62" s="8">
        <f t="shared" si="7"/>
        <v>0</v>
      </c>
      <c r="N62" s="8">
        <f t="shared" si="7"/>
        <v>0</v>
      </c>
      <c r="O62" s="8">
        <f t="shared" si="7"/>
        <v>0</v>
      </c>
      <c r="P62" s="8">
        <f t="shared" si="7"/>
        <v>0</v>
      </c>
      <c r="Q62" s="8">
        <f t="shared" si="7"/>
        <v>0</v>
      </c>
      <c r="R62" s="8">
        <f t="shared" si="7"/>
        <v>0</v>
      </c>
      <c r="S62" s="8">
        <f t="shared" si="5"/>
        <v>0</v>
      </c>
    </row>
    <row r="63" spans="1:19" x14ac:dyDescent="0.3">
      <c r="A63" s="12" t="s">
        <v>100</v>
      </c>
      <c r="B63" s="12" t="s">
        <v>78</v>
      </c>
      <c r="C63" s="12" t="str">
        <f t="shared" si="8"/>
        <v>Wetenschappelijk onderzoeker</v>
      </c>
      <c r="D63" s="4">
        <f>_xlfn.XLOOKUP(B63,'report B_CategorieBoekjaar'!I:I,'report B_CategorieBoekjaar'!G:G,0)</f>
        <v>120</v>
      </c>
      <c r="E63" s="4">
        <f t="shared" si="4"/>
        <v>0</v>
      </c>
      <c r="F63" s="33"/>
      <c r="G63" s="8">
        <f t="shared" si="6"/>
        <v>0</v>
      </c>
      <c r="H63" s="8">
        <f t="shared" si="7"/>
        <v>0</v>
      </c>
      <c r="I63" s="8">
        <f t="shared" si="7"/>
        <v>0</v>
      </c>
      <c r="J63" s="8">
        <f t="shared" si="7"/>
        <v>0</v>
      </c>
      <c r="K63" s="8">
        <f t="shared" si="7"/>
        <v>0</v>
      </c>
      <c r="L63" s="8">
        <f t="shared" si="7"/>
        <v>0</v>
      </c>
      <c r="M63" s="8">
        <f t="shared" si="7"/>
        <v>0</v>
      </c>
      <c r="N63" s="8">
        <f t="shared" si="7"/>
        <v>0</v>
      </c>
      <c r="O63" s="8">
        <f t="shared" si="7"/>
        <v>0</v>
      </c>
      <c r="P63" s="8">
        <f t="shared" si="7"/>
        <v>0</v>
      </c>
      <c r="Q63" s="8">
        <f t="shared" si="7"/>
        <v>0</v>
      </c>
      <c r="R63" s="8">
        <f t="shared" si="7"/>
        <v>0</v>
      </c>
      <c r="S63" s="8">
        <f t="shared" si="5"/>
        <v>0</v>
      </c>
    </row>
    <row r="64" spans="1:19" x14ac:dyDescent="0.3">
      <c r="A64" s="12" t="s">
        <v>100</v>
      </c>
      <c r="B64" s="12" t="s">
        <v>68</v>
      </c>
      <c r="C64" s="12" t="str">
        <f t="shared" si="8"/>
        <v>Procesondersteuner/procesconsultants</v>
      </c>
      <c r="D64" s="4">
        <f>_xlfn.XLOOKUP(B64,'report B_CategorieBoekjaar'!I:I,'report B_CategorieBoekjaar'!G:G,0)</f>
        <v>88</v>
      </c>
      <c r="E64" s="4">
        <f t="shared" si="4"/>
        <v>0</v>
      </c>
      <c r="F64" s="33"/>
      <c r="G64" s="8">
        <f t="shared" si="6"/>
        <v>0</v>
      </c>
      <c r="H64" s="8">
        <f t="shared" si="7"/>
        <v>0</v>
      </c>
      <c r="I64" s="8">
        <f t="shared" si="7"/>
        <v>0</v>
      </c>
      <c r="J64" s="8">
        <f t="shared" si="7"/>
        <v>0</v>
      </c>
      <c r="K64" s="8">
        <f t="shared" si="7"/>
        <v>0</v>
      </c>
      <c r="L64" s="8">
        <f t="shared" si="7"/>
        <v>0</v>
      </c>
      <c r="M64" s="8">
        <f t="shared" si="7"/>
        <v>0</v>
      </c>
      <c r="N64" s="8">
        <f t="shared" si="7"/>
        <v>0</v>
      </c>
      <c r="O64" s="8">
        <f t="shared" si="7"/>
        <v>0</v>
      </c>
      <c r="P64" s="8">
        <f t="shared" si="7"/>
        <v>0</v>
      </c>
      <c r="Q64" s="8">
        <f t="shared" si="7"/>
        <v>0</v>
      </c>
      <c r="R64" s="8">
        <f t="shared" si="7"/>
        <v>0</v>
      </c>
      <c r="S64" s="8">
        <f t="shared" si="5"/>
        <v>0</v>
      </c>
    </row>
    <row r="65" spans="1:19" x14ac:dyDescent="0.3">
      <c r="A65" s="12" t="s">
        <v>100</v>
      </c>
      <c r="B65" s="12" t="s">
        <v>74</v>
      </c>
      <c r="C65" s="12" t="str">
        <f t="shared" si="8"/>
        <v>Toetsondersteunend medewerker</v>
      </c>
      <c r="D65" s="4">
        <f>_xlfn.XLOOKUP(B65,'report B_CategorieBoekjaar'!I:I,'report B_CategorieBoekjaar'!G:G,0)</f>
        <v>82</v>
      </c>
      <c r="E65" s="4">
        <f t="shared" si="4"/>
        <v>0</v>
      </c>
      <c r="F65" s="33"/>
      <c r="G65" s="8">
        <f t="shared" si="6"/>
        <v>0</v>
      </c>
      <c r="H65" s="8">
        <f t="shared" si="7"/>
        <v>0</v>
      </c>
      <c r="I65" s="8">
        <f t="shared" si="7"/>
        <v>0</v>
      </c>
      <c r="J65" s="8">
        <f t="shared" si="7"/>
        <v>0</v>
      </c>
      <c r="K65" s="8">
        <f t="shared" si="7"/>
        <v>0</v>
      </c>
      <c r="L65" s="8">
        <f t="shared" si="7"/>
        <v>0</v>
      </c>
      <c r="M65" s="8">
        <f t="shared" si="7"/>
        <v>0</v>
      </c>
      <c r="N65" s="8">
        <f t="shared" si="7"/>
        <v>0</v>
      </c>
      <c r="O65" s="8">
        <f t="shared" si="7"/>
        <v>0</v>
      </c>
      <c r="P65" s="8">
        <f t="shared" si="7"/>
        <v>0</v>
      </c>
      <c r="Q65" s="8">
        <f t="shared" si="7"/>
        <v>0</v>
      </c>
      <c r="R65" s="8">
        <f t="shared" si="7"/>
        <v>0</v>
      </c>
      <c r="S65" s="8">
        <f t="shared" si="5"/>
        <v>0</v>
      </c>
    </row>
    <row r="66" spans="1:19" x14ac:dyDescent="0.3">
      <c r="A66" s="13" t="s">
        <v>101</v>
      </c>
      <c r="B66" s="13" t="str">
        <f>LEFT(C66,3)</f>
        <v>310</v>
      </c>
      <c r="C66" s="13" t="s">
        <v>102</v>
      </c>
      <c r="D66" s="34">
        <v>0</v>
      </c>
      <c r="E66" s="4">
        <f t="shared" si="4"/>
        <v>0</v>
      </c>
      <c r="F66">
        <v>1</v>
      </c>
      <c r="G66" s="8">
        <f t="shared" ref="G66:R73" si="9">$E66*G$28</f>
        <v>0</v>
      </c>
      <c r="H66" s="8">
        <f t="shared" si="9"/>
        <v>0</v>
      </c>
      <c r="I66" s="8">
        <f t="shared" si="9"/>
        <v>0</v>
      </c>
      <c r="J66" s="8">
        <f t="shared" si="9"/>
        <v>0</v>
      </c>
      <c r="K66" s="8">
        <f t="shared" si="9"/>
        <v>0</v>
      </c>
      <c r="L66" s="8">
        <f t="shared" si="9"/>
        <v>0</v>
      </c>
      <c r="M66" s="8">
        <f t="shared" si="9"/>
        <v>0</v>
      </c>
      <c r="N66" s="8">
        <f t="shared" si="9"/>
        <v>0</v>
      </c>
      <c r="O66" s="8">
        <f t="shared" si="9"/>
        <v>0</v>
      </c>
      <c r="P66" s="8">
        <f t="shared" si="9"/>
        <v>0</v>
      </c>
      <c r="Q66" s="8">
        <f t="shared" si="9"/>
        <v>0</v>
      </c>
      <c r="R66" s="8">
        <f t="shared" si="9"/>
        <v>0</v>
      </c>
      <c r="S66" s="8">
        <f t="shared" si="5"/>
        <v>0</v>
      </c>
    </row>
    <row r="67" spans="1:19" x14ac:dyDescent="0.3">
      <c r="A67" s="13" t="s">
        <v>101</v>
      </c>
      <c r="B67" s="13" t="str">
        <f t="shared" ref="B67:B97" si="10">LEFT(C67,3)</f>
        <v>350</v>
      </c>
      <c r="C67" s="13" t="s">
        <v>103</v>
      </c>
      <c r="D67" s="34"/>
      <c r="E67" s="4">
        <f t="shared" si="4"/>
        <v>0</v>
      </c>
      <c r="F67">
        <v>1</v>
      </c>
      <c r="G67" s="8">
        <f t="shared" si="9"/>
        <v>0</v>
      </c>
      <c r="H67" s="8">
        <f t="shared" si="9"/>
        <v>0</v>
      </c>
      <c r="I67" s="8">
        <f t="shared" si="9"/>
        <v>0</v>
      </c>
      <c r="J67" s="8">
        <f t="shared" si="9"/>
        <v>0</v>
      </c>
      <c r="K67" s="8">
        <f t="shared" si="9"/>
        <v>0</v>
      </c>
      <c r="L67" s="8">
        <f t="shared" si="9"/>
        <v>0</v>
      </c>
      <c r="M67" s="8">
        <f t="shared" si="9"/>
        <v>0</v>
      </c>
      <c r="N67" s="8">
        <f t="shared" si="9"/>
        <v>0</v>
      </c>
      <c r="O67" s="8">
        <f t="shared" si="9"/>
        <v>0</v>
      </c>
      <c r="P67" s="8">
        <f t="shared" si="9"/>
        <v>0</v>
      </c>
      <c r="Q67" s="8">
        <f t="shared" si="9"/>
        <v>0</v>
      </c>
      <c r="R67" s="8">
        <f t="shared" si="9"/>
        <v>0</v>
      </c>
      <c r="S67" s="8">
        <f t="shared" si="5"/>
        <v>0</v>
      </c>
    </row>
    <row r="68" spans="1:19" x14ac:dyDescent="0.3">
      <c r="A68" s="13" t="s">
        <v>101</v>
      </c>
      <c r="B68" s="13" t="str">
        <f t="shared" si="10"/>
        <v>410</v>
      </c>
      <c r="C68" s="13" t="s">
        <v>104</v>
      </c>
      <c r="D68" s="34"/>
      <c r="E68" s="4">
        <f t="shared" si="4"/>
        <v>0</v>
      </c>
      <c r="F68">
        <v>1</v>
      </c>
      <c r="G68" s="8">
        <f t="shared" si="9"/>
        <v>0</v>
      </c>
      <c r="H68" s="8">
        <f t="shared" si="9"/>
        <v>0</v>
      </c>
      <c r="I68" s="8">
        <f t="shared" si="9"/>
        <v>0</v>
      </c>
      <c r="J68" s="8">
        <f t="shared" si="9"/>
        <v>0</v>
      </c>
      <c r="K68" s="8">
        <f t="shared" si="9"/>
        <v>0</v>
      </c>
      <c r="L68" s="8">
        <f t="shared" si="9"/>
        <v>0</v>
      </c>
      <c r="M68" s="8">
        <f t="shared" si="9"/>
        <v>0</v>
      </c>
      <c r="N68" s="8">
        <f t="shared" si="9"/>
        <v>0</v>
      </c>
      <c r="O68" s="8">
        <f t="shared" si="9"/>
        <v>0</v>
      </c>
      <c r="P68" s="8">
        <f t="shared" si="9"/>
        <v>0</v>
      </c>
      <c r="Q68" s="8">
        <f t="shared" si="9"/>
        <v>0</v>
      </c>
      <c r="R68" s="8">
        <f t="shared" si="9"/>
        <v>0</v>
      </c>
      <c r="S68" s="8">
        <f t="shared" si="5"/>
        <v>0</v>
      </c>
    </row>
    <row r="69" spans="1:19" x14ac:dyDescent="0.3">
      <c r="A69" s="13" t="s">
        <v>101</v>
      </c>
      <c r="B69" s="13" t="str">
        <f t="shared" si="10"/>
        <v>470</v>
      </c>
      <c r="C69" s="13" t="s">
        <v>105</v>
      </c>
      <c r="D69" s="34">
        <v>0</v>
      </c>
      <c r="E69" s="4">
        <f t="shared" si="4"/>
        <v>0</v>
      </c>
      <c r="F69">
        <v>1</v>
      </c>
      <c r="G69" s="8">
        <f t="shared" si="9"/>
        <v>0</v>
      </c>
      <c r="H69" s="8">
        <f t="shared" si="9"/>
        <v>0</v>
      </c>
      <c r="I69" s="8">
        <f t="shared" si="9"/>
        <v>0</v>
      </c>
      <c r="J69" s="8">
        <f t="shared" si="9"/>
        <v>0</v>
      </c>
      <c r="K69" s="8">
        <f t="shared" si="9"/>
        <v>0</v>
      </c>
      <c r="L69" s="8">
        <f t="shared" si="9"/>
        <v>0</v>
      </c>
      <c r="M69" s="8">
        <f t="shared" si="9"/>
        <v>0</v>
      </c>
      <c r="N69" s="8">
        <f t="shared" si="9"/>
        <v>0</v>
      </c>
      <c r="O69" s="8">
        <f t="shared" si="9"/>
        <v>0</v>
      </c>
      <c r="P69" s="8">
        <f t="shared" si="9"/>
        <v>0</v>
      </c>
      <c r="Q69" s="8">
        <f t="shared" si="9"/>
        <v>0</v>
      </c>
      <c r="R69" s="8">
        <f t="shared" si="9"/>
        <v>0</v>
      </c>
      <c r="S69" s="8">
        <f t="shared" si="5"/>
        <v>0</v>
      </c>
    </row>
    <row r="70" spans="1:19" x14ac:dyDescent="0.3">
      <c r="A70" s="13" t="s">
        <v>101</v>
      </c>
      <c r="B70" s="13" t="str">
        <f t="shared" si="10"/>
        <v>490</v>
      </c>
      <c r="C70" s="13" t="s">
        <v>106</v>
      </c>
      <c r="D70" s="34">
        <v>0</v>
      </c>
      <c r="E70" s="4">
        <f t="shared" si="4"/>
        <v>0</v>
      </c>
      <c r="F70">
        <v>1</v>
      </c>
      <c r="G70" s="8">
        <f t="shared" si="9"/>
        <v>0</v>
      </c>
      <c r="H70" s="8">
        <f t="shared" si="9"/>
        <v>0</v>
      </c>
      <c r="I70" s="8">
        <f t="shared" si="9"/>
        <v>0</v>
      </c>
      <c r="J70" s="8">
        <f t="shared" si="9"/>
        <v>0</v>
      </c>
      <c r="K70" s="8">
        <f t="shared" si="9"/>
        <v>0</v>
      </c>
      <c r="L70" s="8">
        <f t="shared" si="9"/>
        <v>0</v>
      </c>
      <c r="M70" s="8">
        <f t="shared" si="9"/>
        <v>0</v>
      </c>
      <c r="N70" s="8">
        <f t="shared" si="9"/>
        <v>0</v>
      </c>
      <c r="O70" s="8">
        <f t="shared" si="9"/>
        <v>0</v>
      </c>
      <c r="P70" s="8">
        <f t="shared" si="9"/>
        <v>0</v>
      </c>
      <c r="Q70" s="8">
        <f t="shared" si="9"/>
        <v>0</v>
      </c>
      <c r="R70" s="8">
        <f t="shared" si="9"/>
        <v>0</v>
      </c>
      <c r="S70" s="8">
        <f t="shared" si="5"/>
        <v>0</v>
      </c>
    </row>
    <row r="71" spans="1:19" x14ac:dyDescent="0.3">
      <c r="A71" s="13" t="s">
        <v>101</v>
      </c>
      <c r="B71" s="13" t="str">
        <f t="shared" si="10"/>
        <v>491</v>
      </c>
      <c r="C71" s="13" t="s">
        <v>107</v>
      </c>
      <c r="D71" s="34">
        <v>0</v>
      </c>
      <c r="E71" s="4">
        <f t="shared" si="4"/>
        <v>0</v>
      </c>
      <c r="F71">
        <v>1</v>
      </c>
      <c r="G71" s="8">
        <f t="shared" si="9"/>
        <v>0</v>
      </c>
      <c r="H71" s="8">
        <f t="shared" si="9"/>
        <v>0</v>
      </c>
      <c r="I71" s="8">
        <f t="shared" si="9"/>
        <v>0</v>
      </c>
      <c r="J71" s="8">
        <f t="shared" si="9"/>
        <v>0</v>
      </c>
      <c r="K71" s="8">
        <f t="shared" si="9"/>
        <v>0</v>
      </c>
      <c r="L71" s="8">
        <f t="shared" si="9"/>
        <v>0</v>
      </c>
      <c r="M71" s="8">
        <f t="shared" si="9"/>
        <v>0</v>
      </c>
      <c r="N71" s="8">
        <f t="shared" si="9"/>
        <v>0</v>
      </c>
      <c r="O71" s="8">
        <f t="shared" si="9"/>
        <v>0</v>
      </c>
      <c r="P71" s="8">
        <f t="shared" si="9"/>
        <v>0</v>
      </c>
      <c r="Q71" s="8">
        <f t="shared" si="9"/>
        <v>0</v>
      </c>
      <c r="R71" s="8">
        <f t="shared" si="9"/>
        <v>0</v>
      </c>
      <c r="S71" s="8">
        <f t="shared" si="5"/>
        <v>0</v>
      </c>
    </row>
    <row r="72" spans="1:19" x14ac:dyDescent="0.3">
      <c r="A72" s="13" t="s">
        <v>101</v>
      </c>
      <c r="B72" s="13" t="str">
        <f t="shared" si="10"/>
        <v>510</v>
      </c>
      <c r="C72" s="13" t="s">
        <v>108</v>
      </c>
      <c r="D72" s="34">
        <v>0</v>
      </c>
      <c r="E72" s="4">
        <f t="shared" si="4"/>
        <v>0</v>
      </c>
      <c r="F72">
        <v>1</v>
      </c>
      <c r="G72" s="8">
        <f t="shared" si="9"/>
        <v>0</v>
      </c>
      <c r="H72" s="8">
        <f t="shared" si="9"/>
        <v>0</v>
      </c>
      <c r="I72" s="8">
        <f t="shared" si="9"/>
        <v>0</v>
      </c>
      <c r="J72" s="8">
        <f t="shared" si="9"/>
        <v>0</v>
      </c>
      <c r="K72" s="8">
        <f t="shared" si="9"/>
        <v>0</v>
      </c>
      <c r="L72" s="8">
        <f t="shared" si="9"/>
        <v>0</v>
      </c>
      <c r="M72" s="8">
        <f t="shared" si="9"/>
        <v>0</v>
      </c>
      <c r="N72" s="8">
        <f t="shared" si="9"/>
        <v>0</v>
      </c>
      <c r="O72" s="8">
        <f t="shared" si="9"/>
        <v>0</v>
      </c>
      <c r="P72" s="8">
        <f t="shared" si="9"/>
        <v>0</v>
      </c>
      <c r="Q72" s="8">
        <f t="shared" si="9"/>
        <v>0</v>
      </c>
      <c r="R72" s="8">
        <f t="shared" si="9"/>
        <v>0</v>
      </c>
      <c r="S72" s="8">
        <f t="shared" si="5"/>
        <v>0</v>
      </c>
    </row>
    <row r="73" spans="1:19" x14ac:dyDescent="0.3">
      <c r="A73" s="13" t="s">
        <v>101</v>
      </c>
      <c r="B73" s="13" t="str">
        <f t="shared" si="10"/>
        <v>520</v>
      </c>
      <c r="C73" s="13" t="s">
        <v>109</v>
      </c>
      <c r="D73" s="34">
        <v>0</v>
      </c>
      <c r="E73" s="4">
        <f t="shared" si="4"/>
        <v>0</v>
      </c>
      <c r="F73">
        <v>1</v>
      </c>
      <c r="G73" s="8">
        <f t="shared" si="9"/>
        <v>0</v>
      </c>
      <c r="H73" s="8">
        <f t="shared" si="9"/>
        <v>0</v>
      </c>
      <c r="I73" s="8">
        <f t="shared" si="9"/>
        <v>0</v>
      </c>
      <c r="J73" s="8">
        <f t="shared" ref="H73:R95" si="11">$E73*J$28</f>
        <v>0</v>
      </c>
      <c r="K73" s="8">
        <f t="shared" si="11"/>
        <v>0</v>
      </c>
      <c r="L73" s="8">
        <f t="shared" si="11"/>
        <v>0</v>
      </c>
      <c r="M73" s="8">
        <f t="shared" si="11"/>
        <v>0</v>
      </c>
      <c r="N73" s="8">
        <f t="shared" si="11"/>
        <v>0</v>
      </c>
      <c r="O73" s="8">
        <f t="shared" si="11"/>
        <v>0</v>
      </c>
      <c r="P73" s="8">
        <f t="shared" si="11"/>
        <v>0</v>
      </c>
      <c r="Q73" s="8">
        <f t="shared" si="11"/>
        <v>0</v>
      </c>
      <c r="R73" s="8">
        <f t="shared" si="11"/>
        <v>0</v>
      </c>
      <c r="S73" s="8">
        <f t="shared" si="5"/>
        <v>0</v>
      </c>
    </row>
    <row r="74" spans="1:19" x14ac:dyDescent="0.3">
      <c r="A74" s="13" t="s">
        <v>101</v>
      </c>
      <c r="B74" s="13" t="str">
        <f t="shared" si="10"/>
        <v>542</v>
      </c>
      <c r="C74" s="13" t="s">
        <v>110</v>
      </c>
      <c r="D74" s="34">
        <v>0</v>
      </c>
      <c r="E74" s="4">
        <f t="shared" si="4"/>
        <v>0</v>
      </c>
      <c r="F74">
        <v>1</v>
      </c>
      <c r="G74" s="8">
        <f t="shared" ref="G74:G97" si="12">$E74*G$28</f>
        <v>0</v>
      </c>
      <c r="H74" s="8">
        <f t="shared" si="11"/>
        <v>0</v>
      </c>
      <c r="I74" s="8">
        <f t="shared" si="11"/>
        <v>0</v>
      </c>
      <c r="J74" s="8">
        <f t="shared" si="11"/>
        <v>0</v>
      </c>
      <c r="K74" s="8">
        <f t="shared" si="11"/>
        <v>0</v>
      </c>
      <c r="L74" s="8">
        <f t="shared" si="11"/>
        <v>0</v>
      </c>
      <c r="M74" s="8">
        <f t="shared" si="11"/>
        <v>0</v>
      </c>
      <c r="N74" s="8">
        <f t="shared" si="11"/>
        <v>0</v>
      </c>
      <c r="O74" s="8">
        <f t="shared" si="11"/>
        <v>0</v>
      </c>
      <c r="P74" s="8">
        <f t="shared" si="11"/>
        <v>0</v>
      </c>
      <c r="Q74" s="8">
        <f t="shared" si="11"/>
        <v>0</v>
      </c>
      <c r="R74" s="8">
        <f t="shared" si="11"/>
        <v>0</v>
      </c>
      <c r="S74" s="8">
        <f t="shared" si="5"/>
        <v>0</v>
      </c>
    </row>
    <row r="75" spans="1:19" x14ac:dyDescent="0.3">
      <c r="A75" s="13" t="s">
        <v>101</v>
      </c>
      <c r="B75" s="13" t="str">
        <f t="shared" si="10"/>
        <v>543</v>
      </c>
      <c r="C75" s="13" t="s">
        <v>111</v>
      </c>
      <c r="D75" s="34"/>
      <c r="E75" s="4">
        <f t="shared" si="4"/>
        <v>0</v>
      </c>
      <c r="F75">
        <v>1</v>
      </c>
      <c r="G75" s="8">
        <f t="shared" si="12"/>
        <v>0</v>
      </c>
      <c r="H75" s="8">
        <f t="shared" si="11"/>
        <v>0</v>
      </c>
      <c r="I75" s="8">
        <f t="shared" si="11"/>
        <v>0</v>
      </c>
      <c r="J75" s="8">
        <f t="shared" si="11"/>
        <v>0</v>
      </c>
      <c r="K75" s="8">
        <f t="shared" si="11"/>
        <v>0</v>
      </c>
      <c r="L75" s="8">
        <f t="shared" si="11"/>
        <v>0</v>
      </c>
      <c r="M75" s="8">
        <f t="shared" si="11"/>
        <v>0</v>
      </c>
      <c r="N75" s="8">
        <f t="shared" si="11"/>
        <v>0</v>
      </c>
      <c r="O75" s="8">
        <f t="shared" si="11"/>
        <v>0</v>
      </c>
      <c r="P75" s="8">
        <f t="shared" si="11"/>
        <v>0</v>
      </c>
      <c r="Q75" s="8">
        <f t="shared" si="11"/>
        <v>0</v>
      </c>
      <c r="R75" s="8">
        <f t="shared" si="11"/>
        <v>0</v>
      </c>
      <c r="S75" s="8">
        <f t="shared" si="5"/>
        <v>0</v>
      </c>
    </row>
    <row r="76" spans="1:19" x14ac:dyDescent="0.3">
      <c r="A76" s="13" t="s">
        <v>101</v>
      </c>
      <c r="B76" s="13" t="str">
        <f t="shared" si="10"/>
        <v>560</v>
      </c>
      <c r="C76" s="13" t="s">
        <v>112</v>
      </c>
      <c r="D76" s="34">
        <v>0</v>
      </c>
      <c r="E76" s="4">
        <f t="shared" si="4"/>
        <v>0</v>
      </c>
      <c r="F76">
        <v>1</v>
      </c>
      <c r="G76" s="8">
        <f t="shared" si="12"/>
        <v>0</v>
      </c>
      <c r="H76" s="8">
        <f t="shared" si="11"/>
        <v>0</v>
      </c>
      <c r="I76" s="8">
        <f t="shared" si="11"/>
        <v>0</v>
      </c>
      <c r="J76" s="8">
        <f t="shared" si="11"/>
        <v>0</v>
      </c>
      <c r="K76" s="8">
        <f t="shared" si="11"/>
        <v>0</v>
      </c>
      <c r="L76" s="8">
        <f t="shared" si="11"/>
        <v>0</v>
      </c>
      <c r="M76" s="8">
        <f t="shared" si="11"/>
        <v>0</v>
      </c>
      <c r="N76" s="8">
        <f t="shared" si="11"/>
        <v>0</v>
      </c>
      <c r="O76" s="8">
        <f t="shared" si="11"/>
        <v>0</v>
      </c>
      <c r="P76" s="8">
        <f t="shared" si="11"/>
        <v>0</v>
      </c>
      <c r="Q76" s="8">
        <f t="shared" si="11"/>
        <v>0</v>
      </c>
      <c r="R76" s="8">
        <f t="shared" si="11"/>
        <v>0</v>
      </c>
      <c r="S76" s="8">
        <f t="shared" si="5"/>
        <v>0</v>
      </c>
    </row>
    <row r="77" spans="1:19" x14ac:dyDescent="0.3">
      <c r="A77" s="13" t="s">
        <v>101</v>
      </c>
      <c r="B77" s="13" t="str">
        <f t="shared" si="10"/>
        <v>562</v>
      </c>
      <c r="C77" s="13" t="s">
        <v>113</v>
      </c>
      <c r="D77" s="34">
        <v>0</v>
      </c>
      <c r="E77" s="4">
        <f t="shared" si="4"/>
        <v>0</v>
      </c>
      <c r="F77">
        <v>1</v>
      </c>
      <c r="G77" s="8">
        <f t="shared" si="12"/>
        <v>0</v>
      </c>
      <c r="H77" s="8">
        <f t="shared" si="11"/>
        <v>0</v>
      </c>
      <c r="I77" s="8">
        <f t="shared" si="11"/>
        <v>0</v>
      </c>
      <c r="J77" s="8">
        <f t="shared" si="11"/>
        <v>0</v>
      </c>
      <c r="K77" s="8">
        <f t="shared" si="11"/>
        <v>0</v>
      </c>
      <c r="L77" s="8">
        <f t="shared" si="11"/>
        <v>0</v>
      </c>
      <c r="M77" s="8">
        <f t="shared" si="11"/>
        <v>0</v>
      </c>
      <c r="N77" s="8">
        <f t="shared" si="11"/>
        <v>0</v>
      </c>
      <c r="O77" s="8">
        <f t="shared" si="11"/>
        <v>0</v>
      </c>
      <c r="P77" s="8">
        <f t="shared" si="11"/>
        <v>0</v>
      </c>
      <c r="Q77" s="8">
        <f t="shared" si="11"/>
        <v>0</v>
      </c>
      <c r="R77" s="8">
        <f t="shared" si="11"/>
        <v>0</v>
      </c>
      <c r="S77" s="8">
        <f t="shared" si="5"/>
        <v>0</v>
      </c>
    </row>
    <row r="78" spans="1:19" x14ac:dyDescent="0.3">
      <c r="A78" s="13" t="s">
        <v>101</v>
      </c>
      <c r="B78" s="13" t="str">
        <f t="shared" si="10"/>
        <v>563</v>
      </c>
      <c r="C78" s="13" t="s">
        <v>114</v>
      </c>
      <c r="D78" s="34">
        <v>0</v>
      </c>
      <c r="E78" s="4">
        <f t="shared" si="4"/>
        <v>0</v>
      </c>
      <c r="F78">
        <v>1</v>
      </c>
      <c r="G78" s="8">
        <f t="shared" si="12"/>
        <v>0</v>
      </c>
      <c r="H78" s="8">
        <f t="shared" si="11"/>
        <v>0</v>
      </c>
      <c r="I78" s="8">
        <f t="shared" si="11"/>
        <v>0</v>
      </c>
      <c r="J78" s="8">
        <f t="shared" si="11"/>
        <v>0</v>
      </c>
      <c r="K78" s="8">
        <f t="shared" si="11"/>
        <v>0</v>
      </c>
      <c r="L78" s="8">
        <f t="shared" si="11"/>
        <v>0</v>
      </c>
      <c r="M78" s="8">
        <f t="shared" si="11"/>
        <v>0</v>
      </c>
      <c r="N78" s="8">
        <f t="shared" si="11"/>
        <v>0</v>
      </c>
      <c r="O78" s="8">
        <f t="shared" si="11"/>
        <v>0</v>
      </c>
      <c r="P78" s="8">
        <f t="shared" si="11"/>
        <v>0</v>
      </c>
      <c r="Q78" s="8">
        <f t="shared" si="11"/>
        <v>0</v>
      </c>
      <c r="R78" s="8">
        <f t="shared" si="11"/>
        <v>0</v>
      </c>
      <c r="S78" s="8">
        <f t="shared" si="5"/>
        <v>0</v>
      </c>
    </row>
    <row r="79" spans="1:19" x14ac:dyDescent="0.3">
      <c r="A79" s="13" t="s">
        <v>101</v>
      </c>
      <c r="B79" s="13" t="str">
        <f t="shared" si="10"/>
        <v>566</v>
      </c>
      <c r="C79" s="13" t="s">
        <v>115</v>
      </c>
      <c r="D79" s="34">
        <v>0</v>
      </c>
      <c r="E79" s="4">
        <f t="shared" si="4"/>
        <v>0</v>
      </c>
      <c r="F79">
        <v>1</v>
      </c>
      <c r="G79" s="8">
        <f t="shared" si="12"/>
        <v>0</v>
      </c>
      <c r="H79" s="8">
        <f t="shared" si="11"/>
        <v>0</v>
      </c>
      <c r="I79" s="8">
        <f t="shared" si="11"/>
        <v>0</v>
      </c>
      <c r="J79" s="8">
        <f t="shared" si="11"/>
        <v>0</v>
      </c>
      <c r="K79" s="8">
        <f t="shared" si="11"/>
        <v>0</v>
      </c>
      <c r="L79" s="8">
        <f t="shared" si="11"/>
        <v>0</v>
      </c>
      <c r="M79" s="8">
        <f t="shared" si="11"/>
        <v>0</v>
      </c>
      <c r="N79" s="8">
        <f t="shared" si="11"/>
        <v>0</v>
      </c>
      <c r="O79" s="8">
        <f t="shared" si="11"/>
        <v>0</v>
      </c>
      <c r="P79" s="8">
        <f t="shared" si="11"/>
        <v>0</v>
      </c>
      <c r="Q79" s="8">
        <f t="shared" si="11"/>
        <v>0</v>
      </c>
      <c r="R79" s="8">
        <f t="shared" si="11"/>
        <v>0</v>
      </c>
      <c r="S79" s="8">
        <f t="shared" si="5"/>
        <v>0</v>
      </c>
    </row>
    <row r="80" spans="1:19" x14ac:dyDescent="0.3">
      <c r="A80" s="13" t="s">
        <v>101</v>
      </c>
      <c r="B80" s="13" t="str">
        <f t="shared" si="10"/>
        <v>567</v>
      </c>
      <c r="C80" s="13" t="s">
        <v>116</v>
      </c>
      <c r="D80" s="34">
        <v>0</v>
      </c>
      <c r="E80" s="4">
        <f t="shared" si="4"/>
        <v>0</v>
      </c>
      <c r="F80">
        <v>1</v>
      </c>
      <c r="G80" s="8">
        <f t="shared" si="12"/>
        <v>0</v>
      </c>
      <c r="H80" s="8">
        <f t="shared" si="11"/>
        <v>0</v>
      </c>
      <c r="I80" s="8">
        <f t="shared" si="11"/>
        <v>0</v>
      </c>
      <c r="J80" s="8">
        <f t="shared" si="11"/>
        <v>0</v>
      </c>
      <c r="K80" s="8">
        <f t="shared" si="11"/>
        <v>0</v>
      </c>
      <c r="L80" s="8">
        <f t="shared" si="11"/>
        <v>0</v>
      </c>
      <c r="M80" s="8">
        <f t="shared" si="11"/>
        <v>0</v>
      </c>
      <c r="N80" s="8">
        <f t="shared" si="11"/>
        <v>0</v>
      </c>
      <c r="O80" s="8">
        <f t="shared" si="11"/>
        <v>0</v>
      </c>
      <c r="P80" s="8">
        <f t="shared" si="11"/>
        <v>0</v>
      </c>
      <c r="Q80" s="8">
        <f t="shared" si="11"/>
        <v>0</v>
      </c>
      <c r="R80" s="8">
        <f t="shared" si="11"/>
        <v>0</v>
      </c>
      <c r="S80" s="8">
        <f t="shared" si="5"/>
        <v>0</v>
      </c>
    </row>
    <row r="81" spans="1:19" x14ac:dyDescent="0.3">
      <c r="A81" s="13" t="s">
        <v>101</v>
      </c>
      <c r="B81" s="13" t="str">
        <f t="shared" si="10"/>
        <v>568</v>
      </c>
      <c r="C81" s="13" t="s">
        <v>117</v>
      </c>
      <c r="D81" s="34">
        <v>0</v>
      </c>
      <c r="E81" s="4">
        <f t="shared" si="4"/>
        <v>0</v>
      </c>
      <c r="F81">
        <v>1</v>
      </c>
      <c r="G81" s="8">
        <f t="shared" si="12"/>
        <v>0</v>
      </c>
      <c r="H81" s="8">
        <f t="shared" si="11"/>
        <v>0</v>
      </c>
      <c r="I81" s="8">
        <f t="shared" si="11"/>
        <v>0</v>
      </c>
      <c r="J81" s="8">
        <f t="shared" si="11"/>
        <v>0</v>
      </c>
      <c r="K81" s="8">
        <f t="shared" si="11"/>
        <v>0</v>
      </c>
      <c r="L81" s="8">
        <f t="shared" si="11"/>
        <v>0</v>
      </c>
      <c r="M81" s="8">
        <f t="shared" si="11"/>
        <v>0</v>
      </c>
      <c r="N81" s="8">
        <f t="shared" si="11"/>
        <v>0</v>
      </c>
      <c r="O81" s="8">
        <f t="shared" si="11"/>
        <v>0</v>
      </c>
      <c r="P81" s="8">
        <f t="shared" si="11"/>
        <v>0</v>
      </c>
      <c r="Q81" s="8">
        <f t="shared" si="11"/>
        <v>0</v>
      </c>
      <c r="R81" s="8">
        <f t="shared" si="11"/>
        <v>0</v>
      </c>
      <c r="S81" s="8">
        <f t="shared" si="5"/>
        <v>0</v>
      </c>
    </row>
    <row r="82" spans="1:19" x14ac:dyDescent="0.3">
      <c r="A82" s="13" t="s">
        <v>101</v>
      </c>
      <c r="B82" s="13" t="str">
        <f t="shared" si="10"/>
        <v>580</v>
      </c>
      <c r="C82" s="13" t="s">
        <v>118</v>
      </c>
      <c r="D82" s="34">
        <v>0</v>
      </c>
      <c r="E82" s="4">
        <f t="shared" si="4"/>
        <v>0</v>
      </c>
      <c r="F82">
        <v>1</v>
      </c>
      <c r="G82" s="8">
        <f t="shared" si="12"/>
        <v>0</v>
      </c>
      <c r="H82" s="8">
        <f t="shared" si="11"/>
        <v>0</v>
      </c>
      <c r="I82" s="8">
        <f t="shared" si="11"/>
        <v>0</v>
      </c>
      <c r="J82" s="8">
        <f t="shared" si="11"/>
        <v>0</v>
      </c>
      <c r="K82" s="8">
        <f t="shared" si="11"/>
        <v>0</v>
      </c>
      <c r="L82" s="8">
        <f t="shared" si="11"/>
        <v>0</v>
      </c>
      <c r="M82" s="8">
        <f t="shared" si="11"/>
        <v>0</v>
      </c>
      <c r="N82" s="8">
        <f t="shared" si="11"/>
        <v>0</v>
      </c>
      <c r="O82" s="8">
        <f t="shared" si="11"/>
        <v>0</v>
      </c>
      <c r="P82" s="8">
        <f t="shared" si="11"/>
        <v>0</v>
      </c>
      <c r="Q82" s="8">
        <f t="shared" si="11"/>
        <v>0</v>
      </c>
      <c r="R82" s="8">
        <f t="shared" si="11"/>
        <v>0</v>
      </c>
      <c r="S82" s="8">
        <f t="shared" si="5"/>
        <v>0</v>
      </c>
    </row>
    <row r="83" spans="1:19" x14ac:dyDescent="0.3">
      <c r="A83" s="13" t="s">
        <v>101</v>
      </c>
      <c r="B83" s="13" t="str">
        <f t="shared" si="10"/>
        <v>582</v>
      </c>
      <c r="C83" s="13" t="s">
        <v>119</v>
      </c>
      <c r="D83" s="34">
        <v>0</v>
      </c>
      <c r="E83" s="4">
        <f t="shared" si="4"/>
        <v>0</v>
      </c>
      <c r="F83">
        <v>1</v>
      </c>
      <c r="G83" s="8">
        <f t="shared" si="12"/>
        <v>0</v>
      </c>
      <c r="H83" s="8">
        <f t="shared" si="11"/>
        <v>0</v>
      </c>
      <c r="I83" s="8">
        <f t="shared" si="11"/>
        <v>0</v>
      </c>
      <c r="J83" s="8">
        <f t="shared" si="11"/>
        <v>0</v>
      </c>
      <c r="K83" s="8">
        <f t="shared" si="11"/>
        <v>0</v>
      </c>
      <c r="L83" s="8">
        <f t="shared" si="11"/>
        <v>0</v>
      </c>
      <c r="M83" s="8">
        <f t="shared" si="11"/>
        <v>0</v>
      </c>
      <c r="N83" s="8">
        <f t="shared" si="11"/>
        <v>0</v>
      </c>
      <c r="O83" s="8">
        <f t="shared" si="11"/>
        <v>0</v>
      </c>
      <c r="P83" s="8">
        <f t="shared" si="11"/>
        <v>0</v>
      </c>
      <c r="Q83" s="8">
        <f t="shared" si="11"/>
        <v>0</v>
      </c>
      <c r="R83" s="8">
        <f t="shared" si="11"/>
        <v>0</v>
      </c>
      <c r="S83" s="8">
        <f t="shared" si="5"/>
        <v>0</v>
      </c>
    </row>
    <row r="84" spans="1:19" x14ac:dyDescent="0.3">
      <c r="A84" s="13" t="s">
        <v>101</v>
      </c>
      <c r="B84" s="13" t="str">
        <f t="shared" si="10"/>
        <v>585</v>
      </c>
      <c r="C84" s="13" t="s">
        <v>120</v>
      </c>
      <c r="D84" s="34">
        <v>0</v>
      </c>
      <c r="E84" s="4">
        <f t="shared" ref="E84:E98" si="13">F84*D84</f>
        <v>0</v>
      </c>
      <c r="F84">
        <v>1</v>
      </c>
      <c r="G84" s="8">
        <f t="shared" si="12"/>
        <v>0</v>
      </c>
      <c r="H84" s="8">
        <f t="shared" si="11"/>
        <v>0</v>
      </c>
      <c r="I84" s="8">
        <f t="shared" si="11"/>
        <v>0</v>
      </c>
      <c r="J84" s="8">
        <f t="shared" si="11"/>
        <v>0</v>
      </c>
      <c r="K84" s="8">
        <f t="shared" si="11"/>
        <v>0</v>
      </c>
      <c r="L84" s="8">
        <f t="shared" si="11"/>
        <v>0</v>
      </c>
      <c r="M84" s="8">
        <f t="shared" si="11"/>
        <v>0</v>
      </c>
      <c r="N84" s="8">
        <f t="shared" si="11"/>
        <v>0</v>
      </c>
      <c r="O84" s="8">
        <f t="shared" si="11"/>
        <v>0</v>
      </c>
      <c r="P84" s="8">
        <f t="shared" si="11"/>
        <v>0</v>
      </c>
      <c r="Q84" s="8">
        <f t="shared" si="11"/>
        <v>0</v>
      </c>
      <c r="R84" s="8">
        <f t="shared" si="11"/>
        <v>0</v>
      </c>
      <c r="S84" s="8">
        <f t="shared" ref="S84:S104" si="14">E84-SUM(G84:R84)</f>
        <v>0</v>
      </c>
    </row>
    <row r="85" spans="1:19" x14ac:dyDescent="0.3">
      <c r="A85" s="13" t="s">
        <v>101</v>
      </c>
      <c r="B85" s="13" t="str">
        <f t="shared" si="10"/>
        <v>586</v>
      </c>
      <c r="C85" s="13" t="s">
        <v>121</v>
      </c>
      <c r="D85" s="34">
        <v>0</v>
      </c>
      <c r="E85" s="4">
        <f t="shared" si="13"/>
        <v>0</v>
      </c>
      <c r="F85">
        <v>1</v>
      </c>
      <c r="G85" s="8">
        <f t="shared" si="12"/>
        <v>0</v>
      </c>
      <c r="H85" s="8">
        <f t="shared" si="11"/>
        <v>0</v>
      </c>
      <c r="I85" s="8">
        <f t="shared" si="11"/>
        <v>0</v>
      </c>
      <c r="J85" s="8">
        <f t="shared" si="11"/>
        <v>0</v>
      </c>
      <c r="K85" s="8">
        <f t="shared" si="11"/>
        <v>0</v>
      </c>
      <c r="L85" s="8">
        <f t="shared" si="11"/>
        <v>0</v>
      </c>
      <c r="M85" s="8">
        <f t="shared" si="11"/>
        <v>0</v>
      </c>
      <c r="N85" s="8">
        <f t="shared" si="11"/>
        <v>0</v>
      </c>
      <c r="O85" s="8">
        <f t="shared" si="11"/>
        <v>0</v>
      </c>
      <c r="P85" s="8">
        <f t="shared" si="11"/>
        <v>0</v>
      </c>
      <c r="Q85" s="8">
        <f t="shared" si="11"/>
        <v>0</v>
      </c>
      <c r="R85" s="8">
        <f t="shared" si="11"/>
        <v>0</v>
      </c>
      <c r="S85" s="8">
        <f t="shared" si="14"/>
        <v>0</v>
      </c>
    </row>
    <row r="86" spans="1:19" x14ac:dyDescent="0.3">
      <c r="A86" s="13" t="s">
        <v>101</v>
      </c>
      <c r="B86" s="13" t="str">
        <f t="shared" si="10"/>
        <v>610</v>
      </c>
      <c r="C86" s="13" t="s">
        <v>122</v>
      </c>
      <c r="D86" s="34">
        <v>0</v>
      </c>
      <c r="E86" s="4">
        <f t="shared" si="13"/>
        <v>0</v>
      </c>
      <c r="F86">
        <v>1</v>
      </c>
      <c r="G86" s="8">
        <f t="shared" si="12"/>
        <v>0</v>
      </c>
      <c r="H86" s="8">
        <f t="shared" si="11"/>
        <v>0</v>
      </c>
      <c r="I86" s="8">
        <f t="shared" si="11"/>
        <v>0</v>
      </c>
      <c r="J86" s="8">
        <f t="shared" si="11"/>
        <v>0</v>
      </c>
      <c r="K86" s="8">
        <f t="shared" si="11"/>
        <v>0</v>
      </c>
      <c r="L86" s="8">
        <f t="shared" si="11"/>
        <v>0</v>
      </c>
      <c r="M86" s="8">
        <f t="shared" si="11"/>
        <v>0</v>
      </c>
      <c r="N86" s="8">
        <f t="shared" si="11"/>
        <v>0</v>
      </c>
      <c r="O86" s="8">
        <f t="shared" si="11"/>
        <v>0</v>
      </c>
      <c r="P86" s="8">
        <f t="shared" si="11"/>
        <v>0</v>
      </c>
      <c r="Q86" s="8">
        <f t="shared" si="11"/>
        <v>0</v>
      </c>
      <c r="R86" s="8">
        <f t="shared" si="11"/>
        <v>0</v>
      </c>
      <c r="S86" s="8">
        <f t="shared" si="14"/>
        <v>0</v>
      </c>
    </row>
    <row r="87" spans="1:19" x14ac:dyDescent="0.3">
      <c r="A87" s="13" t="s">
        <v>101</v>
      </c>
      <c r="B87" s="13" t="str">
        <f t="shared" si="10"/>
        <v>630</v>
      </c>
      <c r="C87" s="13" t="s">
        <v>123</v>
      </c>
      <c r="D87" s="34">
        <v>0</v>
      </c>
      <c r="E87" s="4">
        <f t="shared" si="13"/>
        <v>0</v>
      </c>
      <c r="F87">
        <v>1</v>
      </c>
      <c r="G87" s="8">
        <f t="shared" si="12"/>
        <v>0</v>
      </c>
      <c r="H87" s="8">
        <f t="shared" si="11"/>
        <v>0</v>
      </c>
      <c r="I87" s="8">
        <f t="shared" si="11"/>
        <v>0</v>
      </c>
      <c r="J87" s="8">
        <f t="shared" si="11"/>
        <v>0</v>
      </c>
      <c r="K87" s="8">
        <f t="shared" si="11"/>
        <v>0</v>
      </c>
      <c r="L87" s="8">
        <f t="shared" si="11"/>
        <v>0</v>
      </c>
      <c r="M87" s="8">
        <f t="shared" si="11"/>
        <v>0</v>
      </c>
      <c r="N87" s="8">
        <f t="shared" si="11"/>
        <v>0</v>
      </c>
      <c r="O87" s="8">
        <f t="shared" si="11"/>
        <v>0</v>
      </c>
      <c r="P87" s="8">
        <f t="shared" si="11"/>
        <v>0</v>
      </c>
      <c r="Q87" s="8">
        <f t="shared" si="11"/>
        <v>0</v>
      </c>
      <c r="R87" s="8">
        <f t="shared" si="11"/>
        <v>0</v>
      </c>
      <c r="S87" s="8">
        <f t="shared" si="14"/>
        <v>0</v>
      </c>
    </row>
    <row r="88" spans="1:19" x14ac:dyDescent="0.3">
      <c r="A88" s="13" t="s">
        <v>101</v>
      </c>
      <c r="B88" s="13" t="str">
        <f t="shared" si="10"/>
        <v>631</v>
      </c>
      <c r="C88" s="13" t="s">
        <v>124</v>
      </c>
      <c r="D88" s="34">
        <v>0</v>
      </c>
      <c r="E88" s="4">
        <f t="shared" si="13"/>
        <v>0</v>
      </c>
      <c r="F88">
        <v>1</v>
      </c>
      <c r="G88" s="8">
        <f t="shared" si="12"/>
        <v>0</v>
      </c>
      <c r="H88" s="8">
        <f t="shared" si="11"/>
        <v>0</v>
      </c>
      <c r="I88" s="8">
        <f t="shared" si="11"/>
        <v>0</v>
      </c>
      <c r="J88" s="8">
        <f t="shared" si="11"/>
        <v>0</v>
      </c>
      <c r="K88" s="8">
        <f t="shared" si="11"/>
        <v>0</v>
      </c>
      <c r="L88" s="8">
        <f t="shared" si="11"/>
        <v>0</v>
      </c>
      <c r="M88" s="8">
        <f t="shared" si="11"/>
        <v>0</v>
      </c>
      <c r="N88" s="8">
        <f t="shared" si="11"/>
        <v>0</v>
      </c>
      <c r="O88" s="8">
        <f t="shared" si="11"/>
        <v>0</v>
      </c>
      <c r="P88" s="8">
        <f t="shared" si="11"/>
        <v>0</v>
      </c>
      <c r="Q88" s="8">
        <f t="shared" si="11"/>
        <v>0</v>
      </c>
      <c r="R88" s="8">
        <f t="shared" si="11"/>
        <v>0</v>
      </c>
      <c r="S88" s="8">
        <f t="shared" si="14"/>
        <v>0</v>
      </c>
    </row>
    <row r="89" spans="1:19" x14ac:dyDescent="0.3">
      <c r="A89" s="13" t="s">
        <v>101</v>
      </c>
      <c r="B89" s="13" t="str">
        <f t="shared" si="10"/>
        <v>640</v>
      </c>
      <c r="C89" s="13" t="s">
        <v>125</v>
      </c>
      <c r="D89" s="34">
        <v>0</v>
      </c>
      <c r="E89" s="4">
        <f t="shared" si="13"/>
        <v>0</v>
      </c>
      <c r="F89">
        <v>1</v>
      </c>
      <c r="G89" s="8">
        <f t="shared" si="12"/>
        <v>0</v>
      </c>
      <c r="H89" s="8">
        <f t="shared" si="11"/>
        <v>0</v>
      </c>
      <c r="I89" s="8">
        <f t="shared" si="11"/>
        <v>0</v>
      </c>
      <c r="J89" s="8">
        <f t="shared" si="11"/>
        <v>0</v>
      </c>
      <c r="K89" s="8">
        <f t="shared" si="11"/>
        <v>0</v>
      </c>
      <c r="L89" s="8">
        <f t="shared" si="11"/>
        <v>0</v>
      </c>
      <c r="M89" s="8">
        <f t="shared" si="11"/>
        <v>0</v>
      </c>
      <c r="N89" s="8">
        <f t="shared" si="11"/>
        <v>0</v>
      </c>
      <c r="O89" s="8">
        <f t="shared" si="11"/>
        <v>0</v>
      </c>
      <c r="P89" s="8">
        <f t="shared" si="11"/>
        <v>0</v>
      </c>
      <c r="Q89" s="8">
        <f t="shared" si="11"/>
        <v>0</v>
      </c>
      <c r="R89" s="8">
        <f t="shared" si="11"/>
        <v>0</v>
      </c>
      <c r="S89" s="8">
        <f t="shared" si="14"/>
        <v>0</v>
      </c>
    </row>
    <row r="90" spans="1:19" x14ac:dyDescent="0.3">
      <c r="A90" s="13" t="s">
        <v>101</v>
      </c>
      <c r="B90" s="13" t="str">
        <f t="shared" si="10"/>
        <v>642</v>
      </c>
      <c r="C90" s="13" t="s">
        <v>126</v>
      </c>
      <c r="D90" s="34">
        <v>0</v>
      </c>
      <c r="E90" s="4">
        <f t="shared" si="13"/>
        <v>0</v>
      </c>
      <c r="F90">
        <v>1</v>
      </c>
      <c r="G90" s="8">
        <f t="shared" si="12"/>
        <v>0</v>
      </c>
      <c r="H90" s="8">
        <f t="shared" si="11"/>
        <v>0</v>
      </c>
      <c r="I90" s="8">
        <f t="shared" si="11"/>
        <v>0</v>
      </c>
      <c r="J90" s="8">
        <f t="shared" si="11"/>
        <v>0</v>
      </c>
      <c r="K90" s="8">
        <f t="shared" si="11"/>
        <v>0</v>
      </c>
      <c r="L90" s="8">
        <f t="shared" si="11"/>
        <v>0</v>
      </c>
      <c r="M90" s="8">
        <f t="shared" si="11"/>
        <v>0</v>
      </c>
      <c r="N90" s="8">
        <f t="shared" si="11"/>
        <v>0</v>
      </c>
      <c r="O90" s="8">
        <f t="shared" si="11"/>
        <v>0</v>
      </c>
      <c r="P90" s="8">
        <f t="shared" si="11"/>
        <v>0</v>
      </c>
      <c r="Q90" s="8">
        <f t="shared" si="11"/>
        <v>0</v>
      </c>
      <c r="R90" s="8">
        <f t="shared" si="11"/>
        <v>0</v>
      </c>
      <c r="S90" s="8">
        <f t="shared" si="14"/>
        <v>0</v>
      </c>
    </row>
    <row r="91" spans="1:19" x14ac:dyDescent="0.3">
      <c r="A91" s="13" t="s">
        <v>101</v>
      </c>
      <c r="B91" s="13" t="str">
        <f t="shared" si="10"/>
        <v>670</v>
      </c>
      <c r="C91" s="13" t="s">
        <v>127</v>
      </c>
      <c r="D91" s="34">
        <v>0</v>
      </c>
      <c r="E91" s="4">
        <f t="shared" si="13"/>
        <v>0</v>
      </c>
      <c r="F91">
        <v>1</v>
      </c>
      <c r="G91" s="8">
        <f t="shared" si="12"/>
        <v>0</v>
      </c>
      <c r="H91" s="8">
        <f t="shared" si="11"/>
        <v>0</v>
      </c>
      <c r="I91" s="8">
        <f t="shared" si="11"/>
        <v>0</v>
      </c>
      <c r="J91" s="8">
        <f t="shared" si="11"/>
        <v>0</v>
      </c>
      <c r="K91" s="8">
        <f t="shared" si="11"/>
        <v>0</v>
      </c>
      <c r="L91" s="8">
        <f t="shared" si="11"/>
        <v>0</v>
      </c>
      <c r="M91" s="8">
        <f t="shared" si="11"/>
        <v>0</v>
      </c>
      <c r="N91" s="8">
        <f t="shared" si="11"/>
        <v>0</v>
      </c>
      <c r="O91" s="8">
        <f t="shared" si="11"/>
        <v>0</v>
      </c>
      <c r="P91" s="8">
        <f t="shared" si="11"/>
        <v>0</v>
      </c>
      <c r="Q91" s="8">
        <f t="shared" si="11"/>
        <v>0</v>
      </c>
      <c r="R91" s="8">
        <f t="shared" si="11"/>
        <v>0</v>
      </c>
      <c r="S91" s="8">
        <f t="shared" si="14"/>
        <v>0</v>
      </c>
    </row>
    <row r="92" spans="1:19" x14ac:dyDescent="0.3">
      <c r="A92" s="13" t="s">
        <v>101</v>
      </c>
      <c r="B92" s="13" t="str">
        <f t="shared" si="10"/>
        <v>671</v>
      </c>
      <c r="C92" s="13" t="s">
        <v>128</v>
      </c>
      <c r="D92" s="34">
        <v>0</v>
      </c>
      <c r="E92" s="4">
        <f t="shared" si="13"/>
        <v>0</v>
      </c>
      <c r="F92">
        <v>1</v>
      </c>
      <c r="G92" s="8">
        <f t="shared" si="12"/>
        <v>0</v>
      </c>
      <c r="H92" s="8">
        <f t="shared" si="11"/>
        <v>0</v>
      </c>
      <c r="I92" s="8">
        <f t="shared" si="11"/>
        <v>0</v>
      </c>
      <c r="J92" s="8">
        <f t="shared" si="11"/>
        <v>0</v>
      </c>
      <c r="K92" s="8">
        <f t="shared" si="11"/>
        <v>0</v>
      </c>
      <c r="L92" s="8">
        <f t="shared" si="11"/>
        <v>0</v>
      </c>
      <c r="M92" s="8">
        <f t="shared" si="11"/>
        <v>0</v>
      </c>
      <c r="N92" s="8">
        <f t="shared" si="11"/>
        <v>0</v>
      </c>
      <c r="O92" s="8">
        <f t="shared" si="11"/>
        <v>0</v>
      </c>
      <c r="P92" s="8">
        <f t="shared" si="11"/>
        <v>0</v>
      </c>
      <c r="Q92" s="8">
        <f t="shared" si="11"/>
        <v>0</v>
      </c>
      <c r="R92" s="8">
        <f t="shared" si="11"/>
        <v>0</v>
      </c>
      <c r="S92" s="8">
        <f t="shared" si="14"/>
        <v>0</v>
      </c>
    </row>
    <row r="93" spans="1:19" x14ac:dyDescent="0.3">
      <c r="A93" s="13" t="s">
        <v>101</v>
      </c>
      <c r="B93" s="13" t="str">
        <f t="shared" si="10"/>
        <v>690</v>
      </c>
      <c r="C93" s="13" t="s">
        <v>129</v>
      </c>
      <c r="D93" s="34">
        <v>0</v>
      </c>
      <c r="E93" s="4">
        <f t="shared" si="13"/>
        <v>0</v>
      </c>
      <c r="F93">
        <v>1</v>
      </c>
      <c r="G93" s="8">
        <f t="shared" si="12"/>
        <v>0</v>
      </c>
      <c r="H93" s="8">
        <f t="shared" si="11"/>
        <v>0</v>
      </c>
      <c r="I93" s="8">
        <f t="shared" si="11"/>
        <v>0</v>
      </c>
      <c r="J93" s="8">
        <f t="shared" si="11"/>
        <v>0</v>
      </c>
      <c r="K93" s="8">
        <f t="shared" si="11"/>
        <v>0</v>
      </c>
      <c r="L93" s="8">
        <f t="shared" si="11"/>
        <v>0</v>
      </c>
      <c r="M93" s="8">
        <f t="shared" si="11"/>
        <v>0</v>
      </c>
      <c r="N93" s="8">
        <f t="shared" si="11"/>
        <v>0</v>
      </c>
      <c r="O93" s="8">
        <f t="shared" si="11"/>
        <v>0</v>
      </c>
      <c r="P93" s="8">
        <f t="shared" si="11"/>
        <v>0</v>
      </c>
      <c r="Q93" s="8">
        <f t="shared" si="11"/>
        <v>0</v>
      </c>
      <c r="R93" s="8">
        <f t="shared" si="11"/>
        <v>0</v>
      </c>
      <c r="S93" s="8">
        <f t="shared" si="14"/>
        <v>0</v>
      </c>
    </row>
    <row r="94" spans="1:19" x14ac:dyDescent="0.3">
      <c r="A94" s="13" t="s">
        <v>101</v>
      </c>
      <c r="B94" s="13" t="str">
        <f t="shared" si="10"/>
        <v>710</v>
      </c>
      <c r="C94" s="13" t="s">
        <v>130</v>
      </c>
      <c r="D94" s="17">
        <v>0.05</v>
      </c>
      <c r="E94" s="4">
        <f t="shared" si="13"/>
        <v>0</v>
      </c>
      <c r="F94" s="33">
        <v>0</v>
      </c>
      <c r="G94" s="8">
        <f t="shared" si="12"/>
        <v>0</v>
      </c>
      <c r="H94" s="8">
        <f t="shared" si="11"/>
        <v>0</v>
      </c>
      <c r="I94" s="8">
        <f t="shared" si="11"/>
        <v>0</v>
      </c>
      <c r="J94" s="8">
        <f t="shared" si="11"/>
        <v>0</v>
      </c>
      <c r="K94" s="8">
        <f t="shared" si="11"/>
        <v>0</v>
      </c>
      <c r="L94" s="8">
        <f t="shared" si="11"/>
        <v>0</v>
      </c>
      <c r="M94" s="8">
        <f t="shared" si="11"/>
        <v>0</v>
      </c>
      <c r="N94" s="8">
        <f t="shared" si="11"/>
        <v>0</v>
      </c>
      <c r="O94" s="8">
        <f t="shared" si="11"/>
        <v>0</v>
      </c>
      <c r="P94" s="8">
        <f t="shared" si="11"/>
        <v>0</v>
      </c>
      <c r="Q94" s="8">
        <f t="shared" si="11"/>
        <v>0</v>
      </c>
      <c r="R94" s="8">
        <f t="shared" si="11"/>
        <v>0</v>
      </c>
      <c r="S94" s="8">
        <f t="shared" si="14"/>
        <v>0</v>
      </c>
    </row>
    <row r="95" spans="1:19" x14ac:dyDescent="0.3">
      <c r="A95" s="13" t="s">
        <v>101</v>
      </c>
      <c r="B95" s="13" t="str">
        <f t="shared" si="10"/>
        <v>720</v>
      </c>
      <c r="C95" s="13" t="s">
        <v>131</v>
      </c>
      <c r="D95" s="17">
        <v>0.3</v>
      </c>
      <c r="E95" s="4">
        <f t="shared" si="13"/>
        <v>0</v>
      </c>
      <c r="F95" s="33"/>
      <c r="G95" s="8">
        <f t="shared" si="12"/>
        <v>0</v>
      </c>
      <c r="H95" s="8">
        <f t="shared" si="11"/>
        <v>0</v>
      </c>
      <c r="I95" s="8">
        <f t="shared" si="11"/>
        <v>0</v>
      </c>
      <c r="J95" s="8">
        <f t="shared" si="11"/>
        <v>0</v>
      </c>
      <c r="K95" s="8">
        <f t="shared" si="11"/>
        <v>0</v>
      </c>
      <c r="L95" s="8">
        <f t="shared" ref="H95:R97" si="15">$E95*L$28</f>
        <v>0</v>
      </c>
      <c r="M95" s="8">
        <f t="shared" si="15"/>
        <v>0</v>
      </c>
      <c r="N95" s="8">
        <f t="shared" si="15"/>
        <v>0</v>
      </c>
      <c r="O95" s="8">
        <f t="shared" si="15"/>
        <v>0</v>
      </c>
      <c r="P95" s="8">
        <f t="shared" si="15"/>
        <v>0</v>
      </c>
      <c r="Q95" s="8">
        <f t="shared" si="15"/>
        <v>0</v>
      </c>
      <c r="R95" s="8">
        <f t="shared" si="15"/>
        <v>0</v>
      </c>
      <c r="S95" s="8">
        <f t="shared" si="14"/>
        <v>0</v>
      </c>
    </row>
    <row r="96" spans="1:19" x14ac:dyDescent="0.3">
      <c r="A96" s="13" t="s">
        <v>101</v>
      </c>
      <c r="B96" s="13" t="str">
        <f t="shared" si="10"/>
        <v>730</v>
      </c>
      <c r="C96" s="13" t="s">
        <v>132</v>
      </c>
      <c r="D96" s="17">
        <v>0.05</v>
      </c>
      <c r="E96" s="4">
        <f t="shared" si="13"/>
        <v>0</v>
      </c>
      <c r="F96" s="33"/>
      <c r="G96" s="8">
        <f t="shared" si="12"/>
        <v>0</v>
      </c>
      <c r="H96" s="8">
        <f t="shared" si="15"/>
        <v>0</v>
      </c>
      <c r="I96" s="8">
        <f t="shared" si="15"/>
        <v>0</v>
      </c>
      <c r="J96" s="8">
        <f t="shared" si="15"/>
        <v>0</v>
      </c>
      <c r="K96" s="8">
        <f t="shared" si="15"/>
        <v>0</v>
      </c>
      <c r="L96" s="8">
        <f t="shared" si="15"/>
        <v>0</v>
      </c>
      <c r="M96" s="8">
        <f t="shared" si="15"/>
        <v>0</v>
      </c>
      <c r="N96" s="8">
        <f t="shared" si="15"/>
        <v>0</v>
      </c>
      <c r="O96" s="8">
        <f t="shared" si="15"/>
        <v>0</v>
      </c>
      <c r="P96" s="8">
        <f t="shared" si="15"/>
        <v>0</v>
      </c>
      <c r="Q96" s="8">
        <f t="shared" si="15"/>
        <v>0</v>
      </c>
      <c r="R96" s="8">
        <f t="shared" si="15"/>
        <v>0</v>
      </c>
      <c r="S96" s="8">
        <f t="shared" si="14"/>
        <v>0</v>
      </c>
    </row>
    <row r="97" spans="1:19" x14ac:dyDescent="0.3">
      <c r="A97" s="13" t="s">
        <v>101</v>
      </c>
      <c r="B97" s="13" t="str">
        <f t="shared" si="10"/>
        <v>740</v>
      </c>
      <c r="C97" s="13" t="s">
        <v>133</v>
      </c>
      <c r="D97" s="5">
        <v>0</v>
      </c>
      <c r="E97" s="4">
        <f t="shared" si="13"/>
        <v>0</v>
      </c>
      <c r="F97">
        <v>1</v>
      </c>
      <c r="G97" s="8">
        <f t="shared" si="12"/>
        <v>0</v>
      </c>
      <c r="H97" s="8">
        <f t="shared" si="15"/>
        <v>0</v>
      </c>
      <c r="I97" s="8">
        <f t="shared" si="15"/>
        <v>0</v>
      </c>
      <c r="J97" s="8">
        <f t="shared" si="15"/>
        <v>0</v>
      </c>
      <c r="K97" s="8">
        <f t="shared" si="15"/>
        <v>0</v>
      </c>
      <c r="L97" s="8">
        <f t="shared" si="15"/>
        <v>0</v>
      </c>
      <c r="M97" s="8">
        <f t="shared" si="15"/>
        <v>0</v>
      </c>
      <c r="N97" s="8">
        <f t="shared" si="15"/>
        <v>0</v>
      </c>
      <c r="O97" s="8">
        <f t="shared" si="15"/>
        <v>0</v>
      </c>
      <c r="P97" s="8">
        <f t="shared" si="15"/>
        <v>0</v>
      </c>
      <c r="Q97" s="8">
        <f t="shared" si="15"/>
        <v>0</v>
      </c>
      <c r="R97" s="8">
        <f t="shared" si="15"/>
        <v>0</v>
      </c>
      <c r="S97" s="8">
        <f t="shared" si="14"/>
        <v>0</v>
      </c>
    </row>
    <row r="98" spans="1:19" x14ac:dyDescent="0.3">
      <c r="A98" s="14" t="s">
        <v>134</v>
      </c>
      <c r="B98" s="14">
        <v>843</v>
      </c>
      <c r="C98" s="14" t="s">
        <v>134</v>
      </c>
      <c r="D98" s="31"/>
      <c r="E98" s="4">
        <f t="shared" si="13"/>
        <v>0</v>
      </c>
      <c r="F98">
        <v>1</v>
      </c>
      <c r="G98" s="8" t="e">
        <f t="shared" ref="G98:R98" si="16">($E$98/SUM($E$31:$E$97))*SUM(G31:G97)</f>
        <v>#DIV/0!</v>
      </c>
      <c r="H98" s="8" t="e">
        <f t="shared" si="16"/>
        <v>#DIV/0!</v>
      </c>
      <c r="I98" s="8" t="e">
        <f t="shared" si="16"/>
        <v>#DIV/0!</v>
      </c>
      <c r="J98" s="8" t="e">
        <f t="shared" si="16"/>
        <v>#DIV/0!</v>
      </c>
      <c r="K98" s="8" t="e">
        <f t="shared" si="16"/>
        <v>#DIV/0!</v>
      </c>
      <c r="L98" s="8" t="e">
        <f t="shared" si="16"/>
        <v>#DIV/0!</v>
      </c>
      <c r="M98" s="8" t="e">
        <f t="shared" si="16"/>
        <v>#DIV/0!</v>
      </c>
      <c r="N98" s="8" t="e">
        <f t="shared" si="16"/>
        <v>#DIV/0!</v>
      </c>
      <c r="O98" s="8" t="e">
        <f t="shared" si="16"/>
        <v>#DIV/0!</v>
      </c>
      <c r="P98" s="8" t="e">
        <f t="shared" si="16"/>
        <v>#DIV/0!</v>
      </c>
      <c r="Q98" s="8" t="e">
        <f t="shared" si="16"/>
        <v>#DIV/0!</v>
      </c>
      <c r="R98" s="8" t="e">
        <f t="shared" si="16"/>
        <v>#DIV/0!</v>
      </c>
      <c r="S98" s="8" t="e">
        <f t="shared" si="14"/>
        <v>#DIV/0!</v>
      </c>
    </row>
    <row r="99" spans="1:19" x14ac:dyDescent="0.3">
      <c r="S99" s="8"/>
    </row>
    <row r="100" spans="1:19" x14ac:dyDescent="0.3">
      <c r="C100" s="22" t="s">
        <v>51</v>
      </c>
      <c r="E100" s="4">
        <f t="shared" ref="E100:R101" si="17">SUMIF($A$31:$A$98,$C100,E$31:E$98)</f>
        <v>0</v>
      </c>
      <c r="F100" s="8">
        <f t="shared" si="17"/>
        <v>0</v>
      </c>
      <c r="G100" s="8">
        <f t="shared" si="17"/>
        <v>0</v>
      </c>
      <c r="H100" s="8">
        <f t="shared" si="17"/>
        <v>0</v>
      </c>
      <c r="I100" s="8">
        <f t="shared" si="17"/>
        <v>0</v>
      </c>
      <c r="J100" s="8">
        <f t="shared" si="17"/>
        <v>0</v>
      </c>
      <c r="K100" s="8">
        <f t="shared" si="17"/>
        <v>0</v>
      </c>
      <c r="L100" s="8">
        <f t="shared" si="17"/>
        <v>0</v>
      </c>
      <c r="M100" s="8">
        <f t="shared" si="17"/>
        <v>0</v>
      </c>
      <c r="N100" s="8">
        <f t="shared" si="17"/>
        <v>0</v>
      </c>
      <c r="O100" s="8">
        <f t="shared" si="17"/>
        <v>0</v>
      </c>
      <c r="P100" s="8">
        <f t="shared" si="17"/>
        <v>0</v>
      </c>
      <c r="Q100" s="8">
        <f t="shared" si="17"/>
        <v>0</v>
      </c>
      <c r="R100" s="8">
        <f t="shared" si="17"/>
        <v>0</v>
      </c>
      <c r="S100" s="8">
        <f t="shared" si="14"/>
        <v>0</v>
      </c>
    </row>
    <row r="101" spans="1:19" x14ac:dyDescent="0.3">
      <c r="C101" s="22" t="s">
        <v>135</v>
      </c>
      <c r="E101" s="4">
        <f t="shared" si="17"/>
        <v>0</v>
      </c>
      <c r="F101" s="8">
        <f t="shared" si="17"/>
        <v>0</v>
      </c>
      <c r="G101" s="8">
        <f t="shared" si="17"/>
        <v>0</v>
      </c>
      <c r="H101" s="8">
        <f t="shared" si="17"/>
        <v>0</v>
      </c>
      <c r="I101" s="8">
        <f t="shared" si="17"/>
        <v>0</v>
      </c>
      <c r="J101" s="8">
        <f t="shared" si="17"/>
        <v>0</v>
      </c>
      <c r="K101" s="8">
        <f t="shared" si="17"/>
        <v>0</v>
      </c>
      <c r="L101" s="8">
        <f t="shared" si="17"/>
        <v>0</v>
      </c>
      <c r="M101" s="8">
        <f t="shared" si="17"/>
        <v>0</v>
      </c>
      <c r="N101" s="8">
        <f t="shared" si="17"/>
        <v>0</v>
      </c>
      <c r="O101" s="8">
        <f t="shared" si="17"/>
        <v>0</v>
      </c>
      <c r="P101" s="8">
        <f t="shared" si="17"/>
        <v>0</v>
      </c>
      <c r="Q101" s="8">
        <f t="shared" si="17"/>
        <v>0</v>
      </c>
      <c r="R101" s="8">
        <f t="shared" si="17"/>
        <v>0</v>
      </c>
      <c r="S101" s="8">
        <f t="shared" si="14"/>
        <v>0</v>
      </c>
    </row>
    <row r="102" spans="1:19" x14ac:dyDescent="0.3">
      <c r="C102" s="22" t="s">
        <v>101</v>
      </c>
      <c r="E102" s="4">
        <f>SUMIF($A$31:$A$98,$C102,E$31:E$98)</f>
        <v>0</v>
      </c>
      <c r="G102" s="8">
        <f t="shared" ref="G102:R103" si="18">SUMIF($A$31:$A$98,$C102,G$31:G$98)</f>
        <v>0</v>
      </c>
      <c r="H102" s="8">
        <f t="shared" si="18"/>
        <v>0</v>
      </c>
      <c r="I102" s="8">
        <f t="shared" si="18"/>
        <v>0</v>
      </c>
      <c r="J102" s="8">
        <f t="shared" si="18"/>
        <v>0</v>
      </c>
      <c r="K102" s="8">
        <f t="shared" si="18"/>
        <v>0</v>
      </c>
      <c r="L102" s="8">
        <f t="shared" si="18"/>
        <v>0</v>
      </c>
      <c r="M102" s="8">
        <f t="shared" si="18"/>
        <v>0</v>
      </c>
      <c r="N102" s="8">
        <f t="shared" si="18"/>
        <v>0</v>
      </c>
      <c r="O102" s="8">
        <f t="shared" si="18"/>
        <v>0</v>
      </c>
      <c r="P102" s="8">
        <f t="shared" si="18"/>
        <v>0</v>
      </c>
      <c r="Q102" s="8">
        <f t="shared" si="18"/>
        <v>0</v>
      </c>
      <c r="R102" s="8">
        <f t="shared" si="18"/>
        <v>0</v>
      </c>
      <c r="S102" s="8">
        <f t="shared" si="14"/>
        <v>0</v>
      </c>
    </row>
    <row r="103" spans="1:19" x14ac:dyDescent="0.3">
      <c r="C103" s="22" t="s">
        <v>134</v>
      </c>
      <c r="E103" s="4">
        <f>SUMIF($A$31:$A$98,$C103,E$31:E$98)</f>
        <v>0</v>
      </c>
      <c r="G103" s="8" t="e">
        <f t="shared" si="18"/>
        <v>#DIV/0!</v>
      </c>
      <c r="H103" s="8" t="e">
        <f t="shared" si="18"/>
        <v>#DIV/0!</v>
      </c>
      <c r="I103" s="8" t="e">
        <f t="shared" si="18"/>
        <v>#DIV/0!</v>
      </c>
      <c r="J103" s="8" t="e">
        <f t="shared" si="18"/>
        <v>#DIV/0!</v>
      </c>
      <c r="K103" s="8" t="e">
        <f t="shared" si="18"/>
        <v>#DIV/0!</v>
      </c>
      <c r="L103" s="8" t="e">
        <f t="shared" si="18"/>
        <v>#DIV/0!</v>
      </c>
      <c r="M103" s="8" t="e">
        <f t="shared" si="18"/>
        <v>#DIV/0!</v>
      </c>
      <c r="N103" s="8" t="e">
        <f t="shared" si="18"/>
        <v>#DIV/0!</v>
      </c>
      <c r="O103" s="8" t="e">
        <f t="shared" si="18"/>
        <v>#DIV/0!</v>
      </c>
      <c r="P103" s="8" t="e">
        <f t="shared" si="18"/>
        <v>#DIV/0!</v>
      </c>
      <c r="Q103" s="8" t="e">
        <f t="shared" si="18"/>
        <v>#DIV/0!</v>
      </c>
      <c r="R103" s="8" t="e">
        <f t="shared" si="18"/>
        <v>#DIV/0!</v>
      </c>
      <c r="S103" s="8" t="e">
        <f t="shared" si="14"/>
        <v>#DIV/0!</v>
      </c>
    </row>
    <row r="104" spans="1:19" ht="15" thickBot="1" x14ac:dyDescent="0.35">
      <c r="C104" s="15" t="s">
        <v>136</v>
      </c>
      <c r="D104" s="15"/>
      <c r="E104" s="19">
        <f>E103-E100-E101-E102</f>
        <v>0</v>
      </c>
      <c r="F104" s="16">
        <f>SUM(F100:F103)</f>
        <v>0</v>
      </c>
      <c r="G104" s="16" t="e">
        <f t="shared" ref="G104:R104" si="19">G98-SUM(G31:G97)</f>
        <v>#DIV/0!</v>
      </c>
      <c r="H104" s="16" t="e">
        <f t="shared" si="19"/>
        <v>#DIV/0!</v>
      </c>
      <c r="I104" s="16" t="e">
        <f t="shared" si="19"/>
        <v>#DIV/0!</v>
      </c>
      <c r="J104" s="16" t="e">
        <f t="shared" si="19"/>
        <v>#DIV/0!</v>
      </c>
      <c r="K104" s="16" t="e">
        <f t="shared" si="19"/>
        <v>#DIV/0!</v>
      </c>
      <c r="L104" s="16" t="e">
        <f t="shared" si="19"/>
        <v>#DIV/0!</v>
      </c>
      <c r="M104" s="16" t="e">
        <f t="shared" si="19"/>
        <v>#DIV/0!</v>
      </c>
      <c r="N104" s="16" t="e">
        <f t="shared" si="19"/>
        <v>#DIV/0!</v>
      </c>
      <c r="O104" s="16" t="e">
        <f t="shared" si="19"/>
        <v>#DIV/0!</v>
      </c>
      <c r="P104" s="16" t="e">
        <f t="shared" si="19"/>
        <v>#DIV/0!</v>
      </c>
      <c r="Q104" s="16" t="e">
        <f t="shared" si="19"/>
        <v>#DIV/0!</v>
      </c>
      <c r="R104" s="16" t="e">
        <f t="shared" si="19"/>
        <v>#DIV/0!</v>
      </c>
      <c r="S104" s="16" t="e">
        <f t="shared" si="14"/>
        <v>#DIV/0!</v>
      </c>
    </row>
    <row r="105" spans="1:19" ht="15" thickTop="1" x14ac:dyDescent="0.3">
      <c r="C105" s="22" t="s">
        <v>137</v>
      </c>
      <c r="E105" s="24" t="e">
        <f>E104/E103</f>
        <v>#DIV/0!</v>
      </c>
    </row>
    <row r="108" spans="1:19" x14ac:dyDescent="0.3">
      <c r="C108" t="s">
        <v>138</v>
      </c>
      <c r="E108" s="27">
        <f>SUM('ETC regels projecten'!$K:$K)-SUM(Projectbegroting!E31:E98)</f>
        <v>0</v>
      </c>
      <c r="F108">
        <f>SUM(F30:F97)-SUM('ETC regels projecten'!I:I)</f>
        <v>-1</v>
      </c>
    </row>
    <row r="109" spans="1:19" x14ac:dyDescent="0.3">
      <c r="C109" t="s">
        <v>139</v>
      </c>
      <c r="E109" s="27">
        <f>E104+SUM(Probuto!E2:P8)</f>
        <v>0</v>
      </c>
      <c r="G109" s="27" t="e">
        <f>G104+SUM(Probuto!E$2:E$8)</f>
        <v>#DIV/0!</v>
      </c>
      <c r="H109" s="27" t="e">
        <f>H104+SUM(Probuto!F$2:F$8)</f>
        <v>#DIV/0!</v>
      </c>
      <c r="I109" s="27" t="e">
        <f>I104+SUM(Probuto!G$2:G$8)</f>
        <v>#DIV/0!</v>
      </c>
      <c r="J109" s="27" t="e">
        <f>J104+SUM(Probuto!H$2:H$8)</f>
        <v>#DIV/0!</v>
      </c>
      <c r="K109" s="27" t="e">
        <f>K104+SUM(Probuto!I$2:I$8)</f>
        <v>#DIV/0!</v>
      </c>
      <c r="L109" s="27" t="e">
        <f>L104+SUM(Probuto!J$2:J$8)</f>
        <v>#DIV/0!</v>
      </c>
      <c r="M109" s="27" t="e">
        <f>M104+SUM(Probuto!K$2:K$8)</f>
        <v>#DIV/0!</v>
      </c>
      <c r="N109" s="27" t="e">
        <f>N104+SUM(Probuto!L$2:L$8)</f>
        <v>#DIV/0!</v>
      </c>
      <c r="O109" s="27" t="e">
        <f>O104+SUM(Probuto!M$2:M$8)</f>
        <v>#DIV/0!</v>
      </c>
      <c r="P109" s="27" t="e">
        <f>P104+SUM(Probuto!N$2:N$8)</f>
        <v>#DIV/0!</v>
      </c>
      <c r="Q109" s="27" t="e">
        <f>Q104+SUM(Probuto!O$2:O$8)</f>
        <v>#DIV/0!</v>
      </c>
      <c r="R109" s="27" t="e">
        <f>R104+SUM(Probuto!P$2:P$8)</f>
        <v>#DIV/0!</v>
      </c>
    </row>
  </sheetData>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xr:uid="{267B96BC-C43B-4F61-A87E-686BA98EF02D}">
          <x14:formula1>
            <xm:f>Lijsten!$A$3:$A$5</xm:f>
          </x14:formula1>
          <xm:sqref>C18</xm:sqref>
        </x14:dataValidation>
        <x14:dataValidation type="list" allowBlank="1" showInputMessage="1" showErrorMessage="1" xr:uid="{B117CDA3-2FBE-496E-A8EC-3C7E1417CA4F}">
          <x14:formula1>
            <xm:f>Lijsten!$C$3:$C$19</xm:f>
          </x14:formula1>
          <xm:sqref>C19</xm:sqref>
        </x14:dataValidation>
        <x14:dataValidation type="list" allowBlank="1" showInputMessage="1" showErrorMessage="1" xr:uid="{B0EEFEEE-9995-4545-8F2B-7E6CD8F355A7}">
          <x14:formula1>
            <xm:f>Lijsten!$E$3:$E$14</xm:f>
          </x14:formula1>
          <xm:sqref>C20</xm:sqref>
        </x14:dataValidation>
        <x14:dataValidation type="list" allowBlank="1" showInputMessage="1" showErrorMessage="1" xr:uid="{2B53831A-3846-4D24-A510-80D74383BDAA}">
          <x14:formula1>
            <xm:f>Lijsten!$G$3:$G$24</xm:f>
          </x14:formula1>
          <xm:sqref>C21</xm:sqref>
        </x14:dataValidation>
        <x14:dataValidation type="list" allowBlank="1" showInputMessage="1" showErrorMessage="1" xr:uid="{E8FBC234-E5DD-4CBC-AF11-5288671D279D}">
          <x14:formula1>
            <xm:f>Lijsten!$I$3:$I$8</xm:f>
          </x14:formula1>
          <xm:sqref>C22</xm:sqref>
        </x14:dataValidation>
        <x14:dataValidation type="list" allowBlank="1" showInputMessage="1" showErrorMessage="1" xr:uid="{28DFFB93-493D-4EDF-9C52-B4585F399102}">
          <x14:formula1>
            <xm:f>Lijsten!$K$3:$K$5</xm:f>
          </x14:formula1>
          <xm:sqref>C15</xm:sqref>
        </x14:dataValidation>
        <x14:dataValidation type="list" allowBlank="1" showInputMessage="1" showErrorMessage="1" xr:uid="{E290D82E-A212-4C77-95DD-039DF0FAB059}">
          <x14:formula1>
            <xm:f>Lijsten!$N$3:$N$25</xm:f>
          </x14:formula1>
          <xm:sqref>C13</xm:sqref>
        </x14:dataValidation>
        <x14:dataValidation type="list" allowBlank="1" showInputMessage="1" showErrorMessage="1" xr:uid="{DEAAD48B-3321-4A9B-954D-42869309C91A}">
          <x14:formula1>
            <xm:f>Lijsten!$Q$3:$Q$16</xm:f>
          </x14:formula1>
          <xm:sqref>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4F54-F84F-4794-BE25-0955CA560C81}">
  <dimension ref="A1:R7"/>
  <sheetViews>
    <sheetView workbookViewId="0">
      <selection activeCell="B21" sqref="B21"/>
    </sheetView>
  </sheetViews>
  <sheetFormatPr defaultRowHeight="14.4" x14ac:dyDescent="0.3"/>
  <cols>
    <col min="1" max="1" width="30.33203125" bestFit="1" customWidth="1"/>
    <col min="2" max="2" width="14.33203125" bestFit="1" customWidth="1"/>
    <col min="3" max="3" width="13.33203125" bestFit="1" customWidth="1"/>
    <col min="4" max="4" width="12.88671875" customWidth="1"/>
    <col min="5" max="5" width="14.6640625" bestFit="1" customWidth="1"/>
    <col min="6" max="6" width="19.6640625" bestFit="1" customWidth="1"/>
    <col min="7" max="7" width="10.6640625" bestFit="1" customWidth="1"/>
    <col min="8" max="8" width="17" bestFit="1" customWidth="1"/>
    <col min="9" max="9" width="20.6640625" bestFit="1" customWidth="1"/>
    <col min="10" max="10" width="12.5546875" bestFit="1" customWidth="1"/>
    <col min="11" max="11" width="17.33203125" bestFit="1" customWidth="1"/>
    <col min="12" max="12" width="14.33203125" bestFit="1" customWidth="1"/>
    <col min="13" max="13" width="21.6640625" bestFit="1" customWidth="1"/>
    <col min="14" max="14" width="5" bestFit="1" customWidth="1"/>
    <col min="15" max="17" width="11.6640625" bestFit="1" customWidth="1"/>
    <col min="18" max="18" width="30.33203125" bestFit="1" customWidth="1"/>
  </cols>
  <sheetData>
    <row r="1" spans="1:18" x14ac:dyDescent="0.3">
      <c r="A1" s="2" t="s">
        <v>140</v>
      </c>
      <c r="B1" s="2" t="s">
        <v>141</v>
      </c>
      <c r="C1" s="2" t="s">
        <v>142</v>
      </c>
      <c r="D1" s="2" t="s">
        <v>143</v>
      </c>
      <c r="E1" s="2" t="s">
        <v>144</v>
      </c>
      <c r="F1" s="2" t="s">
        <v>145</v>
      </c>
      <c r="G1" s="2" t="s">
        <v>146</v>
      </c>
      <c r="H1" s="2" t="s">
        <v>147</v>
      </c>
      <c r="I1" s="2" t="s">
        <v>148</v>
      </c>
      <c r="J1" s="2" t="s">
        <v>149</v>
      </c>
      <c r="K1" s="2" t="s">
        <v>150</v>
      </c>
      <c r="L1" s="2" t="s">
        <v>151</v>
      </c>
      <c r="M1" s="2" t="s">
        <v>152</v>
      </c>
      <c r="N1" s="2" t="s">
        <v>153</v>
      </c>
      <c r="O1" s="2" t="s">
        <v>154</v>
      </c>
      <c r="P1" s="2" t="s">
        <v>155</v>
      </c>
      <c r="Q1" s="2" t="s">
        <v>156</v>
      </c>
      <c r="R1" s="2" t="s">
        <v>140</v>
      </c>
    </row>
    <row r="2" spans="1:18" x14ac:dyDescent="0.3">
      <c r="A2" t="str">
        <f>Projectbegroting!$B$8</f>
        <v>Klant in zicht 2027</v>
      </c>
      <c r="B2" t="str">
        <f>Projectbegroting!$B$9</f>
        <v>30626-0003</v>
      </c>
      <c r="C2" s="20">
        <f>Projectbegroting!B10</f>
        <v>46388</v>
      </c>
      <c r="D2" s="20">
        <f>Projectbegroting!B11</f>
        <v>46752</v>
      </c>
      <c r="E2" t="s">
        <v>157</v>
      </c>
      <c r="F2" t="str">
        <f>Projectbegroting!B18</f>
        <v>Kosten</v>
      </c>
      <c r="G2">
        <v>41265</v>
      </c>
      <c r="H2">
        <v>42805</v>
      </c>
      <c r="I2">
        <v>34955</v>
      </c>
      <c r="J2">
        <f>Projectbegroting!B24</f>
        <v>10021301</v>
      </c>
      <c r="K2" t="str">
        <f>Projectbegroting!B25</f>
        <v>Cito</v>
      </c>
      <c r="L2">
        <f>Projectbegroting!B26</f>
        <v>2000000</v>
      </c>
      <c r="M2" t="str">
        <f>"-"&amp;Projectbegroting!B19&amp;"-"&amp;Projectbegroting!B20&amp;"-"&amp;Projectbegroting!B21&amp;"-"&amp;Projectbegroting!B9&amp;"-"</f>
        <v>-7040---30626-0003-</v>
      </c>
      <c r="N2" t="str">
        <f>Projectbegroting!B22</f>
        <v>NL-B</v>
      </c>
      <c r="O2" t="str">
        <f>Projectbegroting!B16</f>
        <v>AUT-POC</v>
      </c>
      <c r="R2" t="str">
        <f>Projectbegroting!$B$8</f>
        <v>Klant in zicht 2027</v>
      </c>
    </row>
    <row r="7" spans="1:18" x14ac:dyDescent="0.3">
      <c r="A7" t="s">
        <v>158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4B3E-8638-49BA-B54E-957A11249E01}">
  <dimension ref="A1:K69"/>
  <sheetViews>
    <sheetView workbookViewId="0">
      <selection activeCell="I25" sqref="I25"/>
    </sheetView>
  </sheetViews>
  <sheetFormatPr defaultRowHeight="14.4" x14ac:dyDescent="0.3"/>
  <cols>
    <col min="1" max="1" width="10" bestFit="1" customWidth="1"/>
    <col min="2" max="2" width="11.33203125" customWidth="1"/>
    <col min="3" max="4" width="30.33203125" bestFit="1" customWidth="1"/>
    <col min="6" max="6" width="6.44140625" bestFit="1" customWidth="1"/>
    <col min="7" max="7" width="12.44140625" bestFit="1" customWidth="1"/>
  </cols>
  <sheetData>
    <row r="1" spans="1:11" x14ac:dyDescent="0.3">
      <c r="A1" s="25" t="s">
        <v>159</v>
      </c>
      <c r="B1" s="2"/>
      <c r="C1" s="2" t="s">
        <v>160</v>
      </c>
      <c r="D1" s="2" t="s">
        <v>161</v>
      </c>
      <c r="E1" s="2" t="s">
        <v>162</v>
      </c>
      <c r="F1" s="2" t="s">
        <v>134</v>
      </c>
      <c r="G1" s="2" t="s">
        <v>163</v>
      </c>
      <c r="H1" s="2" t="s">
        <v>164</v>
      </c>
      <c r="I1" s="2" t="s">
        <v>165</v>
      </c>
      <c r="J1" s="2" t="s">
        <v>166</v>
      </c>
      <c r="K1" s="26" t="s">
        <v>167</v>
      </c>
    </row>
    <row r="2" spans="1:11" x14ac:dyDescent="0.3">
      <c r="A2" t="str">
        <f>CONCATENATE(D2,H2)</f>
        <v>30626-0003AM</v>
      </c>
      <c r="C2" t="str">
        <f>Projectbegroting!$B$8</f>
        <v>Klant in zicht 2027</v>
      </c>
      <c r="D2" t="str">
        <f>Projectbegroting!$B$9</f>
        <v>30626-0003</v>
      </c>
      <c r="H2" t="s">
        <v>52</v>
      </c>
      <c r="I2">
        <f>Projectbegroting!F31</f>
        <v>0</v>
      </c>
      <c r="J2">
        <f>Projectbegroting!D31</f>
        <v>81</v>
      </c>
      <c r="K2">
        <f>Projectbegroting!E31</f>
        <v>0</v>
      </c>
    </row>
    <row r="3" spans="1:11" x14ac:dyDescent="0.3">
      <c r="A3" t="str">
        <f t="shared" ref="A3:A66" si="0">CONCATENATE(D3,H3)</f>
        <v>30626-0003BU</v>
      </c>
      <c r="C3" t="str">
        <f>Projectbegroting!$B$8</f>
        <v>Klant in zicht 2027</v>
      </c>
      <c r="D3" t="str">
        <f>Projectbegroting!$B$9</f>
        <v>30626-0003</v>
      </c>
      <c r="H3" t="s">
        <v>54</v>
      </c>
      <c r="I3">
        <f>Projectbegroting!F32</f>
        <v>0</v>
      </c>
      <c r="J3">
        <f>Projectbegroting!D32</f>
        <v>64</v>
      </c>
      <c r="K3">
        <f>Projectbegroting!E32</f>
        <v>0</v>
      </c>
    </row>
    <row r="4" spans="1:11" x14ac:dyDescent="0.3">
      <c r="A4" t="str">
        <f t="shared" si="0"/>
        <v>30626-0003CM</v>
      </c>
      <c r="C4" t="str">
        <f>Projectbegroting!$B$8</f>
        <v>Klant in zicht 2027</v>
      </c>
      <c r="D4" t="str">
        <f>Projectbegroting!$B$9</f>
        <v>30626-0003</v>
      </c>
      <c r="H4" t="s">
        <v>56</v>
      </c>
      <c r="I4">
        <f>Projectbegroting!F33</f>
        <v>0</v>
      </c>
      <c r="J4">
        <f>Projectbegroting!D33</f>
        <v>80</v>
      </c>
      <c r="K4">
        <f>Projectbegroting!E33</f>
        <v>0</v>
      </c>
    </row>
    <row r="5" spans="1:11" x14ac:dyDescent="0.3">
      <c r="A5" t="str">
        <f t="shared" si="0"/>
        <v>30626-0003CS</v>
      </c>
      <c r="C5" t="str">
        <f>Projectbegroting!$B$8</f>
        <v>Klant in zicht 2027</v>
      </c>
      <c r="D5" t="str">
        <f>Projectbegroting!$B$9</f>
        <v>30626-0003</v>
      </c>
      <c r="H5" t="s">
        <v>58</v>
      </c>
      <c r="I5">
        <f>Projectbegroting!F34</f>
        <v>0</v>
      </c>
      <c r="J5">
        <f>Projectbegroting!D34</f>
        <v>64</v>
      </c>
      <c r="K5">
        <f>Projectbegroting!E34</f>
        <v>0</v>
      </c>
    </row>
    <row r="6" spans="1:11" x14ac:dyDescent="0.3">
      <c r="A6" t="str">
        <f t="shared" si="0"/>
        <v>30626-0003DES</v>
      </c>
      <c r="C6" t="str">
        <f>Projectbegroting!$B$8</f>
        <v>Klant in zicht 2027</v>
      </c>
      <c r="D6" t="str">
        <f>Projectbegroting!$B$9</f>
        <v>30626-0003</v>
      </c>
      <c r="H6" t="s">
        <v>60</v>
      </c>
      <c r="I6">
        <f>Projectbegroting!F35</f>
        <v>0</v>
      </c>
      <c r="J6">
        <f>Projectbegroting!D35</f>
        <v>77</v>
      </c>
      <c r="K6">
        <f>Projectbegroting!E35</f>
        <v>0</v>
      </c>
    </row>
    <row r="7" spans="1:11" x14ac:dyDescent="0.3">
      <c r="A7" t="str">
        <f t="shared" si="0"/>
        <v>30626-0003MCB</v>
      </c>
      <c r="C7" t="str">
        <f>Projectbegroting!$B$8</f>
        <v>Klant in zicht 2027</v>
      </c>
      <c r="D7" t="str">
        <f>Projectbegroting!$B$9</f>
        <v>30626-0003</v>
      </c>
      <c r="H7" t="s">
        <v>62</v>
      </c>
      <c r="I7">
        <f>Projectbegroting!F36</f>
        <v>0</v>
      </c>
      <c r="J7">
        <f>Projectbegroting!D36</f>
        <v>56</v>
      </c>
      <c r="K7">
        <f>Projectbegroting!E36</f>
        <v>0</v>
      </c>
    </row>
    <row r="8" spans="1:11" x14ac:dyDescent="0.3">
      <c r="A8" t="str">
        <f t="shared" si="0"/>
        <v>30626-0003MS</v>
      </c>
      <c r="C8" t="str">
        <f>Projectbegroting!$B$8</f>
        <v>Klant in zicht 2027</v>
      </c>
      <c r="D8" t="str">
        <f>Projectbegroting!$B$9</f>
        <v>30626-0003</v>
      </c>
      <c r="H8" t="s">
        <v>64</v>
      </c>
      <c r="I8">
        <f>Projectbegroting!F37</f>
        <v>0</v>
      </c>
      <c r="J8">
        <f>Projectbegroting!D37</f>
        <v>50</v>
      </c>
      <c r="K8">
        <f>Projectbegroting!E37</f>
        <v>0</v>
      </c>
    </row>
    <row r="9" spans="1:11" x14ac:dyDescent="0.3">
      <c r="A9" t="str">
        <f t="shared" si="0"/>
        <v>30626-0003PDO</v>
      </c>
      <c r="C9" t="str">
        <f>Projectbegroting!$B$8</f>
        <v>Klant in zicht 2027</v>
      </c>
      <c r="D9" t="str">
        <f>Projectbegroting!$B$9</f>
        <v>30626-0003</v>
      </c>
      <c r="H9" t="s">
        <v>66</v>
      </c>
      <c r="I9">
        <f>Projectbegroting!F38</f>
        <v>0</v>
      </c>
      <c r="J9">
        <f>Projectbegroting!D38</f>
        <v>87</v>
      </c>
      <c r="K9">
        <f>Projectbegroting!E38</f>
        <v>0</v>
      </c>
    </row>
    <row r="10" spans="1:11" x14ac:dyDescent="0.3">
      <c r="A10" t="str">
        <f t="shared" si="0"/>
        <v>30626-0003PRO</v>
      </c>
      <c r="C10" t="str">
        <f>Projectbegroting!$B$8</f>
        <v>Klant in zicht 2027</v>
      </c>
      <c r="D10" t="str">
        <f>Projectbegroting!$B$9</f>
        <v>30626-0003</v>
      </c>
      <c r="H10" t="s">
        <v>68</v>
      </c>
      <c r="I10">
        <f>Projectbegroting!F39</f>
        <v>0</v>
      </c>
      <c r="J10">
        <f>Projectbegroting!D39</f>
        <v>56</v>
      </c>
      <c r="K10">
        <f>Projectbegroting!E39</f>
        <v>0</v>
      </c>
    </row>
    <row r="11" spans="1:11" x14ac:dyDescent="0.3">
      <c r="A11" t="str">
        <f t="shared" si="0"/>
        <v>30626-0003PS</v>
      </c>
      <c r="C11" t="str">
        <f>Projectbegroting!$B$8</f>
        <v>Klant in zicht 2027</v>
      </c>
      <c r="D11" t="str">
        <f>Projectbegroting!$B$9</f>
        <v>30626-0003</v>
      </c>
      <c r="H11" t="s">
        <v>70</v>
      </c>
      <c r="I11">
        <f>Projectbegroting!F40</f>
        <v>0</v>
      </c>
      <c r="J11">
        <f>Projectbegroting!D40</f>
        <v>46</v>
      </c>
      <c r="K11">
        <f>Projectbegroting!E40</f>
        <v>0</v>
      </c>
    </row>
    <row r="12" spans="1:11" x14ac:dyDescent="0.3">
      <c r="A12" t="str">
        <f t="shared" si="0"/>
        <v>30626-0003TOE</v>
      </c>
      <c r="C12" t="str">
        <f>Projectbegroting!$B$8</f>
        <v>Klant in zicht 2027</v>
      </c>
      <c r="D12" t="str">
        <f>Projectbegroting!$B$9</f>
        <v>30626-0003</v>
      </c>
      <c r="H12" t="s">
        <v>72</v>
      </c>
      <c r="I12">
        <f>Projectbegroting!F41</f>
        <v>0</v>
      </c>
      <c r="J12">
        <f>Projectbegroting!D41</f>
        <v>63</v>
      </c>
      <c r="K12">
        <f>Projectbegroting!E41</f>
        <v>0</v>
      </c>
    </row>
    <row r="13" spans="1:11" x14ac:dyDescent="0.3">
      <c r="A13" t="str">
        <f t="shared" si="0"/>
        <v>30626-0003TOM</v>
      </c>
      <c r="C13" t="str">
        <f>Projectbegroting!$B$8</f>
        <v>Klant in zicht 2027</v>
      </c>
      <c r="D13" t="str">
        <f>Projectbegroting!$B$9</f>
        <v>30626-0003</v>
      </c>
      <c r="H13" t="s">
        <v>74</v>
      </c>
      <c r="I13">
        <f>Projectbegroting!F42</f>
        <v>0</v>
      </c>
      <c r="J13">
        <f>Projectbegroting!D42</f>
        <v>50</v>
      </c>
      <c r="K13">
        <f>Projectbegroting!E42</f>
        <v>0</v>
      </c>
    </row>
    <row r="14" spans="1:11" x14ac:dyDescent="0.3">
      <c r="A14" t="str">
        <f t="shared" si="0"/>
        <v>30626-0003TRA</v>
      </c>
      <c r="C14" t="str">
        <f>Projectbegroting!$B$8</f>
        <v>Klant in zicht 2027</v>
      </c>
      <c r="D14" t="str">
        <f>Projectbegroting!$B$9</f>
        <v>30626-0003</v>
      </c>
      <c r="H14" t="s">
        <v>76</v>
      </c>
      <c r="I14">
        <f>Projectbegroting!F43</f>
        <v>0</v>
      </c>
      <c r="J14">
        <f>Projectbegroting!D43</f>
        <v>87</v>
      </c>
      <c r="K14">
        <f>Projectbegroting!E43</f>
        <v>0</v>
      </c>
    </row>
    <row r="15" spans="1:11" x14ac:dyDescent="0.3">
      <c r="A15" t="str">
        <f t="shared" si="0"/>
        <v>30626-0003WO</v>
      </c>
      <c r="C15" t="str">
        <f>Projectbegroting!$B$8</f>
        <v>Klant in zicht 2027</v>
      </c>
      <c r="D15" t="str">
        <f>Projectbegroting!$B$9</f>
        <v>30626-0003</v>
      </c>
      <c r="H15" t="s">
        <v>78</v>
      </c>
      <c r="I15">
        <f>Projectbegroting!F44</f>
        <v>0</v>
      </c>
      <c r="J15">
        <f>Projectbegroting!D44</f>
        <v>76</v>
      </c>
      <c r="K15">
        <f>Projectbegroting!E44</f>
        <v>0</v>
      </c>
    </row>
    <row r="16" spans="1:11" x14ac:dyDescent="0.3">
      <c r="A16" t="str">
        <f t="shared" si="0"/>
        <v>30626-0003PDM</v>
      </c>
      <c r="C16" t="str">
        <f>Projectbegroting!$B$8</f>
        <v>Klant in zicht 2027</v>
      </c>
      <c r="D16" t="str">
        <f>Projectbegroting!$B$9</f>
        <v>30626-0003</v>
      </c>
      <c r="H16" t="s">
        <v>80</v>
      </c>
      <c r="I16">
        <f>Projectbegroting!F45</f>
        <v>0</v>
      </c>
      <c r="J16">
        <f>Projectbegroting!D45</f>
        <v>95</v>
      </c>
      <c r="K16">
        <f>Projectbegroting!E45</f>
        <v>0</v>
      </c>
    </row>
    <row r="17" spans="1:11" x14ac:dyDescent="0.3">
      <c r="A17" t="str">
        <f t="shared" si="0"/>
        <v>30626-0003EA</v>
      </c>
      <c r="C17" t="str">
        <f>Projectbegroting!$B$8</f>
        <v>Klant in zicht 2027</v>
      </c>
      <c r="D17" t="str">
        <f>Projectbegroting!$B$9</f>
        <v>30626-0003</v>
      </c>
      <c r="H17" t="s">
        <v>82</v>
      </c>
      <c r="I17">
        <f>Projectbegroting!F46</f>
        <v>0</v>
      </c>
      <c r="J17">
        <f>Projectbegroting!D46</f>
        <v>84</v>
      </c>
      <c r="K17">
        <f>Projectbegroting!E46</f>
        <v>0</v>
      </c>
    </row>
    <row r="18" spans="1:11" x14ac:dyDescent="0.3">
      <c r="A18" t="str">
        <f t="shared" si="0"/>
        <v>30626-0003FUB</v>
      </c>
      <c r="C18" t="str">
        <f>Projectbegroting!$B$8</f>
        <v>Klant in zicht 2027</v>
      </c>
      <c r="D18" t="str">
        <f>Projectbegroting!$B$9</f>
        <v>30626-0003</v>
      </c>
      <c r="H18" t="s">
        <v>84</v>
      </c>
      <c r="I18">
        <f>Projectbegroting!F47</f>
        <v>0</v>
      </c>
      <c r="J18">
        <f>Projectbegroting!D47</f>
        <v>70</v>
      </c>
      <c r="K18">
        <f>Projectbegroting!E47</f>
        <v>0</v>
      </c>
    </row>
    <row r="19" spans="1:11" x14ac:dyDescent="0.3">
      <c r="A19" t="str">
        <f t="shared" si="0"/>
        <v>30626-0003ICTB</v>
      </c>
      <c r="C19" t="str">
        <f>Projectbegroting!$B$8</f>
        <v>Klant in zicht 2027</v>
      </c>
      <c r="D19" t="str">
        <f>Projectbegroting!$B$9</f>
        <v>30626-0003</v>
      </c>
      <c r="H19" t="s">
        <v>86</v>
      </c>
      <c r="I19">
        <f>Projectbegroting!F48</f>
        <v>0</v>
      </c>
      <c r="J19">
        <f>Projectbegroting!D48</f>
        <v>64</v>
      </c>
      <c r="K19">
        <f>Projectbegroting!E48</f>
        <v>0</v>
      </c>
    </row>
    <row r="20" spans="1:11" x14ac:dyDescent="0.3">
      <c r="A20" t="str">
        <f t="shared" si="0"/>
        <v>30626-0003ICTO</v>
      </c>
      <c r="C20" t="str">
        <f>Projectbegroting!$B$8</f>
        <v>Klant in zicht 2027</v>
      </c>
      <c r="D20" t="str">
        <f>Projectbegroting!$B$9</f>
        <v>30626-0003</v>
      </c>
      <c r="H20" t="s">
        <v>88</v>
      </c>
      <c r="I20">
        <f>Projectbegroting!F49</f>
        <v>0</v>
      </c>
      <c r="J20">
        <f>Projectbegroting!D49</f>
        <v>68</v>
      </c>
      <c r="K20">
        <f>Projectbegroting!E49</f>
        <v>0</v>
      </c>
    </row>
    <row r="21" spans="1:11" x14ac:dyDescent="0.3">
      <c r="A21" t="str">
        <f t="shared" si="0"/>
        <v>30626-0003ICTS</v>
      </c>
      <c r="C21" t="str">
        <f>Projectbegroting!$B$8</f>
        <v>Klant in zicht 2027</v>
      </c>
      <c r="D21" t="str">
        <f>Projectbegroting!$B$9</f>
        <v>30626-0003</v>
      </c>
      <c r="H21" t="s">
        <v>90</v>
      </c>
      <c r="I21">
        <f>Projectbegroting!F50</f>
        <v>0</v>
      </c>
      <c r="J21">
        <f>Projectbegroting!D50</f>
        <v>49</v>
      </c>
      <c r="K21">
        <f>Projectbegroting!E50</f>
        <v>0</v>
      </c>
    </row>
    <row r="22" spans="1:11" x14ac:dyDescent="0.3">
      <c r="A22" t="str">
        <f t="shared" si="0"/>
        <v>30626-0003TEST</v>
      </c>
      <c r="C22" t="str">
        <f>Projectbegroting!$B$8</f>
        <v>Klant in zicht 2027</v>
      </c>
      <c r="D22" t="str">
        <f>Projectbegroting!$B$9</f>
        <v>30626-0003</v>
      </c>
      <c r="H22" t="s">
        <v>92</v>
      </c>
      <c r="I22">
        <f>Projectbegroting!F51</f>
        <v>0</v>
      </c>
      <c r="J22">
        <f>Projectbegroting!D51</f>
        <v>70</v>
      </c>
      <c r="K22">
        <f>Projectbegroting!E51</f>
        <v>0</v>
      </c>
    </row>
    <row r="23" spans="1:11" x14ac:dyDescent="0.3">
      <c r="A23" t="str">
        <f t="shared" si="0"/>
        <v>30626-0003ICTE</v>
      </c>
      <c r="C23" t="str">
        <f>Projectbegroting!$B$8</f>
        <v>Klant in zicht 2027</v>
      </c>
      <c r="D23" t="str">
        <f>Projectbegroting!$B$9</f>
        <v>30626-0003</v>
      </c>
      <c r="H23" t="s">
        <v>94</v>
      </c>
      <c r="I23">
        <f>Projectbegroting!F52</f>
        <v>0</v>
      </c>
      <c r="J23">
        <f>Projectbegroting!D52</f>
        <v>139</v>
      </c>
      <c r="K23">
        <f>Projectbegroting!E52</f>
        <v>0</v>
      </c>
    </row>
    <row r="24" spans="1:11" x14ac:dyDescent="0.3">
      <c r="A24" t="str">
        <f t="shared" si="0"/>
        <v>30626-0003IA</v>
      </c>
      <c r="C24" t="str">
        <f>Projectbegroting!$B$8</f>
        <v>Klant in zicht 2027</v>
      </c>
      <c r="D24" t="str">
        <f>Projectbegroting!$B$9</f>
        <v>30626-0003</v>
      </c>
      <c r="H24" t="s">
        <v>96</v>
      </c>
      <c r="I24">
        <f>Projectbegroting!F53</f>
        <v>0</v>
      </c>
      <c r="J24">
        <f>Projectbegroting!D53</f>
        <v>69</v>
      </c>
      <c r="K24">
        <f>Projectbegroting!E53</f>
        <v>0</v>
      </c>
    </row>
    <row r="25" spans="1:11" x14ac:dyDescent="0.3">
      <c r="A25" t="str">
        <f t="shared" si="0"/>
        <v>30626-0003PJM</v>
      </c>
      <c r="C25" t="str">
        <f>Projectbegroting!$B$8</f>
        <v>Klant in zicht 2027</v>
      </c>
      <c r="D25" t="str">
        <f>Projectbegroting!$B$9</f>
        <v>30626-0003</v>
      </c>
      <c r="H25" t="s">
        <v>98</v>
      </c>
      <c r="I25">
        <f>Projectbegroting!F54</f>
        <v>0</v>
      </c>
      <c r="J25">
        <f>Projectbegroting!D54</f>
        <v>90</v>
      </c>
      <c r="K25">
        <f>Projectbegroting!E54</f>
        <v>0</v>
      </c>
    </row>
    <row r="26" spans="1:11" x14ac:dyDescent="0.3">
      <c r="A26" t="str">
        <f t="shared" si="0"/>
        <v>30626-0003DES-I</v>
      </c>
      <c r="C26" t="str">
        <f>Projectbegroting!$B$8</f>
        <v>Klant in zicht 2027</v>
      </c>
      <c r="D26" t="str">
        <f>Projectbegroting!$B$9</f>
        <v>30626-0003</v>
      </c>
      <c r="H26" t="s">
        <v>168</v>
      </c>
      <c r="I26">
        <f>Projectbegroting!F55</f>
        <v>0</v>
      </c>
      <c r="J26">
        <f>Projectbegroting!D55</f>
        <v>109</v>
      </c>
      <c r="K26">
        <f>Projectbegroting!E55</f>
        <v>0</v>
      </c>
    </row>
    <row r="27" spans="1:11" x14ac:dyDescent="0.3">
      <c r="A27" t="str">
        <f t="shared" si="0"/>
        <v>30626-0003EA-I</v>
      </c>
      <c r="C27" t="str">
        <f>Projectbegroting!$B$8</f>
        <v>Klant in zicht 2027</v>
      </c>
      <c r="D27" t="str">
        <f>Projectbegroting!$B$9</f>
        <v>30626-0003</v>
      </c>
      <c r="H27" t="s">
        <v>169</v>
      </c>
      <c r="I27">
        <f>Projectbegroting!F56</f>
        <v>0</v>
      </c>
      <c r="J27">
        <f>Projectbegroting!D56</f>
        <v>116</v>
      </c>
      <c r="K27">
        <f>Projectbegroting!E56</f>
        <v>0</v>
      </c>
    </row>
    <row r="28" spans="1:11" x14ac:dyDescent="0.3">
      <c r="A28" t="str">
        <f t="shared" si="0"/>
        <v>30626-0003FUB-I</v>
      </c>
      <c r="C28" t="str">
        <f>Projectbegroting!$B$8</f>
        <v>Klant in zicht 2027</v>
      </c>
      <c r="D28" t="str">
        <f>Projectbegroting!$B$9</f>
        <v>30626-0003</v>
      </c>
      <c r="H28" t="s">
        <v>170</v>
      </c>
      <c r="I28">
        <f>Projectbegroting!F57</f>
        <v>0</v>
      </c>
      <c r="J28">
        <f>Projectbegroting!D57</f>
        <v>102</v>
      </c>
      <c r="K28">
        <f>Projectbegroting!E57</f>
        <v>0</v>
      </c>
    </row>
    <row r="29" spans="1:11" x14ac:dyDescent="0.3">
      <c r="A29" t="str">
        <f t="shared" si="0"/>
        <v>30626-0003IA-I</v>
      </c>
      <c r="C29" t="str">
        <f>Projectbegroting!$B$8</f>
        <v>Klant in zicht 2027</v>
      </c>
      <c r="D29" t="str">
        <f>Projectbegroting!$B$9</f>
        <v>30626-0003</v>
      </c>
      <c r="H29" t="s">
        <v>171</v>
      </c>
      <c r="I29">
        <f>Projectbegroting!F58</f>
        <v>0</v>
      </c>
      <c r="J29">
        <f>Projectbegroting!D58</f>
        <v>101</v>
      </c>
      <c r="K29">
        <f>Projectbegroting!E58</f>
        <v>0</v>
      </c>
    </row>
    <row r="30" spans="1:11" x14ac:dyDescent="0.3">
      <c r="A30" t="str">
        <f t="shared" si="0"/>
        <v>30626-0003ICTB-I</v>
      </c>
      <c r="C30" t="str">
        <f>Projectbegroting!$B$8</f>
        <v>Klant in zicht 2027</v>
      </c>
      <c r="D30" t="str">
        <f>Projectbegroting!$B$9</f>
        <v>30626-0003</v>
      </c>
      <c r="H30" t="s">
        <v>172</v>
      </c>
      <c r="I30">
        <f>Projectbegroting!F59</f>
        <v>0</v>
      </c>
      <c r="J30">
        <f>Projectbegroting!D59</f>
        <v>96</v>
      </c>
      <c r="K30">
        <f>Projectbegroting!E59</f>
        <v>0</v>
      </c>
    </row>
    <row r="31" spans="1:11" x14ac:dyDescent="0.3">
      <c r="A31" t="str">
        <f t="shared" si="0"/>
        <v>30626-0003ICTE-I</v>
      </c>
      <c r="C31" t="str">
        <f>Projectbegroting!$B$8</f>
        <v>Klant in zicht 2027</v>
      </c>
      <c r="D31" t="str">
        <f>Projectbegroting!$B$9</f>
        <v>30626-0003</v>
      </c>
      <c r="H31" t="s">
        <v>173</v>
      </c>
      <c r="I31">
        <f>Projectbegroting!F60</f>
        <v>0</v>
      </c>
      <c r="J31">
        <f>Projectbegroting!D60</f>
        <v>139</v>
      </c>
      <c r="K31">
        <f>Projectbegroting!E60</f>
        <v>0</v>
      </c>
    </row>
    <row r="32" spans="1:11" x14ac:dyDescent="0.3">
      <c r="A32" t="str">
        <f t="shared" si="0"/>
        <v>30626-0003ICTO-I</v>
      </c>
      <c r="C32" t="str">
        <f>Projectbegroting!$B$8</f>
        <v>Klant in zicht 2027</v>
      </c>
      <c r="D32" t="str">
        <f>Projectbegroting!$B$9</f>
        <v>30626-0003</v>
      </c>
      <c r="H32" t="s">
        <v>174</v>
      </c>
      <c r="I32">
        <f>Projectbegroting!F61</f>
        <v>0</v>
      </c>
      <c r="J32">
        <f>Projectbegroting!D61</f>
        <v>100</v>
      </c>
      <c r="K32">
        <f>Projectbegroting!E61</f>
        <v>0</v>
      </c>
    </row>
    <row r="33" spans="1:11" x14ac:dyDescent="0.3">
      <c r="A33" t="str">
        <f t="shared" si="0"/>
        <v>30626-0003PJM-I</v>
      </c>
      <c r="C33" t="str">
        <f>Projectbegroting!$B$8</f>
        <v>Klant in zicht 2027</v>
      </c>
      <c r="D33" t="str">
        <f>Projectbegroting!$B$9</f>
        <v>30626-0003</v>
      </c>
      <c r="H33" t="s">
        <v>175</v>
      </c>
      <c r="I33">
        <f>Projectbegroting!F62</f>
        <v>0</v>
      </c>
      <c r="J33">
        <f>Projectbegroting!D62</f>
        <v>122</v>
      </c>
      <c r="K33">
        <f>Projectbegroting!E62</f>
        <v>0</v>
      </c>
    </row>
    <row r="34" spans="1:11" x14ac:dyDescent="0.3">
      <c r="A34" t="str">
        <f t="shared" si="0"/>
        <v>30626-0003WO-I</v>
      </c>
      <c r="C34" t="str">
        <f>Projectbegroting!$B$8</f>
        <v>Klant in zicht 2027</v>
      </c>
      <c r="D34" t="str">
        <f>Projectbegroting!$B$9</f>
        <v>30626-0003</v>
      </c>
      <c r="H34" t="s">
        <v>176</v>
      </c>
      <c r="I34">
        <f>Projectbegroting!F63</f>
        <v>0</v>
      </c>
      <c r="J34">
        <f>Projectbegroting!D63</f>
        <v>120</v>
      </c>
      <c r="K34">
        <f>Projectbegroting!E63</f>
        <v>0</v>
      </c>
    </row>
    <row r="35" spans="1:11" x14ac:dyDescent="0.3">
      <c r="A35" t="str">
        <f t="shared" si="0"/>
        <v>30626-0003PRO-I</v>
      </c>
      <c r="C35" t="str">
        <f>Projectbegroting!$B$8</f>
        <v>Klant in zicht 2027</v>
      </c>
      <c r="D35" t="str">
        <f>Projectbegroting!$B$9</f>
        <v>30626-0003</v>
      </c>
      <c r="H35" t="s">
        <v>177</v>
      </c>
      <c r="I35">
        <f>Projectbegroting!F64</f>
        <v>0</v>
      </c>
      <c r="J35">
        <f>Projectbegroting!D64</f>
        <v>88</v>
      </c>
      <c r="K35">
        <f>Projectbegroting!E64</f>
        <v>0</v>
      </c>
    </row>
    <row r="36" spans="1:11" x14ac:dyDescent="0.3">
      <c r="A36" t="str">
        <f t="shared" si="0"/>
        <v>30626-0003TOM-I</v>
      </c>
      <c r="C36" t="str">
        <f>Projectbegroting!$B$8</f>
        <v>Klant in zicht 2027</v>
      </c>
      <c r="D36" t="str">
        <f>Projectbegroting!$B$9</f>
        <v>30626-0003</v>
      </c>
      <c r="H36" t="s">
        <v>178</v>
      </c>
      <c r="I36">
        <f>Projectbegroting!F65</f>
        <v>0</v>
      </c>
      <c r="J36">
        <f>Projectbegroting!D65</f>
        <v>82</v>
      </c>
      <c r="K36">
        <f>Projectbegroting!E65</f>
        <v>0</v>
      </c>
    </row>
    <row r="37" spans="1:11" x14ac:dyDescent="0.3">
      <c r="A37" t="str">
        <f t="shared" si="0"/>
        <v>30626-0003310</v>
      </c>
      <c r="C37" t="str">
        <f>Projectbegroting!$B$8</f>
        <v>Klant in zicht 2027</v>
      </c>
      <c r="D37" t="str">
        <f>Projectbegroting!$B$9</f>
        <v>30626-0003</v>
      </c>
      <c r="H37" t="s">
        <v>179</v>
      </c>
      <c r="I37">
        <f>Projectbegroting!F66</f>
        <v>1</v>
      </c>
      <c r="J37">
        <f>Projectbegroting!D66</f>
        <v>0</v>
      </c>
      <c r="K37">
        <f>Projectbegroting!E66</f>
        <v>0</v>
      </c>
    </row>
    <row r="38" spans="1:11" x14ac:dyDescent="0.3">
      <c r="A38" t="str">
        <f t="shared" si="0"/>
        <v>30626-0003350</v>
      </c>
      <c r="C38" t="str">
        <f>Projectbegroting!$B$8</f>
        <v>Klant in zicht 2027</v>
      </c>
      <c r="D38" t="str">
        <f>Projectbegroting!$B$9</f>
        <v>30626-0003</v>
      </c>
      <c r="H38" t="s">
        <v>180</v>
      </c>
      <c r="I38">
        <f>Projectbegroting!F67</f>
        <v>1</v>
      </c>
      <c r="J38">
        <f>Projectbegroting!D67</f>
        <v>0</v>
      </c>
      <c r="K38">
        <f>Projectbegroting!E67</f>
        <v>0</v>
      </c>
    </row>
    <row r="39" spans="1:11" x14ac:dyDescent="0.3">
      <c r="A39" t="str">
        <f t="shared" si="0"/>
        <v>30626-0003410</v>
      </c>
      <c r="C39" t="str">
        <f>Projectbegroting!$B$8</f>
        <v>Klant in zicht 2027</v>
      </c>
      <c r="D39" t="str">
        <f>Projectbegroting!$B$9</f>
        <v>30626-0003</v>
      </c>
      <c r="H39" t="s">
        <v>181</v>
      </c>
      <c r="I39">
        <f>Projectbegroting!F68</f>
        <v>1</v>
      </c>
      <c r="J39">
        <f>Projectbegroting!D68</f>
        <v>0</v>
      </c>
      <c r="K39">
        <f>Projectbegroting!E68</f>
        <v>0</v>
      </c>
    </row>
    <row r="40" spans="1:11" x14ac:dyDescent="0.3">
      <c r="A40" t="str">
        <f t="shared" si="0"/>
        <v>30626-0003470</v>
      </c>
      <c r="C40" t="str">
        <f>Projectbegroting!$B$8</f>
        <v>Klant in zicht 2027</v>
      </c>
      <c r="D40" t="str">
        <f>Projectbegroting!$B$9</f>
        <v>30626-0003</v>
      </c>
      <c r="H40" t="s">
        <v>182</v>
      </c>
      <c r="I40">
        <f>Projectbegroting!F69</f>
        <v>1</v>
      </c>
      <c r="J40">
        <f>Projectbegroting!D69</f>
        <v>0</v>
      </c>
      <c r="K40">
        <f>Projectbegroting!E69</f>
        <v>0</v>
      </c>
    </row>
    <row r="41" spans="1:11" x14ac:dyDescent="0.3">
      <c r="A41" t="str">
        <f t="shared" si="0"/>
        <v>30626-0003490</v>
      </c>
      <c r="C41" t="str">
        <f>Projectbegroting!$B$8</f>
        <v>Klant in zicht 2027</v>
      </c>
      <c r="D41" t="str">
        <f>Projectbegroting!$B$9</f>
        <v>30626-0003</v>
      </c>
      <c r="H41" t="s">
        <v>183</v>
      </c>
      <c r="I41">
        <f>Projectbegroting!F70</f>
        <v>1</v>
      </c>
      <c r="J41">
        <f>Projectbegroting!D70</f>
        <v>0</v>
      </c>
      <c r="K41">
        <f>Projectbegroting!E70</f>
        <v>0</v>
      </c>
    </row>
    <row r="42" spans="1:11" x14ac:dyDescent="0.3">
      <c r="A42" t="str">
        <f t="shared" si="0"/>
        <v>30626-0003491</v>
      </c>
      <c r="C42" t="str">
        <f>Projectbegroting!$B$8</f>
        <v>Klant in zicht 2027</v>
      </c>
      <c r="D42" t="str">
        <f>Projectbegroting!$B$9</f>
        <v>30626-0003</v>
      </c>
      <c r="H42" t="s">
        <v>184</v>
      </c>
      <c r="I42">
        <f>Projectbegroting!F71</f>
        <v>1</v>
      </c>
      <c r="J42">
        <f>Projectbegroting!D71</f>
        <v>0</v>
      </c>
      <c r="K42">
        <f>Projectbegroting!E71</f>
        <v>0</v>
      </c>
    </row>
    <row r="43" spans="1:11" x14ac:dyDescent="0.3">
      <c r="A43" t="str">
        <f t="shared" si="0"/>
        <v>30626-0003510</v>
      </c>
      <c r="C43" t="str">
        <f>Projectbegroting!$B$8</f>
        <v>Klant in zicht 2027</v>
      </c>
      <c r="D43" t="str">
        <f>Projectbegroting!$B$9</f>
        <v>30626-0003</v>
      </c>
      <c r="H43" t="s">
        <v>185</v>
      </c>
      <c r="I43">
        <f>Projectbegroting!F72</f>
        <v>1</v>
      </c>
      <c r="J43">
        <f>Projectbegroting!D72</f>
        <v>0</v>
      </c>
      <c r="K43">
        <f>Projectbegroting!E72</f>
        <v>0</v>
      </c>
    </row>
    <row r="44" spans="1:11" x14ac:dyDescent="0.3">
      <c r="A44" t="str">
        <f t="shared" si="0"/>
        <v>30626-0003520</v>
      </c>
      <c r="C44" t="str">
        <f>Projectbegroting!$B$8</f>
        <v>Klant in zicht 2027</v>
      </c>
      <c r="D44" t="str">
        <f>Projectbegroting!$B$9</f>
        <v>30626-0003</v>
      </c>
      <c r="H44" t="s">
        <v>186</v>
      </c>
      <c r="I44">
        <f>Projectbegroting!F73</f>
        <v>1</v>
      </c>
      <c r="J44">
        <f>Projectbegroting!D73</f>
        <v>0</v>
      </c>
      <c r="K44">
        <f>Projectbegroting!E73</f>
        <v>0</v>
      </c>
    </row>
    <row r="45" spans="1:11" x14ac:dyDescent="0.3">
      <c r="A45" t="str">
        <f t="shared" si="0"/>
        <v>30626-0003542</v>
      </c>
      <c r="C45" t="str">
        <f>Projectbegroting!$B$8</f>
        <v>Klant in zicht 2027</v>
      </c>
      <c r="D45" t="str">
        <f>Projectbegroting!$B$9</f>
        <v>30626-0003</v>
      </c>
      <c r="H45" t="s">
        <v>187</v>
      </c>
      <c r="I45">
        <f>Projectbegroting!F74</f>
        <v>1</v>
      </c>
      <c r="J45">
        <f>Projectbegroting!D74</f>
        <v>0</v>
      </c>
      <c r="K45">
        <f>Projectbegroting!E74</f>
        <v>0</v>
      </c>
    </row>
    <row r="46" spans="1:11" x14ac:dyDescent="0.3">
      <c r="A46" t="str">
        <f t="shared" si="0"/>
        <v>30626-0003543</v>
      </c>
      <c r="C46" t="str">
        <f>Projectbegroting!$B$8</f>
        <v>Klant in zicht 2027</v>
      </c>
      <c r="D46" t="str">
        <f>Projectbegroting!$B$9</f>
        <v>30626-0003</v>
      </c>
      <c r="H46" t="s">
        <v>188</v>
      </c>
      <c r="I46">
        <f>Projectbegroting!F75</f>
        <v>1</v>
      </c>
      <c r="J46">
        <f>Projectbegroting!D75</f>
        <v>0</v>
      </c>
      <c r="K46">
        <f>Projectbegroting!E75</f>
        <v>0</v>
      </c>
    </row>
    <row r="47" spans="1:11" x14ac:dyDescent="0.3">
      <c r="A47" t="str">
        <f t="shared" si="0"/>
        <v>30626-0003560</v>
      </c>
      <c r="C47" t="str">
        <f>Projectbegroting!$B$8</f>
        <v>Klant in zicht 2027</v>
      </c>
      <c r="D47" t="str">
        <f>Projectbegroting!$B$9</f>
        <v>30626-0003</v>
      </c>
      <c r="H47" t="s">
        <v>189</v>
      </c>
      <c r="I47">
        <f>Projectbegroting!F76</f>
        <v>1</v>
      </c>
      <c r="J47">
        <f>Projectbegroting!D76</f>
        <v>0</v>
      </c>
      <c r="K47">
        <f>Projectbegroting!E76</f>
        <v>0</v>
      </c>
    </row>
    <row r="48" spans="1:11" x14ac:dyDescent="0.3">
      <c r="A48" t="str">
        <f t="shared" si="0"/>
        <v>30626-0003562</v>
      </c>
      <c r="C48" t="str">
        <f>Projectbegroting!$B$8</f>
        <v>Klant in zicht 2027</v>
      </c>
      <c r="D48" t="str">
        <f>Projectbegroting!$B$9</f>
        <v>30626-0003</v>
      </c>
      <c r="H48" t="s">
        <v>190</v>
      </c>
      <c r="I48">
        <f>Projectbegroting!F77</f>
        <v>1</v>
      </c>
      <c r="J48">
        <f>Projectbegroting!D77</f>
        <v>0</v>
      </c>
      <c r="K48">
        <f>Projectbegroting!E77</f>
        <v>0</v>
      </c>
    </row>
    <row r="49" spans="1:11" x14ac:dyDescent="0.3">
      <c r="A49" t="str">
        <f t="shared" si="0"/>
        <v>30626-0003563</v>
      </c>
      <c r="C49" t="str">
        <f>Projectbegroting!$B$8</f>
        <v>Klant in zicht 2027</v>
      </c>
      <c r="D49" t="str">
        <f>Projectbegroting!$B$9</f>
        <v>30626-0003</v>
      </c>
      <c r="H49" t="s">
        <v>191</v>
      </c>
      <c r="I49">
        <f>Projectbegroting!F78</f>
        <v>1</v>
      </c>
      <c r="J49">
        <f>Projectbegroting!D78</f>
        <v>0</v>
      </c>
      <c r="K49">
        <f>Projectbegroting!E78</f>
        <v>0</v>
      </c>
    </row>
    <row r="50" spans="1:11" x14ac:dyDescent="0.3">
      <c r="A50" t="str">
        <f t="shared" si="0"/>
        <v>30626-0003566</v>
      </c>
      <c r="C50" t="str">
        <f>Projectbegroting!$B$8</f>
        <v>Klant in zicht 2027</v>
      </c>
      <c r="D50" t="str">
        <f>Projectbegroting!$B$9</f>
        <v>30626-0003</v>
      </c>
      <c r="H50" t="s">
        <v>192</v>
      </c>
      <c r="I50">
        <f>Projectbegroting!F79</f>
        <v>1</v>
      </c>
      <c r="J50">
        <f>Projectbegroting!D79</f>
        <v>0</v>
      </c>
      <c r="K50">
        <f>Projectbegroting!E79</f>
        <v>0</v>
      </c>
    </row>
    <row r="51" spans="1:11" x14ac:dyDescent="0.3">
      <c r="A51" t="str">
        <f t="shared" si="0"/>
        <v>30626-0003567</v>
      </c>
      <c r="C51" t="str">
        <f>Projectbegroting!$B$8</f>
        <v>Klant in zicht 2027</v>
      </c>
      <c r="D51" t="str">
        <f>Projectbegroting!$B$9</f>
        <v>30626-0003</v>
      </c>
      <c r="H51" t="s">
        <v>193</v>
      </c>
      <c r="I51">
        <f>Projectbegroting!F80</f>
        <v>1</v>
      </c>
      <c r="J51">
        <f>Projectbegroting!D80</f>
        <v>0</v>
      </c>
      <c r="K51">
        <f>Projectbegroting!E80</f>
        <v>0</v>
      </c>
    </row>
    <row r="52" spans="1:11" x14ac:dyDescent="0.3">
      <c r="A52" t="str">
        <f t="shared" si="0"/>
        <v>30626-0003568</v>
      </c>
      <c r="C52" t="str">
        <f>Projectbegroting!$B$8</f>
        <v>Klant in zicht 2027</v>
      </c>
      <c r="D52" t="str">
        <f>Projectbegroting!$B$9</f>
        <v>30626-0003</v>
      </c>
      <c r="H52" t="s">
        <v>194</v>
      </c>
      <c r="I52">
        <f>Projectbegroting!F81</f>
        <v>1</v>
      </c>
      <c r="J52">
        <f>Projectbegroting!D81</f>
        <v>0</v>
      </c>
      <c r="K52">
        <f>Projectbegroting!E81</f>
        <v>0</v>
      </c>
    </row>
    <row r="53" spans="1:11" x14ac:dyDescent="0.3">
      <c r="A53" t="str">
        <f t="shared" si="0"/>
        <v>30626-0003580</v>
      </c>
      <c r="C53" t="str">
        <f>Projectbegroting!$B$8</f>
        <v>Klant in zicht 2027</v>
      </c>
      <c r="D53" t="str">
        <f>Projectbegroting!$B$9</f>
        <v>30626-0003</v>
      </c>
      <c r="H53" t="s">
        <v>195</v>
      </c>
      <c r="I53">
        <f>Projectbegroting!F82</f>
        <v>1</v>
      </c>
      <c r="J53">
        <f>Projectbegroting!D82</f>
        <v>0</v>
      </c>
      <c r="K53">
        <f>Projectbegroting!E82</f>
        <v>0</v>
      </c>
    </row>
    <row r="54" spans="1:11" x14ac:dyDescent="0.3">
      <c r="A54" t="str">
        <f t="shared" si="0"/>
        <v>30626-0003582</v>
      </c>
      <c r="C54" t="str">
        <f>Projectbegroting!$B$8</f>
        <v>Klant in zicht 2027</v>
      </c>
      <c r="D54" t="str">
        <f>Projectbegroting!$B$9</f>
        <v>30626-0003</v>
      </c>
      <c r="H54" t="s">
        <v>196</v>
      </c>
      <c r="I54">
        <f>Projectbegroting!F83</f>
        <v>1</v>
      </c>
      <c r="J54">
        <f>Projectbegroting!D83</f>
        <v>0</v>
      </c>
      <c r="K54">
        <f>Projectbegroting!E83</f>
        <v>0</v>
      </c>
    </row>
    <row r="55" spans="1:11" x14ac:dyDescent="0.3">
      <c r="A55" t="str">
        <f t="shared" si="0"/>
        <v>30626-0003585</v>
      </c>
      <c r="C55" t="str">
        <f>Projectbegroting!$B$8</f>
        <v>Klant in zicht 2027</v>
      </c>
      <c r="D55" t="str">
        <f>Projectbegroting!$B$9</f>
        <v>30626-0003</v>
      </c>
      <c r="H55" t="s">
        <v>197</v>
      </c>
      <c r="I55">
        <f>Projectbegroting!F84</f>
        <v>1</v>
      </c>
      <c r="J55">
        <f>Projectbegroting!D84</f>
        <v>0</v>
      </c>
      <c r="K55">
        <f>Projectbegroting!E84</f>
        <v>0</v>
      </c>
    </row>
    <row r="56" spans="1:11" x14ac:dyDescent="0.3">
      <c r="A56" t="str">
        <f t="shared" si="0"/>
        <v>30626-0003586</v>
      </c>
      <c r="C56" t="str">
        <f>Projectbegroting!$B$8</f>
        <v>Klant in zicht 2027</v>
      </c>
      <c r="D56" t="str">
        <f>Projectbegroting!$B$9</f>
        <v>30626-0003</v>
      </c>
      <c r="H56" t="s">
        <v>198</v>
      </c>
      <c r="I56">
        <f>Projectbegroting!F85</f>
        <v>1</v>
      </c>
      <c r="J56">
        <f>Projectbegroting!D85</f>
        <v>0</v>
      </c>
      <c r="K56">
        <f>Projectbegroting!E85</f>
        <v>0</v>
      </c>
    </row>
    <row r="57" spans="1:11" x14ac:dyDescent="0.3">
      <c r="A57" t="str">
        <f t="shared" si="0"/>
        <v>30626-0003610</v>
      </c>
      <c r="C57" t="str">
        <f>Projectbegroting!$B$8</f>
        <v>Klant in zicht 2027</v>
      </c>
      <c r="D57" t="str">
        <f>Projectbegroting!$B$9</f>
        <v>30626-0003</v>
      </c>
      <c r="H57" t="s">
        <v>199</v>
      </c>
      <c r="I57">
        <f>Projectbegroting!F86</f>
        <v>1</v>
      </c>
      <c r="J57">
        <f>Projectbegroting!D86</f>
        <v>0</v>
      </c>
      <c r="K57">
        <f>Projectbegroting!E86</f>
        <v>0</v>
      </c>
    </row>
    <row r="58" spans="1:11" x14ac:dyDescent="0.3">
      <c r="A58" t="str">
        <f t="shared" si="0"/>
        <v>30626-0003630</v>
      </c>
      <c r="C58" t="str">
        <f>Projectbegroting!$B$8</f>
        <v>Klant in zicht 2027</v>
      </c>
      <c r="D58" t="str">
        <f>Projectbegroting!$B$9</f>
        <v>30626-0003</v>
      </c>
      <c r="H58" t="s">
        <v>200</v>
      </c>
      <c r="I58">
        <f>Projectbegroting!F87</f>
        <v>1</v>
      </c>
      <c r="J58">
        <f>Projectbegroting!D87</f>
        <v>0</v>
      </c>
      <c r="K58">
        <f>Projectbegroting!E87</f>
        <v>0</v>
      </c>
    </row>
    <row r="59" spans="1:11" x14ac:dyDescent="0.3">
      <c r="A59" t="str">
        <f t="shared" si="0"/>
        <v>30626-0003631</v>
      </c>
      <c r="C59" t="str">
        <f>Projectbegroting!$B$8</f>
        <v>Klant in zicht 2027</v>
      </c>
      <c r="D59" t="str">
        <f>Projectbegroting!$B$9</f>
        <v>30626-0003</v>
      </c>
      <c r="H59" t="s">
        <v>201</v>
      </c>
      <c r="I59">
        <f>Projectbegroting!F88</f>
        <v>1</v>
      </c>
      <c r="J59">
        <f>Projectbegroting!D88</f>
        <v>0</v>
      </c>
      <c r="K59">
        <f>Projectbegroting!E88</f>
        <v>0</v>
      </c>
    </row>
    <row r="60" spans="1:11" x14ac:dyDescent="0.3">
      <c r="A60" t="str">
        <f t="shared" si="0"/>
        <v>30626-0003640</v>
      </c>
      <c r="C60" t="str">
        <f>Projectbegroting!$B$8</f>
        <v>Klant in zicht 2027</v>
      </c>
      <c r="D60" t="str">
        <f>Projectbegroting!$B$9</f>
        <v>30626-0003</v>
      </c>
      <c r="H60" t="s">
        <v>202</v>
      </c>
      <c r="I60">
        <f>Projectbegroting!F89</f>
        <v>1</v>
      </c>
      <c r="J60">
        <f>Projectbegroting!D89</f>
        <v>0</v>
      </c>
      <c r="K60">
        <f>Projectbegroting!E89</f>
        <v>0</v>
      </c>
    </row>
    <row r="61" spans="1:11" x14ac:dyDescent="0.3">
      <c r="A61" t="str">
        <f t="shared" si="0"/>
        <v>30626-0003642</v>
      </c>
      <c r="C61" t="str">
        <f>Projectbegroting!$B$8</f>
        <v>Klant in zicht 2027</v>
      </c>
      <c r="D61" t="str">
        <f>Projectbegroting!$B$9</f>
        <v>30626-0003</v>
      </c>
      <c r="H61" t="s">
        <v>203</v>
      </c>
      <c r="I61">
        <f>Projectbegroting!F90</f>
        <v>1</v>
      </c>
      <c r="J61">
        <f>Projectbegroting!D90</f>
        <v>0</v>
      </c>
      <c r="K61">
        <f>Projectbegroting!E90</f>
        <v>0</v>
      </c>
    </row>
    <row r="62" spans="1:11" x14ac:dyDescent="0.3">
      <c r="A62" t="str">
        <f t="shared" si="0"/>
        <v>30626-0003670</v>
      </c>
      <c r="C62" t="str">
        <f>Projectbegroting!$B$8</f>
        <v>Klant in zicht 2027</v>
      </c>
      <c r="D62" t="str">
        <f>Projectbegroting!$B$9</f>
        <v>30626-0003</v>
      </c>
      <c r="H62" t="s">
        <v>204</v>
      </c>
      <c r="I62">
        <f>Projectbegroting!F91</f>
        <v>1</v>
      </c>
      <c r="J62">
        <f>Projectbegroting!D91</f>
        <v>0</v>
      </c>
      <c r="K62">
        <f>Projectbegroting!E91</f>
        <v>0</v>
      </c>
    </row>
    <row r="63" spans="1:11" x14ac:dyDescent="0.3">
      <c r="A63" t="str">
        <f t="shared" si="0"/>
        <v>30626-0003671</v>
      </c>
      <c r="C63" t="str">
        <f>Projectbegroting!$B$8</f>
        <v>Klant in zicht 2027</v>
      </c>
      <c r="D63" t="str">
        <f>Projectbegroting!$B$9</f>
        <v>30626-0003</v>
      </c>
      <c r="H63" t="s">
        <v>205</v>
      </c>
      <c r="I63">
        <f>Projectbegroting!F92</f>
        <v>1</v>
      </c>
      <c r="J63">
        <f>Projectbegroting!D92</f>
        <v>0</v>
      </c>
      <c r="K63">
        <f>Projectbegroting!E92</f>
        <v>0</v>
      </c>
    </row>
    <row r="64" spans="1:11" x14ac:dyDescent="0.3">
      <c r="A64" t="str">
        <f t="shared" si="0"/>
        <v>30626-0003690</v>
      </c>
      <c r="C64" t="str">
        <f>Projectbegroting!$B$8</f>
        <v>Klant in zicht 2027</v>
      </c>
      <c r="D64" t="str">
        <f>Projectbegroting!$B$9</f>
        <v>30626-0003</v>
      </c>
      <c r="H64" t="s">
        <v>206</v>
      </c>
      <c r="I64">
        <f>Projectbegroting!F93</f>
        <v>1</v>
      </c>
      <c r="J64">
        <f>Projectbegroting!D93</f>
        <v>0</v>
      </c>
      <c r="K64">
        <f>Projectbegroting!E93</f>
        <v>0</v>
      </c>
    </row>
    <row r="65" spans="1:11" x14ac:dyDescent="0.3">
      <c r="A65" t="str">
        <f t="shared" si="0"/>
        <v>30626-0003710</v>
      </c>
      <c r="C65" t="str">
        <f>Projectbegroting!$B$8</f>
        <v>Klant in zicht 2027</v>
      </c>
      <c r="D65" t="str">
        <f>Projectbegroting!$B$9</f>
        <v>30626-0003</v>
      </c>
      <c r="H65" t="s">
        <v>207</v>
      </c>
      <c r="I65">
        <f>Projectbegroting!F94</f>
        <v>0</v>
      </c>
      <c r="J65">
        <f>Projectbegroting!D94</f>
        <v>0.05</v>
      </c>
      <c r="K65">
        <f>Projectbegroting!E94</f>
        <v>0</v>
      </c>
    </row>
    <row r="66" spans="1:11" x14ac:dyDescent="0.3">
      <c r="A66" t="str">
        <f t="shared" si="0"/>
        <v>30626-0003720</v>
      </c>
      <c r="C66" t="str">
        <f>Projectbegroting!$B$8</f>
        <v>Klant in zicht 2027</v>
      </c>
      <c r="D66" t="str">
        <f>Projectbegroting!$B$9</f>
        <v>30626-0003</v>
      </c>
      <c r="H66" t="s">
        <v>208</v>
      </c>
      <c r="I66">
        <f>Projectbegroting!F95</f>
        <v>0</v>
      </c>
      <c r="J66">
        <f>Projectbegroting!D95</f>
        <v>0.3</v>
      </c>
      <c r="K66">
        <f>Projectbegroting!E95</f>
        <v>0</v>
      </c>
    </row>
    <row r="67" spans="1:11" x14ac:dyDescent="0.3">
      <c r="A67" t="str">
        <f t="shared" ref="A67:A69" si="1">CONCATENATE(D67,H67)</f>
        <v>30626-0003730</v>
      </c>
      <c r="C67" t="str">
        <f>Projectbegroting!$B$8</f>
        <v>Klant in zicht 2027</v>
      </c>
      <c r="D67" t="str">
        <f>Projectbegroting!$B$9</f>
        <v>30626-0003</v>
      </c>
      <c r="H67" t="s">
        <v>209</v>
      </c>
      <c r="I67">
        <f>Projectbegroting!F96</f>
        <v>0</v>
      </c>
      <c r="J67">
        <f>Projectbegroting!D96</f>
        <v>0.05</v>
      </c>
      <c r="K67">
        <f>Projectbegroting!E96</f>
        <v>0</v>
      </c>
    </row>
    <row r="68" spans="1:11" x14ac:dyDescent="0.3">
      <c r="A68" t="str">
        <f t="shared" si="1"/>
        <v>30626-0003740</v>
      </c>
      <c r="B68" t="str">
        <f>""&amp;Projectbegroting!F65</f>
        <v/>
      </c>
      <c r="C68" t="str">
        <f>Projectbegroting!$B$8</f>
        <v>Klant in zicht 2027</v>
      </c>
      <c r="D68" t="str">
        <f>Projectbegroting!$B$9</f>
        <v>30626-0003</v>
      </c>
      <c r="H68" t="s">
        <v>210</v>
      </c>
      <c r="I68">
        <f>Projectbegroting!F97</f>
        <v>1</v>
      </c>
      <c r="J68">
        <f>Projectbegroting!D97</f>
        <v>0</v>
      </c>
      <c r="K68">
        <f>Projectbegroting!E97</f>
        <v>0</v>
      </c>
    </row>
    <row r="69" spans="1:11" x14ac:dyDescent="0.3">
      <c r="A69" t="str">
        <f t="shared" si="1"/>
        <v>30626-0003843</v>
      </c>
      <c r="C69" t="str">
        <f>Projectbegroting!$B$8</f>
        <v>Klant in zicht 2027</v>
      </c>
      <c r="D69" t="str">
        <f>Projectbegroting!$B$9</f>
        <v>30626-0003</v>
      </c>
      <c r="H69">
        <v>843</v>
      </c>
      <c r="I69">
        <f>Projectbegroting!F98</f>
        <v>1</v>
      </c>
      <c r="J69">
        <f>Projectbegroting!D98</f>
        <v>0</v>
      </c>
      <c r="K69">
        <f>Projectbegroting!E98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C170-F8B2-4273-8E73-27C6EF84C346}">
  <dimension ref="A1:P11"/>
  <sheetViews>
    <sheetView workbookViewId="0">
      <selection activeCell="B6" sqref="B6:B10"/>
    </sheetView>
  </sheetViews>
  <sheetFormatPr defaultRowHeight="14.4" x14ac:dyDescent="0.3"/>
  <cols>
    <col min="1" max="1" width="8.33203125" bestFit="1" customWidth="1"/>
    <col min="2" max="2" width="11.44140625" bestFit="1" customWidth="1"/>
    <col min="3" max="3" width="11.6640625" bestFit="1" customWidth="1"/>
    <col min="4" max="4" width="6.6640625" bestFit="1" customWidth="1"/>
    <col min="5" max="5" width="10" bestFit="1" customWidth="1"/>
  </cols>
  <sheetData>
    <row r="1" spans="1:16" x14ac:dyDescent="0.3">
      <c r="A1" t="s">
        <v>211</v>
      </c>
      <c r="B1" t="s">
        <v>20</v>
      </c>
      <c r="C1" t="s">
        <v>212</v>
      </c>
      <c r="D1" t="s">
        <v>22</v>
      </c>
      <c r="E1" t="s">
        <v>29</v>
      </c>
      <c r="F1" t="s">
        <v>30</v>
      </c>
      <c r="G1" t="s">
        <v>31</v>
      </c>
      <c r="H1" t="s">
        <v>32</v>
      </c>
      <c r="I1" t="s">
        <v>33</v>
      </c>
      <c r="J1" t="s">
        <v>34</v>
      </c>
      <c r="K1" t="s">
        <v>35</v>
      </c>
      <c r="L1" t="s">
        <v>36</v>
      </c>
      <c r="M1" t="s">
        <v>213</v>
      </c>
      <c r="N1" t="s">
        <v>38</v>
      </c>
      <c r="O1" t="s">
        <v>39</v>
      </c>
      <c r="P1" t="s">
        <v>40</v>
      </c>
    </row>
    <row r="2" spans="1:16" x14ac:dyDescent="0.3">
      <c r="A2">
        <v>8320</v>
      </c>
      <c r="B2" t="str">
        <f>IF(Projectbegroting!$B$18=Lijsten!$T$2,Projectbegroting!$B$19,"")</f>
        <v/>
      </c>
      <c r="C2" t="str">
        <f>IF(Projectbegroting!$B$18=Lijsten!$T$2,Projectbegroting!$B$20,"")</f>
        <v/>
      </c>
      <c r="D2" t="str">
        <f>IF(Projectbegroting!$B$18=Lijsten!$T$2,Projectbegroting!$B$21,"")</f>
        <v/>
      </c>
      <c r="E2" s="28" t="str">
        <f>IFERROR(-IF(OR(Projectbegroting!$B$18=Lijsten!$T$2,Projectbegroting!$B$18=Lijsten!$W$2),SUMIF(Projectbegroting!$A:$A,"omzet",Projectbegroting!G:G),""),"")</f>
        <v/>
      </c>
      <c r="F2" s="28" t="str">
        <f>IFERROR(-IF(OR(Projectbegroting!$B$18=Lijsten!$T$2,Projectbegroting!$B$18=Lijsten!$W$2),SUMIF(Projectbegroting!$A:$A,"omzet",Projectbegroting!H:H),""),"")</f>
        <v/>
      </c>
      <c r="G2" s="28" t="str">
        <f>IFERROR(-IF(OR(Projectbegroting!$B$18=Lijsten!$T$2,Projectbegroting!$B$18=Lijsten!$W$2),SUMIF(Projectbegroting!$A:$A,"omzet",Projectbegroting!I:I),""),"")</f>
        <v/>
      </c>
      <c r="H2" s="28" t="str">
        <f>IFERROR(-IF(OR(Projectbegroting!$B$18=Lijsten!$T$2,Projectbegroting!$B$18=Lijsten!$W$2),SUMIF(Projectbegroting!$A:$A,"omzet",Projectbegroting!J:J),""),"")</f>
        <v/>
      </c>
      <c r="I2" s="28" t="str">
        <f>IFERROR(-IF(OR(Projectbegroting!$B$18=Lijsten!$T$2,Projectbegroting!$B$18=Lijsten!$W$2),SUMIF(Projectbegroting!$A:$A,"omzet",Projectbegroting!K:K),""),"")</f>
        <v/>
      </c>
      <c r="J2" s="28" t="str">
        <f>IFERROR(-IF(OR(Projectbegroting!$B$18=Lijsten!$T$2,Projectbegroting!$B$18=Lijsten!$W$2),SUMIF(Projectbegroting!$A:$A,"omzet",Projectbegroting!L:L),""),"")</f>
        <v/>
      </c>
      <c r="K2" s="28" t="str">
        <f>IFERROR(-IF(OR(Projectbegroting!$B$18=Lijsten!$T$2,Projectbegroting!$B$18=Lijsten!$W$2),SUMIF(Projectbegroting!$A:$A,"omzet",Projectbegroting!M:M),""),"")</f>
        <v/>
      </c>
      <c r="L2" s="28" t="str">
        <f>IFERROR(-IF(OR(Projectbegroting!$B$18=Lijsten!$T$2,Projectbegroting!$B$18=Lijsten!$W$2),SUMIF(Projectbegroting!$A:$A,"omzet",Projectbegroting!N:N),""),"")</f>
        <v/>
      </c>
      <c r="M2" s="28" t="str">
        <f>IFERROR(-IF(OR(Projectbegroting!$B$18=Lijsten!$T$2,Projectbegroting!$B$18=Lijsten!$W$2),SUMIF(Projectbegroting!$A:$A,"omzet",Projectbegroting!O:O),""),"")</f>
        <v/>
      </c>
      <c r="N2" s="28" t="str">
        <f>IFERROR(-IF(OR(Projectbegroting!$B$18=Lijsten!$T$2,Projectbegroting!$B$18=Lijsten!$W$2),SUMIF(Projectbegroting!$A:$A,"omzet",Projectbegroting!P:P),""),"")</f>
        <v/>
      </c>
      <c r="O2" s="28" t="str">
        <f>IFERROR(-IF(OR(Projectbegroting!$B$18=Lijsten!$T$2,Projectbegroting!$B$18=Lijsten!$W$2),SUMIF(Projectbegroting!$A:$A,"omzet",Projectbegroting!Q:Q),""),"")</f>
        <v/>
      </c>
      <c r="P2" s="28" t="str">
        <f>IFERROR(-IF(OR(Projectbegroting!$B$18=Lijsten!$T$2,Projectbegroting!$B$18=Lijsten!$W$2),SUMIF(Projectbegroting!$A:$A,"omzet",Projectbegroting!R:R),""),"")</f>
        <v/>
      </c>
    </row>
    <row r="3" spans="1:16" x14ac:dyDescent="0.3">
      <c r="A3">
        <v>4700</v>
      </c>
      <c r="B3" t="str">
        <f>IF(Projectbegroting!$B$18=Lijsten!$T$2,Projectbegroting!$B$19,"")</f>
        <v/>
      </c>
      <c r="C3" t="str">
        <f>IF(Projectbegroting!$B$18=Lijsten!$T$2,Projectbegroting!$B$20,"")</f>
        <v/>
      </c>
      <c r="D3" t="str">
        <f>IF(Projectbegroting!$B$18=Lijsten!$T$2,Projectbegroting!$B$21,"")</f>
        <v/>
      </c>
      <c r="E3" s="28" t="str">
        <f>IF(Projectbegroting!$B$18=Lijsten!$T$2,SUMIF(Projectbegroting!$A:$A,"Onkosten",Projectbegroting!G:G),"")</f>
        <v/>
      </c>
      <c r="F3" s="28" t="str">
        <f>IF(Projectbegroting!$B$18=Lijsten!$T$2,SUMIF(Projectbegroting!$A:$A,"Onkosten",Projectbegroting!H:H),"")</f>
        <v/>
      </c>
      <c r="G3" s="28" t="str">
        <f>IF(Projectbegroting!$B$18=Lijsten!$T$2,SUMIF(Projectbegroting!$A:$A,"Onkosten",Projectbegroting!I:I),"")</f>
        <v/>
      </c>
      <c r="H3" s="28" t="str">
        <f>IF(Projectbegroting!$B$18=Lijsten!$T$2,SUMIF(Projectbegroting!$A:$A,"Onkosten",Projectbegroting!J:J),"")</f>
        <v/>
      </c>
      <c r="I3" s="28" t="str">
        <f>IF(Projectbegroting!$B$18=Lijsten!$T$2,SUMIF(Projectbegroting!$A:$A,"Onkosten",Projectbegroting!K:K),"")</f>
        <v/>
      </c>
      <c r="J3" s="28" t="str">
        <f>IF(Projectbegroting!$B$18=Lijsten!$T$2,SUMIF(Projectbegroting!$A:$A,"Onkosten",Projectbegroting!L:L),"")</f>
        <v/>
      </c>
      <c r="K3" s="28" t="str">
        <f>IF(Projectbegroting!$B$18=Lijsten!$T$2,SUMIF(Projectbegroting!$A:$A,"Onkosten",Projectbegroting!M:M),"")</f>
        <v/>
      </c>
      <c r="L3" s="28" t="str">
        <f>IF(Projectbegroting!$B$18=Lijsten!$T$2,SUMIF(Projectbegroting!$A:$A,"Onkosten",Projectbegroting!N:N),"")</f>
        <v/>
      </c>
      <c r="M3" s="28" t="str">
        <f>IF(Projectbegroting!$B$18=Lijsten!$T$2,SUMIF(Projectbegroting!$A:$A,"Onkosten",Projectbegroting!O:O),"")</f>
        <v/>
      </c>
      <c r="N3" s="28" t="str">
        <f>IF(Projectbegroting!$B$18=Lijsten!$T$2,SUMIF(Projectbegroting!$A:$A,"Onkosten",Projectbegroting!P:P),"")</f>
        <v/>
      </c>
      <c r="O3" s="28" t="str">
        <f>IF(Projectbegroting!$B$18=Lijsten!$T$2,SUMIF(Projectbegroting!$A:$A,"Onkosten",Projectbegroting!Q:Q),"")</f>
        <v/>
      </c>
      <c r="P3" s="28" t="str">
        <f>IF(Projectbegroting!$B$18=Lijsten!$T$2,SUMIF(Projectbegroting!$A:$A,"Onkosten",Projectbegroting!R:R),"")</f>
        <v/>
      </c>
    </row>
    <row r="4" spans="1:16" x14ac:dyDescent="0.3">
      <c r="A4">
        <v>4703</v>
      </c>
      <c r="B4">
        <f>IF(Projectbegroting!$B$18=Lijsten!$W$2,Projectbegroting!$B$19,"")</f>
        <v>7040</v>
      </c>
      <c r="C4">
        <f>IF(Projectbegroting!$B$18=Lijsten!$W$2,Projectbegroting!$B$20,"")</f>
        <v>0</v>
      </c>
      <c r="D4">
        <f>IF(Projectbegroting!$B$18=Lijsten!$W$2,Projectbegroting!$B$21,"")</f>
        <v>0</v>
      </c>
      <c r="E4" s="28">
        <f>IF(Projectbegroting!$B$18=Lijsten!$W$2,SUMIF(Projectbegroting!$A:$A,"Onkosten",Projectbegroting!G:G)+SUMIF(Projectbegroting!$A:$A,"Inleen medewerkers",Projectbegroting!G:G),"")</f>
        <v>0</v>
      </c>
      <c r="F4" s="28">
        <f>IF(Projectbegroting!$B$18=Lijsten!$W$2,SUMIF(Projectbegroting!$A:$A,"Onkosten",Projectbegroting!H:H)+SUMIF(Projectbegroting!$A:$A,"Inleen medewerkers",Projectbegroting!H:H),"")</f>
        <v>0</v>
      </c>
      <c r="G4" s="28">
        <f>IF(Projectbegroting!$B$18=Lijsten!$W$2,SUMIF(Projectbegroting!$A:$A,"Onkosten",Projectbegroting!I:I)+SUMIF(Projectbegroting!$A:$A,"Inleen medewerkers",Projectbegroting!I:I),"")</f>
        <v>0</v>
      </c>
      <c r="H4" s="28">
        <f>IF(Projectbegroting!$B$18=Lijsten!$W$2,SUMIF(Projectbegroting!$A:$A,"Onkosten",Projectbegroting!J:J)+SUMIF(Projectbegroting!$A:$A,"Inleen medewerkers",Projectbegroting!J:J),"")</f>
        <v>0</v>
      </c>
      <c r="I4" s="28">
        <f>IF(Projectbegroting!$B$18=Lijsten!$W$2,SUMIF(Projectbegroting!$A:$A,"Onkosten",Projectbegroting!K:K)+SUMIF(Projectbegroting!$A:$A,"Inleen medewerkers",Projectbegroting!K:K),"")</f>
        <v>0</v>
      </c>
      <c r="J4" s="28">
        <f>IF(Projectbegroting!$B$18=Lijsten!$W$2,SUMIF(Projectbegroting!$A:$A,"Onkosten",Projectbegroting!L:L)+SUMIF(Projectbegroting!$A:$A,"Inleen medewerkers",Projectbegroting!L:L),"")</f>
        <v>0</v>
      </c>
      <c r="K4" s="28">
        <f>IF(Projectbegroting!$B$18=Lijsten!$W$2,SUMIF(Projectbegroting!$A:$A,"Onkosten",Projectbegroting!M:M)+SUMIF(Projectbegroting!$A:$A,"Inleen medewerkers",Projectbegroting!M:M),"")</f>
        <v>0</v>
      </c>
      <c r="L4" s="28">
        <f>IF(Projectbegroting!$B$18=Lijsten!$W$2,SUMIF(Projectbegroting!$A:$A,"Onkosten",Projectbegroting!N:N)+SUMIF(Projectbegroting!$A:$A,"Inleen medewerkers",Projectbegroting!N:N),"")</f>
        <v>0</v>
      </c>
      <c r="M4" s="28">
        <f>IF(Projectbegroting!$B$18=Lijsten!$W$2,SUMIF(Projectbegroting!$A:$A,"Onkosten",Projectbegroting!O:O)+SUMIF(Projectbegroting!$A:$A,"Inleen medewerkers",Projectbegroting!O:O),"")</f>
        <v>0</v>
      </c>
      <c r="N4" s="28">
        <f>IF(Projectbegroting!$B$18=Lijsten!$W$2,SUMIF(Projectbegroting!$A:$A,"Onkosten",Projectbegroting!P:P)+SUMIF(Projectbegroting!$A:$A,"Inleen medewerkers",Projectbegroting!P:P),"")</f>
        <v>0</v>
      </c>
      <c r="O4" s="28">
        <f>IF(Projectbegroting!$B$18=Lijsten!$W$2,SUMIF(Projectbegroting!$A:$A,"Onkosten",Projectbegroting!Q:Q)+SUMIF(Projectbegroting!$A:$A,"Inleen medewerkers",Projectbegroting!Q:Q),"")</f>
        <v>0</v>
      </c>
      <c r="P4" s="28">
        <f>IF(Projectbegroting!$B$18=Lijsten!$W$2,SUMIF(Projectbegroting!$A:$A,"Onkosten",Projectbegroting!R:R)+SUMIF(Projectbegroting!$A:$A,"Inleen medewerkers",Projectbegroting!R:R),"")</f>
        <v>0</v>
      </c>
    </row>
    <row r="5" spans="1:16" x14ac:dyDescent="0.3">
      <c r="A5">
        <v>4705</v>
      </c>
      <c r="B5" t="str">
        <f>IF(OR(Projectbegroting!$B$18=Lijsten!$T$2),Projectbegroting!B19,"")</f>
        <v/>
      </c>
      <c r="C5" t="str">
        <f>IF(OR(Projectbegroting!$B$18=Lijsten!$T$2),Projectbegroting!B20,"")</f>
        <v/>
      </c>
      <c r="D5" t="str">
        <f>IF(OR(Projectbegroting!$B$18=Lijsten!$T$2),Projectbegroting!B21,"")</f>
        <v/>
      </c>
      <c r="E5" s="28" t="str">
        <f>IFERROR(IF(OR(Projectbegroting!$B$18=Lijsten!$T$2),SUMIF(Projectbegroting!$A:$A,"Inleen medewerkers",Projectbegroting!G:G),""),"")</f>
        <v/>
      </c>
      <c r="F5" s="28" t="str">
        <f>IFERROR(IF(OR(Projectbegroting!$B$18=Lijsten!$T$2),SUMIF(Projectbegroting!$A:$A,"Inleen medewerkers",Projectbegroting!H:H),""),"")</f>
        <v/>
      </c>
      <c r="G5" s="28" t="str">
        <f>IFERROR(IF(OR(Projectbegroting!$B$18=Lijsten!$T$2),SUMIF(Projectbegroting!$A:$A,"Inleen medewerkers",Projectbegroting!I:I),""),"")</f>
        <v/>
      </c>
      <c r="H5" s="28" t="str">
        <f>IFERROR(IF(OR(Projectbegroting!$B$18=Lijsten!$T$2),SUMIF(Projectbegroting!$A:$A,"Inleen medewerkers",Projectbegroting!J:J),""),"")</f>
        <v/>
      </c>
      <c r="I5" s="28" t="str">
        <f>IFERROR(IF(OR(Projectbegroting!$B$18=Lijsten!$T$2),SUMIF(Projectbegroting!$A:$A,"Inleen medewerkers",Projectbegroting!K:K),""),"")</f>
        <v/>
      </c>
      <c r="J5" s="28" t="str">
        <f>IFERROR(IF(OR(Projectbegroting!$B$18=Lijsten!$T$2),SUMIF(Projectbegroting!$A:$A,"Inleen medewerkers",Projectbegroting!L:L),""),"")</f>
        <v/>
      </c>
      <c r="K5" s="28" t="str">
        <f>IFERROR(IF(OR(Projectbegroting!$B$18=Lijsten!$T$2),SUMIF(Projectbegroting!$A:$A,"Inleen medewerkers",Projectbegroting!M:M),""),"")</f>
        <v/>
      </c>
      <c r="L5" s="28" t="str">
        <f>IFERROR(IF(OR(Projectbegroting!$B$18=Lijsten!$T$2),SUMIF(Projectbegroting!$A:$A,"Inleen medewerkers",Projectbegroting!N:N),""),"")</f>
        <v/>
      </c>
      <c r="M5" s="28" t="str">
        <f>IFERROR(IF(OR(Projectbegroting!$B$18=Lijsten!$T$2),SUMIF(Projectbegroting!$A:$A,"Inleen medewerkers",Projectbegroting!O:O),""),"")</f>
        <v/>
      </c>
      <c r="N5" s="28" t="str">
        <f>IFERROR(IF(OR(Projectbegroting!$B$18=Lijsten!$T$2),SUMIF(Projectbegroting!$A:$A,"Inleen medewerkers",Projectbegroting!P:P),""),"")</f>
        <v/>
      </c>
      <c r="O5" s="28" t="str">
        <f>IFERROR(IF(OR(Projectbegroting!$B$18=Lijsten!$T$2),SUMIF(Projectbegroting!$A:$A,"Inleen medewerkers",Projectbegroting!Q:Q),""),"")</f>
        <v/>
      </c>
      <c r="P5" s="28" t="str">
        <f>IFERROR(IF(OR(Projectbegroting!$B$18=Lijsten!$T$2),SUMIF(Projectbegroting!$A:$A,"Inleen medewerkers",Projectbegroting!R:R),""),"")</f>
        <v/>
      </c>
    </row>
    <row r="6" spans="1:16" x14ac:dyDescent="0.3">
      <c r="A6">
        <v>4710</v>
      </c>
      <c r="B6" t="str">
        <f>IF(Projectbegroting!$B$18=Lijsten!$Z$2,Projectbegroting!$B$19,"")</f>
        <v/>
      </c>
      <c r="C6" t="str">
        <f>IF(Projectbegroting!$B$18=Lijsten!$Z$2,Projectbegroting!$B$20,"")</f>
        <v/>
      </c>
      <c r="D6" t="str">
        <f>IF(Projectbegroting!$B$18=Lijsten!$Z$2,Projectbegroting!$B$21,"")</f>
        <v/>
      </c>
      <c r="E6" s="28" t="str">
        <f>IF(Projectbegroting!$B$18=Lijsten!$Z$2,SUMIF(Projectbegroting!$A:$A,"Onkosten",Projectbegroting!G:G)+SUMIF(Projectbegroting!$A:$A,"Inleen medewerkers",Projectbegroting!G:G),"")</f>
        <v/>
      </c>
      <c r="F6" s="28" t="str">
        <f>IF(Projectbegroting!$B$18=Lijsten!$Z$2,SUMIF(Projectbegroting!$A:$A,"Onkosten",Projectbegroting!H:H)+SUMIF(Projectbegroting!$A:$A,"Inleen medewerkers",Projectbegroting!H:H),"")</f>
        <v/>
      </c>
      <c r="G6" s="28" t="str">
        <f>IF(Projectbegroting!$B$18=Lijsten!$Z$2,SUMIF(Projectbegroting!$A:$A,"Onkosten",Projectbegroting!I:I)+SUMIF(Projectbegroting!$A:$A,"Inleen medewerkers",Projectbegroting!I:I),"")</f>
        <v/>
      </c>
      <c r="H6" s="28" t="str">
        <f>IF(Projectbegroting!$B$18=Lijsten!$Z$2,SUMIF(Projectbegroting!$A:$A,"Onkosten",Projectbegroting!J:J)+SUMIF(Projectbegroting!$A:$A,"Inleen medewerkers",Projectbegroting!J:J),"")</f>
        <v/>
      </c>
      <c r="I6" s="28" t="str">
        <f>IF(Projectbegroting!$B$18=Lijsten!$Z$2,SUMIF(Projectbegroting!$A:$A,"Onkosten",Projectbegroting!K:K)+SUMIF(Projectbegroting!$A:$A,"Inleen medewerkers",Projectbegroting!K:K),"")</f>
        <v/>
      </c>
      <c r="J6" s="28" t="str">
        <f>IF(Projectbegroting!$B$18=Lijsten!$Z$2,SUMIF(Projectbegroting!$A:$A,"Onkosten",Projectbegroting!L:L)+SUMIF(Projectbegroting!$A:$A,"Inleen medewerkers",Projectbegroting!L:L),"")</f>
        <v/>
      </c>
      <c r="K6" s="28" t="str">
        <f>IF(Projectbegroting!$B$18=Lijsten!$Z$2,SUMIF(Projectbegroting!$A:$A,"Onkosten",Projectbegroting!M:M)+SUMIF(Projectbegroting!$A:$A,"Inleen medewerkers",Projectbegroting!M:M),"")</f>
        <v/>
      </c>
      <c r="L6" s="28" t="str">
        <f>IF(Projectbegroting!$B$18=Lijsten!$Z$2,SUMIF(Projectbegroting!$A:$A,"Onkosten",Projectbegroting!N:N)+SUMIF(Projectbegroting!$A:$A,"Inleen medewerkers",Projectbegroting!N:N),"")</f>
        <v/>
      </c>
      <c r="M6" s="28" t="str">
        <f>IF(Projectbegroting!$B$18=Lijsten!$Z$2,SUMIF(Projectbegroting!$A:$A,"Onkosten",Projectbegroting!O:O)+SUMIF(Projectbegroting!$A:$A,"Inleen medewerkers",Projectbegroting!O:O),"")</f>
        <v/>
      </c>
      <c r="N6" s="28" t="str">
        <f>IF(Projectbegroting!$B$18=Lijsten!$Z$2,SUMIF(Projectbegroting!$A:$A,"Onkosten",Projectbegroting!P:P)+SUMIF(Projectbegroting!$A:$A,"Inleen medewerkers",Projectbegroting!P:P),"")</f>
        <v/>
      </c>
      <c r="O6" s="28" t="str">
        <f>IF(Projectbegroting!$B$18=Lijsten!$Z$2,SUMIF(Projectbegroting!$A:$A,"Onkosten",Projectbegroting!Q:Q)+SUMIF(Projectbegroting!$A:$A,"Inleen medewerkers",Projectbegroting!Q:Q),"")</f>
        <v/>
      </c>
      <c r="P6" s="28" t="str">
        <f>IF(Projectbegroting!$B$18=Lijsten!$Z$2,SUMIF(Projectbegroting!$A:$A,"Onkosten",Projectbegroting!R:R)+SUMIF(Projectbegroting!$A:$A,"Inleen medewerkers",Projectbegroting!R:R),"")</f>
        <v/>
      </c>
    </row>
    <row r="7" spans="1:16" x14ac:dyDescent="0.3">
      <c r="A7">
        <v>5500</v>
      </c>
      <c r="B7">
        <f>IF(OR(Projectbegroting!B18=Lijsten!T2,Projectbegroting!B18=Lijsten!W2),Projectbegroting!B19,"")</f>
        <v>7040</v>
      </c>
      <c r="C7">
        <f>IF(OR(Projectbegroting!B18=Lijsten!T2,Projectbegroting!B18=Lijsten!W2),Projectbegroting!B20,"")</f>
        <v>0</v>
      </c>
      <c r="D7">
        <f>IF(OR(Projectbegroting!B18=Lijsten!T2,Projectbegroting!B18=Lijsten!W2),Projectbegroting!B21,"")</f>
        <v>0</v>
      </c>
      <c r="E7" s="28">
        <f>IF(OR(Projectbegroting!$B$18=Lijsten!$T$2,Projectbegroting!$B$18=Lijsten!$W$2),SUMIF(Projectbegroting!$A:$A,"Eigen medewerkers",Projectbegroting!G:G),"")</f>
        <v>0</v>
      </c>
      <c r="F7" s="28">
        <f>IF(OR(Projectbegroting!$B$18=Lijsten!$T$2,Projectbegroting!$B$18=Lijsten!$W$2),SUMIF(Projectbegroting!$A:$A,"Eigen medewerkers",Projectbegroting!H:H),"")</f>
        <v>0</v>
      </c>
      <c r="G7" s="28">
        <f>IF(OR(Projectbegroting!$B$18=Lijsten!$T$2,Projectbegroting!$B$18=Lijsten!$W$2),SUMIF(Projectbegroting!$A:$A,"Eigen medewerkers",Projectbegroting!I:I),"")</f>
        <v>0</v>
      </c>
      <c r="H7" s="28">
        <f>IF(OR(Projectbegroting!$B$18=Lijsten!$T$2,Projectbegroting!$B$18=Lijsten!$W$2),SUMIF(Projectbegroting!$A:$A,"Eigen medewerkers",Projectbegroting!J:J),"")</f>
        <v>0</v>
      </c>
      <c r="I7" s="28">
        <f>IF(OR(Projectbegroting!$B$18=Lijsten!$T$2,Projectbegroting!$B$18=Lijsten!$W$2),SUMIF(Projectbegroting!$A:$A,"Eigen medewerkers",Projectbegroting!K:K),"")</f>
        <v>0</v>
      </c>
      <c r="J7" s="28">
        <f>IF(OR(Projectbegroting!$B$18=Lijsten!$T$2,Projectbegroting!$B$18=Lijsten!$W$2),SUMIF(Projectbegroting!$A:$A,"Eigen medewerkers",Projectbegroting!L:L),"")</f>
        <v>0</v>
      </c>
      <c r="K7" s="28">
        <f>IF(OR(Projectbegroting!$B$18=Lijsten!$T$2,Projectbegroting!$B$18=Lijsten!$W$2),SUMIF(Projectbegroting!$A:$A,"Eigen medewerkers",Projectbegroting!M:M),"")</f>
        <v>0</v>
      </c>
      <c r="L7" s="28">
        <f>IF(OR(Projectbegroting!$B$18=Lijsten!$T$2,Projectbegroting!$B$18=Lijsten!$W$2),SUMIF(Projectbegroting!$A:$A,"Eigen medewerkers",Projectbegroting!N:N),"")</f>
        <v>0</v>
      </c>
      <c r="M7" s="28">
        <f>IF(OR(Projectbegroting!$B$18=Lijsten!$T$2,Projectbegroting!$B$18=Lijsten!$W$2),SUMIF(Projectbegroting!$A:$A,"Eigen medewerkers",Projectbegroting!O:O),"")</f>
        <v>0</v>
      </c>
      <c r="N7" s="28">
        <f>IF(OR(Projectbegroting!$B$18=Lijsten!$T$2,Projectbegroting!$B$18=Lijsten!$W$2),SUMIF(Projectbegroting!$A:$A,"Eigen medewerkers",Projectbegroting!P:P),"")</f>
        <v>0</v>
      </c>
      <c r="O7" s="28">
        <f>IF(OR(Projectbegroting!$B$18=Lijsten!$T$2,Projectbegroting!$B$18=Lijsten!$W$2),SUMIF(Projectbegroting!$A:$A,"Eigen medewerkers",Projectbegroting!Q:Q),"")</f>
        <v>0</v>
      </c>
      <c r="P7" s="28">
        <f>IF(OR(Projectbegroting!$B$18=Lijsten!$T$2,Projectbegroting!$B$18=Lijsten!$W$2),SUMIF(Projectbegroting!$A:$A,"Eigen medewerkers",Projectbegroting!R:R),"")</f>
        <v>0</v>
      </c>
    </row>
    <row r="8" spans="1:16" x14ac:dyDescent="0.3">
      <c r="A8">
        <v>5501</v>
      </c>
      <c r="B8" t="str">
        <f>IF(Projectbegroting!$B$18=Lijsten!$Z$2,Projectbegroting!$B$19,"")</f>
        <v/>
      </c>
      <c r="C8" t="str">
        <f>IF(Projectbegroting!$B$18=Lijsten!$Z$2,Projectbegroting!$B$20,"")</f>
        <v/>
      </c>
      <c r="D8" t="str">
        <f>IF(Projectbegroting!$B$18=Lijsten!$Z$2,Projectbegroting!$B$21,"")</f>
        <v/>
      </c>
      <c r="E8" s="28" t="str">
        <f>IF(Projectbegroting!$B$18=Lijsten!$Z$2,SUMIF(Projectbegroting!$A:$A,"Eigen medewerkers",Projectbegroting!G:G),"")</f>
        <v/>
      </c>
      <c r="F8" s="28" t="str">
        <f>IF(Projectbegroting!$B$18=Lijsten!$Z$2,SUMIF(Projectbegroting!$A:$A,"Eigen medewerkers",Projectbegroting!H:H),"")</f>
        <v/>
      </c>
      <c r="G8" s="28" t="str">
        <f>IF(Projectbegroting!$B$18=Lijsten!$Z$2,SUMIF(Projectbegroting!$A:$A,"Eigen medewerkers",Projectbegroting!I:I),"")</f>
        <v/>
      </c>
      <c r="H8" s="28" t="str">
        <f>IF(Projectbegroting!$B$18=Lijsten!$Z$2,SUMIF(Projectbegroting!$A:$A,"Eigen medewerkers",Projectbegroting!J:J),"")</f>
        <v/>
      </c>
      <c r="I8" s="28" t="str">
        <f>IF(Projectbegroting!$B$18=Lijsten!$Z$2,SUMIF(Projectbegroting!$A:$A,"Eigen medewerkers",Projectbegroting!K:K),"")</f>
        <v/>
      </c>
      <c r="J8" s="28" t="str">
        <f>IF(Projectbegroting!$B$18=Lijsten!$Z$2,SUMIF(Projectbegroting!$A:$A,"Eigen medewerkers",Projectbegroting!L:L),"")</f>
        <v/>
      </c>
      <c r="K8" s="28" t="str">
        <f>IF(Projectbegroting!$B$18=Lijsten!$Z$2,SUMIF(Projectbegroting!$A:$A,"Eigen medewerkers",Projectbegroting!M:M),"")</f>
        <v/>
      </c>
      <c r="L8" s="28" t="str">
        <f>IF(Projectbegroting!$B$18=Lijsten!$Z$2,SUMIF(Projectbegroting!$A:$A,"Eigen medewerkers",Projectbegroting!N:N),"")</f>
        <v/>
      </c>
      <c r="M8" s="28" t="str">
        <f>IF(Projectbegroting!$B$18=Lijsten!$Z$2,SUMIF(Projectbegroting!$A:$A,"Eigen medewerkers",Projectbegroting!O:O),"")</f>
        <v/>
      </c>
      <c r="N8" s="28" t="str">
        <f>IF(Projectbegroting!$B$18=Lijsten!$Z$2,SUMIF(Projectbegroting!$A:$A,"Eigen medewerkers",Projectbegroting!P:P),"")</f>
        <v/>
      </c>
      <c r="O8" s="28" t="str">
        <f>IF(Projectbegroting!$B$18=Lijsten!$Z$2,SUMIF(Projectbegroting!$A:$A,"Eigen medewerkers",Projectbegroting!Q:Q),"")</f>
        <v/>
      </c>
      <c r="P8" s="28" t="str">
        <f>IF(Projectbegroting!$B$18=Lijsten!$Z$2,SUMIF(Projectbegroting!$A:$A,"Eigen medewerkers",Projectbegroting!R:R),"")</f>
        <v/>
      </c>
    </row>
    <row r="9" spans="1:16" x14ac:dyDescent="0.3">
      <c r="A9">
        <v>5600</v>
      </c>
      <c r="B9">
        <f>B7</f>
        <v>7040</v>
      </c>
      <c r="E9" s="28">
        <f>IFERROR(-E7,"")</f>
        <v>0</v>
      </c>
      <c r="F9" s="28">
        <f t="shared" ref="F9:P10" si="0">IFERROR(-F7,"")</f>
        <v>0</v>
      </c>
      <c r="G9" s="28">
        <f t="shared" si="0"/>
        <v>0</v>
      </c>
      <c r="H9" s="28">
        <f t="shared" si="0"/>
        <v>0</v>
      </c>
      <c r="I9" s="28">
        <f t="shared" si="0"/>
        <v>0</v>
      </c>
      <c r="J9" s="28">
        <f t="shared" si="0"/>
        <v>0</v>
      </c>
      <c r="K9" s="28">
        <f t="shared" si="0"/>
        <v>0</v>
      </c>
      <c r="L9" s="28">
        <f t="shared" si="0"/>
        <v>0</v>
      </c>
      <c r="M9" s="28">
        <f t="shared" si="0"/>
        <v>0</v>
      </c>
      <c r="N9" s="28">
        <f t="shared" si="0"/>
        <v>0</v>
      </c>
      <c r="O9" s="28">
        <f t="shared" si="0"/>
        <v>0</v>
      </c>
      <c r="P9" s="28">
        <f t="shared" si="0"/>
        <v>0</v>
      </c>
    </row>
    <row r="10" spans="1:16" x14ac:dyDescent="0.3">
      <c r="A10">
        <v>5601</v>
      </c>
      <c r="B10" t="str">
        <f>B8</f>
        <v/>
      </c>
      <c r="E10" s="28" t="str">
        <f>IFERROR(-E8,"")</f>
        <v/>
      </c>
      <c r="F10" s="28" t="str">
        <f t="shared" si="0"/>
        <v/>
      </c>
      <c r="G10" s="28" t="str">
        <f t="shared" si="0"/>
        <v/>
      </c>
      <c r="H10" s="28" t="str">
        <f t="shared" si="0"/>
        <v/>
      </c>
      <c r="I10" s="28" t="str">
        <f t="shared" si="0"/>
        <v/>
      </c>
      <c r="J10" s="28" t="str">
        <f t="shared" si="0"/>
        <v/>
      </c>
      <c r="K10" s="28" t="str">
        <f t="shared" si="0"/>
        <v/>
      </c>
      <c r="L10" s="28" t="str">
        <f t="shared" si="0"/>
        <v/>
      </c>
      <c r="M10" s="28" t="str">
        <f t="shared" si="0"/>
        <v/>
      </c>
      <c r="N10" s="28" t="str">
        <f t="shared" si="0"/>
        <v/>
      </c>
      <c r="O10" s="28" t="str">
        <f t="shared" si="0"/>
        <v/>
      </c>
      <c r="P10" s="28" t="str">
        <f t="shared" si="0"/>
        <v/>
      </c>
    </row>
    <row r="11" spans="1:16" x14ac:dyDescent="0.3">
      <c r="B11" t="str">
        <f>B8</f>
        <v/>
      </c>
      <c r="E11" s="28" t="str">
        <f t="shared" ref="E11:P11" si="1">IFERROR(-E8,"")</f>
        <v/>
      </c>
      <c r="F11" s="28" t="str">
        <f t="shared" si="1"/>
        <v/>
      </c>
      <c r="G11" s="28" t="str">
        <f t="shared" si="1"/>
        <v/>
      </c>
      <c r="H11" s="28" t="str">
        <f t="shared" si="1"/>
        <v/>
      </c>
      <c r="I11" s="28" t="str">
        <f t="shared" si="1"/>
        <v/>
      </c>
      <c r="J11" s="28" t="str">
        <f t="shared" si="1"/>
        <v/>
      </c>
      <c r="K11" s="28" t="str">
        <f t="shared" si="1"/>
        <v/>
      </c>
      <c r="L11" s="28" t="str">
        <f t="shared" si="1"/>
        <v/>
      </c>
      <c r="M11" s="28" t="str">
        <f t="shared" si="1"/>
        <v/>
      </c>
      <c r="N11" s="28" t="str">
        <f t="shared" si="1"/>
        <v/>
      </c>
      <c r="O11" s="28" t="str">
        <f t="shared" si="1"/>
        <v/>
      </c>
      <c r="P11" s="28" t="str">
        <f t="shared" si="1"/>
        <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AC94-650F-40B4-A999-D7FE483D5EF8}">
  <dimension ref="A2:AA31"/>
  <sheetViews>
    <sheetView topLeftCell="I1" workbookViewId="0">
      <selection activeCell="K10" sqref="K10"/>
    </sheetView>
  </sheetViews>
  <sheetFormatPr defaultRowHeight="14.4" x14ac:dyDescent="0.3"/>
  <cols>
    <col min="1" max="1" width="38.33203125" bestFit="1" customWidth="1"/>
    <col min="3" max="3" width="26.5546875" bestFit="1" customWidth="1"/>
    <col min="5" max="5" width="12.6640625" bestFit="1" customWidth="1"/>
    <col min="7" max="7" width="14.33203125" bestFit="1" customWidth="1"/>
    <col min="9" max="9" width="28.5546875" bestFit="1" customWidth="1"/>
    <col min="11" max="11" width="20.6640625" bestFit="1" customWidth="1"/>
    <col min="12" max="12" width="20.6640625" customWidth="1"/>
    <col min="14" max="14" width="27.6640625" bestFit="1" customWidth="1"/>
    <col min="15" max="15" width="11.6640625" customWidth="1"/>
    <col min="17" max="17" width="17.6640625" bestFit="1" customWidth="1"/>
    <col min="18" max="18" width="13.6640625" customWidth="1"/>
    <col min="20" max="20" width="17.6640625" bestFit="1" customWidth="1"/>
    <col min="21" max="21" width="17.6640625" customWidth="1"/>
    <col min="23" max="23" width="17.6640625" bestFit="1" customWidth="1"/>
    <col min="26" max="26" width="17.6640625" bestFit="1" customWidth="1"/>
  </cols>
  <sheetData>
    <row r="2" spans="1:27" x14ac:dyDescent="0.3">
      <c r="A2" s="2" t="s">
        <v>18</v>
      </c>
      <c r="C2" s="2" t="s">
        <v>20</v>
      </c>
      <c r="E2" s="2" t="s">
        <v>212</v>
      </c>
      <c r="G2" s="2" t="s">
        <v>214</v>
      </c>
      <c r="I2" s="2" t="s">
        <v>215</v>
      </c>
      <c r="K2" s="2" t="s">
        <v>16</v>
      </c>
      <c r="L2" s="2"/>
      <c r="N2" s="2" t="s">
        <v>13</v>
      </c>
      <c r="O2" s="2"/>
      <c r="Q2" s="2" t="s">
        <v>15</v>
      </c>
      <c r="R2" s="2"/>
      <c r="T2" s="2" t="s">
        <v>216</v>
      </c>
      <c r="U2" s="2"/>
      <c r="W2" s="2" t="s">
        <v>217</v>
      </c>
      <c r="X2" s="2"/>
      <c r="Z2" s="2" t="s">
        <v>19</v>
      </c>
    </row>
    <row r="3" spans="1:27" x14ac:dyDescent="0.3">
      <c r="A3" t="s">
        <v>218</v>
      </c>
      <c r="C3" t="s">
        <v>219</v>
      </c>
      <c r="I3" t="s">
        <v>220</v>
      </c>
      <c r="K3" t="s">
        <v>221</v>
      </c>
      <c r="L3">
        <v>42805</v>
      </c>
      <c r="N3" s="30" t="s">
        <v>222</v>
      </c>
      <c r="O3">
        <v>1180</v>
      </c>
      <c r="Q3" s="30" t="s">
        <v>223</v>
      </c>
      <c r="R3">
        <v>1160</v>
      </c>
      <c r="T3" t="s">
        <v>51</v>
      </c>
      <c r="U3">
        <v>5500</v>
      </c>
      <c r="W3" t="s">
        <v>51</v>
      </c>
      <c r="X3">
        <v>5500</v>
      </c>
      <c r="Z3" t="s">
        <v>51</v>
      </c>
      <c r="AA3">
        <v>5501</v>
      </c>
    </row>
    <row r="4" spans="1:27" x14ac:dyDescent="0.3">
      <c r="A4" t="s">
        <v>224</v>
      </c>
      <c r="C4" t="s">
        <v>225</v>
      </c>
      <c r="E4" t="s">
        <v>226</v>
      </c>
      <c r="G4" t="s">
        <v>227</v>
      </c>
      <c r="I4" t="s">
        <v>228</v>
      </c>
      <c r="K4" t="s">
        <v>229</v>
      </c>
      <c r="L4">
        <v>43515</v>
      </c>
      <c r="N4" s="30" t="s">
        <v>230</v>
      </c>
      <c r="O4">
        <v>24745</v>
      </c>
      <c r="Q4" s="30" t="s">
        <v>231</v>
      </c>
      <c r="R4">
        <v>30425</v>
      </c>
      <c r="T4" t="s">
        <v>100</v>
      </c>
      <c r="U4">
        <v>4705</v>
      </c>
      <c r="W4" t="s">
        <v>100</v>
      </c>
      <c r="X4">
        <v>4703</v>
      </c>
      <c r="Z4" t="s">
        <v>100</v>
      </c>
      <c r="AA4">
        <v>4710</v>
      </c>
    </row>
    <row r="5" spans="1:27" x14ac:dyDescent="0.3">
      <c r="A5" t="s">
        <v>232</v>
      </c>
      <c r="C5" t="s">
        <v>233</v>
      </c>
      <c r="E5" t="s">
        <v>234</v>
      </c>
      <c r="G5" t="s">
        <v>235</v>
      </c>
      <c r="I5" t="s">
        <v>236</v>
      </c>
      <c r="K5" t="s">
        <v>237</v>
      </c>
      <c r="L5">
        <v>2061</v>
      </c>
      <c r="N5" s="30" t="s">
        <v>238</v>
      </c>
      <c r="O5">
        <v>3097</v>
      </c>
      <c r="Q5" s="30" t="s">
        <v>239</v>
      </c>
      <c r="R5">
        <v>2950</v>
      </c>
      <c r="T5" t="s">
        <v>101</v>
      </c>
      <c r="U5">
        <v>4700</v>
      </c>
      <c r="W5" t="s">
        <v>101</v>
      </c>
      <c r="X5">
        <v>4703</v>
      </c>
      <c r="Z5" t="s">
        <v>101</v>
      </c>
      <c r="AA5">
        <v>4710</v>
      </c>
    </row>
    <row r="6" spans="1:27" x14ac:dyDescent="0.3">
      <c r="C6" t="s">
        <v>240</v>
      </c>
      <c r="E6" t="s">
        <v>241</v>
      </c>
      <c r="G6" t="s">
        <v>242</v>
      </c>
      <c r="I6" t="s">
        <v>243</v>
      </c>
      <c r="K6" t="s">
        <v>6425</v>
      </c>
      <c r="L6">
        <v>29845</v>
      </c>
      <c r="N6" s="30" t="s">
        <v>244</v>
      </c>
      <c r="O6">
        <v>2718</v>
      </c>
      <c r="Q6" s="30" t="s">
        <v>245</v>
      </c>
      <c r="R6">
        <v>2815</v>
      </c>
      <c r="T6" t="s">
        <v>134</v>
      </c>
      <c r="U6">
        <v>8320</v>
      </c>
      <c r="W6" t="s">
        <v>134</v>
      </c>
      <c r="X6">
        <v>8320</v>
      </c>
      <c r="Z6" t="s">
        <v>134</v>
      </c>
      <c r="AA6">
        <v>8320</v>
      </c>
    </row>
    <row r="7" spans="1:27" x14ac:dyDescent="0.3">
      <c r="C7" t="s">
        <v>246</v>
      </c>
      <c r="E7" t="s">
        <v>247</v>
      </c>
      <c r="G7" t="s">
        <v>248</v>
      </c>
      <c r="I7" t="s">
        <v>249</v>
      </c>
      <c r="N7" s="30" t="s">
        <v>231</v>
      </c>
      <c r="O7">
        <v>30425</v>
      </c>
      <c r="Q7" s="30" t="s">
        <v>250</v>
      </c>
      <c r="R7">
        <v>9005</v>
      </c>
    </row>
    <row r="8" spans="1:27" x14ac:dyDescent="0.3">
      <c r="C8" t="s">
        <v>251</v>
      </c>
      <c r="E8" t="s">
        <v>252</v>
      </c>
      <c r="G8" t="s">
        <v>253</v>
      </c>
      <c r="I8" t="s">
        <v>254</v>
      </c>
      <c r="N8" s="30" t="s">
        <v>255</v>
      </c>
      <c r="O8">
        <v>2131</v>
      </c>
      <c r="Q8" s="30" t="s">
        <v>256</v>
      </c>
      <c r="R8">
        <v>24255</v>
      </c>
    </row>
    <row r="9" spans="1:27" x14ac:dyDescent="0.3">
      <c r="C9" t="s">
        <v>257</v>
      </c>
      <c r="E9" t="s">
        <v>258</v>
      </c>
      <c r="G9" t="s">
        <v>259</v>
      </c>
      <c r="N9" s="30" t="s">
        <v>260</v>
      </c>
      <c r="O9">
        <v>34495</v>
      </c>
      <c r="Q9" s="30" t="s">
        <v>261</v>
      </c>
      <c r="R9">
        <v>21825</v>
      </c>
    </row>
    <row r="10" spans="1:27" x14ac:dyDescent="0.3">
      <c r="C10" t="s">
        <v>262</v>
      </c>
      <c r="E10" t="s">
        <v>263</v>
      </c>
      <c r="G10" t="s">
        <v>264</v>
      </c>
      <c r="N10" s="30" t="s">
        <v>239</v>
      </c>
      <c r="O10">
        <v>2950</v>
      </c>
      <c r="Q10" s="30" t="s">
        <v>265</v>
      </c>
      <c r="R10">
        <v>35055</v>
      </c>
    </row>
    <row r="11" spans="1:27" x14ac:dyDescent="0.3">
      <c r="C11" t="s">
        <v>266</v>
      </c>
      <c r="E11" t="s">
        <v>267</v>
      </c>
      <c r="G11" t="s">
        <v>268</v>
      </c>
      <c r="N11" s="30" t="s">
        <v>269</v>
      </c>
      <c r="O11">
        <v>24105</v>
      </c>
      <c r="Q11" t="s">
        <v>270</v>
      </c>
      <c r="R11">
        <v>3390</v>
      </c>
    </row>
    <row r="12" spans="1:27" x14ac:dyDescent="0.3">
      <c r="C12" t="s">
        <v>271</v>
      </c>
      <c r="E12" t="s">
        <v>272</v>
      </c>
      <c r="G12" t="s">
        <v>273</v>
      </c>
      <c r="N12" s="30" t="s">
        <v>245</v>
      </c>
      <c r="O12">
        <v>2815</v>
      </c>
      <c r="Q12" s="30" t="s">
        <v>274</v>
      </c>
      <c r="R12">
        <v>35505</v>
      </c>
    </row>
    <row r="13" spans="1:27" x14ac:dyDescent="0.3">
      <c r="C13" t="s">
        <v>275</v>
      </c>
      <c r="E13" t="s">
        <v>276</v>
      </c>
      <c r="G13" t="s">
        <v>277</v>
      </c>
      <c r="N13" s="30" t="s">
        <v>278</v>
      </c>
      <c r="O13">
        <v>30775</v>
      </c>
      <c r="Q13" s="30" t="s">
        <v>279</v>
      </c>
      <c r="R13">
        <v>2712</v>
      </c>
    </row>
    <row r="14" spans="1:27" x14ac:dyDescent="0.3">
      <c r="C14" t="s">
        <v>280</v>
      </c>
      <c r="E14" t="s">
        <v>281</v>
      </c>
      <c r="G14" t="s">
        <v>282</v>
      </c>
      <c r="N14" s="30" t="s">
        <v>283</v>
      </c>
      <c r="O14">
        <v>11895</v>
      </c>
      <c r="Q14" s="30" t="s">
        <v>284</v>
      </c>
      <c r="R14">
        <v>34955</v>
      </c>
    </row>
    <row r="15" spans="1:27" x14ac:dyDescent="0.3">
      <c r="C15" t="s">
        <v>285</v>
      </c>
      <c r="G15" t="s">
        <v>286</v>
      </c>
      <c r="N15" s="30" t="s">
        <v>287</v>
      </c>
      <c r="O15">
        <v>13495</v>
      </c>
      <c r="Q15" s="30" t="s">
        <v>288</v>
      </c>
      <c r="R15">
        <v>2522</v>
      </c>
    </row>
    <row r="16" spans="1:27" x14ac:dyDescent="0.3">
      <c r="C16" t="s">
        <v>289</v>
      </c>
      <c r="G16" t="s">
        <v>290</v>
      </c>
      <c r="N16" s="30" t="s">
        <v>270</v>
      </c>
      <c r="O16">
        <v>3390</v>
      </c>
      <c r="Q16" s="30" t="s">
        <v>291</v>
      </c>
      <c r="R16">
        <v>34815</v>
      </c>
    </row>
    <row r="17" spans="3:18" x14ac:dyDescent="0.3">
      <c r="C17" t="s">
        <v>292</v>
      </c>
      <c r="G17" t="s">
        <v>293</v>
      </c>
      <c r="N17" s="30" t="s">
        <v>294</v>
      </c>
      <c r="O17">
        <v>36625</v>
      </c>
      <c r="Q17" t="s">
        <v>295</v>
      </c>
      <c r="R17">
        <v>41265</v>
      </c>
    </row>
    <row r="18" spans="3:18" x14ac:dyDescent="0.3">
      <c r="C18" t="s">
        <v>296</v>
      </c>
      <c r="G18" t="s">
        <v>297</v>
      </c>
      <c r="N18" s="30" t="s">
        <v>298</v>
      </c>
      <c r="O18">
        <v>31935</v>
      </c>
      <c r="Q18" t="s">
        <v>299</v>
      </c>
      <c r="R18">
        <v>24945</v>
      </c>
    </row>
    <row r="19" spans="3:18" x14ac:dyDescent="0.3">
      <c r="C19" t="s">
        <v>300</v>
      </c>
      <c r="G19" t="s">
        <v>301</v>
      </c>
      <c r="N19" s="30" t="s">
        <v>302</v>
      </c>
      <c r="O19">
        <v>32085</v>
      </c>
      <c r="Q19" t="s">
        <v>303</v>
      </c>
      <c r="R19">
        <v>36555</v>
      </c>
    </row>
    <row r="20" spans="3:18" x14ac:dyDescent="0.3">
      <c r="C20" t="s">
        <v>304</v>
      </c>
      <c r="G20" t="s">
        <v>305</v>
      </c>
      <c r="N20" s="30" t="s">
        <v>256</v>
      </c>
      <c r="O20">
        <v>24255</v>
      </c>
      <c r="Q20" t="s">
        <v>270</v>
      </c>
      <c r="R20">
        <v>3390</v>
      </c>
    </row>
    <row r="21" spans="3:18" x14ac:dyDescent="0.3">
      <c r="G21" t="s">
        <v>306</v>
      </c>
      <c r="N21" s="30" t="s">
        <v>307</v>
      </c>
      <c r="O21">
        <v>2926</v>
      </c>
      <c r="Q21" t="s">
        <v>308</v>
      </c>
      <c r="R21">
        <v>2931</v>
      </c>
    </row>
    <row r="22" spans="3:18" x14ac:dyDescent="0.3">
      <c r="G22" t="s">
        <v>309</v>
      </c>
      <c r="N22" s="30" t="s">
        <v>310</v>
      </c>
      <c r="O22">
        <v>3064</v>
      </c>
      <c r="Q22" t="s">
        <v>311</v>
      </c>
      <c r="R22">
        <v>41725</v>
      </c>
    </row>
    <row r="23" spans="3:18" x14ac:dyDescent="0.3">
      <c r="G23" t="s">
        <v>312</v>
      </c>
      <c r="N23" s="30" t="s">
        <v>313</v>
      </c>
      <c r="O23">
        <v>2666</v>
      </c>
    </row>
    <row r="24" spans="3:18" x14ac:dyDescent="0.3">
      <c r="G24" t="s">
        <v>314</v>
      </c>
      <c r="N24" s="30" t="s">
        <v>315</v>
      </c>
      <c r="O24">
        <v>29935</v>
      </c>
    </row>
    <row r="25" spans="3:18" x14ac:dyDescent="0.3">
      <c r="N25" s="30" t="s">
        <v>265</v>
      </c>
      <c r="O25">
        <v>35055</v>
      </c>
    </row>
    <row r="26" spans="3:18" x14ac:dyDescent="0.3">
      <c r="N26" t="s">
        <v>316</v>
      </c>
      <c r="O26">
        <v>40975</v>
      </c>
    </row>
    <row r="27" spans="3:18" x14ac:dyDescent="0.3">
      <c r="N27" t="s">
        <v>317</v>
      </c>
      <c r="O27">
        <v>36745</v>
      </c>
    </row>
    <row r="28" spans="3:18" x14ac:dyDescent="0.3">
      <c r="N28" t="s">
        <v>318</v>
      </c>
      <c r="O28">
        <v>43035</v>
      </c>
    </row>
    <row r="29" spans="3:18" x14ac:dyDescent="0.3">
      <c r="N29" t="s">
        <v>299</v>
      </c>
      <c r="O29">
        <v>24945</v>
      </c>
    </row>
    <row r="30" spans="3:18" x14ac:dyDescent="0.3">
      <c r="N30" t="s">
        <v>319</v>
      </c>
      <c r="O30">
        <v>35335</v>
      </c>
    </row>
    <row r="31" spans="3:18" x14ac:dyDescent="0.3">
      <c r="N31" t="s">
        <v>320</v>
      </c>
      <c r="O31">
        <v>25955</v>
      </c>
    </row>
  </sheetData>
  <phoneticPr fontId="6"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2F42-A861-405F-A0A5-194CB2FC6E71}">
  <dimension ref="A1:I2387"/>
  <sheetViews>
    <sheetView workbookViewId="0">
      <selection activeCell="H2" sqref="H2"/>
    </sheetView>
  </sheetViews>
  <sheetFormatPr defaultRowHeight="14.4" x14ac:dyDescent="0.3"/>
  <cols>
    <col min="1" max="1" width="14.6640625" bestFit="1" customWidth="1"/>
    <col min="2" max="2" width="11" style="20" bestFit="1" customWidth="1"/>
    <col min="3" max="3" width="16.5546875" bestFit="1" customWidth="1"/>
    <col min="4" max="4" width="61.33203125" bestFit="1" customWidth="1"/>
    <col min="5" max="5" width="17.5546875" bestFit="1" customWidth="1"/>
    <col min="6" max="6" width="13.33203125" bestFit="1" customWidth="1"/>
    <col min="7" max="7" width="14.6640625" bestFit="1" customWidth="1"/>
    <col min="8" max="8" width="21.109375" bestFit="1" customWidth="1"/>
    <col min="9" max="9" width="25.44140625" bestFit="1" customWidth="1"/>
  </cols>
  <sheetData>
    <row r="1" spans="1:9" x14ac:dyDescent="0.3">
      <c r="A1" t="s">
        <v>321</v>
      </c>
      <c r="B1" s="20" t="s">
        <v>322</v>
      </c>
      <c r="C1" t="s">
        <v>323</v>
      </c>
      <c r="D1" t="s">
        <v>324</v>
      </c>
      <c r="E1" t="s">
        <v>325</v>
      </c>
      <c r="F1" t="s">
        <v>326</v>
      </c>
      <c r="G1" t="s">
        <v>327</v>
      </c>
      <c r="H1" t="s">
        <v>328</v>
      </c>
      <c r="I1" t="s">
        <v>329</v>
      </c>
    </row>
    <row r="2" spans="1:9" x14ac:dyDescent="0.3">
      <c r="A2" t="s">
        <v>330</v>
      </c>
      <c r="B2" s="20">
        <v>46023</v>
      </c>
      <c r="C2" t="s">
        <v>179</v>
      </c>
      <c r="D2" t="s">
        <v>331</v>
      </c>
      <c r="E2" t="s">
        <v>217</v>
      </c>
      <c r="F2">
        <v>0</v>
      </c>
      <c r="G2">
        <v>0</v>
      </c>
      <c r="H2">
        <f>IF(report_B_CategorieBoekjaar[[#This Row],[BedrijfsCode]]="002",IF(report_B_CategorieBoekjaar[[#This Row],[Boekjaar]]=Projectbegroting!$K$1,report_B_CategorieBoekjaar[[#This Row],[CategorieCode]],0),0)</f>
        <v>0</v>
      </c>
      <c r="I2" t="str">
        <f>IF(report_B_CategorieBoekjaar[[#This Row],[BedrijfsCode]]="001",IF(report_B_CategorieBoekjaar[[#This Row],[Boekjaar]]=Projectbegroting!$K$1,report_B_CategorieBoekjaar[[#This Row],[CategorieCode]],0),0)</f>
        <v>310</v>
      </c>
    </row>
    <row r="3" spans="1:9" x14ac:dyDescent="0.3">
      <c r="A3" t="s">
        <v>330</v>
      </c>
      <c r="B3" s="20">
        <v>46023</v>
      </c>
      <c r="C3" t="s">
        <v>180</v>
      </c>
      <c r="D3" t="s">
        <v>332</v>
      </c>
      <c r="E3" t="s">
        <v>217</v>
      </c>
      <c r="F3">
        <v>0</v>
      </c>
      <c r="G3">
        <v>0</v>
      </c>
      <c r="H3">
        <f>IF(report_B_CategorieBoekjaar[[#This Row],[BedrijfsCode]]="002",IF(report_B_CategorieBoekjaar[[#This Row],[Boekjaar]]=Projectbegroting!$K$1,report_B_CategorieBoekjaar[[#This Row],[CategorieCode]],0),0)</f>
        <v>0</v>
      </c>
      <c r="I3" t="str">
        <f>IF(report_B_CategorieBoekjaar[[#This Row],[BedrijfsCode]]="001",IF(report_B_CategorieBoekjaar[[#This Row],[Boekjaar]]=Projectbegroting!$K$1,report_B_CategorieBoekjaar[[#This Row],[CategorieCode]],0),0)</f>
        <v>350</v>
      </c>
    </row>
    <row r="4" spans="1:9" x14ac:dyDescent="0.3">
      <c r="A4" t="s">
        <v>330</v>
      </c>
      <c r="B4" s="20">
        <v>46023</v>
      </c>
      <c r="C4" t="s">
        <v>181</v>
      </c>
      <c r="D4" t="s">
        <v>333</v>
      </c>
      <c r="E4" t="s">
        <v>217</v>
      </c>
      <c r="F4">
        <v>0</v>
      </c>
      <c r="G4">
        <v>0</v>
      </c>
      <c r="H4">
        <f>IF(report_B_CategorieBoekjaar[[#This Row],[BedrijfsCode]]="002",IF(report_B_CategorieBoekjaar[[#This Row],[Boekjaar]]=Projectbegroting!$K$1,report_B_CategorieBoekjaar[[#This Row],[CategorieCode]],0),0)</f>
        <v>0</v>
      </c>
      <c r="I4" t="str">
        <f>IF(report_B_CategorieBoekjaar[[#This Row],[BedrijfsCode]]="001",IF(report_B_CategorieBoekjaar[[#This Row],[Boekjaar]]=Projectbegroting!$K$1,report_B_CategorieBoekjaar[[#This Row],[CategorieCode]],0),0)</f>
        <v>410</v>
      </c>
    </row>
    <row r="5" spans="1:9" x14ac:dyDescent="0.3">
      <c r="A5" t="s">
        <v>330</v>
      </c>
      <c r="B5" s="20">
        <v>46023</v>
      </c>
      <c r="C5" t="s">
        <v>182</v>
      </c>
      <c r="D5" t="s">
        <v>334</v>
      </c>
      <c r="E5" t="s">
        <v>217</v>
      </c>
      <c r="F5">
        <v>0</v>
      </c>
      <c r="G5">
        <v>0</v>
      </c>
      <c r="H5">
        <f>IF(report_B_CategorieBoekjaar[[#This Row],[BedrijfsCode]]="002",IF(report_B_CategorieBoekjaar[[#This Row],[Boekjaar]]=Projectbegroting!$K$1,report_B_CategorieBoekjaar[[#This Row],[CategorieCode]],0),0)</f>
        <v>0</v>
      </c>
      <c r="I5" t="str">
        <f>IF(report_B_CategorieBoekjaar[[#This Row],[BedrijfsCode]]="001",IF(report_B_CategorieBoekjaar[[#This Row],[Boekjaar]]=Projectbegroting!$K$1,report_B_CategorieBoekjaar[[#This Row],[CategorieCode]],0),0)</f>
        <v>470</v>
      </c>
    </row>
    <row r="6" spans="1:9" x14ac:dyDescent="0.3">
      <c r="A6" t="s">
        <v>330</v>
      </c>
      <c r="B6" s="20">
        <v>46023</v>
      </c>
      <c r="C6" t="s">
        <v>183</v>
      </c>
      <c r="D6" t="s">
        <v>335</v>
      </c>
      <c r="E6" t="s">
        <v>217</v>
      </c>
      <c r="F6">
        <v>0</v>
      </c>
      <c r="G6">
        <v>0</v>
      </c>
      <c r="H6">
        <f>IF(report_B_CategorieBoekjaar[[#This Row],[BedrijfsCode]]="002",IF(report_B_CategorieBoekjaar[[#This Row],[Boekjaar]]=Projectbegroting!$K$1,report_B_CategorieBoekjaar[[#This Row],[CategorieCode]],0),0)</f>
        <v>0</v>
      </c>
      <c r="I6" t="str">
        <f>IF(report_B_CategorieBoekjaar[[#This Row],[BedrijfsCode]]="001",IF(report_B_CategorieBoekjaar[[#This Row],[Boekjaar]]=Projectbegroting!$K$1,report_B_CategorieBoekjaar[[#This Row],[CategorieCode]],0),0)</f>
        <v>490</v>
      </c>
    </row>
    <row r="7" spans="1:9" x14ac:dyDescent="0.3">
      <c r="A7" t="s">
        <v>330</v>
      </c>
      <c r="B7" s="20">
        <v>46023</v>
      </c>
      <c r="C7" t="s">
        <v>184</v>
      </c>
      <c r="D7" t="s">
        <v>336</v>
      </c>
      <c r="E7" t="s">
        <v>217</v>
      </c>
      <c r="F7">
        <v>0</v>
      </c>
      <c r="G7">
        <v>0</v>
      </c>
      <c r="H7">
        <f>IF(report_B_CategorieBoekjaar[[#This Row],[BedrijfsCode]]="002",IF(report_B_CategorieBoekjaar[[#This Row],[Boekjaar]]=Projectbegroting!$K$1,report_B_CategorieBoekjaar[[#This Row],[CategorieCode]],0),0)</f>
        <v>0</v>
      </c>
      <c r="I7" t="str">
        <f>IF(report_B_CategorieBoekjaar[[#This Row],[BedrijfsCode]]="001",IF(report_B_CategorieBoekjaar[[#This Row],[Boekjaar]]=Projectbegroting!$K$1,report_B_CategorieBoekjaar[[#This Row],[CategorieCode]],0),0)</f>
        <v>491</v>
      </c>
    </row>
    <row r="8" spans="1:9" x14ac:dyDescent="0.3">
      <c r="A8" t="s">
        <v>330</v>
      </c>
      <c r="B8" s="20">
        <v>46023</v>
      </c>
      <c r="C8" t="s">
        <v>185</v>
      </c>
      <c r="D8" t="s">
        <v>337</v>
      </c>
      <c r="E8" t="s">
        <v>217</v>
      </c>
      <c r="F8">
        <v>0</v>
      </c>
      <c r="G8">
        <v>0</v>
      </c>
      <c r="H8">
        <f>IF(report_B_CategorieBoekjaar[[#This Row],[BedrijfsCode]]="002",IF(report_B_CategorieBoekjaar[[#This Row],[Boekjaar]]=Projectbegroting!$K$1,report_B_CategorieBoekjaar[[#This Row],[CategorieCode]],0),0)</f>
        <v>0</v>
      </c>
      <c r="I8" t="str">
        <f>IF(report_B_CategorieBoekjaar[[#This Row],[BedrijfsCode]]="001",IF(report_B_CategorieBoekjaar[[#This Row],[Boekjaar]]=Projectbegroting!$K$1,report_B_CategorieBoekjaar[[#This Row],[CategorieCode]],0),0)</f>
        <v>510</v>
      </c>
    </row>
    <row r="9" spans="1:9" x14ac:dyDescent="0.3">
      <c r="A9" t="s">
        <v>330</v>
      </c>
      <c r="B9" s="20">
        <v>46023</v>
      </c>
      <c r="C9" t="s">
        <v>186</v>
      </c>
      <c r="D9" t="s">
        <v>338</v>
      </c>
      <c r="E9" t="s">
        <v>217</v>
      </c>
      <c r="F9">
        <v>0</v>
      </c>
      <c r="G9">
        <v>0</v>
      </c>
      <c r="H9">
        <f>IF(report_B_CategorieBoekjaar[[#This Row],[BedrijfsCode]]="002",IF(report_B_CategorieBoekjaar[[#This Row],[Boekjaar]]=Projectbegroting!$K$1,report_B_CategorieBoekjaar[[#This Row],[CategorieCode]],0),0)</f>
        <v>0</v>
      </c>
      <c r="I9" t="str">
        <f>IF(report_B_CategorieBoekjaar[[#This Row],[BedrijfsCode]]="001",IF(report_B_CategorieBoekjaar[[#This Row],[Boekjaar]]=Projectbegroting!$K$1,report_B_CategorieBoekjaar[[#This Row],[CategorieCode]],0),0)</f>
        <v>520</v>
      </c>
    </row>
    <row r="10" spans="1:9" x14ac:dyDescent="0.3">
      <c r="A10" t="s">
        <v>330</v>
      </c>
      <c r="B10" s="20">
        <v>46023</v>
      </c>
      <c r="C10" t="s">
        <v>187</v>
      </c>
      <c r="D10" t="s">
        <v>339</v>
      </c>
      <c r="E10" t="s">
        <v>217</v>
      </c>
      <c r="F10">
        <v>0</v>
      </c>
      <c r="G10">
        <v>0</v>
      </c>
      <c r="H10">
        <f>IF(report_B_CategorieBoekjaar[[#This Row],[BedrijfsCode]]="002",IF(report_B_CategorieBoekjaar[[#This Row],[Boekjaar]]=Projectbegroting!$K$1,report_B_CategorieBoekjaar[[#This Row],[CategorieCode]],0),0)</f>
        <v>0</v>
      </c>
      <c r="I10" t="str">
        <f>IF(report_B_CategorieBoekjaar[[#This Row],[BedrijfsCode]]="001",IF(report_B_CategorieBoekjaar[[#This Row],[Boekjaar]]=Projectbegroting!$K$1,report_B_CategorieBoekjaar[[#This Row],[CategorieCode]],0),0)</f>
        <v>542</v>
      </c>
    </row>
    <row r="11" spans="1:9" x14ac:dyDescent="0.3">
      <c r="A11" t="s">
        <v>330</v>
      </c>
      <c r="B11" s="20">
        <v>46023</v>
      </c>
      <c r="C11" t="s">
        <v>188</v>
      </c>
      <c r="D11" t="s">
        <v>340</v>
      </c>
      <c r="E11" t="s">
        <v>217</v>
      </c>
      <c r="F11">
        <v>0</v>
      </c>
      <c r="G11">
        <v>0</v>
      </c>
      <c r="H11">
        <f>IF(report_B_CategorieBoekjaar[[#This Row],[BedrijfsCode]]="002",IF(report_B_CategorieBoekjaar[[#This Row],[Boekjaar]]=Projectbegroting!$K$1,report_B_CategorieBoekjaar[[#This Row],[CategorieCode]],0),0)</f>
        <v>0</v>
      </c>
      <c r="I11" t="str">
        <f>IF(report_B_CategorieBoekjaar[[#This Row],[BedrijfsCode]]="001",IF(report_B_CategorieBoekjaar[[#This Row],[Boekjaar]]=Projectbegroting!$K$1,report_B_CategorieBoekjaar[[#This Row],[CategorieCode]],0),0)</f>
        <v>543</v>
      </c>
    </row>
    <row r="12" spans="1:9" x14ac:dyDescent="0.3">
      <c r="A12" t="s">
        <v>330</v>
      </c>
      <c r="B12" s="20">
        <v>46023</v>
      </c>
      <c r="C12" t="s">
        <v>189</v>
      </c>
      <c r="D12" t="s">
        <v>341</v>
      </c>
      <c r="E12" t="s">
        <v>217</v>
      </c>
      <c r="F12">
        <v>0</v>
      </c>
      <c r="G12">
        <v>0</v>
      </c>
      <c r="H12">
        <f>IF(report_B_CategorieBoekjaar[[#This Row],[BedrijfsCode]]="002",IF(report_B_CategorieBoekjaar[[#This Row],[Boekjaar]]=Projectbegroting!$K$1,report_B_CategorieBoekjaar[[#This Row],[CategorieCode]],0),0)</f>
        <v>0</v>
      </c>
      <c r="I12" t="str">
        <f>IF(report_B_CategorieBoekjaar[[#This Row],[BedrijfsCode]]="001",IF(report_B_CategorieBoekjaar[[#This Row],[Boekjaar]]=Projectbegroting!$K$1,report_B_CategorieBoekjaar[[#This Row],[CategorieCode]],0),0)</f>
        <v>560</v>
      </c>
    </row>
    <row r="13" spans="1:9" x14ac:dyDescent="0.3">
      <c r="A13" t="s">
        <v>330</v>
      </c>
      <c r="B13" s="20">
        <v>46023</v>
      </c>
      <c r="C13" t="s">
        <v>190</v>
      </c>
      <c r="D13" t="s">
        <v>342</v>
      </c>
      <c r="E13" t="s">
        <v>217</v>
      </c>
      <c r="F13">
        <v>0</v>
      </c>
      <c r="G13">
        <v>0</v>
      </c>
      <c r="H13">
        <f>IF(report_B_CategorieBoekjaar[[#This Row],[BedrijfsCode]]="002",IF(report_B_CategorieBoekjaar[[#This Row],[Boekjaar]]=Projectbegroting!$K$1,report_B_CategorieBoekjaar[[#This Row],[CategorieCode]],0),0)</f>
        <v>0</v>
      </c>
      <c r="I13" t="str">
        <f>IF(report_B_CategorieBoekjaar[[#This Row],[BedrijfsCode]]="001",IF(report_B_CategorieBoekjaar[[#This Row],[Boekjaar]]=Projectbegroting!$K$1,report_B_CategorieBoekjaar[[#This Row],[CategorieCode]],0),0)</f>
        <v>562</v>
      </c>
    </row>
    <row r="14" spans="1:9" x14ac:dyDescent="0.3">
      <c r="A14" t="s">
        <v>330</v>
      </c>
      <c r="B14" s="20">
        <v>46023</v>
      </c>
      <c r="C14" t="s">
        <v>191</v>
      </c>
      <c r="D14" t="s">
        <v>343</v>
      </c>
      <c r="E14" t="s">
        <v>217</v>
      </c>
      <c r="F14">
        <v>0</v>
      </c>
      <c r="G14">
        <v>0</v>
      </c>
      <c r="H14">
        <f>IF(report_B_CategorieBoekjaar[[#This Row],[BedrijfsCode]]="002",IF(report_B_CategorieBoekjaar[[#This Row],[Boekjaar]]=Projectbegroting!$K$1,report_B_CategorieBoekjaar[[#This Row],[CategorieCode]],0),0)</f>
        <v>0</v>
      </c>
      <c r="I14" t="str">
        <f>IF(report_B_CategorieBoekjaar[[#This Row],[BedrijfsCode]]="001",IF(report_B_CategorieBoekjaar[[#This Row],[Boekjaar]]=Projectbegroting!$K$1,report_B_CategorieBoekjaar[[#This Row],[CategorieCode]],0),0)</f>
        <v>563</v>
      </c>
    </row>
    <row r="15" spans="1:9" x14ac:dyDescent="0.3">
      <c r="A15" t="s">
        <v>330</v>
      </c>
      <c r="B15" s="20">
        <v>46023</v>
      </c>
      <c r="C15" t="s">
        <v>192</v>
      </c>
      <c r="D15" t="s">
        <v>344</v>
      </c>
      <c r="E15" t="s">
        <v>217</v>
      </c>
      <c r="F15">
        <v>0</v>
      </c>
      <c r="G15">
        <v>0</v>
      </c>
      <c r="H15">
        <f>IF(report_B_CategorieBoekjaar[[#This Row],[BedrijfsCode]]="002",IF(report_B_CategorieBoekjaar[[#This Row],[Boekjaar]]=Projectbegroting!$K$1,report_B_CategorieBoekjaar[[#This Row],[CategorieCode]],0),0)</f>
        <v>0</v>
      </c>
      <c r="I15" t="str">
        <f>IF(report_B_CategorieBoekjaar[[#This Row],[BedrijfsCode]]="001",IF(report_B_CategorieBoekjaar[[#This Row],[Boekjaar]]=Projectbegroting!$K$1,report_B_CategorieBoekjaar[[#This Row],[CategorieCode]],0),0)</f>
        <v>566</v>
      </c>
    </row>
    <row r="16" spans="1:9" x14ac:dyDescent="0.3">
      <c r="A16" t="s">
        <v>330</v>
      </c>
      <c r="B16" s="20">
        <v>46023</v>
      </c>
      <c r="C16" t="s">
        <v>193</v>
      </c>
      <c r="D16" t="s">
        <v>345</v>
      </c>
      <c r="E16" t="s">
        <v>217</v>
      </c>
      <c r="F16">
        <v>0</v>
      </c>
      <c r="G16">
        <v>0</v>
      </c>
      <c r="H16">
        <f>IF(report_B_CategorieBoekjaar[[#This Row],[BedrijfsCode]]="002",IF(report_B_CategorieBoekjaar[[#This Row],[Boekjaar]]=Projectbegroting!$K$1,report_B_CategorieBoekjaar[[#This Row],[CategorieCode]],0),0)</f>
        <v>0</v>
      </c>
      <c r="I16" t="str">
        <f>IF(report_B_CategorieBoekjaar[[#This Row],[BedrijfsCode]]="001",IF(report_B_CategorieBoekjaar[[#This Row],[Boekjaar]]=Projectbegroting!$K$1,report_B_CategorieBoekjaar[[#This Row],[CategorieCode]],0),0)</f>
        <v>567</v>
      </c>
    </row>
    <row r="17" spans="1:9" x14ac:dyDescent="0.3">
      <c r="A17" t="s">
        <v>330</v>
      </c>
      <c r="B17" s="20">
        <v>46023</v>
      </c>
      <c r="C17" t="s">
        <v>194</v>
      </c>
      <c r="D17" t="s">
        <v>346</v>
      </c>
      <c r="E17" t="s">
        <v>217</v>
      </c>
      <c r="F17">
        <v>0</v>
      </c>
      <c r="G17">
        <v>0</v>
      </c>
      <c r="H17">
        <f>IF(report_B_CategorieBoekjaar[[#This Row],[BedrijfsCode]]="002",IF(report_B_CategorieBoekjaar[[#This Row],[Boekjaar]]=Projectbegroting!$K$1,report_B_CategorieBoekjaar[[#This Row],[CategorieCode]],0),0)</f>
        <v>0</v>
      </c>
      <c r="I17" t="str">
        <f>IF(report_B_CategorieBoekjaar[[#This Row],[BedrijfsCode]]="001",IF(report_B_CategorieBoekjaar[[#This Row],[Boekjaar]]=Projectbegroting!$K$1,report_B_CategorieBoekjaar[[#This Row],[CategorieCode]],0),0)</f>
        <v>568</v>
      </c>
    </row>
    <row r="18" spans="1:9" x14ac:dyDescent="0.3">
      <c r="A18" t="s">
        <v>330</v>
      </c>
      <c r="B18" s="20">
        <v>46023</v>
      </c>
      <c r="C18" t="s">
        <v>195</v>
      </c>
      <c r="D18" t="s">
        <v>347</v>
      </c>
      <c r="E18" t="s">
        <v>217</v>
      </c>
      <c r="F18">
        <v>0</v>
      </c>
      <c r="G18">
        <v>0</v>
      </c>
      <c r="H18">
        <f>IF(report_B_CategorieBoekjaar[[#This Row],[BedrijfsCode]]="002",IF(report_B_CategorieBoekjaar[[#This Row],[Boekjaar]]=Projectbegroting!$K$1,report_B_CategorieBoekjaar[[#This Row],[CategorieCode]],0),0)</f>
        <v>0</v>
      </c>
      <c r="I18" t="str">
        <f>IF(report_B_CategorieBoekjaar[[#This Row],[BedrijfsCode]]="001",IF(report_B_CategorieBoekjaar[[#This Row],[Boekjaar]]=Projectbegroting!$K$1,report_B_CategorieBoekjaar[[#This Row],[CategorieCode]],0),0)</f>
        <v>580</v>
      </c>
    </row>
    <row r="19" spans="1:9" x14ac:dyDescent="0.3">
      <c r="A19" t="s">
        <v>330</v>
      </c>
      <c r="B19" s="20">
        <v>46023</v>
      </c>
      <c r="C19" t="s">
        <v>196</v>
      </c>
      <c r="D19" t="s">
        <v>348</v>
      </c>
      <c r="E19" t="s">
        <v>217</v>
      </c>
      <c r="F19">
        <v>0</v>
      </c>
      <c r="G19">
        <v>0</v>
      </c>
      <c r="H19">
        <f>IF(report_B_CategorieBoekjaar[[#This Row],[BedrijfsCode]]="002",IF(report_B_CategorieBoekjaar[[#This Row],[Boekjaar]]=Projectbegroting!$K$1,report_B_CategorieBoekjaar[[#This Row],[CategorieCode]],0),0)</f>
        <v>0</v>
      </c>
      <c r="I19" t="str">
        <f>IF(report_B_CategorieBoekjaar[[#This Row],[BedrijfsCode]]="001",IF(report_B_CategorieBoekjaar[[#This Row],[Boekjaar]]=Projectbegroting!$K$1,report_B_CategorieBoekjaar[[#This Row],[CategorieCode]],0),0)</f>
        <v>582</v>
      </c>
    </row>
    <row r="20" spans="1:9" x14ac:dyDescent="0.3">
      <c r="A20" t="s">
        <v>330</v>
      </c>
      <c r="B20" s="20">
        <v>46023</v>
      </c>
      <c r="C20" t="s">
        <v>349</v>
      </c>
      <c r="D20" t="s">
        <v>350</v>
      </c>
      <c r="E20" t="s">
        <v>217</v>
      </c>
      <c r="F20">
        <v>0</v>
      </c>
      <c r="G20">
        <v>0</v>
      </c>
      <c r="H20">
        <f>IF(report_B_CategorieBoekjaar[[#This Row],[BedrijfsCode]]="002",IF(report_B_CategorieBoekjaar[[#This Row],[Boekjaar]]=Projectbegroting!$K$1,report_B_CategorieBoekjaar[[#This Row],[CategorieCode]],0),0)</f>
        <v>0</v>
      </c>
      <c r="I20" t="str">
        <f>IF(report_B_CategorieBoekjaar[[#This Row],[BedrijfsCode]]="001",IF(report_B_CategorieBoekjaar[[#This Row],[Boekjaar]]=Projectbegroting!$K$1,report_B_CategorieBoekjaar[[#This Row],[CategorieCode]],0),0)</f>
        <v>584</v>
      </c>
    </row>
    <row r="21" spans="1:9" x14ac:dyDescent="0.3">
      <c r="A21" t="s">
        <v>330</v>
      </c>
      <c r="B21" s="20">
        <v>46023</v>
      </c>
      <c r="C21" t="s">
        <v>197</v>
      </c>
      <c r="D21" t="s">
        <v>351</v>
      </c>
      <c r="E21" t="s">
        <v>217</v>
      </c>
      <c r="F21">
        <v>0</v>
      </c>
      <c r="G21">
        <v>0</v>
      </c>
      <c r="H21">
        <f>IF(report_B_CategorieBoekjaar[[#This Row],[BedrijfsCode]]="002",IF(report_B_CategorieBoekjaar[[#This Row],[Boekjaar]]=Projectbegroting!$K$1,report_B_CategorieBoekjaar[[#This Row],[CategorieCode]],0),0)</f>
        <v>0</v>
      </c>
      <c r="I21" t="str">
        <f>IF(report_B_CategorieBoekjaar[[#This Row],[BedrijfsCode]]="001",IF(report_B_CategorieBoekjaar[[#This Row],[Boekjaar]]=Projectbegroting!$K$1,report_B_CategorieBoekjaar[[#This Row],[CategorieCode]],0),0)</f>
        <v>585</v>
      </c>
    </row>
    <row r="22" spans="1:9" x14ac:dyDescent="0.3">
      <c r="A22" t="s">
        <v>330</v>
      </c>
      <c r="B22" s="20">
        <v>46023</v>
      </c>
      <c r="C22" t="s">
        <v>198</v>
      </c>
      <c r="D22" t="s">
        <v>352</v>
      </c>
      <c r="E22" t="s">
        <v>217</v>
      </c>
      <c r="F22">
        <v>0</v>
      </c>
      <c r="G22">
        <v>0</v>
      </c>
      <c r="H22">
        <f>IF(report_B_CategorieBoekjaar[[#This Row],[BedrijfsCode]]="002",IF(report_B_CategorieBoekjaar[[#This Row],[Boekjaar]]=Projectbegroting!$K$1,report_B_CategorieBoekjaar[[#This Row],[CategorieCode]],0),0)</f>
        <v>0</v>
      </c>
      <c r="I22" t="str">
        <f>IF(report_B_CategorieBoekjaar[[#This Row],[BedrijfsCode]]="001",IF(report_B_CategorieBoekjaar[[#This Row],[Boekjaar]]=Projectbegroting!$K$1,report_B_CategorieBoekjaar[[#This Row],[CategorieCode]],0),0)</f>
        <v>586</v>
      </c>
    </row>
    <row r="23" spans="1:9" x14ac:dyDescent="0.3">
      <c r="A23" t="s">
        <v>330</v>
      </c>
      <c r="B23" s="20">
        <v>46023</v>
      </c>
      <c r="C23" t="s">
        <v>353</v>
      </c>
      <c r="D23" t="s">
        <v>354</v>
      </c>
      <c r="E23" t="s">
        <v>217</v>
      </c>
      <c r="F23">
        <v>0</v>
      </c>
      <c r="G23">
        <v>0</v>
      </c>
      <c r="H23">
        <f>IF(report_B_CategorieBoekjaar[[#This Row],[BedrijfsCode]]="002",IF(report_B_CategorieBoekjaar[[#This Row],[Boekjaar]]=Projectbegroting!$K$1,report_B_CategorieBoekjaar[[#This Row],[CategorieCode]],0),0)</f>
        <v>0</v>
      </c>
      <c r="I23" t="str">
        <f>IF(report_B_CategorieBoekjaar[[#This Row],[BedrijfsCode]]="001",IF(report_B_CategorieBoekjaar[[#This Row],[Boekjaar]]=Projectbegroting!$K$1,report_B_CategorieBoekjaar[[#This Row],[CategorieCode]],0),0)</f>
        <v>590</v>
      </c>
    </row>
    <row r="24" spans="1:9" x14ac:dyDescent="0.3">
      <c r="A24" t="s">
        <v>330</v>
      </c>
      <c r="B24" s="20">
        <v>46023</v>
      </c>
      <c r="C24" t="s">
        <v>199</v>
      </c>
      <c r="D24" t="s">
        <v>355</v>
      </c>
      <c r="E24" t="s">
        <v>217</v>
      </c>
      <c r="F24">
        <v>0</v>
      </c>
      <c r="G24">
        <v>0</v>
      </c>
      <c r="H24">
        <f>IF(report_B_CategorieBoekjaar[[#This Row],[BedrijfsCode]]="002",IF(report_B_CategorieBoekjaar[[#This Row],[Boekjaar]]=Projectbegroting!$K$1,report_B_CategorieBoekjaar[[#This Row],[CategorieCode]],0),0)</f>
        <v>0</v>
      </c>
      <c r="I24" t="str">
        <f>IF(report_B_CategorieBoekjaar[[#This Row],[BedrijfsCode]]="001",IF(report_B_CategorieBoekjaar[[#This Row],[Boekjaar]]=Projectbegroting!$K$1,report_B_CategorieBoekjaar[[#This Row],[CategorieCode]],0),0)</f>
        <v>610</v>
      </c>
    </row>
    <row r="25" spans="1:9" x14ac:dyDescent="0.3">
      <c r="A25" t="s">
        <v>330</v>
      </c>
      <c r="B25" s="20">
        <v>46023</v>
      </c>
      <c r="C25" t="s">
        <v>200</v>
      </c>
      <c r="D25" t="s">
        <v>356</v>
      </c>
      <c r="E25" t="s">
        <v>217</v>
      </c>
      <c r="F25">
        <v>0</v>
      </c>
      <c r="G25">
        <v>0</v>
      </c>
      <c r="H25">
        <f>IF(report_B_CategorieBoekjaar[[#This Row],[BedrijfsCode]]="002",IF(report_B_CategorieBoekjaar[[#This Row],[Boekjaar]]=Projectbegroting!$K$1,report_B_CategorieBoekjaar[[#This Row],[CategorieCode]],0),0)</f>
        <v>0</v>
      </c>
      <c r="I25" t="str">
        <f>IF(report_B_CategorieBoekjaar[[#This Row],[BedrijfsCode]]="001",IF(report_B_CategorieBoekjaar[[#This Row],[Boekjaar]]=Projectbegroting!$K$1,report_B_CategorieBoekjaar[[#This Row],[CategorieCode]],0),0)</f>
        <v>630</v>
      </c>
    </row>
    <row r="26" spans="1:9" x14ac:dyDescent="0.3">
      <c r="A26" t="s">
        <v>330</v>
      </c>
      <c r="B26" s="20">
        <v>46023</v>
      </c>
      <c r="C26" t="s">
        <v>201</v>
      </c>
      <c r="D26" t="s">
        <v>357</v>
      </c>
      <c r="E26" t="s">
        <v>217</v>
      </c>
      <c r="F26">
        <v>0</v>
      </c>
      <c r="G26">
        <v>0</v>
      </c>
      <c r="H26">
        <f>IF(report_B_CategorieBoekjaar[[#This Row],[BedrijfsCode]]="002",IF(report_B_CategorieBoekjaar[[#This Row],[Boekjaar]]=Projectbegroting!$K$1,report_B_CategorieBoekjaar[[#This Row],[CategorieCode]],0),0)</f>
        <v>0</v>
      </c>
      <c r="I26" t="str">
        <f>IF(report_B_CategorieBoekjaar[[#This Row],[BedrijfsCode]]="001",IF(report_B_CategorieBoekjaar[[#This Row],[Boekjaar]]=Projectbegroting!$K$1,report_B_CategorieBoekjaar[[#This Row],[CategorieCode]],0),0)</f>
        <v>631</v>
      </c>
    </row>
    <row r="27" spans="1:9" x14ac:dyDescent="0.3">
      <c r="A27" t="s">
        <v>330</v>
      </c>
      <c r="B27" s="20">
        <v>46023</v>
      </c>
      <c r="C27" t="s">
        <v>202</v>
      </c>
      <c r="D27" t="s">
        <v>358</v>
      </c>
      <c r="E27" t="s">
        <v>217</v>
      </c>
      <c r="F27">
        <v>0</v>
      </c>
      <c r="G27">
        <v>0</v>
      </c>
      <c r="H27">
        <f>IF(report_B_CategorieBoekjaar[[#This Row],[BedrijfsCode]]="002",IF(report_B_CategorieBoekjaar[[#This Row],[Boekjaar]]=Projectbegroting!$K$1,report_B_CategorieBoekjaar[[#This Row],[CategorieCode]],0),0)</f>
        <v>0</v>
      </c>
      <c r="I27" t="str">
        <f>IF(report_B_CategorieBoekjaar[[#This Row],[BedrijfsCode]]="001",IF(report_B_CategorieBoekjaar[[#This Row],[Boekjaar]]=Projectbegroting!$K$1,report_B_CategorieBoekjaar[[#This Row],[CategorieCode]],0),0)</f>
        <v>640</v>
      </c>
    </row>
    <row r="28" spans="1:9" x14ac:dyDescent="0.3">
      <c r="A28" t="s">
        <v>330</v>
      </c>
      <c r="B28" s="20">
        <v>46023</v>
      </c>
      <c r="C28" t="s">
        <v>203</v>
      </c>
      <c r="D28" t="s">
        <v>359</v>
      </c>
      <c r="E28" t="s">
        <v>217</v>
      </c>
      <c r="F28">
        <v>0</v>
      </c>
      <c r="G28">
        <v>0</v>
      </c>
      <c r="H28">
        <f>IF(report_B_CategorieBoekjaar[[#This Row],[BedrijfsCode]]="002",IF(report_B_CategorieBoekjaar[[#This Row],[Boekjaar]]=Projectbegroting!$K$1,report_B_CategorieBoekjaar[[#This Row],[CategorieCode]],0),0)</f>
        <v>0</v>
      </c>
      <c r="I28" t="str">
        <f>IF(report_B_CategorieBoekjaar[[#This Row],[BedrijfsCode]]="001",IF(report_B_CategorieBoekjaar[[#This Row],[Boekjaar]]=Projectbegroting!$K$1,report_B_CategorieBoekjaar[[#This Row],[CategorieCode]],0),0)</f>
        <v>642</v>
      </c>
    </row>
    <row r="29" spans="1:9" x14ac:dyDescent="0.3">
      <c r="A29" t="s">
        <v>330</v>
      </c>
      <c r="B29" s="20">
        <v>46023</v>
      </c>
      <c r="C29" t="s">
        <v>204</v>
      </c>
      <c r="D29" t="s">
        <v>360</v>
      </c>
      <c r="E29" t="s">
        <v>217</v>
      </c>
      <c r="F29">
        <v>0</v>
      </c>
      <c r="G29">
        <v>0</v>
      </c>
      <c r="H29">
        <f>IF(report_B_CategorieBoekjaar[[#This Row],[BedrijfsCode]]="002",IF(report_B_CategorieBoekjaar[[#This Row],[Boekjaar]]=Projectbegroting!$K$1,report_B_CategorieBoekjaar[[#This Row],[CategorieCode]],0),0)</f>
        <v>0</v>
      </c>
      <c r="I29" t="str">
        <f>IF(report_B_CategorieBoekjaar[[#This Row],[BedrijfsCode]]="001",IF(report_B_CategorieBoekjaar[[#This Row],[Boekjaar]]=Projectbegroting!$K$1,report_B_CategorieBoekjaar[[#This Row],[CategorieCode]],0),0)</f>
        <v>670</v>
      </c>
    </row>
    <row r="30" spans="1:9" x14ac:dyDescent="0.3">
      <c r="A30" t="s">
        <v>330</v>
      </c>
      <c r="B30" s="20">
        <v>46023</v>
      </c>
      <c r="C30" t="s">
        <v>205</v>
      </c>
      <c r="D30" t="s">
        <v>361</v>
      </c>
      <c r="E30" t="s">
        <v>217</v>
      </c>
      <c r="F30">
        <v>0</v>
      </c>
      <c r="G30">
        <v>0</v>
      </c>
      <c r="H30">
        <f>IF(report_B_CategorieBoekjaar[[#This Row],[BedrijfsCode]]="002",IF(report_B_CategorieBoekjaar[[#This Row],[Boekjaar]]=Projectbegroting!$K$1,report_B_CategorieBoekjaar[[#This Row],[CategorieCode]],0),0)</f>
        <v>0</v>
      </c>
      <c r="I30" t="str">
        <f>IF(report_B_CategorieBoekjaar[[#This Row],[BedrijfsCode]]="001",IF(report_B_CategorieBoekjaar[[#This Row],[Boekjaar]]=Projectbegroting!$K$1,report_B_CategorieBoekjaar[[#This Row],[CategorieCode]],0),0)</f>
        <v>671</v>
      </c>
    </row>
    <row r="31" spans="1:9" x14ac:dyDescent="0.3">
      <c r="A31" t="s">
        <v>330</v>
      </c>
      <c r="B31" s="20">
        <v>46023</v>
      </c>
      <c r="C31" t="s">
        <v>206</v>
      </c>
      <c r="D31" t="s">
        <v>362</v>
      </c>
      <c r="E31" t="s">
        <v>217</v>
      </c>
      <c r="F31">
        <v>0</v>
      </c>
      <c r="G31">
        <v>0</v>
      </c>
      <c r="H31">
        <f>IF(report_B_CategorieBoekjaar[[#This Row],[BedrijfsCode]]="002",IF(report_B_CategorieBoekjaar[[#This Row],[Boekjaar]]=Projectbegroting!$K$1,report_B_CategorieBoekjaar[[#This Row],[CategorieCode]],0),0)</f>
        <v>0</v>
      </c>
      <c r="I31" t="str">
        <f>IF(report_B_CategorieBoekjaar[[#This Row],[BedrijfsCode]]="001",IF(report_B_CategorieBoekjaar[[#This Row],[Boekjaar]]=Projectbegroting!$K$1,report_B_CategorieBoekjaar[[#This Row],[CategorieCode]],0),0)</f>
        <v>690</v>
      </c>
    </row>
    <row r="32" spans="1:9" x14ac:dyDescent="0.3">
      <c r="A32" t="s">
        <v>330</v>
      </c>
      <c r="B32" s="20">
        <v>46023</v>
      </c>
      <c r="C32" t="s">
        <v>363</v>
      </c>
      <c r="D32" t="s">
        <v>364</v>
      </c>
      <c r="E32" t="s">
        <v>217</v>
      </c>
      <c r="F32">
        <v>0</v>
      </c>
      <c r="G32">
        <v>0</v>
      </c>
      <c r="H32">
        <f>IF(report_B_CategorieBoekjaar[[#This Row],[BedrijfsCode]]="002",IF(report_B_CategorieBoekjaar[[#This Row],[Boekjaar]]=Projectbegroting!$K$1,report_B_CategorieBoekjaar[[#This Row],[CategorieCode]],0),0)</f>
        <v>0</v>
      </c>
      <c r="I32" t="str">
        <f>IF(report_B_CategorieBoekjaar[[#This Row],[BedrijfsCode]]="001",IF(report_B_CategorieBoekjaar[[#This Row],[Boekjaar]]=Projectbegroting!$K$1,report_B_CategorieBoekjaar[[#This Row],[CategorieCode]],0),0)</f>
        <v>691</v>
      </c>
    </row>
    <row r="33" spans="1:9" x14ac:dyDescent="0.3">
      <c r="A33" t="s">
        <v>330</v>
      </c>
      <c r="B33" s="20">
        <v>46023</v>
      </c>
      <c r="C33" t="s">
        <v>207</v>
      </c>
      <c r="D33" t="s">
        <v>365</v>
      </c>
      <c r="E33" t="s">
        <v>217</v>
      </c>
      <c r="F33">
        <v>0</v>
      </c>
      <c r="G33">
        <v>0</v>
      </c>
      <c r="H33">
        <f>IF(report_B_CategorieBoekjaar[[#This Row],[BedrijfsCode]]="002",IF(report_B_CategorieBoekjaar[[#This Row],[Boekjaar]]=Projectbegroting!$K$1,report_B_CategorieBoekjaar[[#This Row],[CategorieCode]],0),0)</f>
        <v>0</v>
      </c>
      <c r="I33" t="str">
        <f>IF(report_B_CategorieBoekjaar[[#This Row],[BedrijfsCode]]="001",IF(report_B_CategorieBoekjaar[[#This Row],[Boekjaar]]=Projectbegroting!$K$1,report_B_CategorieBoekjaar[[#This Row],[CategorieCode]],0),0)</f>
        <v>710</v>
      </c>
    </row>
    <row r="34" spans="1:9" x14ac:dyDescent="0.3">
      <c r="A34" t="s">
        <v>330</v>
      </c>
      <c r="B34" s="20">
        <v>46023</v>
      </c>
      <c r="C34" t="s">
        <v>208</v>
      </c>
      <c r="D34" t="s">
        <v>366</v>
      </c>
      <c r="E34" t="s">
        <v>217</v>
      </c>
      <c r="F34">
        <v>0</v>
      </c>
      <c r="G34">
        <v>0</v>
      </c>
      <c r="H34">
        <f>IF(report_B_CategorieBoekjaar[[#This Row],[BedrijfsCode]]="002",IF(report_B_CategorieBoekjaar[[#This Row],[Boekjaar]]=Projectbegroting!$K$1,report_B_CategorieBoekjaar[[#This Row],[CategorieCode]],0),0)</f>
        <v>0</v>
      </c>
      <c r="I34" t="str">
        <f>IF(report_B_CategorieBoekjaar[[#This Row],[BedrijfsCode]]="001",IF(report_B_CategorieBoekjaar[[#This Row],[Boekjaar]]=Projectbegroting!$K$1,report_B_CategorieBoekjaar[[#This Row],[CategorieCode]],0),0)</f>
        <v>720</v>
      </c>
    </row>
    <row r="35" spans="1:9" x14ac:dyDescent="0.3">
      <c r="A35" t="s">
        <v>330</v>
      </c>
      <c r="B35" s="20">
        <v>46023</v>
      </c>
      <c r="C35" t="s">
        <v>209</v>
      </c>
      <c r="D35" t="s">
        <v>367</v>
      </c>
      <c r="E35" t="s">
        <v>217</v>
      </c>
      <c r="F35">
        <v>0</v>
      </c>
      <c r="G35">
        <v>0</v>
      </c>
      <c r="H35">
        <f>IF(report_B_CategorieBoekjaar[[#This Row],[BedrijfsCode]]="002",IF(report_B_CategorieBoekjaar[[#This Row],[Boekjaar]]=Projectbegroting!$K$1,report_B_CategorieBoekjaar[[#This Row],[CategorieCode]],0),0)</f>
        <v>0</v>
      </c>
      <c r="I35" t="str">
        <f>IF(report_B_CategorieBoekjaar[[#This Row],[BedrijfsCode]]="001",IF(report_B_CategorieBoekjaar[[#This Row],[Boekjaar]]=Projectbegroting!$K$1,report_B_CategorieBoekjaar[[#This Row],[CategorieCode]],0),0)</f>
        <v>730</v>
      </c>
    </row>
    <row r="36" spans="1:9" x14ac:dyDescent="0.3">
      <c r="A36" t="s">
        <v>330</v>
      </c>
      <c r="B36" s="20">
        <v>46023</v>
      </c>
      <c r="C36" t="s">
        <v>210</v>
      </c>
      <c r="D36" t="s">
        <v>368</v>
      </c>
      <c r="E36" t="s">
        <v>217</v>
      </c>
      <c r="F36">
        <v>0</v>
      </c>
      <c r="G36">
        <v>0</v>
      </c>
      <c r="H36">
        <f>IF(report_B_CategorieBoekjaar[[#This Row],[BedrijfsCode]]="002",IF(report_B_CategorieBoekjaar[[#This Row],[Boekjaar]]=Projectbegroting!$K$1,report_B_CategorieBoekjaar[[#This Row],[CategorieCode]],0),0)</f>
        <v>0</v>
      </c>
      <c r="I36" t="str">
        <f>IF(report_B_CategorieBoekjaar[[#This Row],[BedrijfsCode]]="001",IF(report_B_CategorieBoekjaar[[#This Row],[Boekjaar]]=Projectbegroting!$K$1,report_B_CategorieBoekjaar[[#This Row],[CategorieCode]],0),0)</f>
        <v>740</v>
      </c>
    </row>
    <row r="37" spans="1:9" x14ac:dyDescent="0.3">
      <c r="A37" t="s">
        <v>330</v>
      </c>
      <c r="B37" s="20">
        <v>46023</v>
      </c>
      <c r="C37" t="s">
        <v>369</v>
      </c>
      <c r="D37" t="s">
        <v>370</v>
      </c>
      <c r="E37" t="s">
        <v>217</v>
      </c>
      <c r="F37">
        <v>0</v>
      </c>
      <c r="G37">
        <v>0</v>
      </c>
      <c r="H37">
        <f>IF(report_B_CategorieBoekjaar[[#This Row],[BedrijfsCode]]="002",IF(report_B_CategorieBoekjaar[[#This Row],[Boekjaar]]=Projectbegroting!$K$1,report_B_CategorieBoekjaar[[#This Row],[CategorieCode]],0),0)</f>
        <v>0</v>
      </c>
      <c r="I37" t="str">
        <f>IF(report_B_CategorieBoekjaar[[#This Row],[BedrijfsCode]]="001",IF(report_B_CategorieBoekjaar[[#This Row],[Boekjaar]]=Projectbegroting!$K$1,report_B_CategorieBoekjaar[[#This Row],[CategorieCode]],0),0)</f>
        <v>750</v>
      </c>
    </row>
    <row r="38" spans="1:9" x14ac:dyDescent="0.3">
      <c r="A38" t="s">
        <v>330</v>
      </c>
      <c r="B38" s="20">
        <v>46023</v>
      </c>
      <c r="C38" t="s">
        <v>371</v>
      </c>
      <c r="D38" t="s">
        <v>372</v>
      </c>
      <c r="E38" t="s">
        <v>217</v>
      </c>
      <c r="F38">
        <v>0</v>
      </c>
      <c r="G38">
        <v>0</v>
      </c>
      <c r="H38">
        <f>IF(report_B_CategorieBoekjaar[[#This Row],[BedrijfsCode]]="002",IF(report_B_CategorieBoekjaar[[#This Row],[Boekjaar]]=Projectbegroting!$K$1,report_B_CategorieBoekjaar[[#This Row],[CategorieCode]],0),0)</f>
        <v>0</v>
      </c>
      <c r="I38" t="str">
        <f>IF(report_B_CategorieBoekjaar[[#This Row],[BedrijfsCode]]="001",IF(report_B_CategorieBoekjaar[[#This Row],[Boekjaar]]=Projectbegroting!$K$1,report_B_CategorieBoekjaar[[#This Row],[CategorieCode]],0),0)</f>
        <v>841</v>
      </c>
    </row>
    <row r="39" spans="1:9" x14ac:dyDescent="0.3">
      <c r="A39" t="s">
        <v>330</v>
      </c>
      <c r="B39" s="20">
        <v>46023</v>
      </c>
      <c r="C39" t="s">
        <v>373</v>
      </c>
      <c r="D39" t="s">
        <v>374</v>
      </c>
      <c r="E39" t="s">
        <v>217</v>
      </c>
      <c r="F39">
        <v>0</v>
      </c>
      <c r="G39">
        <v>0</v>
      </c>
      <c r="H39">
        <f>IF(report_B_CategorieBoekjaar[[#This Row],[BedrijfsCode]]="002",IF(report_B_CategorieBoekjaar[[#This Row],[Boekjaar]]=Projectbegroting!$K$1,report_B_CategorieBoekjaar[[#This Row],[CategorieCode]],0),0)</f>
        <v>0</v>
      </c>
      <c r="I39" t="str">
        <f>IF(report_B_CategorieBoekjaar[[#This Row],[BedrijfsCode]]="001",IF(report_B_CategorieBoekjaar[[#This Row],[Boekjaar]]=Projectbegroting!$K$1,report_B_CategorieBoekjaar[[#This Row],[CategorieCode]],0),0)</f>
        <v>843</v>
      </c>
    </row>
    <row r="40" spans="1:9" x14ac:dyDescent="0.3">
      <c r="A40" t="s">
        <v>330</v>
      </c>
      <c r="B40" s="20">
        <v>46023</v>
      </c>
      <c r="C40" t="s">
        <v>375</v>
      </c>
      <c r="D40" t="s">
        <v>376</v>
      </c>
      <c r="E40" t="s">
        <v>217</v>
      </c>
      <c r="F40">
        <v>0</v>
      </c>
      <c r="G40">
        <v>0</v>
      </c>
      <c r="H40">
        <f>IF(report_B_CategorieBoekjaar[[#This Row],[BedrijfsCode]]="002",IF(report_B_CategorieBoekjaar[[#This Row],[Boekjaar]]=Projectbegroting!$K$1,report_B_CategorieBoekjaar[[#This Row],[CategorieCode]],0),0)</f>
        <v>0</v>
      </c>
      <c r="I40" t="str">
        <f>IF(report_B_CategorieBoekjaar[[#This Row],[BedrijfsCode]]="001",IF(report_B_CategorieBoekjaar[[#This Row],[Boekjaar]]=Projectbegroting!$K$1,report_B_CategorieBoekjaar[[#This Row],[CategorieCode]],0),0)</f>
        <v>845</v>
      </c>
    </row>
    <row r="41" spans="1:9" x14ac:dyDescent="0.3">
      <c r="A41" t="s">
        <v>330</v>
      </c>
      <c r="B41" s="20">
        <v>46023</v>
      </c>
      <c r="C41" t="s">
        <v>377</v>
      </c>
      <c r="D41" t="s">
        <v>378</v>
      </c>
      <c r="E41" t="s">
        <v>217</v>
      </c>
      <c r="F41">
        <v>0</v>
      </c>
      <c r="G41">
        <v>0</v>
      </c>
      <c r="H41">
        <f>IF(report_B_CategorieBoekjaar[[#This Row],[BedrijfsCode]]="002",IF(report_B_CategorieBoekjaar[[#This Row],[Boekjaar]]=Projectbegroting!$K$1,report_B_CategorieBoekjaar[[#This Row],[CategorieCode]],0),0)</f>
        <v>0</v>
      </c>
      <c r="I41" t="str">
        <f>IF(report_B_CategorieBoekjaar[[#This Row],[BedrijfsCode]]="001",IF(report_B_CategorieBoekjaar[[#This Row],[Boekjaar]]=Projectbegroting!$K$1,report_B_CategorieBoekjaar[[#This Row],[CategorieCode]],0),0)</f>
        <v>849</v>
      </c>
    </row>
    <row r="42" spans="1:9" x14ac:dyDescent="0.3">
      <c r="A42" t="s">
        <v>330</v>
      </c>
      <c r="B42" s="20">
        <v>46023</v>
      </c>
      <c r="C42" t="s">
        <v>379</v>
      </c>
      <c r="D42" t="s">
        <v>380</v>
      </c>
      <c r="E42" t="s">
        <v>381</v>
      </c>
      <c r="F42">
        <v>55</v>
      </c>
      <c r="G42">
        <v>87</v>
      </c>
      <c r="H42">
        <f>IF(report_B_CategorieBoekjaar[[#This Row],[BedrijfsCode]]="002",IF(report_B_CategorieBoekjaar[[#This Row],[Boekjaar]]=Projectbegroting!$K$1,report_B_CategorieBoekjaar[[#This Row],[CategorieCode]],0),0)</f>
        <v>0</v>
      </c>
      <c r="I42" t="str">
        <f>IF(report_B_CategorieBoekjaar[[#This Row],[BedrijfsCode]]="001",IF(report_B_CategorieBoekjaar[[#This Row],[Boekjaar]]=Projectbegroting!$K$1,report_B_CategorieBoekjaar[[#This Row],[CategorieCode]],0),0)</f>
        <v>ADM</v>
      </c>
    </row>
    <row r="43" spans="1:9" x14ac:dyDescent="0.3">
      <c r="A43" t="s">
        <v>330</v>
      </c>
      <c r="B43" s="20">
        <v>46023</v>
      </c>
      <c r="C43" t="s">
        <v>382</v>
      </c>
      <c r="D43" t="s">
        <v>383</v>
      </c>
      <c r="E43" t="s">
        <v>384</v>
      </c>
      <c r="F43">
        <v>110</v>
      </c>
      <c r="G43">
        <v>0</v>
      </c>
      <c r="H43">
        <f>IF(report_B_CategorieBoekjaar[[#This Row],[BedrijfsCode]]="002",IF(report_B_CategorieBoekjaar[[#This Row],[Boekjaar]]=Projectbegroting!$K$1,report_B_CategorieBoekjaar[[#This Row],[CategorieCode]],0),0)</f>
        <v>0</v>
      </c>
      <c r="I43" t="str">
        <f>IF(report_B_CategorieBoekjaar[[#This Row],[BedrijfsCode]]="001",IF(report_B_CategorieBoekjaar[[#This Row],[Boekjaar]]=Projectbegroting!$K$1,report_B_CategorieBoekjaar[[#This Row],[CategorieCode]],0),0)</f>
        <v>ADM-I</v>
      </c>
    </row>
    <row r="44" spans="1:9" x14ac:dyDescent="0.3">
      <c r="A44" t="s">
        <v>330</v>
      </c>
      <c r="B44" s="20">
        <v>46023</v>
      </c>
      <c r="C44" t="s">
        <v>385</v>
      </c>
      <c r="D44" t="s">
        <v>386</v>
      </c>
      <c r="E44" t="s">
        <v>381</v>
      </c>
      <c r="F44">
        <v>82</v>
      </c>
      <c r="G44">
        <v>114</v>
      </c>
      <c r="H44">
        <f>IF(report_B_CategorieBoekjaar[[#This Row],[BedrijfsCode]]="002",IF(report_B_CategorieBoekjaar[[#This Row],[Boekjaar]]=Projectbegroting!$K$1,report_B_CategorieBoekjaar[[#This Row],[CategorieCode]],0),0)</f>
        <v>0</v>
      </c>
      <c r="I44" t="str">
        <f>IF(report_B_CategorieBoekjaar[[#This Row],[BedrijfsCode]]="001",IF(report_B_CategorieBoekjaar[[#This Row],[Boekjaar]]=Projectbegroting!$K$1,report_B_CategorieBoekjaar[[#This Row],[CategorieCode]],0),0)</f>
        <v>ADV</v>
      </c>
    </row>
    <row r="45" spans="1:9" x14ac:dyDescent="0.3">
      <c r="A45" t="s">
        <v>330</v>
      </c>
      <c r="B45" s="20">
        <v>46023</v>
      </c>
      <c r="C45" t="s">
        <v>387</v>
      </c>
      <c r="D45" t="s">
        <v>388</v>
      </c>
      <c r="E45" t="s">
        <v>384</v>
      </c>
      <c r="F45">
        <v>137</v>
      </c>
      <c r="G45">
        <v>0</v>
      </c>
      <c r="H45">
        <f>IF(report_B_CategorieBoekjaar[[#This Row],[BedrijfsCode]]="002",IF(report_B_CategorieBoekjaar[[#This Row],[Boekjaar]]=Projectbegroting!$K$1,report_B_CategorieBoekjaar[[#This Row],[CategorieCode]],0),0)</f>
        <v>0</v>
      </c>
      <c r="I45" t="str">
        <f>IF(report_B_CategorieBoekjaar[[#This Row],[BedrijfsCode]]="001",IF(report_B_CategorieBoekjaar[[#This Row],[Boekjaar]]=Projectbegroting!$K$1,report_B_CategorieBoekjaar[[#This Row],[CategorieCode]],0),0)</f>
        <v>ADV-I</v>
      </c>
    </row>
    <row r="46" spans="1:9" x14ac:dyDescent="0.3">
      <c r="A46" t="s">
        <v>330</v>
      </c>
      <c r="B46" s="20">
        <v>46023</v>
      </c>
      <c r="C46" t="s">
        <v>52</v>
      </c>
      <c r="D46" t="s">
        <v>53</v>
      </c>
      <c r="E46" t="s">
        <v>381</v>
      </c>
      <c r="F46">
        <v>81</v>
      </c>
      <c r="G46">
        <v>113</v>
      </c>
      <c r="H46">
        <f>IF(report_B_CategorieBoekjaar[[#This Row],[BedrijfsCode]]="002",IF(report_B_CategorieBoekjaar[[#This Row],[Boekjaar]]=Projectbegroting!$K$1,report_B_CategorieBoekjaar[[#This Row],[CategorieCode]],0),0)</f>
        <v>0</v>
      </c>
      <c r="I46" t="str">
        <f>IF(report_B_CategorieBoekjaar[[#This Row],[BedrijfsCode]]="001",IF(report_B_CategorieBoekjaar[[#This Row],[Boekjaar]]=Projectbegroting!$K$1,report_B_CategorieBoekjaar[[#This Row],[CategorieCode]],0),0)</f>
        <v>AM</v>
      </c>
    </row>
    <row r="47" spans="1:9" x14ac:dyDescent="0.3">
      <c r="A47" t="s">
        <v>330</v>
      </c>
      <c r="B47" s="20">
        <v>46023</v>
      </c>
      <c r="C47" t="s">
        <v>389</v>
      </c>
      <c r="D47" t="s">
        <v>390</v>
      </c>
      <c r="E47" t="s">
        <v>384</v>
      </c>
      <c r="F47">
        <v>136</v>
      </c>
      <c r="G47">
        <v>0</v>
      </c>
      <c r="H47">
        <f>IF(report_B_CategorieBoekjaar[[#This Row],[BedrijfsCode]]="002",IF(report_B_CategorieBoekjaar[[#This Row],[Boekjaar]]=Projectbegroting!$K$1,report_B_CategorieBoekjaar[[#This Row],[CategorieCode]],0),0)</f>
        <v>0</v>
      </c>
      <c r="I47" t="str">
        <f>IF(report_B_CategorieBoekjaar[[#This Row],[BedrijfsCode]]="001",IF(report_B_CategorieBoekjaar[[#This Row],[Boekjaar]]=Projectbegroting!$K$1,report_B_CategorieBoekjaar[[#This Row],[CategorieCode]],0),0)</f>
        <v>AM-I</v>
      </c>
    </row>
    <row r="48" spans="1:9" x14ac:dyDescent="0.3">
      <c r="A48" t="s">
        <v>330</v>
      </c>
      <c r="B48" s="20">
        <v>46023</v>
      </c>
      <c r="C48" t="s">
        <v>391</v>
      </c>
      <c r="D48" t="s">
        <v>392</v>
      </c>
      <c r="E48" t="s">
        <v>381</v>
      </c>
      <c r="F48">
        <v>67</v>
      </c>
      <c r="G48">
        <v>99</v>
      </c>
      <c r="H48">
        <f>IF(report_B_CategorieBoekjaar[[#This Row],[BedrijfsCode]]="002",IF(report_B_CategorieBoekjaar[[#This Row],[Boekjaar]]=Projectbegroting!$K$1,report_B_CategorieBoekjaar[[#This Row],[CategorieCode]],0),0)</f>
        <v>0</v>
      </c>
      <c r="I48" t="str">
        <f>IF(report_B_CategorieBoekjaar[[#This Row],[BedrijfsCode]]="001",IF(report_B_CategorieBoekjaar[[#This Row],[Boekjaar]]=Projectbegroting!$K$1,report_B_CategorieBoekjaar[[#This Row],[CategorieCode]],0),0)</f>
        <v>AN</v>
      </c>
    </row>
    <row r="49" spans="1:9" x14ac:dyDescent="0.3">
      <c r="A49" t="s">
        <v>330</v>
      </c>
      <c r="B49" s="20">
        <v>46023</v>
      </c>
      <c r="C49" t="s">
        <v>393</v>
      </c>
      <c r="D49" t="s">
        <v>394</v>
      </c>
      <c r="E49" t="s">
        <v>384</v>
      </c>
      <c r="F49">
        <v>122</v>
      </c>
      <c r="G49">
        <v>0</v>
      </c>
      <c r="H49">
        <f>IF(report_B_CategorieBoekjaar[[#This Row],[BedrijfsCode]]="002",IF(report_B_CategorieBoekjaar[[#This Row],[Boekjaar]]=Projectbegroting!$K$1,report_B_CategorieBoekjaar[[#This Row],[CategorieCode]],0),0)</f>
        <v>0</v>
      </c>
      <c r="I49" t="str">
        <f>IF(report_B_CategorieBoekjaar[[#This Row],[BedrijfsCode]]="001",IF(report_B_CategorieBoekjaar[[#This Row],[Boekjaar]]=Projectbegroting!$K$1,report_B_CategorieBoekjaar[[#This Row],[CategorieCode]],0),0)</f>
        <v>AN-I</v>
      </c>
    </row>
    <row r="50" spans="1:9" x14ac:dyDescent="0.3">
      <c r="A50" t="s">
        <v>330</v>
      </c>
      <c r="B50" s="20">
        <v>46023</v>
      </c>
      <c r="C50" t="s">
        <v>395</v>
      </c>
      <c r="D50" t="s">
        <v>396</v>
      </c>
      <c r="E50" t="s">
        <v>381</v>
      </c>
      <c r="F50">
        <v>54</v>
      </c>
      <c r="G50">
        <v>0</v>
      </c>
      <c r="H50">
        <f>IF(report_B_CategorieBoekjaar[[#This Row],[BedrijfsCode]]="002",IF(report_B_CategorieBoekjaar[[#This Row],[Boekjaar]]=Projectbegroting!$K$1,report_B_CategorieBoekjaar[[#This Row],[CategorieCode]],0),0)</f>
        <v>0</v>
      </c>
      <c r="I50" t="str">
        <f>IF(report_B_CategorieBoekjaar[[#This Row],[BedrijfsCode]]="001",IF(report_B_CategorieBoekjaar[[#This Row],[Boekjaar]]=Projectbegroting!$K$1,report_B_CategorieBoekjaar[[#This Row],[CategorieCode]],0),0)</f>
        <v>BM</v>
      </c>
    </row>
    <row r="51" spans="1:9" x14ac:dyDescent="0.3">
      <c r="A51" t="s">
        <v>330</v>
      </c>
      <c r="B51" s="20">
        <v>46023</v>
      </c>
      <c r="C51" t="s">
        <v>397</v>
      </c>
      <c r="D51" t="s">
        <v>398</v>
      </c>
      <c r="E51" t="s">
        <v>384</v>
      </c>
      <c r="F51">
        <v>0</v>
      </c>
      <c r="G51">
        <v>0</v>
      </c>
      <c r="H51">
        <f>IF(report_B_CategorieBoekjaar[[#This Row],[BedrijfsCode]]="002",IF(report_B_CategorieBoekjaar[[#This Row],[Boekjaar]]=Projectbegroting!$K$1,report_B_CategorieBoekjaar[[#This Row],[CategorieCode]],0),0)</f>
        <v>0</v>
      </c>
      <c r="I51" t="str">
        <f>IF(report_B_CategorieBoekjaar[[#This Row],[BedrijfsCode]]="001",IF(report_B_CategorieBoekjaar[[#This Row],[Boekjaar]]=Projectbegroting!$K$1,report_B_CategorieBoekjaar[[#This Row],[CategorieCode]],0),0)</f>
        <v>BM-I</v>
      </c>
    </row>
    <row r="52" spans="1:9" x14ac:dyDescent="0.3">
      <c r="A52" t="s">
        <v>330</v>
      </c>
      <c r="B52" s="20">
        <v>46023</v>
      </c>
      <c r="C52" t="s">
        <v>54</v>
      </c>
      <c r="D52" t="s">
        <v>399</v>
      </c>
      <c r="E52" t="s">
        <v>381</v>
      </c>
      <c r="F52">
        <v>64</v>
      </c>
      <c r="G52">
        <v>96</v>
      </c>
      <c r="H52">
        <f>IF(report_B_CategorieBoekjaar[[#This Row],[BedrijfsCode]]="002",IF(report_B_CategorieBoekjaar[[#This Row],[Boekjaar]]=Projectbegroting!$K$1,report_B_CategorieBoekjaar[[#This Row],[CategorieCode]],0),0)</f>
        <v>0</v>
      </c>
      <c r="I52" t="str">
        <f>IF(report_B_CategorieBoekjaar[[#This Row],[BedrijfsCode]]="001",IF(report_B_CategorieBoekjaar[[#This Row],[Boekjaar]]=Projectbegroting!$K$1,report_B_CategorieBoekjaar[[#This Row],[CategorieCode]],0),0)</f>
        <v>BU</v>
      </c>
    </row>
    <row r="53" spans="1:9" x14ac:dyDescent="0.3">
      <c r="A53" t="s">
        <v>330</v>
      </c>
      <c r="B53" s="20">
        <v>46023</v>
      </c>
      <c r="C53" t="s">
        <v>400</v>
      </c>
      <c r="D53" t="s">
        <v>401</v>
      </c>
      <c r="E53" t="s">
        <v>384</v>
      </c>
      <c r="F53">
        <v>119</v>
      </c>
      <c r="G53">
        <v>0</v>
      </c>
      <c r="H53">
        <f>IF(report_B_CategorieBoekjaar[[#This Row],[BedrijfsCode]]="002",IF(report_B_CategorieBoekjaar[[#This Row],[Boekjaar]]=Projectbegroting!$K$1,report_B_CategorieBoekjaar[[#This Row],[CategorieCode]],0),0)</f>
        <v>0</v>
      </c>
      <c r="I53" t="str">
        <f>IF(report_B_CategorieBoekjaar[[#This Row],[BedrijfsCode]]="001",IF(report_B_CategorieBoekjaar[[#This Row],[Boekjaar]]=Projectbegroting!$K$1,report_B_CategorieBoekjaar[[#This Row],[CategorieCode]],0),0)</f>
        <v>BU-I</v>
      </c>
    </row>
    <row r="54" spans="1:9" x14ac:dyDescent="0.3">
      <c r="A54" t="s">
        <v>330</v>
      </c>
      <c r="B54" s="20">
        <v>46023</v>
      </c>
      <c r="C54" t="s">
        <v>56</v>
      </c>
      <c r="D54" t="s">
        <v>402</v>
      </c>
      <c r="E54" t="s">
        <v>381</v>
      </c>
      <c r="F54">
        <v>80</v>
      </c>
      <c r="G54">
        <v>112</v>
      </c>
      <c r="H54">
        <f>IF(report_B_CategorieBoekjaar[[#This Row],[BedrijfsCode]]="002",IF(report_B_CategorieBoekjaar[[#This Row],[Boekjaar]]=Projectbegroting!$K$1,report_B_CategorieBoekjaar[[#This Row],[CategorieCode]],0),0)</f>
        <v>0</v>
      </c>
      <c r="I54" t="str">
        <f>IF(report_B_CategorieBoekjaar[[#This Row],[BedrijfsCode]]="001",IF(report_B_CategorieBoekjaar[[#This Row],[Boekjaar]]=Projectbegroting!$K$1,report_B_CategorieBoekjaar[[#This Row],[CategorieCode]],0),0)</f>
        <v>CM</v>
      </c>
    </row>
    <row r="55" spans="1:9" x14ac:dyDescent="0.3">
      <c r="A55" t="s">
        <v>330</v>
      </c>
      <c r="B55" s="20">
        <v>46023</v>
      </c>
      <c r="C55" t="s">
        <v>403</v>
      </c>
      <c r="D55" t="s">
        <v>404</v>
      </c>
      <c r="E55" t="s">
        <v>384</v>
      </c>
      <c r="F55">
        <v>135</v>
      </c>
      <c r="G55">
        <v>0</v>
      </c>
      <c r="H55">
        <f>IF(report_B_CategorieBoekjaar[[#This Row],[BedrijfsCode]]="002",IF(report_B_CategorieBoekjaar[[#This Row],[Boekjaar]]=Projectbegroting!$K$1,report_B_CategorieBoekjaar[[#This Row],[CategorieCode]],0),0)</f>
        <v>0</v>
      </c>
      <c r="I55" t="str">
        <f>IF(report_B_CategorieBoekjaar[[#This Row],[BedrijfsCode]]="001",IF(report_B_CategorieBoekjaar[[#This Row],[Boekjaar]]=Projectbegroting!$K$1,report_B_CategorieBoekjaar[[#This Row],[CategorieCode]],0),0)</f>
        <v>CM-I</v>
      </c>
    </row>
    <row r="56" spans="1:9" x14ac:dyDescent="0.3">
      <c r="A56" t="s">
        <v>330</v>
      </c>
      <c r="B56" s="20">
        <v>46023</v>
      </c>
      <c r="C56" t="s">
        <v>405</v>
      </c>
      <c r="D56" t="s">
        <v>16</v>
      </c>
      <c r="E56" t="s">
        <v>381</v>
      </c>
      <c r="F56">
        <v>79</v>
      </c>
      <c r="G56">
        <v>111</v>
      </c>
      <c r="H56">
        <f>IF(report_B_CategorieBoekjaar[[#This Row],[BedrijfsCode]]="002",IF(report_B_CategorieBoekjaar[[#This Row],[Boekjaar]]=Projectbegroting!$K$1,report_B_CategorieBoekjaar[[#This Row],[CategorieCode]],0),0)</f>
        <v>0</v>
      </c>
      <c r="I56" t="str">
        <f>IF(report_B_CategorieBoekjaar[[#This Row],[BedrijfsCode]]="001",IF(report_B_CategorieBoekjaar[[#This Row],[Boekjaar]]=Projectbegroting!$K$1,report_B_CategorieBoekjaar[[#This Row],[CategorieCode]],0),0)</f>
        <v>CON</v>
      </c>
    </row>
    <row r="57" spans="1:9" x14ac:dyDescent="0.3">
      <c r="A57" t="s">
        <v>330</v>
      </c>
      <c r="B57" s="20">
        <v>46023</v>
      </c>
      <c r="C57" t="s">
        <v>58</v>
      </c>
      <c r="D57" t="s">
        <v>406</v>
      </c>
      <c r="E57" t="s">
        <v>381</v>
      </c>
      <c r="F57">
        <v>64</v>
      </c>
      <c r="G57">
        <v>96</v>
      </c>
      <c r="H57">
        <f>IF(report_B_CategorieBoekjaar[[#This Row],[BedrijfsCode]]="002",IF(report_B_CategorieBoekjaar[[#This Row],[Boekjaar]]=Projectbegroting!$K$1,report_B_CategorieBoekjaar[[#This Row],[CategorieCode]],0),0)</f>
        <v>0</v>
      </c>
      <c r="I57" t="str">
        <f>IF(report_B_CategorieBoekjaar[[#This Row],[BedrijfsCode]]="001",IF(report_B_CategorieBoekjaar[[#This Row],[Boekjaar]]=Projectbegroting!$K$1,report_B_CategorieBoekjaar[[#This Row],[CategorieCode]],0),0)</f>
        <v>CS</v>
      </c>
    </row>
    <row r="58" spans="1:9" x14ac:dyDescent="0.3">
      <c r="A58" t="s">
        <v>330</v>
      </c>
      <c r="B58" s="20">
        <v>46023</v>
      </c>
      <c r="C58" t="s">
        <v>407</v>
      </c>
      <c r="D58" t="s">
        <v>408</v>
      </c>
      <c r="E58" t="s">
        <v>384</v>
      </c>
      <c r="F58">
        <v>119</v>
      </c>
      <c r="G58">
        <v>0</v>
      </c>
      <c r="H58">
        <f>IF(report_B_CategorieBoekjaar[[#This Row],[BedrijfsCode]]="002",IF(report_B_CategorieBoekjaar[[#This Row],[Boekjaar]]=Projectbegroting!$K$1,report_B_CategorieBoekjaar[[#This Row],[CategorieCode]],0),0)</f>
        <v>0</v>
      </c>
      <c r="I58" t="str">
        <f>IF(report_B_CategorieBoekjaar[[#This Row],[BedrijfsCode]]="001",IF(report_B_CategorieBoekjaar[[#This Row],[Boekjaar]]=Projectbegroting!$K$1,report_B_CategorieBoekjaar[[#This Row],[CategorieCode]],0),0)</f>
        <v>CS-I</v>
      </c>
    </row>
    <row r="59" spans="1:9" x14ac:dyDescent="0.3">
      <c r="A59" t="s">
        <v>330</v>
      </c>
      <c r="B59" s="20">
        <v>46023</v>
      </c>
      <c r="C59" t="s">
        <v>60</v>
      </c>
      <c r="D59" t="s">
        <v>61</v>
      </c>
      <c r="E59" t="s">
        <v>381</v>
      </c>
      <c r="F59">
        <v>77</v>
      </c>
      <c r="G59">
        <v>109</v>
      </c>
      <c r="H59">
        <f>IF(report_B_CategorieBoekjaar[[#This Row],[BedrijfsCode]]="002",IF(report_B_CategorieBoekjaar[[#This Row],[Boekjaar]]=Projectbegroting!$K$1,report_B_CategorieBoekjaar[[#This Row],[CategorieCode]],0),0)</f>
        <v>0</v>
      </c>
      <c r="I59" t="str">
        <f>IF(report_B_CategorieBoekjaar[[#This Row],[BedrijfsCode]]="001",IF(report_B_CategorieBoekjaar[[#This Row],[Boekjaar]]=Projectbegroting!$K$1,report_B_CategorieBoekjaar[[#This Row],[CategorieCode]],0),0)</f>
        <v>DES</v>
      </c>
    </row>
    <row r="60" spans="1:9" x14ac:dyDescent="0.3">
      <c r="A60" t="s">
        <v>330</v>
      </c>
      <c r="B60" s="20">
        <v>46023</v>
      </c>
      <c r="C60" t="s">
        <v>168</v>
      </c>
      <c r="D60" t="s">
        <v>409</v>
      </c>
      <c r="E60" t="s">
        <v>384</v>
      </c>
      <c r="F60">
        <v>132</v>
      </c>
      <c r="G60">
        <v>0</v>
      </c>
      <c r="H60">
        <f>IF(report_B_CategorieBoekjaar[[#This Row],[BedrijfsCode]]="002",IF(report_B_CategorieBoekjaar[[#This Row],[Boekjaar]]=Projectbegroting!$K$1,report_B_CategorieBoekjaar[[#This Row],[CategorieCode]],0),0)</f>
        <v>0</v>
      </c>
      <c r="I60" t="str">
        <f>IF(report_B_CategorieBoekjaar[[#This Row],[BedrijfsCode]]="001",IF(report_B_CategorieBoekjaar[[#This Row],[Boekjaar]]=Projectbegroting!$K$1,report_B_CategorieBoekjaar[[#This Row],[CategorieCode]],0),0)</f>
        <v>DES-I</v>
      </c>
    </row>
    <row r="61" spans="1:9" x14ac:dyDescent="0.3">
      <c r="A61" t="s">
        <v>330</v>
      </c>
      <c r="B61" s="20">
        <v>46023</v>
      </c>
      <c r="C61" t="s">
        <v>410</v>
      </c>
      <c r="D61" t="s">
        <v>411</v>
      </c>
      <c r="E61" t="s">
        <v>381</v>
      </c>
      <c r="F61">
        <v>34</v>
      </c>
      <c r="G61">
        <v>0</v>
      </c>
      <c r="H61">
        <f>IF(report_B_CategorieBoekjaar[[#This Row],[BedrijfsCode]]="002",IF(report_B_CategorieBoekjaar[[#This Row],[Boekjaar]]=Projectbegroting!$K$1,report_B_CategorieBoekjaar[[#This Row],[CategorieCode]],0),0)</f>
        <v>0</v>
      </c>
      <c r="I61" t="str">
        <f>IF(report_B_CategorieBoekjaar[[#This Row],[BedrijfsCode]]="001",IF(report_B_CategorieBoekjaar[[#This Row],[Boekjaar]]=Projectbegroting!$K$1,report_B_CategorieBoekjaar[[#This Row],[CategorieCode]],0),0)</f>
        <v>DO</v>
      </c>
    </row>
    <row r="62" spans="1:9" x14ac:dyDescent="0.3">
      <c r="A62" t="s">
        <v>330</v>
      </c>
      <c r="B62" s="20">
        <v>46023</v>
      </c>
      <c r="C62" t="s">
        <v>412</v>
      </c>
      <c r="D62" t="s">
        <v>413</v>
      </c>
      <c r="E62" t="s">
        <v>381</v>
      </c>
      <c r="F62">
        <v>44</v>
      </c>
      <c r="G62">
        <v>0</v>
      </c>
      <c r="H62">
        <f>IF(report_B_CategorieBoekjaar[[#This Row],[BedrijfsCode]]="002",IF(report_B_CategorieBoekjaar[[#This Row],[Boekjaar]]=Projectbegroting!$K$1,report_B_CategorieBoekjaar[[#This Row],[CategorieCode]],0),0)</f>
        <v>0</v>
      </c>
      <c r="I62" t="str">
        <f>IF(report_B_CategorieBoekjaar[[#This Row],[BedrijfsCode]]="001",IF(report_B_CategorieBoekjaar[[#This Row],[Boekjaar]]=Projectbegroting!$K$1,report_B_CategorieBoekjaar[[#This Row],[CategorieCode]],0),0)</f>
        <v>DS</v>
      </c>
    </row>
    <row r="63" spans="1:9" x14ac:dyDescent="0.3">
      <c r="A63" t="s">
        <v>330</v>
      </c>
      <c r="B63" s="20">
        <v>46023</v>
      </c>
      <c r="C63" t="s">
        <v>414</v>
      </c>
      <c r="D63" t="s">
        <v>415</v>
      </c>
      <c r="E63" t="s">
        <v>384</v>
      </c>
      <c r="F63">
        <v>0</v>
      </c>
      <c r="G63">
        <v>0</v>
      </c>
      <c r="H63">
        <f>IF(report_B_CategorieBoekjaar[[#This Row],[BedrijfsCode]]="002",IF(report_B_CategorieBoekjaar[[#This Row],[Boekjaar]]=Projectbegroting!$K$1,report_B_CategorieBoekjaar[[#This Row],[CategorieCode]],0),0)</f>
        <v>0</v>
      </c>
      <c r="I63" t="str">
        <f>IF(report_B_CategorieBoekjaar[[#This Row],[BedrijfsCode]]="001",IF(report_B_CategorieBoekjaar[[#This Row],[Boekjaar]]=Projectbegroting!$K$1,report_B_CategorieBoekjaar[[#This Row],[CategorieCode]],0),0)</f>
        <v>DS-I</v>
      </c>
    </row>
    <row r="64" spans="1:9" x14ac:dyDescent="0.3">
      <c r="A64" t="s">
        <v>330</v>
      </c>
      <c r="B64" s="20">
        <v>46023</v>
      </c>
      <c r="C64" t="s">
        <v>82</v>
      </c>
      <c r="D64" t="s">
        <v>416</v>
      </c>
      <c r="E64" t="s">
        <v>381</v>
      </c>
      <c r="F64">
        <v>84</v>
      </c>
      <c r="G64">
        <v>116</v>
      </c>
      <c r="H64">
        <f>IF(report_B_CategorieBoekjaar[[#This Row],[BedrijfsCode]]="002",IF(report_B_CategorieBoekjaar[[#This Row],[Boekjaar]]=Projectbegroting!$K$1,report_B_CategorieBoekjaar[[#This Row],[CategorieCode]],0),0)</f>
        <v>0</v>
      </c>
      <c r="I64" t="str">
        <f>IF(report_B_CategorieBoekjaar[[#This Row],[BedrijfsCode]]="001",IF(report_B_CategorieBoekjaar[[#This Row],[Boekjaar]]=Projectbegroting!$K$1,report_B_CategorieBoekjaar[[#This Row],[CategorieCode]],0),0)</f>
        <v>EA</v>
      </c>
    </row>
    <row r="65" spans="1:9" x14ac:dyDescent="0.3">
      <c r="A65" t="s">
        <v>330</v>
      </c>
      <c r="B65" s="20">
        <v>46023</v>
      </c>
      <c r="C65" t="s">
        <v>169</v>
      </c>
      <c r="D65" t="s">
        <v>417</v>
      </c>
      <c r="E65" t="s">
        <v>384</v>
      </c>
      <c r="F65">
        <v>139</v>
      </c>
      <c r="G65">
        <v>0</v>
      </c>
      <c r="H65">
        <f>IF(report_B_CategorieBoekjaar[[#This Row],[BedrijfsCode]]="002",IF(report_B_CategorieBoekjaar[[#This Row],[Boekjaar]]=Projectbegroting!$K$1,report_B_CategorieBoekjaar[[#This Row],[CategorieCode]],0),0)</f>
        <v>0</v>
      </c>
      <c r="I65" t="str">
        <f>IF(report_B_CategorieBoekjaar[[#This Row],[BedrijfsCode]]="001",IF(report_B_CategorieBoekjaar[[#This Row],[Boekjaar]]=Projectbegroting!$K$1,report_B_CategorieBoekjaar[[#This Row],[CategorieCode]],0),0)</f>
        <v>EA-I</v>
      </c>
    </row>
    <row r="66" spans="1:9" x14ac:dyDescent="0.3">
      <c r="A66" t="s">
        <v>330</v>
      </c>
      <c r="B66" s="20">
        <v>46023</v>
      </c>
      <c r="C66" t="s">
        <v>418</v>
      </c>
      <c r="D66" t="s">
        <v>419</v>
      </c>
      <c r="E66" t="s">
        <v>381</v>
      </c>
      <c r="F66">
        <v>66</v>
      </c>
      <c r="G66">
        <v>102</v>
      </c>
      <c r="H66">
        <f>IF(report_B_CategorieBoekjaar[[#This Row],[BedrijfsCode]]="002",IF(report_B_CategorieBoekjaar[[#This Row],[Boekjaar]]=Projectbegroting!$K$1,report_B_CategorieBoekjaar[[#This Row],[CategorieCode]],0),0)</f>
        <v>0</v>
      </c>
      <c r="I66" t="str">
        <f>IF(report_B_CategorieBoekjaar[[#This Row],[BedrijfsCode]]="001",IF(report_B_CategorieBoekjaar[[#This Row],[Boekjaar]]=Projectbegroting!$K$1,report_B_CategorieBoekjaar[[#This Row],[CategorieCode]],0),0)</f>
        <v>FT</v>
      </c>
    </row>
    <row r="67" spans="1:9" x14ac:dyDescent="0.3">
      <c r="A67" t="s">
        <v>330</v>
      </c>
      <c r="B67" s="20">
        <v>46023</v>
      </c>
      <c r="C67" t="s">
        <v>84</v>
      </c>
      <c r="D67" t="s">
        <v>420</v>
      </c>
      <c r="E67" t="s">
        <v>381</v>
      </c>
      <c r="F67">
        <v>70</v>
      </c>
      <c r="G67">
        <v>102</v>
      </c>
      <c r="H67">
        <f>IF(report_B_CategorieBoekjaar[[#This Row],[BedrijfsCode]]="002",IF(report_B_CategorieBoekjaar[[#This Row],[Boekjaar]]=Projectbegroting!$K$1,report_B_CategorieBoekjaar[[#This Row],[CategorieCode]],0),0)</f>
        <v>0</v>
      </c>
      <c r="I67" t="str">
        <f>IF(report_B_CategorieBoekjaar[[#This Row],[BedrijfsCode]]="001",IF(report_B_CategorieBoekjaar[[#This Row],[Boekjaar]]=Projectbegroting!$K$1,report_B_CategorieBoekjaar[[#This Row],[CategorieCode]],0),0)</f>
        <v>FUB</v>
      </c>
    </row>
    <row r="68" spans="1:9" x14ac:dyDescent="0.3">
      <c r="A68" t="s">
        <v>330</v>
      </c>
      <c r="B68" s="20">
        <v>46023</v>
      </c>
      <c r="C68" t="s">
        <v>170</v>
      </c>
      <c r="D68" t="s">
        <v>421</v>
      </c>
      <c r="E68" t="s">
        <v>384</v>
      </c>
      <c r="F68">
        <v>125</v>
      </c>
      <c r="G68">
        <v>0</v>
      </c>
      <c r="H68">
        <f>IF(report_B_CategorieBoekjaar[[#This Row],[BedrijfsCode]]="002",IF(report_B_CategorieBoekjaar[[#This Row],[Boekjaar]]=Projectbegroting!$K$1,report_B_CategorieBoekjaar[[#This Row],[CategorieCode]],0),0)</f>
        <v>0</v>
      </c>
      <c r="I68" t="str">
        <f>IF(report_B_CategorieBoekjaar[[#This Row],[BedrijfsCode]]="001",IF(report_B_CategorieBoekjaar[[#This Row],[Boekjaar]]=Projectbegroting!$K$1,report_B_CategorieBoekjaar[[#This Row],[CategorieCode]],0),0)</f>
        <v>FUB-I</v>
      </c>
    </row>
    <row r="69" spans="1:9" x14ac:dyDescent="0.3">
      <c r="A69" t="s">
        <v>330</v>
      </c>
      <c r="B69" s="20">
        <v>46023</v>
      </c>
      <c r="C69" t="s">
        <v>96</v>
      </c>
      <c r="D69" t="s">
        <v>422</v>
      </c>
      <c r="E69" t="s">
        <v>381</v>
      </c>
      <c r="F69">
        <v>69</v>
      </c>
      <c r="G69">
        <v>101</v>
      </c>
      <c r="H69">
        <f>IF(report_B_CategorieBoekjaar[[#This Row],[BedrijfsCode]]="002",IF(report_B_CategorieBoekjaar[[#This Row],[Boekjaar]]=Projectbegroting!$K$1,report_B_CategorieBoekjaar[[#This Row],[CategorieCode]],0),0)</f>
        <v>0</v>
      </c>
      <c r="I69" t="str">
        <f>IF(report_B_CategorieBoekjaar[[#This Row],[BedrijfsCode]]="001",IF(report_B_CategorieBoekjaar[[#This Row],[Boekjaar]]=Projectbegroting!$K$1,report_B_CategorieBoekjaar[[#This Row],[CategorieCode]],0),0)</f>
        <v>IA</v>
      </c>
    </row>
    <row r="70" spans="1:9" x14ac:dyDescent="0.3">
      <c r="A70" t="s">
        <v>330</v>
      </c>
      <c r="B70" s="20">
        <v>46023</v>
      </c>
      <c r="C70" t="s">
        <v>171</v>
      </c>
      <c r="D70" t="s">
        <v>423</v>
      </c>
      <c r="E70" t="s">
        <v>384</v>
      </c>
      <c r="F70">
        <v>124</v>
      </c>
      <c r="G70">
        <v>0</v>
      </c>
      <c r="H70">
        <f>IF(report_B_CategorieBoekjaar[[#This Row],[BedrijfsCode]]="002",IF(report_B_CategorieBoekjaar[[#This Row],[Boekjaar]]=Projectbegroting!$K$1,report_B_CategorieBoekjaar[[#This Row],[CategorieCode]],0),0)</f>
        <v>0</v>
      </c>
      <c r="I70" t="str">
        <f>IF(report_B_CategorieBoekjaar[[#This Row],[BedrijfsCode]]="001",IF(report_B_CategorieBoekjaar[[#This Row],[Boekjaar]]=Projectbegroting!$K$1,report_B_CategorieBoekjaar[[#This Row],[CategorieCode]],0),0)</f>
        <v>IA-I</v>
      </c>
    </row>
    <row r="71" spans="1:9" x14ac:dyDescent="0.3">
      <c r="A71" t="s">
        <v>330</v>
      </c>
      <c r="B71" s="20">
        <v>46023</v>
      </c>
      <c r="C71" t="s">
        <v>86</v>
      </c>
      <c r="D71" t="s">
        <v>424</v>
      </c>
      <c r="E71" t="s">
        <v>381</v>
      </c>
      <c r="F71">
        <v>64</v>
      </c>
      <c r="G71">
        <v>96</v>
      </c>
      <c r="H71">
        <f>IF(report_B_CategorieBoekjaar[[#This Row],[BedrijfsCode]]="002",IF(report_B_CategorieBoekjaar[[#This Row],[Boekjaar]]=Projectbegroting!$K$1,report_B_CategorieBoekjaar[[#This Row],[CategorieCode]],0),0)</f>
        <v>0</v>
      </c>
      <c r="I71" t="str">
        <f>IF(report_B_CategorieBoekjaar[[#This Row],[BedrijfsCode]]="001",IF(report_B_CategorieBoekjaar[[#This Row],[Boekjaar]]=Projectbegroting!$K$1,report_B_CategorieBoekjaar[[#This Row],[CategorieCode]],0),0)</f>
        <v>ICTB</v>
      </c>
    </row>
    <row r="72" spans="1:9" x14ac:dyDescent="0.3">
      <c r="A72" t="s">
        <v>330</v>
      </c>
      <c r="B72" s="20">
        <v>46023</v>
      </c>
      <c r="C72" t="s">
        <v>172</v>
      </c>
      <c r="D72" t="s">
        <v>425</v>
      </c>
      <c r="E72" t="s">
        <v>384</v>
      </c>
      <c r="F72">
        <v>119</v>
      </c>
      <c r="G72">
        <v>0</v>
      </c>
      <c r="H72">
        <f>IF(report_B_CategorieBoekjaar[[#This Row],[BedrijfsCode]]="002",IF(report_B_CategorieBoekjaar[[#This Row],[Boekjaar]]=Projectbegroting!$K$1,report_B_CategorieBoekjaar[[#This Row],[CategorieCode]],0),0)</f>
        <v>0</v>
      </c>
      <c r="I72" t="str">
        <f>IF(report_B_CategorieBoekjaar[[#This Row],[BedrijfsCode]]="001",IF(report_B_CategorieBoekjaar[[#This Row],[Boekjaar]]=Projectbegroting!$K$1,report_B_CategorieBoekjaar[[#This Row],[CategorieCode]],0),0)</f>
        <v>ICTB-I</v>
      </c>
    </row>
    <row r="73" spans="1:9" x14ac:dyDescent="0.3">
      <c r="A73" t="s">
        <v>330</v>
      </c>
      <c r="B73" s="20">
        <v>46023</v>
      </c>
      <c r="C73" t="s">
        <v>94</v>
      </c>
      <c r="D73" t="s">
        <v>426</v>
      </c>
      <c r="E73" t="s">
        <v>381</v>
      </c>
      <c r="F73">
        <v>139</v>
      </c>
      <c r="G73">
        <v>139</v>
      </c>
      <c r="H73">
        <f>IF(report_B_CategorieBoekjaar[[#This Row],[BedrijfsCode]]="002",IF(report_B_CategorieBoekjaar[[#This Row],[Boekjaar]]=Projectbegroting!$K$1,report_B_CategorieBoekjaar[[#This Row],[CategorieCode]],0),0)</f>
        <v>0</v>
      </c>
      <c r="I73" t="str">
        <f>IF(report_B_CategorieBoekjaar[[#This Row],[BedrijfsCode]]="001",IF(report_B_CategorieBoekjaar[[#This Row],[Boekjaar]]=Projectbegroting!$K$1,report_B_CategorieBoekjaar[[#This Row],[CategorieCode]],0),0)</f>
        <v>ICTE</v>
      </c>
    </row>
    <row r="74" spans="1:9" x14ac:dyDescent="0.3">
      <c r="A74" t="s">
        <v>330</v>
      </c>
      <c r="B74" s="20">
        <v>46023</v>
      </c>
      <c r="C74" t="s">
        <v>173</v>
      </c>
      <c r="D74" t="s">
        <v>427</v>
      </c>
      <c r="E74" t="s">
        <v>384</v>
      </c>
      <c r="F74">
        <v>139</v>
      </c>
      <c r="G74">
        <v>0</v>
      </c>
      <c r="H74">
        <f>IF(report_B_CategorieBoekjaar[[#This Row],[BedrijfsCode]]="002",IF(report_B_CategorieBoekjaar[[#This Row],[Boekjaar]]=Projectbegroting!$K$1,report_B_CategorieBoekjaar[[#This Row],[CategorieCode]],0),0)</f>
        <v>0</v>
      </c>
      <c r="I74" t="str">
        <f>IF(report_B_CategorieBoekjaar[[#This Row],[BedrijfsCode]]="001",IF(report_B_CategorieBoekjaar[[#This Row],[Boekjaar]]=Projectbegroting!$K$1,report_B_CategorieBoekjaar[[#This Row],[CategorieCode]],0),0)</f>
        <v>ICTE-I</v>
      </c>
    </row>
    <row r="75" spans="1:9" x14ac:dyDescent="0.3">
      <c r="A75" t="s">
        <v>330</v>
      </c>
      <c r="B75" s="20">
        <v>46023</v>
      </c>
      <c r="C75" t="s">
        <v>88</v>
      </c>
      <c r="D75" t="s">
        <v>89</v>
      </c>
      <c r="E75" t="s">
        <v>381</v>
      </c>
      <c r="F75">
        <v>68</v>
      </c>
      <c r="G75">
        <v>100</v>
      </c>
      <c r="H75">
        <f>IF(report_B_CategorieBoekjaar[[#This Row],[BedrijfsCode]]="002",IF(report_B_CategorieBoekjaar[[#This Row],[Boekjaar]]=Projectbegroting!$K$1,report_B_CategorieBoekjaar[[#This Row],[CategorieCode]],0),0)</f>
        <v>0</v>
      </c>
      <c r="I75" t="str">
        <f>IF(report_B_CategorieBoekjaar[[#This Row],[BedrijfsCode]]="001",IF(report_B_CategorieBoekjaar[[#This Row],[Boekjaar]]=Projectbegroting!$K$1,report_B_CategorieBoekjaar[[#This Row],[CategorieCode]],0),0)</f>
        <v>ICTO</v>
      </c>
    </row>
    <row r="76" spans="1:9" x14ac:dyDescent="0.3">
      <c r="A76" t="s">
        <v>330</v>
      </c>
      <c r="B76" s="20">
        <v>46023</v>
      </c>
      <c r="C76" t="s">
        <v>174</v>
      </c>
      <c r="D76" t="s">
        <v>428</v>
      </c>
      <c r="E76" t="s">
        <v>384</v>
      </c>
      <c r="F76">
        <v>123</v>
      </c>
      <c r="G76">
        <v>0</v>
      </c>
      <c r="H76">
        <f>IF(report_B_CategorieBoekjaar[[#This Row],[BedrijfsCode]]="002",IF(report_B_CategorieBoekjaar[[#This Row],[Boekjaar]]=Projectbegroting!$K$1,report_B_CategorieBoekjaar[[#This Row],[CategorieCode]],0),0)</f>
        <v>0</v>
      </c>
      <c r="I76" t="str">
        <f>IF(report_B_CategorieBoekjaar[[#This Row],[BedrijfsCode]]="001",IF(report_B_CategorieBoekjaar[[#This Row],[Boekjaar]]=Projectbegroting!$K$1,report_B_CategorieBoekjaar[[#This Row],[CategorieCode]],0),0)</f>
        <v>ICTO-I</v>
      </c>
    </row>
    <row r="77" spans="1:9" x14ac:dyDescent="0.3">
      <c r="A77" t="s">
        <v>330</v>
      </c>
      <c r="B77" s="20">
        <v>46023</v>
      </c>
      <c r="C77" t="s">
        <v>90</v>
      </c>
      <c r="D77" t="s">
        <v>91</v>
      </c>
      <c r="E77" t="s">
        <v>381</v>
      </c>
      <c r="F77">
        <v>49</v>
      </c>
      <c r="G77">
        <v>81</v>
      </c>
      <c r="H77">
        <f>IF(report_B_CategorieBoekjaar[[#This Row],[BedrijfsCode]]="002",IF(report_B_CategorieBoekjaar[[#This Row],[Boekjaar]]=Projectbegroting!$K$1,report_B_CategorieBoekjaar[[#This Row],[CategorieCode]],0),0)</f>
        <v>0</v>
      </c>
      <c r="I77" t="str">
        <f>IF(report_B_CategorieBoekjaar[[#This Row],[BedrijfsCode]]="001",IF(report_B_CategorieBoekjaar[[#This Row],[Boekjaar]]=Projectbegroting!$K$1,report_B_CategorieBoekjaar[[#This Row],[CategorieCode]],0),0)</f>
        <v>ICTS</v>
      </c>
    </row>
    <row r="78" spans="1:9" x14ac:dyDescent="0.3">
      <c r="A78" t="s">
        <v>330</v>
      </c>
      <c r="B78" s="20">
        <v>46023</v>
      </c>
      <c r="C78" t="s">
        <v>429</v>
      </c>
      <c r="D78" t="s">
        <v>430</v>
      </c>
      <c r="E78" t="s">
        <v>384</v>
      </c>
      <c r="F78">
        <v>104</v>
      </c>
      <c r="G78">
        <v>0</v>
      </c>
      <c r="H78">
        <f>IF(report_B_CategorieBoekjaar[[#This Row],[BedrijfsCode]]="002",IF(report_B_CategorieBoekjaar[[#This Row],[Boekjaar]]=Projectbegroting!$K$1,report_B_CategorieBoekjaar[[#This Row],[CategorieCode]],0),0)</f>
        <v>0</v>
      </c>
      <c r="I78" t="str">
        <f>IF(report_B_CategorieBoekjaar[[#This Row],[BedrijfsCode]]="001",IF(report_B_CategorieBoekjaar[[#This Row],[Boekjaar]]=Projectbegroting!$K$1,report_B_CategorieBoekjaar[[#This Row],[CategorieCode]],0),0)</f>
        <v>ICTS-I</v>
      </c>
    </row>
    <row r="79" spans="1:9" x14ac:dyDescent="0.3">
      <c r="A79" t="s">
        <v>330</v>
      </c>
      <c r="B79" s="20">
        <v>46023</v>
      </c>
      <c r="C79" t="s">
        <v>431</v>
      </c>
      <c r="D79" t="s">
        <v>432</v>
      </c>
      <c r="E79" t="s">
        <v>381</v>
      </c>
      <c r="F79">
        <v>82</v>
      </c>
      <c r="G79">
        <v>114</v>
      </c>
      <c r="H79">
        <f>IF(report_B_CategorieBoekjaar[[#This Row],[BedrijfsCode]]="002",IF(report_B_CategorieBoekjaar[[#This Row],[Boekjaar]]=Projectbegroting!$K$1,report_B_CategorieBoekjaar[[#This Row],[CategorieCode]],0),0)</f>
        <v>0</v>
      </c>
      <c r="I79" t="str">
        <f>IF(report_B_CategorieBoekjaar[[#This Row],[BedrijfsCode]]="001",IF(report_B_CategorieBoekjaar[[#This Row],[Boekjaar]]=Projectbegroting!$K$1,report_B_CategorieBoekjaar[[#This Row],[CategorieCode]],0),0)</f>
        <v>IM</v>
      </c>
    </row>
    <row r="80" spans="1:9" x14ac:dyDescent="0.3">
      <c r="A80" t="s">
        <v>330</v>
      </c>
      <c r="B80" s="20">
        <v>46023</v>
      </c>
      <c r="C80" t="s">
        <v>433</v>
      </c>
      <c r="D80" t="s">
        <v>434</v>
      </c>
      <c r="E80" t="s">
        <v>384</v>
      </c>
      <c r="F80">
        <v>137</v>
      </c>
      <c r="G80">
        <v>0</v>
      </c>
      <c r="H80">
        <f>IF(report_B_CategorieBoekjaar[[#This Row],[BedrijfsCode]]="002",IF(report_B_CategorieBoekjaar[[#This Row],[Boekjaar]]=Projectbegroting!$K$1,report_B_CategorieBoekjaar[[#This Row],[CategorieCode]],0),0)</f>
        <v>0</v>
      </c>
      <c r="I80" t="str">
        <f>IF(report_B_CategorieBoekjaar[[#This Row],[BedrijfsCode]]="001",IF(report_B_CategorieBoekjaar[[#This Row],[Boekjaar]]=Projectbegroting!$K$1,report_B_CategorieBoekjaar[[#This Row],[CategorieCode]],0),0)</f>
        <v>IM-I</v>
      </c>
    </row>
    <row r="81" spans="1:9" x14ac:dyDescent="0.3">
      <c r="A81" t="s">
        <v>330</v>
      </c>
      <c r="B81" s="20">
        <v>46023</v>
      </c>
      <c r="C81" t="s">
        <v>435</v>
      </c>
      <c r="D81" t="s">
        <v>436</v>
      </c>
      <c r="E81" t="s">
        <v>381</v>
      </c>
      <c r="F81">
        <v>65</v>
      </c>
      <c r="G81">
        <v>97</v>
      </c>
      <c r="H81">
        <f>IF(report_B_CategorieBoekjaar[[#This Row],[BedrijfsCode]]="002",IF(report_B_CategorieBoekjaar[[#This Row],[Boekjaar]]=Projectbegroting!$K$1,report_B_CategorieBoekjaar[[#This Row],[CategorieCode]],0),0)</f>
        <v>0</v>
      </c>
      <c r="I81" t="str">
        <f>IF(report_B_CategorieBoekjaar[[#This Row],[BedrijfsCode]]="001",IF(report_B_CategorieBoekjaar[[#This Row],[Boekjaar]]=Projectbegroting!$K$1,report_B_CategorieBoekjaar[[#This Row],[CategorieCode]],0),0)</f>
        <v>INK</v>
      </c>
    </row>
    <row r="82" spans="1:9" x14ac:dyDescent="0.3">
      <c r="A82" t="s">
        <v>330</v>
      </c>
      <c r="B82" s="20">
        <v>46023</v>
      </c>
      <c r="C82" t="s">
        <v>437</v>
      </c>
      <c r="D82" t="s">
        <v>438</v>
      </c>
      <c r="E82" t="s">
        <v>384</v>
      </c>
      <c r="F82">
        <v>120</v>
      </c>
      <c r="G82">
        <v>0</v>
      </c>
      <c r="H82">
        <f>IF(report_B_CategorieBoekjaar[[#This Row],[BedrijfsCode]]="002",IF(report_B_CategorieBoekjaar[[#This Row],[Boekjaar]]=Projectbegroting!$K$1,report_B_CategorieBoekjaar[[#This Row],[CategorieCode]],0),0)</f>
        <v>0</v>
      </c>
      <c r="I82" t="str">
        <f>IF(report_B_CategorieBoekjaar[[#This Row],[BedrijfsCode]]="001",IF(report_B_CategorieBoekjaar[[#This Row],[Boekjaar]]=Projectbegroting!$K$1,report_B_CategorieBoekjaar[[#This Row],[CategorieCode]],0),0)</f>
        <v>INK-I</v>
      </c>
    </row>
    <row r="83" spans="1:9" x14ac:dyDescent="0.3">
      <c r="A83" t="s">
        <v>330</v>
      </c>
      <c r="B83" s="20">
        <v>46023</v>
      </c>
      <c r="C83" t="s">
        <v>439</v>
      </c>
      <c r="D83" t="s">
        <v>440</v>
      </c>
      <c r="E83" t="s">
        <v>381</v>
      </c>
      <c r="F83">
        <v>47</v>
      </c>
      <c r="G83">
        <v>79</v>
      </c>
      <c r="H83">
        <f>IF(report_B_CategorieBoekjaar[[#This Row],[BedrijfsCode]]="002",IF(report_B_CategorieBoekjaar[[#This Row],[Boekjaar]]=Projectbegroting!$K$1,report_B_CategorieBoekjaar[[#This Row],[CategorieCode]],0),0)</f>
        <v>0</v>
      </c>
      <c r="I83" t="str">
        <f>IF(report_B_CategorieBoekjaar[[#This Row],[BedrijfsCode]]="001",IF(report_B_CategorieBoekjaar[[#This Row],[Boekjaar]]=Projectbegroting!$K$1,report_B_CategorieBoekjaar[[#This Row],[CategorieCode]],0),0)</f>
        <v>IS</v>
      </c>
    </row>
    <row r="84" spans="1:9" x14ac:dyDescent="0.3">
      <c r="A84" t="s">
        <v>330</v>
      </c>
      <c r="B84" s="20">
        <v>46023</v>
      </c>
      <c r="C84" t="s">
        <v>441</v>
      </c>
      <c r="D84" t="s">
        <v>442</v>
      </c>
      <c r="E84" t="s">
        <v>381</v>
      </c>
      <c r="F84">
        <v>52</v>
      </c>
      <c r="G84">
        <v>0</v>
      </c>
      <c r="H84">
        <f>IF(report_B_CategorieBoekjaar[[#This Row],[BedrijfsCode]]="002",IF(report_B_CategorieBoekjaar[[#This Row],[Boekjaar]]=Projectbegroting!$K$1,report_B_CategorieBoekjaar[[#This Row],[CategorieCode]],0),0)</f>
        <v>0</v>
      </c>
      <c r="I84" t="str">
        <f>IF(report_B_CategorieBoekjaar[[#This Row],[BedrijfsCode]]="001",IF(report_B_CategorieBoekjaar[[#This Row],[Boekjaar]]=Projectbegroting!$K$1,report_B_CategorieBoekjaar[[#This Row],[CategorieCode]],0),0)</f>
        <v>KCO</v>
      </c>
    </row>
    <row r="85" spans="1:9" x14ac:dyDescent="0.3">
      <c r="A85" t="s">
        <v>330</v>
      </c>
      <c r="B85" s="20">
        <v>46023</v>
      </c>
      <c r="C85" t="s">
        <v>443</v>
      </c>
      <c r="D85" t="s">
        <v>444</v>
      </c>
      <c r="E85" t="s">
        <v>384</v>
      </c>
      <c r="F85">
        <v>0</v>
      </c>
      <c r="G85">
        <v>0</v>
      </c>
      <c r="H85">
        <f>IF(report_B_CategorieBoekjaar[[#This Row],[BedrijfsCode]]="002",IF(report_B_CategorieBoekjaar[[#This Row],[Boekjaar]]=Projectbegroting!$K$1,report_B_CategorieBoekjaar[[#This Row],[CategorieCode]],0),0)</f>
        <v>0</v>
      </c>
      <c r="I85" t="str">
        <f>IF(report_B_CategorieBoekjaar[[#This Row],[BedrijfsCode]]="001",IF(report_B_CategorieBoekjaar[[#This Row],[Boekjaar]]=Projectbegroting!$K$1,report_B_CategorieBoekjaar[[#This Row],[CategorieCode]],0),0)</f>
        <v>KCO-I</v>
      </c>
    </row>
    <row r="86" spans="1:9" x14ac:dyDescent="0.3">
      <c r="A86" t="s">
        <v>330</v>
      </c>
      <c r="B86" s="20">
        <v>46023</v>
      </c>
      <c r="C86" t="s">
        <v>445</v>
      </c>
      <c r="D86" t="s">
        <v>446</v>
      </c>
      <c r="E86" t="s">
        <v>381</v>
      </c>
      <c r="F86">
        <v>0</v>
      </c>
      <c r="G86">
        <v>105</v>
      </c>
      <c r="H86">
        <f>IF(report_B_CategorieBoekjaar[[#This Row],[BedrijfsCode]]="002",IF(report_B_CategorieBoekjaar[[#This Row],[Boekjaar]]=Projectbegroting!$K$1,report_B_CategorieBoekjaar[[#This Row],[CategorieCode]],0),0)</f>
        <v>0</v>
      </c>
      <c r="I86" t="str">
        <f>IF(report_B_CategorieBoekjaar[[#This Row],[BedrijfsCode]]="001",IF(report_B_CategorieBoekjaar[[#This Row],[Boekjaar]]=Projectbegroting!$K$1,report_B_CategorieBoekjaar[[#This Row],[CategorieCode]],0),0)</f>
        <v>KM</v>
      </c>
    </row>
    <row r="87" spans="1:9" x14ac:dyDescent="0.3">
      <c r="A87" t="s">
        <v>330</v>
      </c>
      <c r="B87" s="20">
        <v>46023</v>
      </c>
      <c r="C87" t="s">
        <v>447</v>
      </c>
      <c r="D87" t="s">
        <v>448</v>
      </c>
      <c r="E87" t="s">
        <v>384</v>
      </c>
      <c r="F87">
        <v>0</v>
      </c>
      <c r="G87">
        <v>0</v>
      </c>
      <c r="H87">
        <f>IF(report_B_CategorieBoekjaar[[#This Row],[BedrijfsCode]]="002",IF(report_B_CategorieBoekjaar[[#This Row],[Boekjaar]]=Projectbegroting!$K$1,report_B_CategorieBoekjaar[[#This Row],[CategorieCode]],0),0)</f>
        <v>0</v>
      </c>
      <c r="I87" t="str">
        <f>IF(report_B_CategorieBoekjaar[[#This Row],[BedrijfsCode]]="001",IF(report_B_CategorieBoekjaar[[#This Row],[Boekjaar]]=Projectbegroting!$K$1,report_B_CategorieBoekjaar[[#This Row],[CategorieCode]],0),0)</f>
        <v>KM-I</v>
      </c>
    </row>
    <row r="88" spans="1:9" x14ac:dyDescent="0.3">
      <c r="A88" t="s">
        <v>330</v>
      </c>
      <c r="B88" s="20">
        <v>46023</v>
      </c>
      <c r="C88" t="s">
        <v>449</v>
      </c>
      <c r="D88" t="s">
        <v>450</v>
      </c>
      <c r="E88" t="s">
        <v>381</v>
      </c>
      <c r="F88">
        <v>49</v>
      </c>
      <c r="G88">
        <v>81</v>
      </c>
      <c r="H88">
        <f>IF(report_B_CategorieBoekjaar[[#This Row],[BedrijfsCode]]="002",IF(report_B_CategorieBoekjaar[[#This Row],[Boekjaar]]=Projectbegroting!$K$1,report_B_CategorieBoekjaar[[#This Row],[CategorieCode]],0),0)</f>
        <v>0</v>
      </c>
      <c r="I88" t="str">
        <f>IF(report_B_CategorieBoekjaar[[#This Row],[BedrijfsCode]]="001",IF(report_B_CategorieBoekjaar[[#This Row],[Boekjaar]]=Projectbegroting!$K$1,report_B_CategorieBoekjaar[[#This Row],[CategorieCode]],0),0)</f>
        <v>KS</v>
      </c>
    </row>
    <row r="89" spans="1:9" x14ac:dyDescent="0.3">
      <c r="A89" t="s">
        <v>330</v>
      </c>
      <c r="B89" s="20">
        <v>46023</v>
      </c>
      <c r="C89" t="s">
        <v>451</v>
      </c>
      <c r="D89" t="s">
        <v>452</v>
      </c>
      <c r="E89" t="s">
        <v>384</v>
      </c>
      <c r="F89">
        <v>104</v>
      </c>
      <c r="G89">
        <v>0</v>
      </c>
      <c r="H89">
        <f>IF(report_B_CategorieBoekjaar[[#This Row],[BedrijfsCode]]="002",IF(report_B_CategorieBoekjaar[[#This Row],[Boekjaar]]=Projectbegroting!$K$1,report_B_CategorieBoekjaar[[#This Row],[CategorieCode]],0),0)</f>
        <v>0</v>
      </c>
      <c r="I89" t="str">
        <f>IF(report_B_CategorieBoekjaar[[#This Row],[BedrijfsCode]]="001",IF(report_B_CategorieBoekjaar[[#This Row],[Boekjaar]]=Projectbegroting!$K$1,report_B_CategorieBoekjaar[[#This Row],[CategorieCode]],0),0)</f>
        <v>KS-I</v>
      </c>
    </row>
    <row r="90" spans="1:9" x14ac:dyDescent="0.3">
      <c r="A90" t="s">
        <v>330</v>
      </c>
      <c r="B90" s="20">
        <v>46023</v>
      </c>
      <c r="C90" t="s">
        <v>453</v>
      </c>
      <c r="D90" t="s">
        <v>454</v>
      </c>
      <c r="E90" t="s">
        <v>381</v>
      </c>
      <c r="F90">
        <v>67</v>
      </c>
      <c r="G90">
        <v>99</v>
      </c>
      <c r="H90">
        <f>IF(report_B_CategorieBoekjaar[[#This Row],[BedrijfsCode]]="002",IF(report_B_CategorieBoekjaar[[#This Row],[Boekjaar]]=Projectbegroting!$K$1,report_B_CategorieBoekjaar[[#This Row],[CategorieCode]],0),0)</f>
        <v>0</v>
      </c>
      <c r="I90" t="str">
        <f>IF(report_B_CategorieBoekjaar[[#This Row],[BedrijfsCode]]="001",IF(report_B_CategorieBoekjaar[[#This Row],[Boekjaar]]=Projectbegroting!$K$1,report_B_CategorieBoekjaar[[#This Row],[CategorieCode]],0),0)</f>
        <v>LDG I</v>
      </c>
    </row>
    <row r="91" spans="1:9" x14ac:dyDescent="0.3">
      <c r="A91" t="s">
        <v>330</v>
      </c>
      <c r="B91" s="20">
        <v>46023</v>
      </c>
      <c r="C91" t="s">
        <v>455</v>
      </c>
      <c r="D91" t="s">
        <v>456</v>
      </c>
      <c r="E91" t="s">
        <v>381</v>
      </c>
      <c r="F91">
        <v>88</v>
      </c>
      <c r="G91">
        <v>120</v>
      </c>
      <c r="H91">
        <f>IF(report_B_CategorieBoekjaar[[#This Row],[BedrijfsCode]]="002",IF(report_B_CategorieBoekjaar[[#This Row],[Boekjaar]]=Projectbegroting!$K$1,report_B_CategorieBoekjaar[[#This Row],[CategorieCode]],0),0)</f>
        <v>0</v>
      </c>
      <c r="I91" t="str">
        <f>IF(report_B_CategorieBoekjaar[[#This Row],[BedrijfsCode]]="001",IF(report_B_CategorieBoekjaar[[#This Row],[Boekjaar]]=Projectbegroting!$K$1,report_B_CategorieBoekjaar[[#This Row],[CategorieCode]],0),0)</f>
        <v>LDG II</v>
      </c>
    </row>
    <row r="92" spans="1:9" x14ac:dyDescent="0.3">
      <c r="A92" t="s">
        <v>330</v>
      </c>
      <c r="B92" s="20">
        <v>46023</v>
      </c>
      <c r="C92" t="s">
        <v>457</v>
      </c>
      <c r="D92" t="s">
        <v>458</v>
      </c>
      <c r="E92" t="s">
        <v>384</v>
      </c>
      <c r="F92">
        <v>122</v>
      </c>
      <c r="G92">
        <v>0</v>
      </c>
      <c r="H92">
        <f>IF(report_B_CategorieBoekjaar[[#This Row],[BedrijfsCode]]="002",IF(report_B_CategorieBoekjaar[[#This Row],[Boekjaar]]=Projectbegroting!$K$1,report_B_CategorieBoekjaar[[#This Row],[CategorieCode]],0),0)</f>
        <v>0</v>
      </c>
      <c r="I92" t="str">
        <f>IF(report_B_CategorieBoekjaar[[#This Row],[BedrijfsCode]]="001",IF(report_B_CategorieBoekjaar[[#This Row],[Boekjaar]]=Projectbegroting!$K$1,report_B_CategorieBoekjaar[[#This Row],[CategorieCode]],0),0)</f>
        <v>LDG I-I</v>
      </c>
    </row>
    <row r="93" spans="1:9" x14ac:dyDescent="0.3">
      <c r="A93" t="s">
        <v>330</v>
      </c>
      <c r="B93" s="20">
        <v>46023</v>
      </c>
      <c r="C93" t="s">
        <v>459</v>
      </c>
      <c r="D93" t="s">
        <v>460</v>
      </c>
      <c r="E93" t="s">
        <v>381</v>
      </c>
      <c r="F93">
        <v>114</v>
      </c>
      <c r="G93">
        <v>146</v>
      </c>
      <c r="H93">
        <f>IF(report_B_CategorieBoekjaar[[#This Row],[BedrijfsCode]]="002",IF(report_B_CategorieBoekjaar[[#This Row],[Boekjaar]]=Projectbegroting!$K$1,report_B_CategorieBoekjaar[[#This Row],[CategorieCode]],0),0)</f>
        <v>0</v>
      </c>
      <c r="I93" t="str">
        <f>IF(report_B_CategorieBoekjaar[[#This Row],[BedrijfsCode]]="001",IF(report_B_CategorieBoekjaar[[#This Row],[Boekjaar]]=Projectbegroting!$K$1,report_B_CategorieBoekjaar[[#This Row],[CategorieCode]],0),0)</f>
        <v>LDG III</v>
      </c>
    </row>
    <row r="94" spans="1:9" x14ac:dyDescent="0.3">
      <c r="A94" t="s">
        <v>330</v>
      </c>
      <c r="B94" s="20">
        <v>46023</v>
      </c>
      <c r="C94" t="s">
        <v>461</v>
      </c>
      <c r="D94" t="s">
        <v>462</v>
      </c>
      <c r="E94" t="s">
        <v>384</v>
      </c>
      <c r="F94">
        <v>143</v>
      </c>
      <c r="G94">
        <v>0</v>
      </c>
      <c r="H94">
        <f>IF(report_B_CategorieBoekjaar[[#This Row],[BedrijfsCode]]="002",IF(report_B_CategorieBoekjaar[[#This Row],[Boekjaar]]=Projectbegroting!$K$1,report_B_CategorieBoekjaar[[#This Row],[CategorieCode]],0),0)</f>
        <v>0</v>
      </c>
      <c r="I94" t="str">
        <f>IF(report_B_CategorieBoekjaar[[#This Row],[BedrijfsCode]]="001",IF(report_B_CategorieBoekjaar[[#This Row],[Boekjaar]]=Projectbegroting!$K$1,report_B_CategorieBoekjaar[[#This Row],[CategorieCode]],0),0)</f>
        <v>LDG II-I</v>
      </c>
    </row>
    <row r="95" spans="1:9" x14ac:dyDescent="0.3">
      <c r="A95" t="s">
        <v>330</v>
      </c>
      <c r="B95" s="20">
        <v>46023</v>
      </c>
      <c r="C95" t="s">
        <v>463</v>
      </c>
      <c r="D95" t="s">
        <v>464</v>
      </c>
      <c r="E95" t="s">
        <v>384</v>
      </c>
      <c r="F95">
        <v>169</v>
      </c>
      <c r="G95">
        <v>0</v>
      </c>
      <c r="H95">
        <f>IF(report_B_CategorieBoekjaar[[#This Row],[BedrijfsCode]]="002",IF(report_B_CategorieBoekjaar[[#This Row],[Boekjaar]]=Projectbegroting!$K$1,report_B_CategorieBoekjaar[[#This Row],[CategorieCode]],0),0)</f>
        <v>0</v>
      </c>
      <c r="I95" t="str">
        <f>IF(report_B_CategorieBoekjaar[[#This Row],[BedrijfsCode]]="001",IF(report_B_CategorieBoekjaar[[#This Row],[Boekjaar]]=Projectbegroting!$K$1,report_B_CategorieBoekjaar[[#This Row],[CategorieCode]],0),0)</f>
        <v>LDG III-I</v>
      </c>
    </row>
    <row r="96" spans="1:9" x14ac:dyDescent="0.3">
      <c r="A96" t="s">
        <v>330</v>
      </c>
      <c r="B96" s="20">
        <v>46023</v>
      </c>
      <c r="C96" t="s">
        <v>465</v>
      </c>
      <c r="D96" t="s">
        <v>466</v>
      </c>
      <c r="E96" t="s">
        <v>381</v>
      </c>
      <c r="F96">
        <v>27</v>
      </c>
      <c r="G96">
        <v>0</v>
      </c>
      <c r="H96">
        <f>IF(report_B_CategorieBoekjaar[[#This Row],[BedrijfsCode]]="002",IF(report_B_CategorieBoekjaar[[#This Row],[Boekjaar]]=Projectbegroting!$K$1,report_B_CategorieBoekjaar[[#This Row],[CategorieCode]],0),0)</f>
        <v>0</v>
      </c>
      <c r="I96" t="str">
        <f>IF(report_B_CategorieBoekjaar[[#This Row],[BedrijfsCode]]="001",IF(report_B_CategorieBoekjaar[[#This Row],[Boekjaar]]=Projectbegroting!$K$1,report_B_CategorieBoekjaar[[#This Row],[CategorieCode]],0),0)</f>
        <v>LS</v>
      </c>
    </row>
    <row r="97" spans="1:9" x14ac:dyDescent="0.3">
      <c r="A97" t="s">
        <v>330</v>
      </c>
      <c r="B97" s="20">
        <v>46023</v>
      </c>
      <c r="C97" t="s">
        <v>467</v>
      </c>
      <c r="D97" t="s">
        <v>468</v>
      </c>
      <c r="E97" t="s">
        <v>384</v>
      </c>
      <c r="F97">
        <v>0</v>
      </c>
      <c r="G97">
        <v>0</v>
      </c>
      <c r="H97">
        <f>IF(report_B_CategorieBoekjaar[[#This Row],[BedrijfsCode]]="002",IF(report_B_CategorieBoekjaar[[#This Row],[Boekjaar]]=Projectbegroting!$K$1,report_B_CategorieBoekjaar[[#This Row],[CategorieCode]],0),0)</f>
        <v>0</v>
      </c>
      <c r="I97" t="str">
        <f>IF(report_B_CategorieBoekjaar[[#This Row],[BedrijfsCode]]="001",IF(report_B_CategorieBoekjaar[[#This Row],[Boekjaar]]=Projectbegroting!$K$1,report_B_CategorieBoekjaar[[#This Row],[CategorieCode]],0),0)</f>
        <v>LS-I</v>
      </c>
    </row>
    <row r="98" spans="1:9" x14ac:dyDescent="0.3">
      <c r="A98" t="s">
        <v>330</v>
      </c>
      <c r="B98" s="20">
        <v>46023</v>
      </c>
      <c r="C98" t="s">
        <v>469</v>
      </c>
      <c r="D98" t="s">
        <v>470</v>
      </c>
      <c r="E98" t="s">
        <v>381</v>
      </c>
      <c r="F98">
        <v>56</v>
      </c>
      <c r="G98">
        <v>88</v>
      </c>
      <c r="H98">
        <f>IF(report_B_CategorieBoekjaar[[#This Row],[BedrijfsCode]]="002",IF(report_B_CategorieBoekjaar[[#This Row],[Boekjaar]]=Projectbegroting!$K$1,report_B_CategorieBoekjaar[[#This Row],[CategorieCode]],0),0)</f>
        <v>0</v>
      </c>
      <c r="I98" t="str">
        <f>IF(report_B_CategorieBoekjaar[[#This Row],[BedrijfsCode]]="001",IF(report_B_CategorieBoekjaar[[#This Row],[Boekjaar]]=Projectbegroting!$K$1,report_B_CategorieBoekjaar[[#This Row],[CategorieCode]],0),0)</f>
        <v>MA</v>
      </c>
    </row>
    <row r="99" spans="1:9" x14ac:dyDescent="0.3">
      <c r="A99" t="s">
        <v>330</v>
      </c>
      <c r="B99" s="20">
        <v>46023</v>
      </c>
      <c r="C99" t="s">
        <v>471</v>
      </c>
      <c r="D99" t="s">
        <v>472</v>
      </c>
      <c r="E99" t="s">
        <v>384</v>
      </c>
      <c r="F99">
        <v>111</v>
      </c>
      <c r="G99">
        <v>0</v>
      </c>
      <c r="H99">
        <f>IF(report_B_CategorieBoekjaar[[#This Row],[BedrijfsCode]]="002",IF(report_B_CategorieBoekjaar[[#This Row],[Boekjaar]]=Projectbegroting!$K$1,report_B_CategorieBoekjaar[[#This Row],[CategorieCode]],0),0)</f>
        <v>0</v>
      </c>
      <c r="I99" t="str">
        <f>IF(report_B_CategorieBoekjaar[[#This Row],[BedrijfsCode]]="001",IF(report_B_CategorieBoekjaar[[#This Row],[Boekjaar]]=Projectbegroting!$K$1,report_B_CategorieBoekjaar[[#This Row],[CategorieCode]],0),0)</f>
        <v>MA-I</v>
      </c>
    </row>
    <row r="100" spans="1:9" x14ac:dyDescent="0.3">
      <c r="A100" t="s">
        <v>330</v>
      </c>
      <c r="B100" s="20">
        <v>46023</v>
      </c>
      <c r="C100" t="s">
        <v>62</v>
      </c>
      <c r="D100" t="s">
        <v>473</v>
      </c>
      <c r="E100" t="s">
        <v>381</v>
      </c>
      <c r="F100">
        <v>56</v>
      </c>
      <c r="G100">
        <v>88</v>
      </c>
      <c r="H100">
        <f>IF(report_B_CategorieBoekjaar[[#This Row],[BedrijfsCode]]="002",IF(report_B_CategorieBoekjaar[[#This Row],[Boekjaar]]=Projectbegroting!$K$1,report_B_CategorieBoekjaar[[#This Row],[CategorieCode]],0),0)</f>
        <v>0</v>
      </c>
      <c r="I100" t="str">
        <f>IF(report_B_CategorieBoekjaar[[#This Row],[BedrijfsCode]]="001",IF(report_B_CategorieBoekjaar[[#This Row],[Boekjaar]]=Projectbegroting!$K$1,report_B_CategorieBoekjaar[[#This Row],[CategorieCode]],0),0)</f>
        <v>MCB</v>
      </c>
    </row>
    <row r="101" spans="1:9" x14ac:dyDescent="0.3">
      <c r="A101" t="s">
        <v>330</v>
      </c>
      <c r="B101" s="20">
        <v>46023</v>
      </c>
      <c r="C101" t="s">
        <v>474</v>
      </c>
      <c r="D101" t="s">
        <v>475</v>
      </c>
      <c r="E101" t="s">
        <v>384</v>
      </c>
      <c r="F101">
        <v>111</v>
      </c>
      <c r="G101">
        <v>0</v>
      </c>
      <c r="H101">
        <f>IF(report_B_CategorieBoekjaar[[#This Row],[BedrijfsCode]]="002",IF(report_B_CategorieBoekjaar[[#This Row],[Boekjaar]]=Projectbegroting!$K$1,report_B_CategorieBoekjaar[[#This Row],[CategorieCode]],0),0)</f>
        <v>0</v>
      </c>
      <c r="I101" t="str">
        <f>IF(report_B_CategorieBoekjaar[[#This Row],[BedrijfsCode]]="001",IF(report_B_CategorieBoekjaar[[#This Row],[Boekjaar]]=Projectbegroting!$K$1,report_B_CategorieBoekjaar[[#This Row],[CategorieCode]],0),0)</f>
        <v>MCB-I</v>
      </c>
    </row>
    <row r="102" spans="1:9" x14ac:dyDescent="0.3">
      <c r="A102" t="s">
        <v>330</v>
      </c>
      <c r="B102" s="20">
        <v>46023</v>
      </c>
      <c r="C102" t="s">
        <v>64</v>
      </c>
      <c r="D102" t="s">
        <v>476</v>
      </c>
      <c r="E102" t="s">
        <v>381</v>
      </c>
      <c r="F102">
        <v>50</v>
      </c>
      <c r="G102">
        <v>82</v>
      </c>
      <c r="H102">
        <f>IF(report_B_CategorieBoekjaar[[#This Row],[BedrijfsCode]]="002",IF(report_B_CategorieBoekjaar[[#This Row],[Boekjaar]]=Projectbegroting!$K$1,report_B_CategorieBoekjaar[[#This Row],[CategorieCode]],0),0)</f>
        <v>0</v>
      </c>
      <c r="I102" t="str">
        <f>IF(report_B_CategorieBoekjaar[[#This Row],[BedrijfsCode]]="001",IF(report_B_CategorieBoekjaar[[#This Row],[Boekjaar]]=Projectbegroting!$K$1,report_B_CategorieBoekjaar[[#This Row],[CategorieCode]],0),0)</f>
        <v>MS</v>
      </c>
    </row>
    <row r="103" spans="1:9" x14ac:dyDescent="0.3">
      <c r="A103" t="s">
        <v>330</v>
      </c>
      <c r="B103" s="20">
        <v>46023</v>
      </c>
      <c r="C103" t="s">
        <v>477</v>
      </c>
      <c r="D103" t="s">
        <v>478</v>
      </c>
      <c r="E103" t="s">
        <v>384</v>
      </c>
      <c r="F103">
        <v>105</v>
      </c>
      <c r="G103">
        <v>0</v>
      </c>
      <c r="H103">
        <f>IF(report_B_CategorieBoekjaar[[#This Row],[BedrijfsCode]]="002",IF(report_B_CategorieBoekjaar[[#This Row],[Boekjaar]]=Projectbegroting!$K$1,report_B_CategorieBoekjaar[[#This Row],[CategorieCode]],0),0)</f>
        <v>0</v>
      </c>
      <c r="I103" t="str">
        <f>IF(report_B_CategorieBoekjaar[[#This Row],[BedrijfsCode]]="001",IF(report_B_CategorieBoekjaar[[#This Row],[Boekjaar]]=Projectbegroting!$K$1,report_B_CategorieBoekjaar[[#This Row],[CategorieCode]],0),0)</f>
        <v>MS-I</v>
      </c>
    </row>
    <row r="104" spans="1:9" x14ac:dyDescent="0.3">
      <c r="A104" t="s">
        <v>330</v>
      </c>
      <c r="B104" s="20">
        <v>46023</v>
      </c>
      <c r="C104" t="s">
        <v>80</v>
      </c>
      <c r="D104" t="s">
        <v>81</v>
      </c>
      <c r="E104" t="s">
        <v>381</v>
      </c>
      <c r="F104">
        <v>95</v>
      </c>
      <c r="G104">
        <v>127</v>
      </c>
      <c r="H104">
        <f>IF(report_B_CategorieBoekjaar[[#This Row],[BedrijfsCode]]="002",IF(report_B_CategorieBoekjaar[[#This Row],[Boekjaar]]=Projectbegroting!$K$1,report_B_CategorieBoekjaar[[#This Row],[CategorieCode]],0),0)</f>
        <v>0</v>
      </c>
      <c r="I104" t="str">
        <f>IF(report_B_CategorieBoekjaar[[#This Row],[BedrijfsCode]]="001",IF(report_B_CategorieBoekjaar[[#This Row],[Boekjaar]]=Projectbegroting!$K$1,report_B_CategorieBoekjaar[[#This Row],[CategorieCode]],0),0)</f>
        <v>PDM</v>
      </c>
    </row>
    <row r="105" spans="1:9" x14ac:dyDescent="0.3">
      <c r="A105" t="s">
        <v>330</v>
      </c>
      <c r="B105" s="20">
        <v>46023</v>
      </c>
      <c r="C105" t="s">
        <v>479</v>
      </c>
      <c r="D105" t="s">
        <v>480</v>
      </c>
      <c r="E105" t="s">
        <v>384</v>
      </c>
      <c r="F105">
        <v>150</v>
      </c>
      <c r="G105">
        <v>0</v>
      </c>
      <c r="H105">
        <f>IF(report_B_CategorieBoekjaar[[#This Row],[BedrijfsCode]]="002",IF(report_B_CategorieBoekjaar[[#This Row],[Boekjaar]]=Projectbegroting!$K$1,report_B_CategorieBoekjaar[[#This Row],[CategorieCode]],0),0)</f>
        <v>0</v>
      </c>
      <c r="I105" t="str">
        <f>IF(report_B_CategorieBoekjaar[[#This Row],[BedrijfsCode]]="001",IF(report_B_CategorieBoekjaar[[#This Row],[Boekjaar]]=Projectbegroting!$K$1,report_B_CategorieBoekjaar[[#This Row],[CategorieCode]],0),0)</f>
        <v>PDM-I</v>
      </c>
    </row>
    <row r="106" spans="1:9" x14ac:dyDescent="0.3">
      <c r="A106" t="s">
        <v>330</v>
      </c>
      <c r="B106" s="20">
        <v>46023</v>
      </c>
      <c r="C106" t="s">
        <v>66</v>
      </c>
      <c r="D106" t="s">
        <v>67</v>
      </c>
      <c r="E106" t="s">
        <v>381</v>
      </c>
      <c r="F106">
        <v>87</v>
      </c>
      <c r="G106">
        <v>119</v>
      </c>
      <c r="H106">
        <f>IF(report_B_CategorieBoekjaar[[#This Row],[BedrijfsCode]]="002",IF(report_B_CategorieBoekjaar[[#This Row],[Boekjaar]]=Projectbegroting!$K$1,report_B_CategorieBoekjaar[[#This Row],[CategorieCode]],0),0)</f>
        <v>0</v>
      </c>
      <c r="I106" t="str">
        <f>IF(report_B_CategorieBoekjaar[[#This Row],[BedrijfsCode]]="001",IF(report_B_CategorieBoekjaar[[#This Row],[Boekjaar]]=Projectbegroting!$K$1,report_B_CategorieBoekjaar[[#This Row],[CategorieCode]],0),0)</f>
        <v>PDO</v>
      </c>
    </row>
    <row r="107" spans="1:9" x14ac:dyDescent="0.3">
      <c r="A107" t="s">
        <v>330</v>
      </c>
      <c r="B107" s="20">
        <v>46023</v>
      </c>
      <c r="C107" t="s">
        <v>481</v>
      </c>
      <c r="D107" t="s">
        <v>482</v>
      </c>
      <c r="E107" t="s">
        <v>384</v>
      </c>
      <c r="F107">
        <v>142</v>
      </c>
      <c r="G107">
        <v>0</v>
      </c>
      <c r="H107">
        <f>IF(report_B_CategorieBoekjaar[[#This Row],[BedrijfsCode]]="002",IF(report_B_CategorieBoekjaar[[#This Row],[Boekjaar]]=Projectbegroting!$K$1,report_B_CategorieBoekjaar[[#This Row],[CategorieCode]],0),0)</f>
        <v>0</v>
      </c>
      <c r="I107" t="str">
        <f>IF(report_B_CategorieBoekjaar[[#This Row],[BedrijfsCode]]="001",IF(report_B_CategorieBoekjaar[[#This Row],[Boekjaar]]=Projectbegroting!$K$1,report_B_CategorieBoekjaar[[#This Row],[CategorieCode]],0),0)</f>
        <v>PDO-I</v>
      </c>
    </row>
    <row r="108" spans="1:9" x14ac:dyDescent="0.3">
      <c r="A108" t="s">
        <v>330</v>
      </c>
      <c r="B108" s="20">
        <v>46023</v>
      </c>
      <c r="C108" t="s">
        <v>98</v>
      </c>
      <c r="D108" t="s">
        <v>99</v>
      </c>
      <c r="E108" t="s">
        <v>381</v>
      </c>
      <c r="F108">
        <v>90</v>
      </c>
      <c r="G108">
        <v>122</v>
      </c>
      <c r="H108">
        <f>IF(report_B_CategorieBoekjaar[[#This Row],[BedrijfsCode]]="002",IF(report_B_CategorieBoekjaar[[#This Row],[Boekjaar]]=Projectbegroting!$K$1,report_B_CategorieBoekjaar[[#This Row],[CategorieCode]],0),0)</f>
        <v>0</v>
      </c>
      <c r="I108" t="str">
        <f>IF(report_B_CategorieBoekjaar[[#This Row],[BedrijfsCode]]="001",IF(report_B_CategorieBoekjaar[[#This Row],[Boekjaar]]=Projectbegroting!$K$1,report_B_CategorieBoekjaar[[#This Row],[CategorieCode]],0),0)</f>
        <v>PJM</v>
      </c>
    </row>
    <row r="109" spans="1:9" x14ac:dyDescent="0.3">
      <c r="A109" t="s">
        <v>330</v>
      </c>
      <c r="B109" s="20">
        <v>46023</v>
      </c>
      <c r="C109" t="s">
        <v>483</v>
      </c>
      <c r="D109" t="s">
        <v>484</v>
      </c>
      <c r="E109" t="s">
        <v>381</v>
      </c>
      <c r="F109">
        <v>153</v>
      </c>
      <c r="G109">
        <v>153</v>
      </c>
      <c r="H109">
        <f>IF(report_B_CategorieBoekjaar[[#This Row],[BedrijfsCode]]="002",IF(report_B_CategorieBoekjaar[[#This Row],[Boekjaar]]=Projectbegroting!$K$1,report_B_CategorieBoekjaar[[#This Row],[CategorieCode]],0),0)</f>
        <v>0</v>
      </c>
      <c r="I109" t="str">
        <f>IF(report_B_CategorieBoekjaar[[#This Row],[BedrijfsCode]]="001",IF(report_B_CategorieBoekjaar[[#This Row],[Boekjaar]]=Projectbegroting!$K$1,report_B_CategorieBoekjaar[[#This Row],[CategorieCode]],0),0)</f>
        <v>PJME</v>
      </c>
    </row>
    <row r="110" spans="1:9" x14ac:dyDescent="0.3">
      <c r="A110" t="s">
        <v>330</v>
      </c>
      <c r="B110" s="20">
        <v>46023</v>
      </c>
      <c r="C110" t="s">
        <v>485</v>
      </c>
      <c r="D110" t="s">
        <v>486</v>
      </c>
      <c r="E110" t="s">
        <v>384</v>
      </c>
      <c r="F110">
        <v>153</v>
      </c>
      <c r="G110">
        <v>0</v>
      </c>
      <c r="H110">
        <f>IF(report_B_CategorieBoekjaar[[#This Row],[BedrijfsCode]]="002",IF(report_B_CategorieBoekjaar[[#This Row],[Boekjaar]]=Projectbegroting!$K$1,report_B_CategorieBoekjaar[[#This Row],[CategorieCode]],0),0)</f>
        <v>0</v>
      </c>
      <c r="I110" t="str">
        <f>IF(report_B_CategorieBoekjaar[[#This Row],[BedrijfsCode]]="001",IF(report_B_CategorieBoekjaar[[#This Row],[Boekjaar]]=Projectbegroting!$K$1,report_B_CategorieBoekjaar[[#This Row],[CategorieCode]],0),0)</f>
        <v>PJME-I</v>
      </c>
    </row>
    <row r="111" spans="1:9" x14ac:dyDescent="0.3">
      <c r="A111" t="s">
        <v>330</v>
      </c>
      <c r="B111" s="20">
        <v>46023</v>
      </c>
      <c r="C111" t="s">
        <v>175</v>
      </c>
      <c r="D111" t="s">
        <v>487</v>
      </c>
      <c r="E111" t="s">
        <v>384</v>
      </c>
      <c r="F111">
        <v>145</v>
      </c>
      <c r="G111">
        <v>0</v>
      </c>
      <c r="H111">
        <f>IF(report_B_CategorieBoekjaar[[#This Row],[BedrijfsCode]]="002",IF(report_B_CategorieBoekjaar[[#This Row],[Boekjaar]]=Projectbegroting!$K$1,report_B_CategorieBoekjaar[[#This Row],[CategorieCode]],0),0)</f>
        <v>0</v>
      </c>
      <c r="I111" t="str">
        <f>IF(report_B_CategorieBoekjaar[[#This Row],[BedrijfsCode]]="001",IF(report_B_CategorieBoekjaar[[#This Row],[Boekjaar]]=Projectbegroting!$K$1,report_B_CategorieBoekjaar[[#This Row],[CategorieCode]],0),0)</f>
        <v>PJM-I</v>
      </c>
    </row>
    <row r="112" spans="1:9" x14ac:dyDescent="0.3">
      <c r="A112" t="s">
        <v>330</v>
      </c>
      <c r="B112" s="20">
        <v>46023</v>
      </c>
      <c r="C112" t="s">
        <v>488</v>
      </c>
      <c r="D112" t="s">
        <v>489</v>
      </c>
      <c r="E112" t="s">
        <v>381</v>
      </c>
      <c r="F112">
        <v>80</v>
      </c>
      <c r="G112">
        <v>112</v>
      </c>
      <c r="H112">
        <f>IF(report_B_CategorieBoekjaar[[#This Row],[BedrijfsCode]]="002",IF(report_B_CategorieBoekjaar[[#This Row],[Boekjaar]]=Projectbegroting!$K$1,report_B_CategorieBoekjaar[[#This Row],[CategorieCode]],0),0)</f>
        <v>0</v>
      </c>
      <c r="I112" t="str">
        <f>IF(report_B_CategorieBoekjaar[[#This Row],[BedrijfsCode]]="001",IF(report_B_CategorieBoekjaar[[#This Row],[Boekjaar]]=Projectbegroting!$K$1,report_B_CategorieBoekjaar[[#This Row],[CategorieCode]],0),0)</f>
        <v>PRMAN</v>
      </c>
    </row>
    <row r="113" spans="1:9" x14ac:dyDescent="0.3">
      <c r="A113" t="s">
        <v>330</v>
      </c>
      <c r="B113" s="20">
        <v>46023</v>
      </c>
      <c r="C113" t="s">
        <v>490</v>
      </c>
      <c r="D113" t="s">
        <v>491</v>
      </c>
      <c r="E113" t="s">
        <v>384</v>
      </c>
      <c r="F113">
        <v>135</v>
      </c>
      <c r="G113">
        <v>0</v>
      </c>
      <c r="H113">
        <f>IF(report_B_CategorieBoekjaar[[#This Row],[BedrijfsCode]]="002",IF(report_B_CategorieBoekjaar[[#This Row],[Boekjaar]]=Projectbegroting!$K$1,report_B_CategorieBoekjaar[[#This Row],[CategorieCode]],0),0)</f>
        <v>0</v>
      </c>
      <c r="I113" t="str">
        <f>IF(report_B_CategorieBoekjaar[[#This Row],[BedrijfsCode]]="001",IF(report_B_CategorieBoekjaar[[#This Row],[Boekjaar]]=Projectbegroting!$K$1,report_B_CategorieBoekjaar[[#This Row],[CategorieCode]],0),0)</f>
        <v>PRMAN-I</v>
      </c>
    </row>
    <row r="114" spans="1:9" x14ac:dyDescent="0.3">
      <c r="A114" t="s">
        <v>330</v>
      </c>
      <c r="B114" s="20">
        <v>46023</v>
      </c>
      <c r="C114" t="s">
        <v>68</v>
      </c>
      <c r="D114" t="s">
        <v>492</v>
      </c>
      <c r="E114" t="s">
        <v>381</v>
      </c>
      <c r="F114">
        <v>56</v>
      </c>
      <c r="G114">
        <v>88</v>
      </c>
      <c r="H114">
        <f>IF(report_B_CategorieBoekjaar[[#This Row],[BedrijfsCode]]="002",IF(report_B_CategorieBoekjaar[[#This Row],[Boekjaar]]=Projectbegroting!$K$1,report_B_CategorieBoekjaar[[#This Row],[CategorieCode]],0),0)</f>
        <v>0</v>
      </c>
      <c r="I114" t="str">
        <f>IF(report_B_CategorieBoekjaar[[#This Row],[BedrijfsCode]]="001",IF(report_B_CategorieBoekjaar[[#This Row],[Boekjaar]]=Projectbegroting!$K$1,report_B_CategorieBoekjaar[[#This Row],[CategorieCode]],0),0)</f>
        <v>PRO</v>
      </c>
    </row>
    <row r="115" spans="1:9" x14ac:dyDescent="0.3">
      <c r="A115" t="s">
        <v>330</v>
      </c>
      <c r="B115" s="20">
        <v>46023</v>
      </c>
      <c r="C115" t="s">
        <v>177</v>
      </c>
      <c r="D115" t="s">
        <v>493</v>
      </c>
      <c r="E115" t="s">
        <v>384</v>
      </c>
      <c r="F115">
        <v>111</v>
      </c>
      <c r="G115">
        <v>0</v>
      </c>
      <c r="H115">
        <f>IF(report_B_CategorieBoekjaar[[#This Row],[BedrijfsCode]]="002",IF(report_B_CategorieBoekjaar[[#This Row],[Boekjaar]]=Projectbegroting!$K$1,report_B_CategorieBoekjaar[[#This Row],[CategorieCode]],0),0)</f>
        <v>0</v>
      </c>
      <c r="I115" t="str">
        <f>IF(report_B_CategorieBoekjaar[[#This Row],[BedrijfsCode]]="001",IF(report_B_CategorieBoekjaar[[#This Row],[Boekjaar]]=Projectbegroting!$K$1,report_B_CategorieBoekjaar[[#This Row],[CategorieCode]],0),0)</f>
        <v>PRO-I</v>
      </c>
    </row>
    <row r="116" spans="1:9" x14ac:dyDescent="0.3">
      <c r="A116" t="s">
        <v>330</v>
      </c>
      <c r="B116" s="20">
        <v>46023</v>
      </c>
      <c r="C116" t="s">
        <v>494</v>
      </c>
      <c r="D116" t="s">
        <v>495</v>
      </c>
      <c r="E116" t="s">
        <v>381</v>
      </c>
      <c r="F116">
        <v>50</v>
      </c>
      <c r="G116">
        <v>82</v>
      </c>
      <c r="H116">
        <f>IF(report_B_CategorieBoekjaar[[#This Row],[BedrijfsCode]]="002",IF(report_B_CategorieBoekjaar[[#This Row],[Boekjaar]]=Projectbegroting!$K$1,report_B_CategorieBoekjaar[[#This Row],[CategorieCode]],0),0)</f>
        <v>0</v>
      </c>
      <c r="I116" t="str">
        <f>IF(report_B_CategorieBoekjaar[[#This Row],[BedrijfsCode]]="001",IF(report_B_CategorieBoekjaar[[#This Row],[Boekjaar]]=Projectbegroting!$K$1,report_B_CategorieBoekjaar[[#This Row],[CategorieCode]],0),0)</f>
        <v>PROM</v>
      </c>
    </row>
    <row r="117" spans="1:9" x14ac:dyDescent="0.3">
      <c r="A117" t="s">
        <v>330</v>
      </c>
      <c r="B117" s="20">
        <v>46023</v>
      </c>
      <c r="C117" t="s">
        <v>496</v>
      </c>
      <c r="D117" t="s">
        <v>497</v>
      </c>
      <c r="E117" t="s">
        <v>384</v>
      </c>
      <c r="F117">
        <v>105</v>
      </c>
      <c r="G117">
        <v>0</v>
      </c>
      <c r="H117">
        <f>IF(report_B_CategorieBoekjaar[[#This Row],[BedrijfsCode]]="002",IF(report_B_CategorieBoekjaar[[#This Row],[Boekjaar]]=Projectbegroting!$K$1,report_B_CategorieBoekjaar[[#This Row],[CategorieCode]],0),0)</f>
        <v>0</v>
      </c>
      <c r="I117" t="str">
        <f>IF(report_B_CategorieBoekjaar[[#This Row],[BedrijfsCode]]="001",IF(report_B_CategorieBoekjaar[[#This Row],[Boekjaar]]=Projectbegroting!$K$1,report_B_CategorieBoekjaar[[#This Row],[CategorieCode]],0),0)</f>
        <v>PROM-I</v>
      </c>
    </row>
    <row r="118" spans="1:9" x14ac:dyDescent="0.3">
      <c r="A118" t="s">
        <v>330</v>
      </c>
      <c r="B118" s="20">
        <v>46023</v>
      </c>
      <c r="C118" t="s">
        <v>70</v>
      </c>
      <c r="D118" t="s">
        <v>498</v>
      </c>
      <c r="E118" t="s">
        <v>381</v>
      </c>
      <c r="F118">
        <v>46</v>
      </c>
      <c r="G118">
        <v>78</v>
      </c>
      <c r="H118">
        <f>IF(report_B_CategorieBoekjaar[[#This Row],[BedrijfsCode]]="002",IF(report_B_CategorieBoekjaar[[#This Row],[Boekjaar]]=Projectbegroting!$K$1,report_B_CategorieBoekjaar[[#This Row],[CategorieCode]],0),0)</f>
        <v>0</v>
      </c>
      <c r="I118" t="str">
        <f>IF(report_B_CategorieBoekjaar[[#This Row],[BedrijfsCode]]="001",IF(report_B_CategorieBoekjaar[[#This Row],[Boekjaar]]=Projectbegroting!$K$1,report_B_CategorieBoekjaar[[#This Row],[CategorieCode]],0),0)</f>
        <v>PS</v>
      </c>
    </row>
    <row r="119" spans="1:9" x14ac:dyDescent="0.3">
      <c r="A119" t="s">
        <v>330</v>
      </c>
      <c r="B119" s="20">
        <v>46023</v>
      </c>
      <c r="C119" t="s">
        <v>499</v>
      </c>
      <c r="D119" t="s">
        <v>500</v>
      </c>
      <c r="E119" t="s">
        <v>384</v>
      </c>
      <c r="F119">
        <v>101</v>
      </c>
      <c r="G119">
        <v>0</v>
      </c>
      <c r="H119">
        <f>IF(report_B_CategorieBoekjaar[[#This Row],[BedrijfsCode]]="002",IF(report_B_CategorieBoekjaar[[#This Row],[Boekjaar]]=Projectbegroting!$K$1,report_B_CategorieBoekjaar[[#This Row],[CategorieCode]],0),0)</f>
        <v>0</v>
      </c>
      <c r="I119" t="str">
        <f>IF(report_B_CategorieBoekjaar[[#This Row],[BedrijfsCode]]="001",IF(report_B_CategorieBoekjaar[[#This Row],[Boekjaar]]=Projectbegroting!$K$1,report_B_CategorieBoekjaar[[#This Row],[CategorieCode]],0),0)</f>
        <v>PS-I</v>
      </c>
    </row>
    <row r="120" spans="1:9" x14ac:dyDescent="0.3">
      <c r="A120" t="s">
        <v>330</v>
      </c>
      <c r="B120" s="20">
        <v>46023</v>
      </c>
      <c r="C120" t="s">
        <v>501</v>
      </c>
      <c r="D120" t="s">
        <v>502</v>
      </c>
      <c r="E120" t="s">
        <v>381</v>
      </c>
      <c r="F120">
        <v>83</v>
      </c>
      <c r="G120">
        <v>115</v>
      </c>
      <c r="H120">
        <f>IF(report_B_CategorieBoekjaar[[#This Row],[BedrijfsCode]]="002",IF(report_B_CategorieBoekjaar[[#This Row],[Boekjaar]]=Projectbegroting!$K$1,report_B_CategorieBoekjaar[[#This Row],[CategorieCode]],0),0)</f>
        <v>0</v>
      </c>
      <c r="I120" t="str">
        <f>IF(report_B_CategorieBoekjaar[[#This Row],[BedrijfsCode]]="001",IF(report_B_CategorieBoekjaar[[#This Row],[Boekjaar]]=Projectbegroting!$K$1,report_B_CategorieBoekjaar[[#This Row],[CategorieCode]],0),0)</f>
        <v>RD</v>
      </c>
    </row>
    <row r="121" spans="1:9" x14ac:dyDescent="0.3">
      <c r="A121" t="s">
        <v>330</v>
      </c>
      <c r="B121" s="20">
        <v>46023</v>
      </c>
      <c r="C121" t="s">
        <v>503</v>
      </c>
      <c r="D121" t="s">
        <v>504</v>
      </c>
      <c r="E121" t="s">
        <v>384</v>
      </c>
      <c r="F121">
        <v>138</v>
      </c>
      <c r="G121">
        <v>0</v>
      </c>
      <c r="H121">
        <f>IF(report_B_CategorieBoekjaar[[#This Row],[BedrijfsCode]]="002",IF(report_B_CategorieBoekjaar[[#This Row],[Boekjaar]]=Projectbegroting!$K$1,report_B_CategorieBoekjaar[[#This Row],[CategorieCode]],0),0)</f>
        <v>0</v>
      </c>
      <c r="I121" t="str">
        <f>IF(report_B_CategorieBoekjaar[[#This Row],[BedrijfsCode]]="001",IF(report_B_CategorieBoekjaar[[#This Row],[Boekjaar]]=Projectbegroting!$K$1,report_B_CategorieBoekjaar[[#This Row],[CategorieCode]],0),0)</f>
        <v>RD-I</v>
      </c>
    </row>
    <row r="122" spans="1:9" x14ac:dyDescent="0.3">
      <c r="A122" t="s">
        <v>330</v>
      </c>
      <c r="B122" s="20">
        <v>46023</v>
      </c>
      <c r="C122" t="s">
        <v>505</v>
      </c>
      <c r="D122" t="s">
        <v>506</v>
      </c>
      <c r="E122" t="s">
        <v>381</v>
      </c>
      <c r="F122">
        <v>0</v>
      </c>
      <c r="G122">
        <v>0</v>
      </c>
      <c r="H122">
        <f>IF(report_B_CategorieBoekjaar[[#This Row],[BedrijfsCode]]="002",IF(report_B_CategorieBoekjaar[[#This Row],[Boekjaar]]=Projectbegroting!$K$1,report_B_CategorieBoekjaar[[#This Row],[CategorieCode]],0),0)</f>
        <v>0</v>
      </c>
      <c r="I122" t="str">
        <f>IF(report_B_CategorieBoekjaar[[#This Row],[BedrijfsCode]]="001",IF(report_B_CategorieBoekjaar[[#This Row],[Boekjaar]]=Projectbegroting!$K$1,report_B_CategorieBoekjaar[[#This Row],[CategorieCode]],0),0)</f>
        <v>RP</v>
      </c>
    </row>
    <row r="123" spans="1:9" x14ac:dyDescent="0.3">
      <c r="A123" t="s">
        <v>330</v>
      </c>
      <c r="B123" s="20">
        <v>46023</v>
      </c>
      <c r="C123" t="s">
        <v>507</v>
      </c>
      <c r="D123" t="s">
        <v>508</v>
      </c>
      <c r="E123" t="s">
        <v>384</v>
      </c>
      <c r="F123">
        <v>0</v>
      </c>
      <c r="G123">
        <v>0</v>
      </c>
      <c r="H123">
        <f>IF(report_B_CategorieBoekjaar[[#This Row],[BedrijfsCode]]="002",IF(report_B_CategorieBoekjaar[[#This Row],[Boekjaar]]=Projectbegroting!$K$1,report_B_CategorieBoekjaar[[#This Row],[CategorieCode]],0),0)</f>
        <v>0</v>
      </c>
      <c r="I123" t="str">
        <f>IF(report_B_CategorieBoekjaar[[#This Row],[BedrijfsCode]]="001",IF(report_B_CategorieBoekjaar[[#This Row],[Boekjaar]]=Projectbegroting!$K$1,report_B_CategorieBoekjaar[[#This Row],[CategorieCode]],0),0)</f>
        <v>RP-I</v>
      </c>
    </row>
    <row r="124" spans="1:9" x14ac:dyDescent="0.3">
      <c r="A124" t="s">
        <v>330</v>
      </c>
      <c r="B124" s="20">
        <v>46023</v>
      </c>
      <c r="C124" t="s">
        <v>509</v>
      </c>
      <c r="D124" t="s">
        <v>510</v>
      </c>
      <c r="E124" t="s">
        <v>381</v>
      </c>
      <c r="F124">
        <v>197</v>
      </c>
      <c r="G124">
        <v>229</v>
      </c>
      <c r="H124">
        <f>IF(report_B_CategorieBoekjaar[[#This Row],[BedrijfsCode]]="002",IF(report_B_CategorieBoekjaar[[#This Row],[Boekjaar]]=Projectbegroting!$K$1,report_B_CategorieBoekjaar[[#This Row],[CategorieCode]],0),0)</f>
        <v>0</v>
      </c>
      <c r="I124" t="str">
        <f>IF(report_B_CategorieBoekjaar[[#This Row],[BedrijfsCode]]="001",IF(report_B_CategorieBoekjaar[[#This Row],[Boekjaar]]=Projectbegroting!$K$1,report_B_CategorieBoekjaar[[#This Row],[CategorieCode]],0),0)</f>
        <v>RvB</v>
      </c>
    </row>
    <row r="125" spans="1:9" x14ac:dyDescent="0.3">
      <c r="A125" t="s">
        <v>330</v>
      </c>
      <c r="B125" s="20">
        <v>46023</v>
      </c>
      <c r="C125" t="s">
        <v>511</v>
      </c>
      <c r="D125" t="s">
        <v>512</v>
      </c>
      <c r="E125" t="s">
        <v>381</v>
      </c>
      <c r="F125">
        <v>0</v>
      </c>
      <c r="G125">
        <v>0</v>
      </c>
      <c r="H125">
        <f>IF(report_B_CategorieBoekjaar[[#This Row],[BedrijfsCode]]="002",IF(report_B_CategorieBoekjaar[[#This Row],[Boekjaar]]=Projectbegroting!$K$1,report_B_CategorieBoekjaar[[#This Row],[CategorieCode]],0),0)</f>
        <v>0</v>
      </c>
      <c r="I125" t="str">
        <f>IF(report_B_CategorieBoekjaar[[#This Row],[BedrijfsCode]]="001",IF(report_B_CategorieBoekjaar[[#This Row],[Boekjaar]]=Projectbegroting!$K$1,report_B_CategorieBoekjaar[[#This Row],[CategorieCode]],0),0)</f>
        <v>STAGE</v>
      </c>
    </row>
    <row r="126" spans="1:9" x14ac:dyDescent="0.3">
      <c r="A126" t="s">
        <v>330</v>
      </c>
      <c r="B126" s="20">
        <v>46023</v>
      </c>
      <c r="C126" t="s">
        <v>92</v>
      </c>
      <c r="D126" t="s">
        <v>513</v>
      </c>
      <c r="E126" t="s">
        <v>381</v>
      </c>
      <c r="F126">
        <v>70</v>
      </c>
      <c r="G126">
        <v>102</v>
      </c>
      <c r="H126">
        <f>IF(report_B_CategorieBoekjaar[[#This Row],[BedrijfsCode]]="002",IF(report_B_CategorieBoekjaar[[#This Row],[Boekjaar]]=Projectbegroting!$K$1,report_B_CategorieBoekjaar[[#This Row],[CategorieCode]],0),0)</f>
        <v>0</v>
      </c>
      <c r="I126" t="str">
        <f>IF(report_B_CategorieBoekjaar[[#This Row],[BedrijfsCode]]="001",IF(report_B_CategorieBoekjaar[[#This Row],[Boekjaar]]=Projectbegroting!$K$1,report_B_CategorieBoekjaar[[#This Row],[CategorieCode]],0),0)</f>
        <v>TEST</v>
      </c>
    </row>
    <row r="127" spans="1:9" x14ac:dyDescent="0.3">
      <c r="A127" t="s">
        <v>330</v>
      </c>
      <c r="B127" s="20">
        <v>46023</v>
      </c>
      <c r="C127" t="s">
        <v>514</v>
      </c>
      <c r="D127" t="s">
        <v>515</v>
      </c>
      <c r="E127" t="s">
        <v>384</v>
      </c>
      <c r="F127">
        <v>125</v>
      </c>
      <c r="G127">
        <v>0</v>
      </c>
      <c r="H127">
        <f>IF(report_B_CategorieBoekjaar[[#This Row],[BedrijfsCode]]="002",IF(report_B_CategorieBoekjaar[[#This Row],[Boekjaar]]=Projectbegroting!$K$1,report_B_CategorieBoekjaar[[#This Row],[CategorieCode]],0),0)</f>
        <v>0</v>
      </c>
      <c r="I127" t="str">
        <f>IF(report_B_CategorieBoekjaar[[#This Row],[BedrijfsCode]]="001",IF(report_B_CategorieBoekjaar[[#This Row],[Boekjaar]]=Projectbegroting!$K$1,report_B_CategorieBoekjaar[[#This Row],[CategorieCode]],0),0)</f>
        <v>TEST-I</v>
      </c>
    </row>
    <row r="128" spans="1:9" x14ac:dyDescent="0.3">
      <c r="A128" t="s">
        <v>330</v>
      </c>
      <c r="B128" s="20">
        <v>46023</v>
      </c>
      <c r="C128" t="s">
        <v>72</v>
      </c>
      <c r="D128" t="s">
        <v>516</v>
      </c>
      <c r="E128" t="s">
        <v>381</v>
      </c>
      <c r="F128">
        <v>63</v>
      </c>
      <c r="G128">
        <v>95</v>
      </c>
      <c r="H128">
        <f>IF(report_B_CategorieBoekjaar[[#This Row],[BedrijfsCode]]="002",IF(report_B_CategorieBoekjaar[[#This Row],[Boekjaar]]=Projectbegroting!$K$1,report_B_CategorieBoekjaar[[#This Row],[CategorieCode]],0),0)</f>
        <v>0</v>
      </c>
      <c r="I128" t="str">
        <f>IF(report_B_CategorieBoekjaar[[#This Row],[BedrijfsCode]]="001",IF(report_B_CategorieBoekjaar[[#This Row],[Boekjaar]]=Projectbegroting!$K$1,report_B_CategorieBoekjaar[[#This Row],[CategorieCode]],0),0)</f>
        <v>TOE</v>
      </c>
    </row>
    <row r="129" spans="1:9" x14ac:dyDescent="0.3">
      <c r="A129" t="s">
        <v>330</v>
      </c>
      <c r="B129" s="20">
        <v>46023</v>
      </c>
      <c r="C129" t="s">
        <v>517</v>
      </c>
      <c r="D129" t="s">
        <v>518</v>
      </c>
      <c r="E129" t="s">
        <v>384</v>
      </c>
      <c r="F129">
        <v>118</v>
      </c>
      <c r="G129">
        <v>0</v>
      </c>
      <c r="H129">
        <f>IF(report_B_CategorieBoekjaar[[#This Row],[BedrijfsCode]]="002",IF(report_B_CategorieBoekjaar[[#This Row],[Boekjaar]]=Projectbegroting!$K$1,report_B_CategorieBoekjaar[[#This Row],[CategorieCode]],0),0)</f>
        <v>0</v>
      </c>
      <c r="I129" t="str">
        <f>IF(report_B_CategorieBoekjaar[[#This Row],[BedrijfsCode]]="001",IF(report_B_CategorieBoekjaar[[#This Row],[Boekjaar]]=Projectbegroting!$K$1,report_B_CategorieBoekjaar[[#This Row],[CategorieCode]],0),0)</f>
        <v>TOE-I</v>
      </c>
    </row>
    <row r="130" spans="1:9" x14ac:dyDescent="0.3">
      <c r="A130" t="s">
        <v>330</v>
      </c>
      <c r="B130" s="20">
        <v>46023</v>
      </c>
      <c r="C130" t="s">
        <v>74</v>
      </c>
      <c r="D130" t="s">
        <v>75</v>
      </c>
      <c r="E130" t="s">
        <v>381</v>
      </c>
      <c r="F130">
        <v>50</v>
      </c>
      <c r="G130">
        <v>82</v>
      </c>
      <c r="H130">
        <f>IF(report_B_CategorieBoekjaar[[#This Row],[BedrijfsCode]]="002",IF(report_B_CategorieBoekjaar[[#This Row],[Boekjaar]]=Projectbegroting!$K$1,report_B_CategorieBoekjaar[[#This Row],[CategorieCode]],0),0)</f>
        <v>0</v>
      </c>
      <c r="I130" t="str">
        <f>IF(report_B_CategorieBoekjaar[[#This Row],[BedrijfsCode]]="001",IF(report_B_CategorieBoekjaar[[#This Row],[Boekjaar]]=Projectbegroting!$K$1,report_B_CategorieBoekjaar[[#This Row],[CategorieCode]],0),0)</f>
        <v>TOM</v>
      </c>
    </row>
    <row r="131" spans="1:9" x14ac:dyDescent="0.3">
      <c r="A131" t="s">
        <v>330</v>
      </c>
      <c r="B131" s="20">
        <v>46023</v>
      </c>
      <c r="C131" t="s">
        <v>178</v>
      </c>
      <c r="D131" t="s">
        <v>519</v>
      </c>
      <c r="E131" t="s">
        <v>384</v>
      </c>
      <c r="F131">
        <v>105</v>
      </c>
      <c r="G131">
        <v>0</v>
      </c>
      <c r="H131">
        <f>IF(report_B_CategorieBoekjaar[[#This Row],[BedrijfsCode]]="002",IF(report_B_CategorieBoekjaar[[#This Row],[Boekjaar]]=Projectbegroting!$K$1,report_B_CategorieBoekjaar[[#This Row],[CategorieCode]],0),0)</f>
        <v>0</v>
      </c>
      <c r="I131" t="str">
        <f>IF(report_B_CategorieBoekjaar[[#This Row],[BedrijfsCode]]="001",IF(report_B_CategorieBoekjaar[[#This Row],[Boekjaar]]=Projectbegroting!$K$1,report_B_CategorieBoekjaar[[#This Row],[CategorieCode]],0),0)</f>
        <v>TOM-I</v>
      </c>
    </row>
    <row r="132" spans="1:9" x14ac:dyDescent="0.3">
      <c r="A132" t="s">
        <v>330</v>
      </c>
      <c r="B132" s="20">
        <v>46023</v>
      </c>
      <c r="C132" t="s">
        <v>76</v>
      </c>
      <c r="D132" t="s">
        <v>77</v>
      </c>
      <c r="E132" t="s">
        <v>381</v>
      </c>
      <c r="F132">
        <v>87</v>
      </c>
      <c r="G132">
        <v>119</v>
      </c>
      <c r="H132">
        <f>IF(report_B_CategorieBoekjaar[[#This Row],[BedrijfsCode]]="002",IF(report_B_CategorieBoekjaar[[#This Row],[Boekjaar]]=Projectbegroting!$K$1,report_B_CategorieBoekjaar[[#This Row],[CategorieCode]],0),0)</f>
        <v>0</v>
      </c>
      <c r="I132" t="str">
        <f>IF(report_B_CategorieBoekjaar[[#This Row],[BedrijfsCode]]="001",IF(report_B_CategorieBoekjaar[[#This Row],[Boekjaar]]=Projectbegroting!$K$1,report_B_CategorieBoekjaar[[#This Row],[CategorieCode]],0),0)</f>
        <v>TRA</v>
      </c>
    </row>
    <row r="133" spans="1:9" x14ac:dyDescent="0.3">
      <c r="A133" t="s">
        <v>330</v>
      </c>
      <c r="B133" s="20">
        <v>46023</v>
      </c>
      <c r="C133" t="s">
        <v>520</v>
      </c>
      <c r="D133" t="s">
        <v>521</v>
      </c>
      <c r="E133" t="s">
        <v>384</v>
      </c>
      <c r="F133">
        <v>142</v>
      </c>
      <c r="G133">
        <v>0</v>
      </c>
      <c r="H133">
        <f>IF(report_B_CategorieBoekjaar[[#This Row],[BedrijfsCode]]="002",IF(report_B_CategorieBoekjaar[[#This Row],[Boekjaar]]=Projectbegroting!$K$1,report_B_CategorieBoekjaar[[#This Row],[CategorieCode]],0),0)</f>
        <v>0</v>
      </c>
      <c r="I133" t="str">
        <f>IF(report_B_CategorieBoekjaar[[#This Row],[BedrijfsCode]]="001",IF(report_B_CategorieBoekjaar[[#This Row],[Boekjaar]]=Projectbegroting!$K$1,report_B_CategorieBoekjaar[[#This Row],[CategorieCode]],0),0)</f>
        <v>TRA-I</v>
      </c>
    </row>
    <row r="134" spans="1:9" x14ac:dyDescent="0.3">
      <c r="A134" t="s">
        <v>330</v>
      </c>
      <c r="B134" s="20">
        <v>46023</v>
      </c>
      <c r="C134" t="s">
        <v>522</v>
      </c>
      <c r="D134" t="s">
        <v>523</v>
      </c>
      <c r="E134" t="s">
        <v>381</v>
      </c>
      <c r="F134">
        <v>93</v>
      </c>
      <c r="G134">
        <v>125</v>
      </c>
      <c r="H134">
        <f>IF(report_B_CategorieBoekjaar[[#This Row],[BedrijfsCode]]="002",IF(report_B_CategorieBoekjaar[[#This Row],[Boekjaar]]=Projectbegroting!$K$1,report_B_CategorieBoekjaar[[#This Row],[CategorieCode]],0),0)</f>
        <v>0</v>
      </c>
      <c r="I134" t="str">
        <f>IF(report_B_CategorieBoekjaar[[#This Row],[BedrijfsCode]]="001",IF(report_B_CategorieBoekjaar[[#This Row],[Boekjaar]]=Projectbegroting!$K$1,report_B_CategorieBoekjaar[[#This Row],[CategorieCode]],0),0)</f>
        <v>VL</v>
      </c>
    </row>
    <row r="135" spans="1:9" x14ac:dyDescent="0.3">
      <c r="A135" t="s">
        <v>330</v>
      </c>
      <c r="B135" s="20">
        <v>46023</v>
      </c>
      <c r="C135" t="s">
        <v>78</v>
      </c>
      <c r="D135" t="s">
        <v>79</v>
      </c>
      <c r="E135" t="s">
        <v>381</v>
      </c>
      <c r="F135">
        <v>76</v>
      </c>
      <c r="G135">
        <v>120</v>
      </c>
      <c r="H135">
        <f>IF(report_B_CategorieBoekjaar[[#This Row],[BedrijfsCode]]="002",IF(report_B_CategorieBoekjaar[[#This Row],[Boekjaar]]=Projectbegroting!$K$1,report_B_CategorieBoekjaar[[#This Row],[CategorieCode]],0),0)</f>
        <v>0</v>
      </c>
      <c r="I135" t="str">
        <f>IF(report_B_CategorieBoekjaar[[#This Row],[BedrijfsCode]]="001",IF(report_B_CategorieBoekjaar[[#This Row],[Boekjaar]]=Projectbegroting!$K$1,report_B_CategorieBoekjaar[[#This Row],[CategorieCode]],0),0)</f>
        <v>WO</v>
      </c>
    </row>
    <row r="136" spans="1:9" x14ac:dyDescent="0.3">
      <c r="A136" t="s">
        <v>330</v>
      </c>
      <c r="B136" s="20">
        <v>46023</v>
      </c>
      <c r="C136" t="s">
        <v>176</v>
      </c>
      <c r="D136" t="s">
        <v>524</v>
      </c>
      <c r="E136" t="s">
        <v>384</v>
      </c>
      <c r="F136">
        <v>131</v>
      </c>
      <c r="G136">
        <v>0</v>
      </c>
      <c r="H136">
        <f>IF(report_B_CategorieBoekjaar[[#This Row],[BedrijfsCode]]="002",IF(report_B_CategorieBoekjaar[[#This Row],[Boekjaar]]=Projectbegroting!$K$1,report_B_CategorieBoekjaar[[#This Row],[CategorieCode]],0),0)</f>
        <v>0</v>
      </c>
      <c r="I136" t="str">
        <f>IF(report_B_CategorieBoekjaar[[#This Row],[BedrijfsCode]]="001",IF(report_B_CategorieBoekjaar[[#This Row],[Boekjaar]]=Projectbegroting!$K$1,report_B_CategorieBoekjaar[[#This Row],[CategorieCode]],0),0)</f>
        <v>WO-I</v>
      </c>
    </row>
    <row r="137" spans="1:9" hidden="1" x14ac:dyDescent="0.3">
      <c r="A137" t="s">
        <v>525</v>
      </c>
      <c r="B137" s="20">
        <v>46023</v>
      </c>
      <c r="C137" t="s">
        <v>179</v>
      </c>
      <c r="D137" t="s">
        <v>331</v>
      </c>
      <c r="E137" t="s">
        <v>217</v>
      </c>
      <c r="F137">
        <v>0</v>
      </c>
      <c r="G137">
        <v>0</v>
      </c>
      <c r="H137" t="str">
        <f>IF(report_B_CategorieBoekjaar[[#This Row],[BedrijfsCode]]="002",IF(report_B_CategorieBoekjaar[[#This Row],[Boekjaar]]=Projectbegroting!$K$1,report_B_CategorieBoekjaar[[#This Row],[CategorieCode]],0),0)</f>
        <v>310</v>
      </c>
      <c r="I137">
        <f>IF(report_B_CategorieBoekjaar[[#This Row],[BedrijfsCode]]="001",IF(report_B_CategorieBoekjaar[[#This Row],[Boekjaar]]=Projectbegroting!$K$1,report_B_CategorieBoekjaar[[#This Row],[CategorieCode]],0),0)</f>
        <v>0</v>
      </c>
    </row>
    <row r="138" spans="1:9" hidden="1" x14ac:dyDescent="0.3">
      <c r="A138" t="s">
        <v>525</v>
      </c>
      <c r="B138" s="20">
        <v>46023</v>
      </c>
      <c r="C138" t="s">
        <v>180</v>
      </c>
      <c r="D138" t="s">
        <v>332</v>
      </c>
      <c r="E138" t="s">
        <v>217</v>
      </c>
      <c r="F138">
        <v>0</v>
      </c>
      <c r="G138">
        <v>0</v>
      </c>
      <c r="H138" t="str">
        <f>IF(report_B_CategorieBoekjaar[[#This Row],[BedrijfsCode]]="002",IF(report_B_CategorieBoekjaar[[#This Row],[Boekjaar]]=Projectbegroting!$K$1,report_B_CategorieBoekjaar[[#This Row],[CategorieCode]],0),0)</f>
        <v>350</v>
      </c>
      <c r="I138">
        <f>IF(report_B_CategorieBoekjaar[[#This Row],[BedrijfsCode]]="001",IF(report_B_CategorieBoekjaar[[#This Row],[Boekjaar]]=Projectbegroting!$K$1,report_B_CategorieBoekjaar[[#This Row],[CategorieCode]],0),0)</f>
        <v>0</v>
      </c>
    </row>
    <row r="139" spans="1:9" hidden="1" x14ac:dyDescent="0.3">
      <c r="A139" t="s">
        <v>525</v>
      </c>
      <c r="B139" s="20">
        <v>46023</v>
      </c>
      <c r="C139" t="s">
        <v>181</v>
      </c>
      <c r="D139" t="s">
        <v>333</v>
      </c>
      <c r="E139" t="s">
        <v>217</v>
      </c>
      <c r="F139">
        <v>0</v>
      </c>
      <c r="G139">
        <v>0</v>
      </c>
      <c r="H139" t="str">
        <f>IF(report_B_CategorieBoekjaar[[#This Row],[BedrijfsCode]]="002",IF(report_B_CategorieBoekjaar[[#This Row],[Boekjaar]]=Projectbegroting!$K$1,report_B_CategorieBoekjaar[[#This Row],[CategorieCode]],0),0)</f>
        <v>410</v>
      </c>
      <c r="I139">
        <f>IF(report_B_CategorieBoekjaar[[#This Row],[BedrijfsCode]]="001",IF(report_B_CategorieBoekjaar[[#This Row],[Boekjaar]]=Projectbegroting!$K$1,report_B_CategorieBoekjaar[[#This Row],[CategorieCode]],0),0)</f>
        <v>0</v>
      </c>
    </row>
    <row r="140" spans="1:9" hidden="1" x14ac:dyDescent="0.3">
      <c r="A140" t="s">
        <v>525</v>
      </c>
      <c r="B140" s="20">
        <v>46023</v>
      </c>
      <c r="C140" t="s">
        <v>182</v>
      </c>
      <c r="D140" t="s">
        <v>334</v>
      </c>
      <c r="E140" t="s">
        <v>217</v>
      </c>
      <c r="F140">
        <v>0</v>
      </c>
      <c r="G140">
        <v>0</v>
      </c>
      <c r="H140" t="str">
        <f>IF(report_B_CategorieBoekjaar[[#This Row],[BedrijfsCode]]="002",IF(report_B_CategorieBoekjaar[[#This Row],[Boekjaar]]=Projectbegroting!$K$1,report_B_CategorieBoekjaar[[#This Row],[CategorieCode]],0),0)</f>
        <v>470</v>
      </c>
      <c r="I140">
        <f>IF(report_B_CategorieBoekjaar[[#This Row],[BedrijfsCode]]="001",IF(report_B_CategorieBoekjaar[[#This Row],[Boekjaar]]=Projectbegroting!$K$1,report_B_CategorieBoekjaar[[#This Row],[CategorieCode]],0),0)</f>
        <v>0</v>
      </c>
    </row>
    <row r="141" spans="1:9" hidden="1" x14ac:dyDescent="0.3">
      <c r="A141" t="s">
        <v>525</v>
      </c>
      <c r="B141" s="20">
        <v>46023</v>
      </c>
      <c r="C141" t="s">
        <v>183</v>
      </c>
      <c r="D141" t="s">
        <v>335</v>
      </c>
      <c r="E141" t="s">
        <v>217</v>
      </c>
      <c r="F141">
        <v>0</v>
      </c>
      <c r="G141">
        <v>0</v>
      </c>
      <c r="H141" t="str">
        <f>IF(report_B_CategorieBoekjaar[[#This Row],[BedrijfsCode]]="002",IF(report_B_CategorieBoekjaar[[#This Row],[Boekjaar]]=Projectbegroting!$K$1,report_B_CategorieBoekjaar[[#This Row],[CategorieCode]],0),0)</f>
        <v>490</v>
      </c>
      <c r="I141">
        <f>IF(report_B_CategorieBoekjaar[[#This Row],[BedrijfsCode]]="001",IF(report_B_CategorieBoekjaar[[#This Row],[Boekjaar]]=Projectbegroting!$K$1,report_B_CategorieBoekjaar[[#This Row],[CategorieCode]],0),0)</f>
        <v>0</v>
      </c>
    </row>
    <row r="142" spans="1:9" hidden="1" x14ac:dyDescent="0.3">
      <c r="A142" t="s">
        <v>525</v>
      </c>
      <c r="B142" s="20">
        <v>46023</v>
      </c>
      <c r="C142" t="s">
        <v>184</v>
      </c>
      <c r="D142" t="s">
        <v>336</v>
      </c>
      <c r="E142" t="s">
        <v>217</v>
      </c>
      <c r="F142">
        <v>0</v>
      </c>
      <c r="G142">
        <v>0</v>
      </c>
      <c r="H142" t="str">
        <f>IF(report_B_CategorieBoekjaar[[#This Row],[BedrijfsCode]]="002",IF(report_B_CategorieBoekjaar[[#This Row],[Boekjaar]]=Projectbegroting!$K$1,report_B_CategorieBoekjaar[[#This Row],[CategorieCode]],0),0)</f>
        <v>491</v>
      </c>
      <c r="I142">
        <f>IF(report_B_CategorieBoekjaar[[#This Row],[BedrijfsCode]]="001",IF(report_B_CategorieBoekjaar[[#This Row],[Boekjaar]]=Projectbegroting!$K$1,report_B_CategorieBoekjaar[[#This Row],[CategorieCode]],0),0)</f>
        <v>0</v>
      </c>
    </row>
    <row r="143" spans="1:9" hidden="1" x14ac:dyDescent="0.3">
      <c r="A143" t="s">
        <v>525</v>
      </c>
      <c r="B143" s="20">
        <v>46023</v>
      </c>
      <c r="C143" t="s">
        <v>185</v>
      </c>
      <c r="D143" t="s">
        <v>337</v>
      </c>
      <c r="E143" t="s">
        <v>217</v>
      </c>
      <c r="F143">
        <v>0</v>
      </c>
      <c r="G143">
        <v>0</v>
      </c>
      <c r="H143" t="str">
        <f>IF(report_B_CategorieBoekjaar[[#This Row],[BedrijfsCode]]="002",IF(report_B_CategorieBoekjaar[[#This Row],[Boekjaar]]=Projectbegroting!$K$1,report_B_CategorieBoekjaar[[#This Row],[CategorieCode]],0),0)</f>
        <v>510</v>
      </c>
      <c r="I143">
        <f>IF(report_B_CategorieBoekjaar[[#This Row],[BedrijfsCode]]="001",IF(report_B_CategorieBoekjaar[[#This Row],[Boekjaar]]=Projectbegroting!$K$1,report_B_CategorieBoekjaar[[#This Row],[CategorieCode]],0),0)</f>
        <v>0</v>
      </c>
    </row>
    <row r="144" spans="1:9" hidden="1" x14ac:dyDescent="0.3">
      <c r="A144" t="s">
        <v>525</v>
      </c>
      <c r="B144" s="20">
        <v>46023</v>
      </c>
      <c r="C144" t="s">
        <v>186</v>
      </c>
      <c r="D144" t="s">
        <v>338</v>
      </c>
      <c r="E144" t="s">
        <v>217</v>
      </c>
      <c r="F144">
        <v>0</v>
      </c>
      <c r="G144">
        <v>0</v>
      </c>
      <c r="H144" t="str">
        <f>IF(report_B_CategorieBoekjaar[[#This Row],[BedrijfsCode]]="002",IF(report_B_CategorieBoekjaar[[#This Row],[Boekjaar]]=Projectbegroting!$K$1,report_B_CategorieBoekjaar[[#This Row],[CategorieCode]],0),0)</f>
        <v>520</v>
      </c>
      <c r="I144">
        <f>IF(report_B_CategorieBoekjaar[[#This Row],[BedrijfsCode]]="001",IF(report_B_CategorieBoekjaar[[#This Row],[Boekjaar]]=Projectbegroting!$K$1,report_B_CategorieBoekjaar[[#This Row],[CategorieCode]],0),0)</f>
        <v>0</v>
      </c>
    </row>
    <row r="145" spans="1:9" hidden="1" x14ac:dyDescent="0.3">
      <c r="A145" t="s">
        <v>525</v>
      </c>
      <c r="B145" s="20">
        <v>46023</v>
      </c>
      <c r="C145" t="s">
        <v>187</v>
      </c>
      <c r="D145" t="s">
        <v>339</v>
      </c>
      <c r="E145" t="s">
        <v>217</v>
      </c>
      <c r="F145">
        <v>0</v>
      </c>
      <c r="G145">
        <v>0</v>
      </c>
      <c r="H145" t="str">
        <f>IF(report_B_CategorieBoekjaar[[#This Row],[BedrijfsCode]]="002",IF(report_B_CategorieBoekjaar[[#This Row],[Boekjaar]]=Projectbegroting!$K$1,report_B_CategorieBoekjaar[[#This Row],[CategorieCode]],0),0)</f>
        <v>542</v>
      </c>
      <c r="I145">
        <f>IF(report_B_CategorieBoekjaar[[#This Row],[BedrijfsCode]]="001",IF(report_B_CategorieBoekjaar[[#This Row],[Boekjaar]]=Projectbegroting!$K$1,report_B_CategorieBoekjaar[[#This Row],[CategorieCode]],0),0)</f>
        <v>0</v>
      </c>
    </row>
    <row r="146" spans="1:9" hidden="1" x14ac:dyDescent="0.3">
      <c r="A146" t="s">
        <v>525</v>
      </c>
      <c r="B146" s="20">
        <v>46023</v>
      </c>
      <c r="C146" t="s">
        <v>188</v>
      </c>
      <c r="D146" t="s">
        <v>340</v>
      </c>
      <c r="E146" t="s">
        <v>217</v>
      </c>
      <c r="F146">
        <v>0</v>
      </c>
      <c r="G146">
        <v>0</v>
      </c>
      <c r="H146" t="str">
        <f>IF(report_B_CategorieBoekjaar[[#This Row],[BedrijfsCode]]="002",IF(report_B_CategorieBoekjaar[[#This Row],[Boekjaar]]=Projectbegroting!$K$1,report_B_CategorieBoekjaar[[#This Row],[CategorieCode]],0),0)</f>
        <v>543</v>
      </c>
      <c r="I146">
        <f>IF(report_B_CategorieBoekjaar[[#This Row],[BedrijfsCode]]="001",IF(report_B_CategorieBoekjaar[[#This Row],[Boekjaar]]=Projectbegroting!$K$1,report_B_CategorieBoekjaar[[#This Row],[CategorieCode]],0),0)</f>
        <v>0</v>
      </c>
    </row>
    <row r="147" spans="1:9" hidden="1" x14ac:dyDescent="0.3">
      <c r="A147" t="s">
        <v>525</v>
      </c>
      <c r="B147" s="20">
        <v>46023</v>
      </c>
      <c r="C147" t="s">
        <v>189</v>
      </c>
      <c r="D147" t="s">
        <v>341</v>
      </c>
      <c r="E147" t="s">
        <v>217</v>
      </c>
      <c r="F147">
        <v>0</v>
      </c>
      <c r="G147">
        <v>0</v>
      </c>
      <c r="H147" t="str">
        <f>IF(report_B_CategorieBoekjaar[[#This Row],[BedrijfsCode]]="002",IF(report_B_CategorieBoekjaar[[#This Row],[Boekjaar]]=Projectbegroting!$K$1,report_B_CategorieBoekjaar[[#This Row],[CategorieCode]],0),0)</f>
        <v>560</v>
      </c>
      <c r="I147">
        <f>IF(report_B_CategorieBoekjaar[[#This Row],[BedrijfsCode]]="001",IF(report_B_CategorieBoekjaar[[#This Row],[Boekjaar]]=Projectbegroting!$K$1,report_B_CategorieBoekjaar[[#This Row],[CategorieCode]],0),0)</f>
        <v>0</v>
      </c>
    </row>
    <row r="148" spans="1:9" hidden="1" x14ac:dyDescent="0.3">
      <c r="A148" t="s">
        <v>525</v>
      </c>
      <c r="B148" s="20">
        <v>46023</v>
      </c>
      <c r="C148" t="s">
        <v>190</v>
      </c>
      <c r="D148" t="s">
        <v>342</v>
      </c>
      <c r="E148" t="s">
        <v>217</v>
      </c>
      <c r="F148">
        <v>0</v>
      </c>
      <c r="G148">
        <v>0</v>
      </c>
      <c r="H148" t="str">
        <f>IF(report_B_CategorieBoekjaar[[#This Row],[BedrijfsCode]]="002",IF(report_B_CategorieBoekjaar[[#This Row],[Boekjaar]]=Projectbegroting!$K$1,report_B_CategorieBoekjaar[[#This Row],[CategorieCode]],0),0)</f>
        <v>562</v>
      </c>
      <c r="I148">
        <f>IF(report_B_CategorieBoekjaar[[#This Row],[BedrijfsCode]]="001",IF(report_B_CategorieBoekjaar[[#This Row],[Boekjaar]]=Projectbegroting!$K$1,report_B_CategorieBoekjaar[[#This Row],[CategorieCode]],0),0)</f>
        <v>0</v>
      </c>
    </row>
    <row r="149" spans="1:9" hidden="1" x14ac:dyDescent="0.3">
      <c r="A149" t="s">
        <v>525</v>
      </c>
      <c r="B149" s="20">
        <v>46023</v>
      </c>
      <c r="C149" t="s">
        <v>191</v>
      </c>
      <c r="D149" t="s">
        <v>343</v>
      </c>
      <c r="E149" t="s">
        <v>217</v>
      </c>
      <c r="F149">
        <v>0</v>
      </c>
      <c r="G149">
        <v>0</v>
      </c>
      <c r="H149" t="str">
        <f>IF(report_B_CategorieBoekjaar[[#This Row],[BedrijfsCode]]="002",IF(report_B_CategorieBoekjaar[[#This Row],[Boekjaar]]=Projectbegroting!$K$1,report_B_CategorieBoekjaar[[#This Row],[CategorieCode]],0),0)</f>
        <v>563</v>
      </c>
      <c r="I149">
        <f>IF(report_B_CategorieBoekjaar[[#This Row],[BedrijfsCode]]="001",IF(report_B_CategorieBoekjaar[[#This Row],[Boekjaar]]=Projectbegroting!$K$1,report_B_CategorieBoekjaar[[#This Row],[CategorieCode]],0),0)</f>
        <v>0</v>
      </c>
    </row>
    <row r="150" spans="1:9" hidden="1" x14ac:dyDescent="0.3">
      <c r="A150" t="s">
        <v>525</v>
      </c>
      <c r="B150" s="20">
        <v>46023</v>
      </c>
      <c r="C150" t="s">
        <v>192</v>
      </c>
      <c r="D150" t="s">
        <v>344</v>
      </c>
      <c r="E150" t="s">
        <v>217</v>
      </c>
      <c r="F150">
        <v>0</v>
      </c>
      <c r="G150">
        <v>0</v>
      </c>
      <c r="H150" t="str">
        <f>IF(report_B_CategorieBoekjaar[[#This Row],[BedrijfsCode]]="002",IF(report_B_CategorieBoekjaar[[#This Row],[Boekjaar]]=Projectbegroting!$K$1,report_B_CategorieBoekjaar[[#This Row],[CategorieCode]],0),0)</f>
        <v>566</v>
      </c>
      <c r="I150">
        <f>IF(report_B_CategorieBoekjaar[[#This Row],[BedrijfsCode]]="001",IF(report_B_CategorieBoekjaar[[#This Row],[Boekjaar]]=Projectbegroting!$K$1,report_B_CategorieBoekjaar[[#This Row],[CategorieCode]],0),0)</f>
        <v>0</v>
      </c>
    </row>
    <row r="151" spans="1:9" hidden="1" x14ac:dyDescent="0.3">
      <c r="A151" t="s">
        <v>525</v>
      </c>
      <c r="B151" s="20">
        <v>46023</v>
      </c>
      <c r="C151" t="s">
        <v>193</v>
      </c>
      <c r="D151" t="s">
        <v>345</v>
      </c>
      <c r="E151" t="s">
        <v>217</v>
      </c>
      <c r="F151">
        <v>0</v>
      </c>
      <c r="G151">
        <v>0</v>
      </c>
      <c r="H151" t="str">
        <f>IF(report_B_CategorieBoekjaar[[#This Row],[BedrijfsCode]]="002",IF(report_B_CategorieBoekjaar[[#This Row],[Boekjaar]]=Projectbegroting!$K$1,report_B_CategorieBoekjaar[[#This Row],[CategorieCode]],0),0)</f>
        <v>567</v>
      </c>
      <c r="I151">
        <f>IF(report_B_CategorieBoekjaar[[#This Row],[BedrijfsCode]]="001",IF(report_B_CategorieBoekjaar[[#This Row],[Boekjaar]]=Projectbegroting!$K$1,report_B_CategorieBoekjaar[[#This Row],[CategorieCode]],0),0)</f>
        <v>0</v>
      </c>
    </row>
    <row r="152" spans="1:9" hidden="1" x14ac:dyDescent="0.3">
      <c r="A152" t="s">
        <v>525</v>
      </c>
      <c r="B152" s="20">
        <v>46023</v>
      </c>
      <c r="C152" t="s">
        <v>194</v>
      </c>
      <c r="D152" t="s">
        <v>346</v>
      </c>
      <c r="E152" t="s">
        <v>217</v>
      </c>
      <c r="F152">
        <v>0</v>
      </c>
      <c r="G152">
        <v>0</v>
      </c>
      <c r="H152" t="str">
        <f>IF(report_B_CategorieBoekjaar[[#This Row],[BedrijfsCode]]="002",IF(report_B_CategorieBoekjaar[[#This Row],[Boekjaar]]=Projectbegroting!$K$1,report_B_CategorieBoekjaar[[#This Row],[CategorieCode]],0),0)</f>
        <v>568</v>
      </c>
      <c r="I152">
        <f>IF(report_B_CategorieBoekjaar[[#This Row],[BedrijfsCode]]="001",IF(report_B_CategorieBoekjaar[[#This Row],[Boekjaar]]=Projectbegroting!$K$1,report_B_CategorieBoekjaar[[#This Row],[CategorieCode]],0),0)</f>
        <v>0</v>
      </c>
    </row>
    <row r="153" spans="1:9" hidden="1" x14ac:dyDescent="0.3">
      <c r="A153" t="s">
        <v>525</v>
      </c>
      <c r="B153" s="20">
        <v>46023</v>
      </c>
      <c r="C153" t="s">
        <v>195</v>
      </c>
      <c r="D153" t="s">
        <v>347</v>
      </c>
      <c r="E153" t="s">
        <v>217</v>
      </c>
      <c r="F153">
        <v>0</v>
      </c>
      <c r="G153">
        <v>0</v>
      </c>
      <c r="H153" t="str">
        <f>IF(report_B_CategorieBoekjaar[[#This Row],[BedrijfsCode]]="002",IF(report_B_CategorieBoekjaar[[#This Row],[Boekjaar]]=Projectbegroting!$K$1,report_B_CategorieBoekjaar[[#This Row],[CategorieCode]],0),0)</f>
        <v>580</v>
      </c>
      <c r="I153">
        <f>IF(report_B_CategorieBoekjaar[[#This Row],[BedrijfsCode]]="001",IF(report_B_CategorieBoekjaar[[#This Row],[Boekjaar]]=Projectbegroting!$K$1,report_B_CategorieBoekjaar[[#This Row],[CategorieCode]],0),0)</f>
        <v>0</v>
      </c>
    </row>
    <row r="154" spans="1:9" hidden="1" x14ac:dyDescent="0.3">
      <c r="A154" t="s">
        <v>525</v>
      </c>
      <c r="B154" s="20">
        <v>46023</v>
      </c>
      <c r="C154" t="s">
        <v>196</v>
      </c>
      <c r="D154" t="s">
        <v>348</v>
      </c>
      <c r="E154" t="s">
        <v>217</v>
      </c>
      <c r="F154">
        <v>0</v>
      </c>
      <c r="G154">
        <v>0</v>
      </c>
      <c r="H154" t="str">
        <f>IF(report_B_CategorieBoekjaar[[#This Row],[BedrijfsCode]]="002",IF(report_B_CategorieBoekjaar[[#This Row],[Boekjaar]]=Projectbegroting!$K$1,report_B_CategorieBoekjaar[[#This Row],[CategorieCode]],0),0)</f>
        <v>582</v>
      </c>
      <c r="I154">
        <f>IF(report_B_CategorieBoekjaar[[#This Row],[BedrijfsCode]]="001",IF(report_B_CategorieBoekjaar[[#This Row],[Boekjaar]]=Projectbegroting!$K$1,report_B_CategorieBoekjaar[[#This Row],[CategorieCode]],0),0)</f>
        <v>0</v>
      </c>
    </row>
    <row r="155" spans="1:9" hidden="1" x14ac:dyDescent="0.3">
      <c r="A155" t="s">
        <v>525</v>
      </c>
      <c r="B155" s="20">
        <v>46023</v>
      </c>
      <c r="C155" t="s">
        <v>349</v>
      </c>
      <c r="D155" t="s">
        <v>350</v>
      </c>
      <c r="E155" t="s">
        <v>217</v>
      </c>
      <c r="F155">
        <v>0</v>
      </c>
      <c r="G155">
        <v>0</v>
      </c>
      <c r="H155" t="str">
        <f>IF(report_B_CategorieBoekjaar[[#This Row],[BedrijfsCode]]="002",IF(report_B_CategorieBoekjaar[[#This Row],[Boekjaar]]=Projectbegroting!$K$1,report_B_CategorieBoekjaar[[#This Row],[CategorieCode]],0),0)</f>
        <v>584</v>
      </c>
      <c r="I155">
        <f>IF(report_B_CategorieBoekjaar[[#This Row],[BedrijfsCode]]="001",IF(report_B_CategorieBoekjaar[[#This Row],[Boekjaar]]=Projectbegroting!$K$1,report_B_CategorieBoekjaar[[#This Row],[CategorieCode]],0),0)</f>
        <v>0</v>
      </c>
    </row>
    <row r="156" spans="1:9" hidden="1" x14ac:dyDescent="0.3">
      <c r="A156" t="s">
        <v>525</v>
      </c>
      <c r="B156" s="20">
        <v>46023</v>
      </c>
      <c r="C156" t="s">
        <v>197</v>
      </c>
      <c r="D156" t="s">
        <v>351</v>
      </c>
      <c r="E156" t="s">
        <v>217</v>
      </c>
      <c r="F156">
        <v>0</v>
      </c>
      <c r="G156">
        <v>0</v>
      </c>
      <c r="H156" t="str">
        <f>IF(report_B_CategorieBoekjaar[[#This Row],[BedrijfsCode]]="002",IF(report_B_CategorieBoekjaar[[#This Row],[Boekjaar]]=Projectbegroting!$K$1,report_B_CategorieBoekjaar[[#This Row],[CategorieCode]],0),0)</f>
        <v>585</v>
      </c>
      <c r="I156">
        <f>IF(report_B_CategorieBoekjaar[[#This Row],[BedrijfsCode]]="001",IF(report_B_CategorieBoekjaar[[#This Row],[Boekjaar]]=Projectbegroting!$K$1,report_B_CategorieBoekjaar[[#This Row],[CategorieCode]],0),0)</f>
        <v>0</v>
      </c>
    </row>
    <row r="157" spans="1:9" hidden="1" x14ac:dyDescent="0.3">
      <c r="A157" t="s">
        <v>525</v>
      </c>
      <c r="B157" s="20">
        <v>46023</v>
      </c>
      <c r="C157" t="s">
        <v>198</v>
      </c>
      <c r="D157" t="s">
        <v>352</v>
      </c>
      <c r="E157" t="s">
        <v>217</v>
      </c>
      <c r="F157">
        <v>0</v>
      </c>
      <c r="G157">
        <v>0</v>
      </c>
      <c r="H157" t="str">
        <f>IF(report_B_CategorieBoekjaar[[#This Row],[BedrijfsCode]]="002",IF(report_B_CategorieBoekjaar[[#This Row],[Boekjaar]]=Projectbegroting!$K$1,report_B_CategorieBoekjaar[[#This Row],[CategorieCode]],0),0)</f>
        <v>586</v>
      </c>
      <c r="I157">
        <f>IF(report_B_CategorieBoekjaar[[#This Row],[BedrijfsCode]]="001",IF(report_B_CategorieBoekjaar[[#This Row],[Boekjaar]]=Projectbegroting!$K$1,report_B_CategorieBoekjaar[[#This Row],[CategorieCode]],0),0)</f>
        <v>0</v>
      </c>
    </row>
    <row r="158" spans="1:9" hidden="1" x14ac:dyDescent="0.3">
      <c r="A158" t="s">
        <v>525</v>
      </c>
      <c r="B158" s="20">
        <v>46023</v>
      </c>
      <c r="C158" t="s">
        <v>353</v>
      </c>
      <c r="D158" t="s">
        <v>354</v>
      </c>
      <c r="E158" t="s">
        <v>217</v>
      </c>
      <c r="F158">
        <v>0</v>
      </c>
      <c r="G158">
        <v>0</v>
      </c>
      <c r="H158" t="str">
        <f>IF(report_B_CategorieBoekjaar[[#This Row],[BedrijfsCode]]="002",IF(report_B_CategorieBoekjaar[[#This Row],[Boekjaar]]=Projectbegroting!$K$1,report_B_CategorieBoekjaar[[#This Row],[CategorieCode]],0),0)</f>
        <v>590</v>
      </c>
      <c r="I158">
        <f>IF(report_B_CategorieBoekjaar[[#This Row],[BedrijfsCode]]="001",IF(report_B_CategorieBoekjaar[[#This Row],[Boekjaar]]=Projectbegroting!$K$1,report_B_CategorieBoekjaar[[#This Row],[CategorieCode]],0),0)</f>
        <v>0</v>
      </c>
    </row>
    <row r="159" spans="1:9" hidden="1" x14ac:dyDescent="0.3">
      <c r="A159" t="s">
        <v>525</v>
      </c>
      <c r="B159" s="20">
        <v>46023</v>
      </c>
      <c r="C159" t="s">
        <v>199</v>
      </c>
      <c r="D159" t="s">
        <v>355</v>
      </c>
      <c r="E159" t="s">
        <v>217</v>
      </c>
      <c r="F159">
        <v>0</v>
      </c>
      <c r="G159">
        <v>0</v>
      </c>
      <c r="H159" t="str">
        <f>IF(report_B_CategorieBoekjaar[[#This Row],[BedrijfsCode]]="002",IF(report_B_CategorieBoekjaar[[#This Row],[Boekjaar]]=Projectbegroting!$K$1,report_B_CategorieBoekjaar[[#This Row],[CategorieCode]],0),0)</f>
        <v>610</v>
      </c>
      <c r="I159">
        <f>IF(report_B_CategorieBoekjaar[[#This Row],[BedrijfsCode]]="001",IF(report_B_CategorieBoekjaar[[#This Row],[Boekjaar]]=Projectbegroting!$K$1,report_B_CategorieBoekjaar[[#This Row],[CategorieCode]],0),0)</f>
        <v>0</v>
      </c>
    </row>
    <row r="160" spans="1:9" hidden="1" x14ac:dyDescent="0.3">
      <c r="A160" t="s">
        <v>525</v>
      </c>
      <c r="B160" s="20">
        <v>46023</v>
      </c>
      <c r="C160" t="s">
        <v>200</v>
      </c>
      <c r="D160" t="s">
        <v>356</v>
      </c>
      <c r="E160" t="s">
        <v>217</v>
      </c>
      <c r="F160">
        <v>0</v>
      </c>
      <c r="G160">
        <v>0</v>
      </c>
      <c r="H160" t="str">
        <f>IF(report_B_CategorieBoekjaar[[#This Row],[BedrijfsCode]]="002",IF(report_B_CategorieBoekjaar[[#This Row],[Boekjaar]]=Projectbegroting!$K$1,report_B_CategorieBoekjaar[[#This Row],[CategorieCode]],0),0)</f>
        <v>630</v>
      </c>
      <c r="I160">
        <f>IF(report_B_CategorieBoekjaar[[#This Row],[BedrijfsCode]]="001",IF(report_B_CategorieBoekjaar[[#This Row],[Boekjaar]]=Projectbegroting!$K$1,report_B_CategorieBoekjaar[[#This Row],[CategorieCode]],0),0)</f>
        <v>0</v>
      </c>
    </row>
    <row r="161" spans="1:9" hidden="1" x14ac:dyDescent="0.3">
      <c r="A161" t="s">
        <v>525</v>
      </c>
      <c r="B161" s="20">
        <v>46023</v>
      </c>
      <c r="C161" t="s">
        <v>201</v>
      </c>
      <c r="D161" t="s">
        <v>357</v>
      </c>
      <c r="E161" t="s">
        <v>217</v>
      </c>
      <c r="F161">
        <v>0</v>
      </c>
      <c r="G161">
        <v>0</v>
      </c>
      <c r="H161" t="str">
        <f>IF(report_B_CategorieBoekjaar[[#This Row],[BedrijfsCode]]="002",IF(report_B_CategorieBoekjaar[[#This Row],[Boekjaar]]=Projectbegroting!$K$1,report_B_CategorieBoekjaar[[#This Row],[CategorieCode]],0),0)</f>
        <v>631</v>
      </c>
      <c r="I161">
        <f>IF(report_B_CategorieBoekjaar[[#This Row],[BedrijfsCode]]="001",IF(report_B_CategorieBoekjaar[[#This Row],[Boekjaar]]=Projectbegroting!$K$1,report_B_CategorieBoekjaar[[#This Row],[CategorieCode]],0),0)</f>
        <v>0</v>
      </c>
    </row>
    <row r="162" spans="1:9" hidden="1" x14ac:dyDescent="0.3">
      <c r="A162" t="s">
        <v>525</v>
      </c>
      <c r="B162" s="20">
        <v>46023</v>
      </c>
      <c r="C162" t="s">
        <v>202</v>
      </c>
      <c r="D162" t="s">
        <v>358</v>
      </c>
      <c r="E162" t="s">
        <v>217</v>
      </c>
      <c r="F162">
        <v>0</v>
      </c>
      <c r="G162">
        <v>0</v>
      </c>
      <c r="H162" t="str">
        <f>IF(report_B_CategorieBoekjaar[[#This Row],[BedrijfsCode]]="002",IF(report_B_CategorieBoekjaar[[#This Row],[Boekjaar]]=Projectbegroting!$K$1,report_B_CategorieBoekjaar[[#This Row],[CategorieCode]],0),0)</f>
        <v>640</v>
      </c>
      <c r="I162">
        <f>IF(report_B_CategorieBoekjaar[[#This Row],[BedrijfsCode]]="001",IF(report_B_CategorieBoekjaar[[#This Row],[Boekjaar]]=Projectbegroting!$K$1,report_B_CategorieBoekjaar[[#This Row],[CategorieCode]],0),0)</f>
        <v>0</v>
      </c>
    </row>
    <row r="163" spans="1:9" hidden="1" x14ac:dyDescent="0.3">
      <c r="A163" t="s">
        <v>525</v>
      </c>
      <c r="B163" s="20">
        <v>46023</v>
      </c>
      <c r="C163" t="s">
        <v>203</v>
      </c>
      <c r="D163" t="s">
        <v>359</v>
      </c>
      <c r="E163" t="s">
        <v>217</v>
      </c>
      <c r="F163">
        <v>0</v>
      </c>
      <c r="G163">
        <v>0</v>
      </c>
      <c r="H163" t="str">
        <f>IF(report_B_CategorieBoekjaar[[#This Row],[BedrijfsCode]]="002",IF(report_B_CategorieBoekjaar[[#This Row],[Boekjaar]]=Projectbegroting!$K$1,report_B_CategorieBoekjaar[[#This Row],[CategorieCode]],0),0)</f>
        <v>642</v>
      </c>
      <c r="I163">
        <f>IF(report_B_CategorieBoekjaar[[#This Row],[BedrijfsCode]]="001",IF(report_B_CategorieBoekjaar[[#This Row],[Boekjaar]]=Projectbegroting!$K$1,report_B_CategorieBoekjaar[[#This Row],[CategorieCode]],0),0)</f>
        <v>0</v>
      </c>
    </row>
    <row r="164" spans="1:9" hidden="1" x14ac:dyDescent="0.3">
      <c r="A164" t="s">
        <v>525</v>
      </c>
      <c r="B164" s="20">
        <v>46023</v>
      </c>
      <c r="C164" t="s">
        <v>204</v>
      </c>
      <c r="D164" t="s">
        <v>360</v>
      </c>
      <c r="E164" t="s">
        <v>217</v>
      </c>
      <c r="F164">
        <v>0</v>
      </c>
      <c r="G164">
        <v>0</v>
      </c>
      <c r="H164" t="str">
        <f>IF(report_B_CategorieBoekjaar[[#This Row],[BedrijfsCode]]="002",IF(report_B_CategorieBoekjaar[[#This Row],[Boekjaar]]=Projectbegroting!$K$1,report_B_CategorieBoekjaar[[#This Row],[CategorieCode]],0),0)</f>
        <v>670</v>
      </c>
      <c r="I164">
        <f>IF(report_B_CategorieBoekjaar[[#This Row],[BedrijfsCode]]="001",IF(report_B_CategorieBoekjaar[[#This Row],[Boekjaar]]=Projectbegroting!$K$1,report_B_CategorieBoekjaar[[#This Row],[CategorieCode]],0),0)</f>
        <v>0</v>
      </c>
    </row>
    <row r="165" spans="1:9" hidden="1" x14ac:dyDescent="0.3">
      <c r="A165" t="s">
        <v>525</v>
      </c>
      <c r="B165" s="20">
        <v>46023</v>
      </c>
      <c r="C165" t="s">
        <v>205</v>
      </c>
      <c r="D165" t="s">
        <v>361</v>
      </c>
      <c r="E165" t="s">
        <v>217</v>
      </c>
      <c r="F165">
        <v>0</v>
      </c>
      <c r="G165">
        <v>0</v>
      </c>
      <c r="H165" t="str">
        <f>IF(report_B_CategorieBoekjaar[[#This Row],[BedrijfsCode]]="002",IF(report_B_CategorieBoekjaar[[#This Row],[Boekjaar]]=Projectbegroting!$K$1,report_B_CategorieBoekjaar[[#This Row],[CategorieCode]],0),0)</f>
        <v>671</v>
      </c>
      <c r="I165">
        <f>IF(report_B_CategorieBoekjaar[[#This Row],[BedrijfsCode]]="001",IF(report_B_CategorieBoekjaar[[#This Row],[Boekjaar]]=Projectbegroting!$K$1,report_B_CategorieBoekjaar[[#This Row],[CategorieCode]],0),0)</f>
        <v>0</v>
      </c>
    </row>
    <row r="166" spans="1:9" hidden="1" x14ac:dyDescent="0.3">
      <c r="A166" t="s">
        <v>525</v>
      </c>
      <c r="B166" s="20">
        <v>46023</v>
      </c>
      <c r="C166" t="s">
        <v>206</v>
      </c>
      <c r="D166" t="s">
        <v>362</v>
      </c>
      <c r="E166" t="s">
        <v>217</v>
      </c>
      <c r="F166">
        <v>0</v>
      </c>
      <c r="G166">
        <v>0</v>
      </c>
      <c r="H166" t="str">
        <f>IF(report_B_CategorieBoekjaar[[#This Row],[BedrijfsCode]]="002",IF(report_B_CategorieBoekjaar[[#This Row],[Boekjaar]]=Projectbegroting!$K$1,report_B_CategorieBoekjaar[[#This Row],[CategorieCode]],0),0)</f>
        <v>690</v>
      </c>
      <c r="I166">
        <f>IF(report_B_CategorieBoekjaar[[#This Row],[BedrijfsCode]]="001",IF(report_B_CategorieBoekjaar[[#This Row],[Boekjaar]]=Projectbegroting!$K$1,report_B_CategorieBoekjaar[[#This Row],[CategorieCode]],0),0)</f>
        <v>0</v>
      </c>
    </row>
    <row r="167" spans="1:9" hidden="1" x14ac:dyDescent="0.3">
      <c r="A167" t="s">
        <v>525</v>
      </c>
      <c r="B167" s="20">
        <v>46023</v>
      </c>
      <c r="C167" t="s">
        <v>363</v>
      </c>
      <c r="D167" t="s">
        <v>364</v>
      </c>
      <c r="E167" t="s">
        <v>217</v>
      </c>
      <c r="F167">
        <v>0</v>
      </c>
      <c r="G167">
        <v>0</v>
      </c>
      <c r="H167" t="str">
        <f>IF(report_B_CategorieBoekjaar[[#This Row],[BedrijfsCode]]="002",IF(report_B_CategorieBoekjaar[[#This Row],[Boekjaar]]=Projectbegroting!$K$1,report_B_CategorieBoekjaar[[#This Row],[CategorieCode]],0),0)</f>
        <v>691</v>
      </c>
      <c r="I167">
        <f>IF(report_B_CategorieBoekjaar[[#This Row],[BedrijfsCode]]="001",IF(report_B_CategorieBoekjaar[[#This Row],[Boekjaar]]=Projectbegroting!$K$1,report_B_CategorieBoekjaar[[#This Row],[CategorieCode]],0),0)</f>
        <v>0</v>
      </c>
    </row>
    <row r="168" spans="1:9" hidden="1" x14ac:dyDescent="0.3">
      <c r="A168" t="s">
        <v>525</v>
      </c>
      <c r="B168" s="20">
        <v>46023</v>
      </c>
      <c r="C168" t="s">
        <v>207</v>
      </c>
      <c r="D168" t="s">
        <v>365</v>
      </c>
      <c r="E168" t="s">
        <v>217</v>
      </c>
      <c r="F168">
        <v>0</v>
      </c>
      <c r="G168">
        <v>0</v>
      </c>
      <c r="H168" t="str">
        <f>IF(report_B_CategorieBoekjaar[[#This Row],[BedrijfsCode]]="002",IF(report_B_CategorieBoekjaar[[#This Row],[Boekjaar]]=Projectbegroting!$K$1,report_B_CategorieBoekjaar[[#This Row],[CategorieCode]],0),0)</f>
        <v>710</v>
      </c>
      <c r="I168">
        <f>IF(report_B_CategorieBoekjaar[[#This Row],[BedrijfsCode]]="001",IF(report_B_CategorieBoekjaar[[#This Row],[Boekjaar]]=Projectbegroting!$K$1,report_B_CategorieBoekjaar[[#This Row],[CategorieCode]],0),0)</f>
        <v>0</v>
      </c>
    </row>
    <row r="169" spans="1:9" hidden="1" x14ac:dyDescent="0.3">
      <c r="A169" t="s">
        <v>525</v>
      </c>
      <c r="B169" s="20">
        <v>46023</v>
      </c>
      <c r="C169" t="s">
        <v>208</v>
      </c>
      <c r="D169" t="s">
        <v>366</v>
      </c>
      <c r="E169" t="s">
        <v>217</v>
      </c>
      <c r="F169">
        <v>0</v>
      </c>
      <c r="G169">
        <v>0</v>
      </c>
      <c r="H169" t="str">
        <f>IF(report_B_CategorieBoekjaar[[#This Row],[BedrijfsCode]]="002",IF(report_B_CategorieBoekjaar[[#This Row],[Boekjaar]]=Projectbegroting!$K$1,report_B_CategorieBoekjaar[[#This Row],[CategorieCode]],0),0)</f>
        <v>720</v>
      </c>
      <c r="I169">
        <f>IF(report_B_CategorieBoekjaar[[#This Row],[BedrijfsCode]]="001",IF(report_B_CategorieBoekjaar[[#This Row],[Boekjaar]]=Projectbegroting!$K$1,report_B_CategorieBoekjaar[[#This Row],[CategorieCode]],0),0)</f>
        <v>0</v>
      </c>
    </row>
    <row r="170" spans="1:9" hidden="1" x14ac:dyDescent="0.3">
      <c r="A170" t="s">
        <v>525</v>
      </c>
      <c r="B170" s="20">
        <v>46023</v>
      </c>
      <c r="C170" t="s">
        <v>209</v>
      </c>
      <c r="D170" t="s">
        <v>367</v>
      </c>
      <c r="E170" t="s">
        <v>217</v>
      </c>
      <c r="F170">
        <v>0</v>
      </c>
      <c r="G170">
        <v>0</v>
      </c>
      <c r="H170" t="str">
        <f>IF(report_B_CategorieBoekjaar[[#This Row],[BedrijfsCode]]="002",IF(report_B_CategorieBoekjaar[[#This Row],[Boekjaar]]=Projectbegroting!$K$1,report_B_CategorieBoekjaar[[#This Row],[CategorieCode]],0),0)</f>
        <v>730</v>
      </c>
      <c r="I170">
        <f>IF(report_B_CategorieBoekjaar[[#This Row],[BedrijfsCode]]="001",IF(report_B_CategorieBoekjaar[[#This Row],[Boekjaar]]=Projectbegroting!$K$1,report_B_CategorieBoekjaar[[#This Row],[CategorieCode]],0),0)</f>
        <v>0</v>
      </c>
    </row>
    <row r="171" spans="1:9" hidden="1" x14ac:dyDescent="0.3">
      <c r="A171" t="s">
        <v>525</v>
      </c>
      <c r="B171" s="20">
        <v>46023</v>
      </c>
      <c r="C171" t="s">
        <v>210</v>
      </c>
      <c r="D171" t="s">
        <v>368</v>
      </c>
      <c r="E171" t="s">
        <v>217</v>
      </c>
      <c r="F171">
        <v>0</v>
      </c>
      <c r="G171">
        <v>0</v>
      </c>
      <c r="H171" t="str">
        <f>IF(report_B_CategorieBoekjaar[[#This Row],[BedrijfsCode]]="002",IF(report_B_CategorieBoekjaar[[#This Row],[Boekjaar]]=Projectbegroting!$K$1,report_B_CategorieBoekjaar[[#This Row],[CategorieCode]],0),0)</f>
        <v>740</v>
      </c>
      <c r="I171">
        <f>IF(report_B_CategorieBoekjaar[[#This Row],[BedrijfsCode]]="001",IF(report_B_CategorieBoekjaar[[#This Row],[Boekjaar]]=Projectbegroting!$K$1,report_B_CategorieBoekjaar[[#This Row],[CategorieCode]],0),0)</f>
        <v>0</v>
      </c>
    </row>
    <row r="172" spans="1:9" hidden="1" x14ac:dyDescent="0.3">
      <c r="A172" t="s">
        <v>525</v>
      </c>
      <c r="B172" s="20">
        <v>46023</v>
      </c>
      <c r="C172" t="s">
        <v>369</v>
      </c>
      <c r="D172" t="s">
        <v>370</v>
      </c>
      <c r="E172" t="s">
        <v>217</v>
      </c>
      <c r="F172">
        <v>0</v>
      </c>
      <c r="G172">
        <v>0</v>
      </c>
      <c r="H172" t="str">
        <f>IF(report_B_CategorieBoekjaar[[#This Row],[BedrijfsCode]]="002",IF(report_B_CategorieBoekjaar[[#This Row],[Boekjaar]]=Projectbegroting!$K$1,report_B_CategorieBoekjaar[[#This Row],[CategorieCode]],0),0)</f>
        <v>750</v>
      </c>
      <c r="I172">
        <f>IF(report_B_CategorieBoekjaar[[#This Row],[BedrijfsCode]]="001",IF(report_B_CategorieBoekjaar[[#This Row],[Boekjaar]]=Projectbegroting!$K$1,report_B_CategorieBoekjaar[[#This Row],[CategorieCode]],0),0)</f>
        <v>0</v>
      </c>
    </row>
    <row r="173" spans="1:9" hidden="1" x14ac:dyDescent="0.3">
      <c r="A173" t="s">
        <v>525</v>
      </c>
      <c r="B173" s="20">
        <v>46023</v>
      </c>
      <c r="C173" t="s">
        <v>371</v>
      </c>
      <c r="D173" t="s">
        <v>372</v>
      </c>
      <c r="E173" t="s">
        <v>217</v>
      </c>
      <c r="F173">
        <v>0</v>
      </c>
      <c r="G173">
        <v>0</v>
      </c>
      <c r="H173" t="str">
        <f>IF(report_B_CategorieBoekjaar[[#This Row],[BedrijfsCode]]="002",IF(report_B_CategorieBoekjaar[[#This Row],[Boekjaar]]=Projectbegroting!$K$1,report_B_CategorieBoekjaar[[#This Row],[CategorieCode]],0),0)</f>
        <v>841</v>
      </c>
      <c r="I173">
        <f>IF(report_B_CategorieBoekjaar[[#This Row],[BedrijfsCode]]="001",IF(report_B_CategorieBoekjaar[[#This Row],[Boekjaar]]=Projectbegroting!$K$1,report_B_CategorieBoekjaar[[#This Row],[CategorieCode]],0),0)</f>
        <v>0</v>
      </c>
    </row>
    <row r="174" spans="1:9" hidden="1" x14ac:dyDescent="0.3">
      <c r="A174" t="s">
        <v>525</v>
      </c>
      <c r="B174" s="20">
        <v>46023</v>
      </c>
      <c r="C174" t="s">
        <v>373</v>
      </c>
      <c r="D174" t="s">
        <v>374</v>
      </c>
      <c r="E174" t="s">
        <v>217</v>
      </c>
      <c r="F174">
        <v>0</v>
      </c>
      <c r="G174">
        <v>0</v>
      </c>
      <c r="H174" t="str">
        <f>IF(report_B_CategorieBoekjaar[[#This Row],[BedrijfsCode]]="002",IF(report_B_CategorieBoekjaar[[#This Row],[Boekjaar]]=Projectbegroting!$K$1,report_B_CategorieBoekjaar[[#This Row],[CategorieCode]],0),0)</f>
        <v>843</v>
      </c>
      <c r="I174">
        <f>IF(report_B_CategorieBoekjaar[[#This Row],[BedrijfsCode]]="001",IF(report_B_CategorieBoekjaar[[#This Row],[Boekjaar]]=Projectbegroting!$K$1,report_B_CategorieBoekjaar[[#This Row],[CategorieCode]],0),0)</f>
        <v>0</v>
      </c>
    </row>
    <row r="175" spans="1:9" hidden="1" x14ac:dyDescent="0.3">
      <c r="A175" t="s">
        <v>525</v>
      </c>
      <c r="B175" s="20">
        <v>46023</v>
      </c>
      <c r="C175" t="s">
        <v>375</v>
      </c>
      <c r="D175" t="s">
        <v>376</v>
      </c>
      <c r="E175" t="s">
        <v>217</v>
      </c>
      <c r="F175">
        <v>0</v>
      </c>
      <c r="G175">
        <v>0</v>
      </c>
      <c r="H175" t="str">
        <f>IF(report_B_CategorieBoekjaar[[#This Row],[BedrijfsCode]]="002",IF(report_B_CategorieBoekjaar[[#This Row],[Boekjaar]]=Projectbegroting!$K$1,report_B_CategorieBoekjaar[[#This Row],[CategorieCode]],0),0)</f>
        <v>845</v>
      </c>
      <c r="I175">
        <f>IF(report_B_CategorieBoekjaar[[#This Row],[BedrijfsCode]]="001",IF(report_B_CategorieBoekjaar[[#This Row],[Boekjaar]]=Projectbegroting!$K$1,report_B_CategorieBoekjaar[[#This Row],[CategorieCode]],0),0)</f>
        <v>0</v>
      </c>
    </row>
    <row r="176" spans="1:9" hidden="1" x14ac:dyDescent="0.3">
      <c r="A176" t="s">
        <v>525</v>
      </c>
      <c r="B176" s="20">
        <v>46023</v>
      </c>
      <c r="C176" t="s">
        <v>377</v>
      </c>
      <c r="D176" t="s">
        <v>378</v>
      </c>
      <c r="E176" t="s">
        <v>217</v>
      </c>
      <c r="F176">
        <v>0</v>
      </c>
      <c r="G176">
        <v>0</v>
      </c>
      <c r="H176" t="str">
        <f>IF(report_B_CategorieBoekjaar[[#This Row],[BedrijfsCode]]="002",IF(report_B_CategorieBoekjaar[[#This Row],[Boekjaar]]=Projectbegroting!$K$1,report_B_CategorieBoekjaar[[#This Row],[CategorieCode]],0),0)</f>
        <v>849</v>
      </c>
      <c r="I176">
        <f>IF(report_B_CategorieBoekjaar[[#This Row],[BedrijfsCode]]="001",IF(report_B_CategorieBoekjaar[[#This Row],[Boekjaar]]=Projectbegroting!$K$1,report_B_CategorieBoekjaar[[#This Row],[CategorieCode]],0),0)</f>
        <v>0</v>
      </c>
    </row>
    <row r="177" spans="1:9" hidden="1" x14ac:dyDescent="0.3">
      <c r="A177" t="s">
        <v>525</v>
      </c>
      <c r="B177" s="20">
        <v>46023</v>
      </c>
      <c r="C177" t="s">
        <v>379</v>
      </c>
      <c r="D177" t="s">
        <v>380</v>
      </c>
      <c r="E177" t="s">
        <v>381</v>
      </c>
      <c r="F177">
        <v>55</v>
      </c>
      <c r="G177">
        <v>110</v>
      </c>
      <c r="H177" t="str">
        <f>IF(report_B_CategorieBoekjaar[[#This Row],[BedrijfsCode]]="002",IF(report_B_CategorieBoekjaar[[#This Row],[Boekjaar]]=Projectbegroting!$K$1,report_B_CategorieBoekjaar[[#This Row],[CategorieCode]],0),0)</f>
        <v>ADM</v>
      </c>
      <c r="I177">
        <f>IF(report_B_CategorieBoekjaar[[#This Row],[BedrijfsCode]]="001",IF(report_B_CategorieBoekjaar[[#This Row],[Boekjaar]]=Projectbegroting!$K$1,report_B_CategorieBoekjaar[[#This Row],[CategorieCode]],0),0)</f>
        <v>0</v>
      </c>
    </row>
    <row r="178" spans="1:9" hidden="1" x14ac:dyDescent="0.3">
      <c r="A178" t="s">
        <v>525</v>
      </c>
      <c r="B178" s="20">
        <v>46023</v>
      </c>
      <c r="C178" t="s">
        <v>382</v>
      </c>
      <c r="D178" t="s">
        <v>383</v>
      </c>
      <c r="E178" t="s">
        <v>384</v>
      </c>
      <c r="F178">
        <v>87</v>
      </c>
      <c r="G178">
        <v>0</v>
      </c>
      <c r="H178" t="str">
        <f>IF(report_B_CategorieBoekjaar[[#This Row],[BedrijfsCode]]="002",IF(report_B_CategorieBoekjaar[[#This Row],[Boekjaar]]=Projectbegroting!$K$1,report_B_CategorieBoekjaar[[#This Row],[CategorieCode]],0),0)</f>
        <v>ADM-I</v>
      </c>
      <c r="I178">
        <f>IF(report_B_CategorieBoekjaar[[#This Row],[BedrijfsCode]]="001",IF(report_B_CategorieBoekjaar[[#This Row],[Boekjaar]]=Projectbegroting!$K$1,report_B_CategorieBoekjaar[[#This Row],[CategorieCode]],0),0)</f>
        <v>0</v>
      </c>
    </row>
    <row r="179" spans="1:9" hidden="1" x14ac:dyDescent="0.3">
      <c r="A179" t="s">
        <v>525</v>
      </c>
      <c r="B179" s="20">
        <v>46023</v>
      </c>
      <c r="C179" t="s">
        <v>385</v>
      </c>
      <c r="D179" t="s">
        <v>386</v>
      </c>
      <c r="E179" t="s">
        <v>381</v>
      </c>
      <c r="F179">
        <v>82</v>
      </c>
      <c r="G179">
        <v>137</v>
      </c>
      <c r="H179" t="str">
        <f>IF(report_B_CategorieBoekjaar[[#This Row],[BedrijfsCode]]="002",IF(report_B_CategorieBoekjaar[[#This Row],[Boekjaar]]=Projectbegroting!$K$1,report_B_CategorieBoekjaar[[#This Row],[CategorieCode]],0),0)</f>
        <v>ADV</v>
      </c>
      <c r="I179">
        <f>IF(report_B_CategorieBoekjaar[[#This Row],[BedrijfsCode]]="001",IF(report_B_CategorieBoekjaar[[#This Row],[Boekjaar]]=Projectbegroting!$K$1,report_B_CategorieBoekjaar[[#This Row],[CategorieCode]],0),0)</f>
        <v>0</v>
      </c>
    </row>
    <row r="180" spans="1:9" hidden="1" x14ac:dyDescent="0.3">
      <c r="A180" t="s">
        <v>525</v>
      </c>
      <c r="B180" s="20">
        <v>46023</v>
      </c>
      <c r="C180" t="s">
        <v>387</v>
      </c>
      <c r="D180" t="s">
        <v>388</v>
      </c>
      <c r="E180" t="s">
        <v>384</v>
      </c>
      <c r="F180">
        <v>114</v>
      </c>
      <c r="G180">
        <v>0</v>
      </c>
      <c r="H180" t="str">
        <f>IF(report_B_CategorieBoekjaar[[#This Row],[BedrijfsCode]]="002",IF(report_B_CategorieBoekjaar[[#This Row],[Boekjaar]]=Projectbegroting!$K$1,report_B_CategorieBoekjaar[[#This Row],[CategorieCode]],0),0)</f>
        <v>ADV-I</v>
      </c>
      <c r="I180">
        <f>IF(report_B_CategorieBoekjaar[[#This Row],[BedrijfsCode]]="001",IF(report_B_CategorieBoekjaar[[#This Row],[Boekjaar]]=Projectbegroting!$K$1,report_B_CategorieBoekjaar[[#This Row],[CategorieCode]],0),0)</f>
        <v>0</v>
      </c>
    </row>
    <row r="181" spans="1:9" hidden="1" x14ac:dyDescent="0.3">
      <c r="A181" t="s">
        <v>525</v>
      </c>
      <c r="B181" s="20">
        <v>46023</v>
      </c>
      <c r="C181" t="s">
        <v>52</v>
      </c>
      <c r="D181" t="s">
        <v>53</v>
      </c>
      <c r="E181" t="s">
        <v>381</v>
      </c>
      <c r="F181">
        <v>81</v>
      </c>
      <c r="G181">
        <v>136</v>
      </c>
      <c r="H181" t="str">
        <f>IF(report_B_CategorieBoekjaar[[#This Row],[BedrijfsCode]]="002",IF(report_B_CategorieBoekjaar[[#This Row],[Boekjaar]]=Projectbegroting!$K$1,report_B_CategorieBoekjaar[[#This Row],[CategorieCode]],0),0)</f>
        <v>AM</v>
      </c>
      <c r="I181">
        <f>IF(report_B_CategorieBoekjaar[[#This Row],[BedrijfsCode]]="001",IF(report_B_CategorieBoekjaar[[#This Row],[Boekjaar]]=Projectbegroting!$K$1,report_B_CategorieBoekjaar[[#This Row],[CategorieCode]],0),0)</f>
        <v>0</v>
      </c>
    </row>
    <row r="182" spans="1:9" hidden="1" x14ac:dyDescent="0.3">
      <c r="A182" t="s">
        <v>525</v>
      </c>
      <c r="B182" s="20">
        <v>46023</v>
      </c>
      <c r="C182" t="s">
        <v>389</v>
      </c>
      <c r="D182" t="s">
        <v>390</v>
      </c>
      <c r="E182" t="s">
        <v>384</v>
      </c>
      <c r="F182">
        <v>113</v>
      </c>
      <c r="G182">
        <v>0</v>
      </c>
      <c r="H182" t="str">
        <f>IF(report_B_CategorieBoekjaar[[#This Row],[BedrijfsCode]]="002",IF(report_B_CategorieBoekjaar[[#This Row],[Boekjaar]]=Projectbegroting!$K$1,report_B_CategorieBoekjaar[[#This Row],[CategorieCode]],0),0)</f>
        <v>AM-I</v>
      </c>
      <c r="I182">
        <f>IF(report_B_CategorieBoekjaar[[#This Row],[BedrijfsCode]]="001",IF(report_B_CategorieBoekjaar[[#This Row],[Boekjaar]]=Projectbegroting!$K$1,report_B_CategorieBoekjaar[[#This Row],[CategorieCode]],0),0)</f>
        <v>0</v>
      </c>
    </row>
    <row r="183" spans="1:9" hidden="1" x14ac:dyDescent="0.3">
      <c r="A183" t="s">
        <v>525</v>
      </c>
      <c r="B183" s="20">
        <v>46023</v>
      </c>
      <c r="C183" t="s">
        <v>391</v>
      </c>
      <c r="D183" t="s">
        <v>392</v>
      </c>
      <c r="E183" t="s">
        <v>381</v>
      </c>
      <c r="F183">
        <v>67</v>
      </c>
      <c r="G183">
        <v>122</v>
      </c>
      <c r="H183" t="str">
        <f>IF(report_B_CategorieBoekjaar[[#This Row],[BedrijfsCode]]="002",IF(report_B_CategorieBoekjaar[[#This Row],[Boekjaar]]=Projectbegroting!$K$1,report_B_CategorieBoekjaar[[#This Row],[CategorieCode]],0),0)</f>
        <v>AN</v>
      </c>
      <c r="I183">
        <f>IF(report_B_CategorieBoekjaar[[#This Row],[BedrijfsCode]]="001",IF(report_B_CategorieBoekjaar[[#This Row],[Boekjaar]]=Projectbegroting!$K$1,report_B_CategorieBoekjaar[[#This Row],[CategorieCode]],0),0)</f>
        <v>0</v>
      </c>
    </row>
    <row r="184" spans="1:9" hidden="1" x14ac:dyDescent="0.3">
      <c r="A184" t="s">
        <v>525</v>
      </c>
      <c r="B184" s="20">
        <v>46023</v>
      </c>
      <c r="C184" t="s">
        <v>393</v>
      </c>
      <c r="D184" t="s">
        <v>394</v>
      </c>
      <c r="E184" t="s">
        <v>384</v>
      </c>
      <c r="F184">
        <v>99</v>
      </c>
      <c r="G184">
        <v>0</v>
      </c>
      <c r="H184" t="str">
        <f>IF(report_B_CategorieBoekjaar[[#This Row],[BedrijfsCode]]="002",IF(report_B_CategorieBoekjaar[[#This Row],[Boekjaar]]=Projectbegroting!$K$1,report_B_CategorieBoekjaar[[#This Row],[CategorieCode]],0),0)</f>
        <v>AN-I</v>
      </c>
      <c r="I184">
        <f>IF(report_B_CategorieBoekjaar[[#This Row],[BedrijfsCode]]="001",IF(report_B_CategorieBoekjaar[[#This Row],[Boekjaar]]=Projectbegroting!$K$1,report_B_CategorieBoekjaar[[#This Row],[CategorieCode]],0),0)</f>
        <v>0</v>
      </c>
    </row>
    <row r="185" spans="1:9" hidden="1" x14ac:dyDescent="0.3">
      <c r="A185" t="s">
        <v>525</v>
      </c>
      <c r="B185" s="20">
        <v>46023</v>
      </c>
      <c r="C185" t="s">
        <v>395</v>
      </c>
      <c r="D185" t="s">
        <v>396</v>
      </c>
      <c r="E185" t="s">
        <v>381</v>
      </c>
      <c r="F185">
        <v>54</v>
      </c>
      <c r="G185">
        <v>0</v>
      </c>
      <c r="H185" t="str">
        <f>IF(report_B_CategorieBoekjaar[[#This Row],[BedrijfsCode]]="002",IF(report_B_CategorieBoekjaar[[#This Row],[Boekjaar]]=Projectbegroting!$K$1,report_B_CategorieBoekjaar[[#This Row],[CategorieCode]],0),0)</f>
        <v>BM</v>
      </c>
      <c r="I185">
        <f>IF(report_B_CategorieBoekjaar[[#This Row],[BedrijfsCode]]="001",IF(report_B_CategorieBoekjaar[[#This Row],[Boekjaar]]=Projectbegroting!$K$1,report_B_CategorieBoekjaar[[#This Row],[CategorieCode]],0),0)</f>
        <v>0</v>
      </c>
    </row>
    <row r="186" spans="1:9" hidden="1" x14ac:dyDescent="0.3">
      <c r="A186" t="s">
        <v>525</v>
      </c>
      <c r="B186" s="20">
        <v>46023</v>
      </c>
      <c r="C186" t="s">
        <v>397</v>
      </c>
      <c r="D186" t="s">
        <v>398</v>
      </c>
      <c r="E186" t="s">
        <v>384</v>
      </c>
      <c r="F186">
        <v>0</v>
      </c>
      <c r="G186">
        <v>0</v>
      </c>
      <c r="H186" t="str">
        <f>IF(report_B_CategorieBoekjaar[[#This Row],[BedrijfsCode]]="002",IF(report_B_CategorieBoekjaar[[#This Row],[Boekjaar]]=Projectbegroting!$K$1,report_B_CategorieBoekjaar[[#This Row],[CategorieCode]],0),0)</f>
        <v>BM-I</v>
      </c>
      <c r="I186">
        <f>IF(report_B_CategorieBoekjaar[[#This Row],[BedrijfsCode]]="001",IF(report_B_CategorieBoekjaar[[#This Row],[Boekjaar]]=Projectbegroting!$K$1,report_B_CategorieBoekjaar[[#This Row],[CategorieCode]],0),0)</f>
        <v>0</v>
      </c>
    </row>
    <row r="187" spans="1:9" hidden="1" x14ac:dyDescent="0.3">
      <c r="A187" t="s">
        <v>525</v>
      </c>
      <c r="B187" s="20">
        <v>46023</v>
      </c>
      <c r="C187" t="s">
        <v>54</v>
      </c>
      <c r="D187" t="s">
        <v>399</v>
      </c>
      <c r="E187" t="s">
        <v>381</v>
      </c>
      <c r="F187">
        <v>64</v>
      </c>
      <c r="G187">
        <v>119</v>
      </c>
      <c r="H187" t="str">
        <f>IF(report_B_CategorieBoekjaar[[#This Row],[BedrijfsCode]]="002",IF(report_B_CategorieBoekjaar[[#This Row],[Boekjaar]]=Projectbegroting!$K$1,report_B_CategorieBoekjaar[[#This Row],[CategorieCode]],0),0)</f>
        <v>BU</v>
      </c>
      <c r="I187">
        <f>IF(report_B_CategorieBoekjaar[[#This Row],[BedrijfsCode]]="001",IF(report_B_CategorieBoekjaar[[#This Row],[Boekjaar]]=Projectbegroting!$K$1,report_B_CategorieBoekjaar[[#This Row],[CategorieCode]],0),0)</f>
        <v>0</v>
      </c>
    </row>
    <row r="188" spans="1:9" hidden="1" x14ac:dyDescent="0.3">
      <c r="A188" t="s">
        <v>525</v>
      </c>
      <c r="B188" s="20">
        <v>46023</v>
      </c>
      <c r="C188" t="s">
        <v>400</v>
      </c>
      <c r="D188" t="s">
        <v>401</v>
      </c>
      <c r="E188" t="s">
        <v>384</v>
      </c>
      <c r="F188">
        <v>96</v>
      </c>
      <c r="G188">
        <v>0</v>
      </c>
      <c r="H188" t="str">
        <f>IF(report_B_CategorieBoekjaar[[#This Row],[BedrijfsCode]]="002",IF(report_B_CategorieBoekjaar[[#This Row],[Boekjaar]]=Projectbegroting!$K$1,report_B_CategorieBoekjaar[[#This Row],[CategorieCode]],0),0)</f>
        <v>BU-I</v>
      </c>
      <c r="I188">
        <f>IF(report_B_CategorieBoekjaar[[#This Row],[BedrijfsCode]]="001",IF(report_B_CategorieBoekjaar[[#This Row],[Boekjaar]]=Projectbegroting!$K$1,report_B_CategorieBoekjaar[[#This Row],[CategorieCode]],0),0)</f>
        <v>0</v>
      </c>
    </row>
    <row r="189" spans="1:9" hidden="1" x14ac:dyDescent="0.3">
      <c r="A189" t="s">
        <v>525</v>
      </c>
      <c r="B189" s="20">
        <v>46023</v>
      </c>
      <c r="C189" t="s">
        <v>56</v>
      </c>
      <c r="D189" t="s">
        <v>402</v>
      </c>
      <c r="E189" t="s">
        <v>381</v>
      </c>
      <c r="F189">
        <v>80</v>
      </c>
      <c r="G189">
        <v>135</v>
      </c>
      <c r="H189" t="str">
        <f>IF(report_B_CategorieBoekjaar[[#This Row],[BedrijfsCode]]="002",IF(report_B_CategorieBoekjaar[[#This Row],[Boekjaar]]=Projectbegroting!$K$1,report_B_CategorieBoekjaar[[#This Row],[CategorieCode]],0),0)</f>
        <v>CM</v>
      </c>
      <c r="I189">
        <f>IF(report_B_CategorieBoekjaar[[#This Row],[BedrijfsCode]]="001",IF(report_B_CategorieBoekjaar[[#This Row],[Boekjaar]]=Projectbegroting!$K$1,report_B_CategorieBoekjaar[[#This Row],[CategorieCode]],0),0)</f>
        <v>0</v>
      </c>
    </row>
    <row r="190" spans="1:9" hidden="1" x14ac:dyDescent="0.3">
      <c r="A190" t="s">
        <v>525</v>
      </c>
      <c r="B190" s="20">
        <v>46023</v>
      </c>
      <c r="C190" t="s">
        <v>403</v>
      </c>
      <c r="D190" t="s">
        <v>404</v>
      </c>
      <c r="E190" t="s">
        <v>384</v>
      </c>
      <c r="F190">
        <v>112</v>
      </c>
      <c r="G190">
        <v>0</v>
      </c>
      <c r="H190" t="str">
        <f>IF(report_B_CategorieBoekjaar[[#This Row],[BedrijfsCode]]="002",IF(report_B_CategorieBoekjaar[[#This Row],[Boekjaar]]=Projectbegroting!$K$1,report_B_CategorieBoekjaar[[#This Row],[CategorieCode]],0),0)</f>
        <v>CM-I</v>
      </c>
      <c r="I190">
        <f>IF(report_B_CategorieBoekjaar[[#This Row],[BedrijfsCode]]="001",IF(report_B_CategorieBoekjaar[[#This Row],[Boekjaar]]=Projectbegroting!$K$1,report_B_CategorieBoekjaar[[#This Row],[CategorieCode]],0),0)</f>
        <v>0</v>
      </c>
    </row>
    <row r="191" spans="1:9" hidden="1" x14ac:dyDescent="0.3">
      <c r="A191" t="s">
        <v>525</v>
      </c>
      <c r="B191" s="20">
        <v>46023</v>
      </c>
      <c r="C191" t="s">
        <v>405</v>
      </c>
      <c r="D191" t="s">
        <v>16</v>
      </c>
      <c r="E191" t="s">
        <v>381</v>
      </c>
      <c r="F191">
        <v>79</v>
      </c>
      <c r="G191">
        <v>134</v>
      </c>
      <c r="H191" t="str">
        <f>IF(report_B_CategorieBoekjaar[[#This Row],[BedrijfsCode]]="002",IF(report_B_CategorieBoekjaar[[#This Row],[Boekjaar]]=Projectbegroting!$K$1,report_B_CategorieBoekjaar[[#This Row],[CategorieCode]],0),0)</f>
        <v>CON</v>
      </c>
      <c r="I191">
        <f>IF(report_B_CategorieBoekjaar[[#This Row],[BedrijfsCode]]="001",IF(report_B_CategorieBoekjaar[[#This Row],[Boekjaar]]=Projectbegroting!$K$1,report_B_CategorieBoekjaar[[#This Row],[CategorieCode]],0),0)</f>
        <v>0</v>
      </c>
    </row>
    <row r="192" spans="1:9" hidden="1" x14ac:dyDescent="0.3">
      <c r="A192" t="s">
        <v>525</v>
      </c>
      <c r="B192" s="20">
        <v>46023</v>
      </c>
      <c r="C192" t="s">
        <v>58</v>
      </c>
      <c r="D192" t="s">
        <v>406</v>
      </c>
      <c r="E192" t="s">
        <v>381</v>
      </c>
      <c r="F192">
        <v>64</v>
      </c>
      <c r="G192">
        <v>119</v>
      </c>
      <c r="H192" t="str">
        <f>IF(report_B_CategorieBoekjaar[[#This Row],[BedrijfsCode]]="002",IF(report_B_CategorieBoekjaar[[#This Row],[Boekjaar]]=Projectbegroting!$K$1,report_B_CategorieBoekjaar[[#This Row],[CategorieCode]],0),0)</f>
        <v>CS</v>
      </c>
      <c r="I192">
        <f>IF(report_B_CategorieBoekjaar[[#This Row],[BedrijfsCode]]="001",IF(report_B_CategorieBoekjaar[[#This Row],[Boekjaar]]=Projectbegroting!$K$1,report_B_CategorieBoekjaar[[#This Row],[CategorieCode]],0),0)</f>
        <v>0</v>
      </c>
    </row>
    <row r="193" spans="1:9" hidden="1" x14ac:dyDescent="0.3">
      <c r="A193" t="s">
        <v>525</v>
      </c>
      <c r="B193" s="20">
        <v>46023</v>
      </c>
      <c r="C193" t="s">
        <v>407</v>
      </c>
      <c r="D193" t="s">
        <v>408</v>
      </c>
      <c r="E193" t="s">
        <v>384</v>
      </c>
      <c r="F193">
        <v>96</v>
      </c>
      <c r="G193">
        <v>0</v>
      </c>
      <c r="H193" t="str">
        <f>IF(report_B_CategorieBoekjaar[[#This Row],[BedrijfsCode]]="002",IF(report_B_CategorieBoekjaar[[#This Row],[Boekjaar]]=Projectbegroting!$K$1,report_B_CategorieBoekjaar[[#This Row],[CategorieCode]],0),0)</f>
        <v>CS-I</v>
      </c>
      <c r="I193">
        <f>IF(report_B_CategorieBoekjaar[[#This Row],[BedrijfsCode]]="001",IF(report_B_CategorieBoekjaar[[#This Row],[Boekjaar]]=Projectbegroting!$K$1,report_B_CategorieBoekjaar[[#This Row],[CategorieCode]],0),0)</f>
        <v>0</v>
      </c>
    </row>
    <row r="194" spans="1:9" hidden="1" x14ac:dyDescent="0.3">
      <c r="A194" t="s">
        <v>525</v>
      </c>
      <c r="B194" s="20">
        <v>46023</v>
      </c>
      <c r="C194" t="s">
        <v>60</v>
      </c>
      <c r="D194" t="s">
        <v>61</v>
      </c>
      <c r="E194" t="s">
        <v>381</v>
      </c>
      <c r="F194">
        <v>77</v>
      </c>
      <c r="G194">
        <v>132</v>
      </c>
      <c r="H194" t="str">
        <f>IF(report_B_CategorieBoekjaar[[#This Row],[BedrijfsCode]]="002",IF(report_B_CategorieBoekjaar[[#This Row],[Boekjaar]]=Projectbegroting!$K$1,report_B_CategorieBoekjaar[[#This Row],[CategorieCode]],0),0)</f>
        <v>DES</v>
      </c>
      <c r="I194">
        <f>IF(report_B_CategorieBoekjaar[[#This Row],[BedrijfsCode]]="001",IF(report_B_CategorieBoekjaar[[#This Row],[Boekjaar]]=Projectbegroting!$K$1,report_B_CategorieBoekjaar[[#This Row],[CategorieCode]],0),0)</f>
        <v>0</v>
      </c>
    </row>
    <row r="195" spans="1:9" hidden="1" x14ac:dyDescent="0.3">
      <c r="A195" t="s">
        <v>525</v>
      </c>
      <c r="B195" s="20">
        <v>46023</v>
      </c>
      <c r="C195" t="s">
        <v>168</v>
      </c>
      <c r="D195" t="s">
        <v>409</v>
      </c>
      <c r="E195" t="s">
        <v>384</v>
      </c>
      <c r="F195">
        <v>109</v>
      </c>
      <c r="G195">
        <v>0</v>
      </c>
      <c r="H195" t="str">
        <f>IF(report_B_CategorieBoekjaar[[#This Row],[BedrijfsCode]]="002",IF(report_B_CategorieBoekjaar[[#This Row],[Boekjaar]]=Projectbegroting!$K$1,report_B_CategorieBoekjaar[[#This Row],[CategorieCode]],0),0)</f>
        <v>DES-I</v>
      </c>
      <c r="I195">
        <f>IF(report_B_CategorieBoekjaar[[#This Row],[BedrijfsCode]]="001",IF(report_B_CategorieBoekjaar[[#This Row],[Boekjaar]]=Projectbegroting!$K$1,report_B_CategorieBoekjaar[[#This Row],[CategorieCode]],0),0)</f>
        <v>0</v>
      </c>
    </row>
    <row r="196" spans="1:9" hidden="1" x14ac:dyDescent="0.3">
      <c r="A196" t="s">
        <v>525</v>
      </c>
      <c r="B196" s="20">
        <v>46023</v>
      </c>
      <c r="C196" t="s">
        <v>410</v>
      </c>
      <c r="D196" t="s">
        <v>411</v>
      </c>
      <c r="E196" t="s">
        <v>381</v>
      </c>
      <c r="F196">
        <v>34</v>
      </c>
      <c r="G196">
        <v>0</v>
      </c>
      <c r="H196" t="str">
        <f>IF(report_B_CategorieBoekjaar[[#This Row],[BedrijfsCode]]="002",IF(report_B_CategorieBoekjaar[[#This Row],[Boekjaar]]=Projectbegroting!$K$1,report_B_CategorieBoekjaar[[#This Row],[CategorieCode]],0),0)</f>
        <v>DO</v>
      </c>
      <c r="I196">
        <f>IF(report_B_CategorieBoekjaar[[#This Row],[BedrijfsCode]]="001",IF(report_B_CategorieBoekjaar[[#This Row],[Boekjaar]]=Projectbegroting!$K$1,report_B_CategorieBoekjaar[[#This Row],[CategorieCode]],0),0)</f>
        <v>0</v>
      </c>
    </row>
    <row r="197" spans="1:9" hidden="1" x14ac:dyDescent="0.3">
      <c r="A197" t="s">
        <v>525</v>
      </c>
      <c r="B197" s="20">
        <v>46023</v>
      </c>
      <c r="C197" t="s">
        <v>412</v>
      </c>
      <c r="D197" t="s">
        <v>413</v>
      </c>
      <c r="E197" t="s">
        <v>381</v>
      </c>
      <c r="F197">
        <v>44</v>
      </c>
      <c r="G197">
        <v>99</v>
      </c>
      <c r="H197" t="str">
        <f>IF(report_B_CategorieBoekjaar[[#This Row],[BedrijfsCode]]="002",IF(report_B_CategorieBoekjaar[[#This Row],[Boekjaar]]=Projectbegroting!$K$1,report_B_CategorieBoekjaar[[#This Row],[CategorieCode]],0),0)</f>
        <v>DS</v>
      </c>
      <c r="I197">
        <f>IF(report_B_CategorieBoekjaar[[#This Row],[BedrijfsCode]]="001",IF(report_B_CategorieBoekjaar[[#This Row],[Boekjaar]]=Projectbegroting!$K$1,report_B_CategorieBoekjaar[[#This Row],[CategorieCode]],0),0)</f>
        <v>0</v>
      </c>
    </row>
    <row r="198" spans="1:9" hidden="1" x14ac:dyDescent="0.3">
      <c r="A198" t="s">
        <v>525</v>
      </c>
      <c r="B198" s="20">
        <v>46023</v>
      </c>
      <c r="C198" t="s">
        <v>414</v>
      </c>
      <c r="D198" t="s">
        <v>415</v>
      </c>
      <c r="E198" t="s">
        <v>384</v>
      </c>
      <c r="F198">
        <v>0</v>
      </c>
      <c r="G198">
        <v>0</v>
      </c>
      <c r="H198" t="str">
        <f>IF(report_B_CategorieBoekjaar[[#This Row],[BedrijfsCode]]="002",IF(report_B_CategorieBoekjaar[[#This Row],[Boekjaar]]=Projectbegroting!$K$1,report_B_CategorieBoekjaar[[#This Row],[CategorieCode]],0),0)</f>
        <v>DS-I</v>
      </c>
      <c r="I198">
        <f>IF(report_B_CategorieBoekjaar[[#This Row],[BedrijfsCode]]="001",IF(report_B_CategorieBoekjaar[[#This Row],[Boekjaar]]=Projectbegroting!$K$1,report_B_CategorieBoekjaar[[#This Row],[CategorieCode]],0),0)</f>
        <v>0</v>
      </c>
    </row>
    <row r="199" spans="1:9" hidden="1" x14ac:dyDescent="0.3">
      <c r="A199" t="s">
        <v>525</v>
      </c>
      <c r="B199" s="20">
        <v>46023</v>
      </c>
      <c r="C199" t="s">
        <v>82</v>
      </c>
      <c r="D199" t="s">
        <v>416</v>
      </c>
      <c r="E199" t="s">
        <v>381</v>
      </c>
      <c r="F199">
        <v>84</v>
      </c>
      <c r="G199">
        <v>139</v>
      </c>
      <c r="H199" t="str">
        <f>IF(report_B_CategorieBoekjaar[[#This Row],[BedrijfsCode]]="002",IF(report_B_CategorieBoekjaar[[#This Row],[Boekjaar]]=Projectbegroting!$K$1,report_B_CategorieBoekjaar[[#This Row],[CategorieCode]],0),0)</f>
        <v>EA</v>
      </c>
      <c r="I199">
        <f>IF(report_B_CategorieBoekjaar[[#This Row],[BedrijfsCode]]="001",IF(report_B_CategorieBoekjaar[[#This Row],[Boekjaar]]=Projectbegroting!$K$1,report_B_CategorieBoekjaar[[#This Row],[CategorieCode]],0),0)</f>
        <v>0</v>
      </c>
    </row>
    <row r="200" spans="1:9" hidden="1" x14ac:dyDescent="0.3">
      <c r="A200" t="s">
        <v>525</v>
      </c>
      <c r="B200" s="20">
        <v>46023</v>
      </c>
      <c r="C200" t="s">
        <v>169</v>
      </c>
      <c r="D200" t="s">
        <v>417</v>
      </c>
      <c r="E200" t="s">
        <v>384</v>
      </c>
      <c r="F200">
        <v>116</v>
      </c>
      <c r="G200">
        <v>0</v>
      </c>
      <c r="H200" t="str">
        <f>IF(report_B_CategorieBoekjaar[[#This Row],[BedrijfsCode]]="002",IF(report_B_CategorieBoekjaar[[#This Row],[Boekjaar]]=Projectbegroting!$K$1,report_B_CategorieBoekjaar[[#This Row],[CategorieCode]],0),0)</f>
        <v>EA-I</v>
      </c>
      <c r="I200">
        <f>IF(report_B_CategorieBoekjaar[[#This Row],[BedrijfsCode]]="001",IF(report_B_CategorieBoekjaar[[#This Row],[Boekjaar]]=Projectbegroting!$K$1,report_B_CategorieBoekjaar[[#This Row],[CategorieCode]],0),0)</f>
        <v>0</v>
      </c>
    </row>
    <row r="201" spans="1:9" hidden="1" x14ac:dyDescent="0.3">
      <c r="A201" t="s">
        <v>525</v>
      </c>
      <c r="B201" s="20">
        <v>46023</v>
      </c>
      <c r="C201" t="s">
        <v>418</v>
      </c>
      <c r="D201" t="s">
        <v>419</v>
      </c>
      <c r="E201" t="s">
        <v>381</v>
      </c>
      <c r="F201">
        <v>66</v>
      </c>
      <c r="G201">
        <v>0</v>
      </c>
      <c r="H201" t="str">
        <f>IF(report_B_CategorieBoekjaar[[#This Row],[BedrijfsCode]]="002",IF(report_B_CategorieBoekjaar[[#This Row],[Boekjaar]]=Projectbegroting!$K$1,report_B_CategorieBoekjaar[[#This Row],[CategorieCode]],0),0)</f>
        <v>FT</v>
      </c>
      <c r="I201">
        <f>IF(report_B_CategorieBoekjaar[[#This Row],[BedrijfsCode]]="001",IF(report_B_CategorieBoekjaar[[#This Row],[Boekjaar]]=Projectbegroting!$K$1,report_B_CategorieBoekjaar[[#This Row],[CategorieCode]],0),0)</f>
        <v>0</v>
      </c>
    </row>
    <row r="202" spans="1:9" hidden="1" x14ac:dyDescent="0.3">
      <c r="A202" t="s">
        <v>525</v>
      </c>
      <c r="B202" s="20">
        <v>46023</v>
      </c>
      <c r="C202" t="s">
        <v>84</v>
      </c>
      <c r="D202" t="s">
        <v>420</v>
      </c>
      <c r="E202" t="s">
        <v>381</v>
      </c>
      <c r="F202">
        <v>70</v>
      </c>
      <c r="G202">
        <v>125</v>
      </c>
      <c r="H202" t="str">
        <f>IF(report_B_CategorieBoekjaar[[#This Row],[BedrijfsCode]]="002",IF(report_B_CategorieBoekjaar[[#This Row],[Boekjaar]]=Projectbegroting!$K$1,report_B_CategorieBoekjaar[[#This Row],[CategorieCode]],0),0)</f>
        <v>FUB</v>
      </c>
      <c r="I202">
        <f>IF(report_B_CategorieBoekjaar[[#This Row],[BedrijfsCode]]="001",IF(report_B_CategorieBoekjaar[[#This Row],[Boekjaar]]=Projectbegroting!$K$1,report_B_CategorieBoekjaar[[#This Row],[CategorieCode]],0),0)</f>
        <v>0</v>
      </c>
    </row>
    <row r="203" spans="1:9" hidden="1" x14ac:dyDescent="0.3">
      <c r="A203" t="s">
        <v>525</v>
      </c>
      <c r="B203" s="20">
        <v>46023</v>
      </c>
      <c r="C203" t="s">
        <v>170</v>
      </c>
      <c r="D203" t="s">
        <v>421</v>
      </c>
      <c r="E203" t="s">
        <v>384</v>
      </c>
      <c r="F203">
        <v>102</v>
      </c>
      <c r="G203">
        <v>0</v>
      </c>
      <c r="H203" t="str">
        <f>IF(report_B_CategorieBoekjaar[[#This Row],[BedrijfsCode]]="002",IF(report_B_CategorieBoekjaar[[#This Row],[Boekjaar]]=Projectbegroting!$K$1,report_B_CategorieBoekjaar[[#This Row],[CategorieCode]],0),0)</f>
        <v>FUB-I</v>
      </c>
      <c r="I203">
        <f>IF(report_B_CategorieBoekjaar[[#This Row],[BedrijfsCode]]="001",IF(report_B_CategorieBoekjaar[[#This Row],[Boekjaar]]=Projectbegroting!$K$1,report_B_CategorieBoekjaar[[#This Row],[CategorieCode]],0),0)</f>
        <v>0</v>
      </c>
    </row>
    <row r="204" spans="1:9" hidden="1" x14ac:dyDescent="0.3">
      <c r="A204" t="s">
        <v>525</v>
      </c>
      <c r="B204" s="20">
        <v>46023</v>
      </c>
      <c r="C204" t="s">
        <v>96</v>
      </c>
      <c r="D204" t="s">
        <v>422</v>
      </c>
      <c r="E204" t="s">
        <v>381</v>
      </c>
      <c r="F204">
        <v>69</v>
      </c>
      <c r="G204">
        <v>124</v>
      </c>
      <c r="H204" t="str">
        <f>IF(report_B_CategorieBoekjaar[[#This Row],[BedrijfsCode]]="002",IF(report_B_CategorieBoekjaar[[#This Row],[Boekjaar]]=Projectbegroting!$K$1,report_B_CategorieBoekjaar[[#This Row],[CategorieCode]],0),0)</f>
        <v>IA</v>
      </c>
      <c r="I204">
        <f>IF(report_B_CategorieBoekjaar[[#This Row],[BedrijfsCode]]="001",IF(report_B_CategorieBoekjaar[[#This Row],[Boekjaar]]=Projectbegroting!$K$1,report_B_CategorieBoekjaar[[#This Row],[CategorieCode]],0),0)</f>
        <v>0</v>
      </c>
    </row>
    <row r="205" spans="1:9" hidden="1" x14ac:dyDescent="0.3">
      <c r="A205" t="s">
        <v>525</v>
      </c>
      <c r="B205" s="20">
        <v>46023</v>
      </c>
      <c r="C205" t="s">
        <v>171</v>
      </c>
      <c r="D205" t="s">
        <v>423</v>
      </c>
      <c r="E205" t="s">
        <v>384</v>
      </c>
      <c r="F205">
        <v>101</v>
      </c>
      <c r="G205">
        <v>0</v>
      </c>
      <c r="H205" t="str">
        <f>IF(report_B_CategorieBoekjaar[[#This Row],[BedrijfsCode]]="002",IF(report_B_CategorieBoekjaar[[#This Row],[Boekjaar]]=Projectbegroting!$K$1,report_B_CategorieBoekjaar[[#This Row],[CategorieCode]],0),0)</f>
        <v>IA-I</v>
      </c>
      <c r="I205">
        <f>IF(report_B_CategorieBoekjaar[[#This Row],[BedrijfsCode]]="001",IF(report_B_CategorieBoekjaar[[#This Row],[Boekjaar]]=Projectbegroting!$K$1,report_B_CategorieBoekjaar[[#This Row],[CategorieCode]],0),0)</f>
        <v>0</v>
      </c>
    </row>
    <row r="206" spans="1:9" hidden="1" x14ac:dyDescent="0.3">
      <c r="A206" t="s">
        <v>525</v>
      </c>
      <c r="B206" s="20">
        <v>46023</v>
      </c>
      <c r="C206" t="s">
        <v>86</v>
      </c>
      <c r="D206" t="s">
        <v>424</v>
      </c>
      <c r="E206" t="s">
        <v>381</v>
      </c>
      <c r="F206">
        <v>64</v>
      </c>
      <c r="G206">
        <v>119</v>
      </c>
      <c r="H206" t="str">
        <f>IF(report_B_CategorieBoekjaar[[#This Row],[BedrijfsCode]]="002",IF(report_B_CategorieBoekjaar[[#This Row],[Boekjaar]]=Projectbegroting!$K$1,report_B_CategorieBoekjaar[[#This Row],[CategorieCode]],0),0)</f>
        <v>ICTB</v>
      </c>
      <c r="I206">
        <f>IF(report_B_CategorieBoekjaar[[#This Row],[BedrijfsCode]]="001",IF(report_B_CategorieBoekjaar[[#This Row],[Boekjaar]]=Projectbegroting!$K$1,report_B_CategorieBoekjaar[[#This Row],[CategorieCode]],0),0)</f>
        <v>0</v>
      </c>
    </row>
    <row r="207" spans="1:9" hidden="1" x14ac:dyDescent="0.3">
      <c r="A207" t="s">
        <v>525</v>
      </c>
      <c r="B207" s="20">
        <v>46023</v>
      </c>
      <c r="C207" t="s">
        <v>172</v>
      </c>
      <c r="D207" t="s">
        <v>425</v>
      </c>
      <c r="E207" t="s">
        <v>384</v>
      </c>
      <c r="F207">
        <v>96</v>
      </c>
      <c r="G207">
        <v>0</v>
      </c>
      <c r="H207" t="str">
        <f>IF(report_B_CategorieBoekjaar[[#This Row],[BedrijfsCode]]="002",IF(report_B_CategorieBoekjaar[[#This Row],[Boekjaar]]=Projectbegroting!$K$1,report_B_CategorieBoekjaar[[#This Row],[CategorieCode]],0),0)</f>
        <v>ICTB-I</v>
      </c>
      <c r="I207">
        <f>IF(report_B_CategorieBoekjaar[[#This Row],[BedrijfsCode]]="001",IF(report_B_CategorieBoekjaar[[#This Row],[Boekjaar]]=Projectbegroting!$K$1,report_B_CategorieBoekjaar[[#This Row],[CategorieCode]],0),0)</f>
        <v>0</v>
      </c>
    </row>
    <row r="208" spans="1:9" hidden="1" x14ac:dyDescent="0.3">
      <c r="A208" t="s">
        <v>525</v>
      </c>
      <c r="B208" s="20">
        <v>46023</v>
      </c>
      <c r="C208" t="s">
        <v>94</v>
      </c>
      <c r="D208" t="s">
        <v>426</v>
      </c>
      <c r="E208" t="s">
        <v>381</v>
      </c>
      <c r="F208">
        <v>139</v>
      </c>
      <c r="G208">
        <v>139</v>
      </c>
      <c r="H208" t="str">
        <f>IF(report_B_CategorieBoekjaar[[#This Row],[BedrijfsCode]]="002",IF(report_B_CategorieBoekjaar[[#This Row],[Boekjaar]]=Projectbegroting!$K$1,report_B_CategorieBoekjaar[[#This Row],[CategorieCode]],0),0)</f>
        <v>ICTE</v>
      </c>
      <c r="I208">
        <f>IF(report_B_CategorieBoekjaar[[#This Row],[BedrijfsCode]]="001",IF(report_B_CategorieBoekjaar[[#This Row],[Boekjaar]]=Projectbegroting!$K$1,report_B_CategorieBoekjaar[[#This Row],[CategorieCode]],0),0)</f>
        <v>0</v>
      </c>
    </row>
    <row r="209" spans="1:9" hidden="1" x14ac:dyDescent="0.3">
      <c r="A209" t="s">
        <v>525</v>
      </c>
      <c r="B209" s="20">
        <v>46023</v>
      </c>
      <c r="C209" t="s">
        <v>173</v>
      </c>
      <c r="D209" t="s">
        <v>427</v>
      </c>
      <c r="E209" t="s">
        <v>384</v>
      </c>
      <c r="F209">
        <v>139</v>
      </c>
      <c r="G209">
        <v>0</v>
      </c>
      <c r="H209" t="str">
        <f>IF(report_B_CategorieBoekjaar[[#This Row],[BedrijfsCode]]="002",IF(report_B_CategorieBoekjaar[[#This Row],[Boekjaar]]=Projectbegroting!$K$1,report_B_CategorieBoekjaar[[#This Row],[CategorieCode]],0),0)</f>
        <v>ICTE-I</v>
      </c>
      <c r="I209">
        <f>IF(report_B_CategorieBoekjaar[[#This Row],[BedrijfsCode]]="001",IF(report_B_CategorieBoekjaar[[#This Row],[Boekjaar]]=Projectbegroting!$K$1,report_B_CategorieBoekjaar[[#This Row],[CategorieCode]],0),0)</f>
        <v>0</v>
      </c>
    </row>
    <row r="210" spans="1:9" hidden="1" x14ac:dyDescent="0.3">
      <c r="A210" t="s">
        <v>525</v>
      </c>
      <c r="B210" s="20">
        <v>46023</v>
      </c>
      <c r="C210" t="s">
        <v>88</v>
      </c>
      <c r="D210" t="s">
        <v>89</v>
      </c>
      <c r="E210" t="s">
        <v>381</v>
      </c>
      <c r="F210">
        <v>68</v>
      </c>
      <c r="G210">
        <v>123</v>
      </c>
      <c r="H210" t="str">
        <f>IF(report_B_CategorieBoekjaar[[#This Row],[BedrijfsCode]]="002",IF(report_B_CategorieBoekjaar[[#This Row],[Boekjaar]]=Projectbegroting!$K$1,report_B_CategorieBoekjaar[[#This Row],[CategorieCode]],0),0)</f>
        <v>ICTO</v>
      </c>
      <c r="I210">
        <f>IF(report_B_CategorieBoekjaar[[#This Row],[BedrijfsCode]]="001",IF(report_B_CategorieBoekjaar[[#This Row],[Boekjaar]]=Projectbegroting!$K$1,report_B_CategorieBoekjaar[[#This Row],[CategorieCode]],0),0)</f>
        <v>0</v>
      </c>
    </row>
    <row r="211" spans="1:9" hidden="1" x14ac:dyDescent="0.3">
      <c r="A211" t="s">
        <v>525</v>
      </c>
      <c r="B211" s="20">
        <v>46023</v>
      </c>
      <c r="C211" t="s">
        <v>174</v>
      </c>
      <c r="D211" t="s">
        <v>428</v>
      </c>
      <c r="E211" t="s">
        <v>384</v>
      </c>
      <c r="F211">
        <v>100</v>
      </c>
      <c r="G211">
        <v>0</v>
      </c>
      <c r="H211" t="str">
        <f>IF(report_B_CategorieBoekjaar[[#This Row],[BedrijfsCode]]="002",IF(report_B_CategorieBoekjaar[[#This Row],[Boekjaar]]=Projectbegroting!$K$1,report_B_CategorieBoekjaar[[#This Row],[CategorieCode]],0),0)</f>
        <v>ICTO-I</v>
      </c>
      <c r="I211">
        <f>IF(report_B_CategorieBoekjaar[[#This Row],[BedrijfsCode]]="001",IF(report_B_CategorieBoekjaar[[#This Row],[Boekjaar]]=Projectbegroting!$K$1,report_B_CategorieBoekjaar[[#This Row],[CategorieCode]],0),0)</f>
        <v>0</v>
      </c>
    </row>
    <row r="212" spans="1:9" hidden="1" x14ac:dyDescent="0.3">
      <c r="A212" t="s">
        <v>525</v>
      </c>
      <c r="B212" s="20">
        <v>46023</v>
      </c>
      <c r="C212" t="s">
        <v>90</v>
      </c>
      <c r="D212" t="s">
        <v>91</v>
      </c>
      <c r="E212" t="s">
        <v>381</v>
      </c>
      <c r="F212">
        <v>49</v>
      </c>
      <c r="G212">
        <v>104</v>
      </c>
      <c r="H212" t="str">
        <f>IF(report_B_CategorieBoekjaar[[#This Row],[BedrijfsCode]]="002",IF(report_B_CategorieBoekjaar[[#This Row],[Boekjaar]]=Projectbegroting!$K$1,report_B_CategorieBoekjaar[[#This Row],[CategorieCode]],0),0)</f>
        <v>ICTS</v>
      </c>
      <c r="I212">
        <f>IF(report_B_CategorieBoekjaar[[#This Row],[BedrijfsCode]]="001",IF(report_B_CategorieBoekjaar[[#This Row],[Boekjaar]]=Projectbegroting!$K$1,report_B_CategorieBoekjaar[[#This Row],[CategorieCode]],0),0)</f>
        <v>0</v>
      </c>
    </row>
    <row r="213" spans="1:9" hidden="1" x14ac:dyDescent="0.3">
      <c r="A213" t="s">
        <v>525</v>
      </c>
      <c r="B213" s="20">
        <v>46023</v>
      </c>
      <c r="C213" t="s">
        <v>429</v>
      </c>
      <c r="D213" t="s">
        <v>430</v>
      </c>
      <c r="E213" t="s">
        <v>384</v>
      </c>
      <c r="F213">
        <v>81</v>
      </c>
      <c r="G213">
        <v>0</v>
      </c>
      <c r="H213" t="str">
        <f>IF(report_B_CategorieBoekjaar[[#This Row],[BedrijfsCode]]="002",IF(report_B_CategorieBoekjaar[[#This Row],[Boekjaar]]=Projectbegroting!$K$1,report_B_CategorieBoekjaar[[#This Row],[CategorieCode]],0),0)</f>
        <v>ICTS-I</v>
      </c>
      <c r="I213">
        <f>IF(report_B_CategorieBoekjaar[[#This Row],[BedrijfsCode]]="001",IF(report_B_CategorieBoekjaar[[#This Row],[Boekjaar]]=Projectbegroting!$K$1,report_B_CategorieBoekjaar[[#This Row],[CategorieCode]],0),0)</f>
        <v>0</v>
      </c>
    </row>
    <row r="214" spans="1:9" hidden="1" x14ac:dyDescent="0.3">
      <c r="A214" t="s">
        <v>525</v>
      </c>
      <c r="B214" s="20">
        <v>46023</v>
      </c>
      <c r="C214" t="s">
        <v>431</v>
      </c>
      <c r="D214" t="s">
        <v>432</v>
      </c>
      <c r="E214" t="s">
        <v>381</v>
      </c>
      <c r="F214">
        <v>82</v>
      </c>
      <c r="G214">
        <v>137</v>
      </c>
      <c r="H214" t="str">
        <f>IF(report_B_CategorieBoekjaar[[#This Row],[BedrijfsCode]]="002",IF(report_B_CategorieBoekjaar[[#This Row],[Boekjaar]]=Projectbegroting!$K$1,report_B_CategorieBoekjaar[[#This Row],[CategorieCode]],0),0)</f>
        <v>IM</v>
      </c>
      <c r="I214">
        <f>IF(report_B_CategorieBoekjaar[[#This Row],[BedrijfsCode]]="001",IF(report_B_CategorieBoekjaar[[#This Row],[Boekjaar]]=Projectbegroting!$K$1,report_B_CategorieBoekjaar[[#This Row],[CategorieCode]],0),0)</f>
        <v>0</v>
      </c>
    </row>
    <row r="215" spans="1:9" hidden="1" x14ac:dyDescent="0.3">
      <c r="A215" t="s">
        <v>525</v>
      </c>
      <c r="B215" s="20">
        <v>46023</v>
      </c>
      <c r="C215" t="s">
        <v>433</v>
      </c>
      <c r="D215" t="s">
        <v>434</v>
      </c>
      <c r="E215" t="s">
        <v>384</v>
      </c>
      <c r="F215">
        <v>114</v>
      </c>
      <c r="G215">
        <v>0</v>
      </c>
      <c r="H215" t="str">
        <f>IF(report_B_CategorieBoekjaar[[#This Row],[BedrijfsCode]]="002",IF(report_B_CategorieBoekjaar[[#This Row],[Boekjaar]]=Projectbegroting!$K$1,report_B_CategorieBoekjaar[[#This Row],[CategorieCode]],0),0)</f>
        <v>IM-I</v>
      </c>
      <c r="I215">
        <f>IF(report_B_CategorieBoekjaar[[#This Row],[BedrijfsCode]]="001",IF(report_B_CategorieBoekjaar[[#This Row],[Boekjaar]]=Projectbegroting!$K$1,report_B_CategorieBoekjaar[[#This Row],[CategorieCode]],0),0)</f>
        <v>0</v>
      </c>
    </row>
    <row r="216" spans="1:9" hidden="1" x14ac:dyDescent="0.3">
      <c r="A216" t="s">
        <v>525</v>
      </c>
      <c r="B216" s="20">
        <v>46023</v>
      </c>
      <c r="C216" t="s">
        <v>435</v>
      </c>
      <c r="D216" t="s">
        <v>436</v>
      </c>
      <c r="E216" t="s">
        <v>381</v>
      </c>
      <c r="F216">
        <v>65</v>
      </c>
      <c r="G216">
        <v>120</v>
      </c>
      <c r="H216" t="str">
        <f>IF(report_B_CategorieBoekjaar[[#This Row],[BedrijfsCode]]="002",IF(report_B_CategorieBoekjaar[[#This Row],[Boekjaar]]=Projectbegroting!$K$1,report_B_CategorieBoekjaar[[#This Row],[CategorieCode]],0),0)</f>
        <v>INK</v>
      </c>
      <c r="I216">
        <f>IF(report_B_CategorieBoekjaar[[#This Row],[BedrijfsCode]]="001",IF(report_B_CategorieBoekjaar[[#This Row],[Boekjaar]]=Projectbegroting!$K$1,report_B_CategorieBoekjaar[[#This Row],[CategorieCode]],0),0)</f>
        <v>0</v>
      </c>
    </row>
    <row r="217" spans="1:9" hidden="1" x14ac:dyDescent="0.3">
      <c r="A217" t="s">
        <v>525</v>
      </c>
      <c r="B217" s="20">
        <v>46023</v>
      </c>
      <c r="C217" t="s">
        <v>437</v>
      </c>
      <c r="D217" t="s">
        <v>438</v>
      </c>
      <c r="E217" t="s">
        <v>384</v>
      </c>
      <c r="F217">
        <v>97</v>
      </c>
      <c r="G217">
        <v>0</v>
      </c>
      <c r="H217" t="str">
        <f>IF(report_B_CategorieBoekjaar[[#This Row],[BedrijfsCode]]="002",IF(report_B_CategorieBoekjaar[[#This Row],[Boekjaar]]=Projectbegroting!$K$1,report_B_CategorieBoekjaar[[#This Row],[CategorieCode]],0),0)</f>
        <v>INK-I</v>
      </c>
      <c r="I217">
        <f>IF(report_B_CategorieBoekjaar[[#This Row],[BedrijfsCode]]="001",IF(report_B_CategorieBoekjaar[[#This Row],[Boekjaar]]=Projectbegroting!$K$1,report_B_CategorieBoekjaar[[#This Row],[CategorieCode]],0),0)</f>
        <v>0</v>
      </c>
    </row>
    <row r="218" spans="1:9" hidden="1" x14ac:dyDescent="0.3">
      <c r="A218" t="s">
        <v>525</v>
      </c>
      <c r="B218" s="20">
        <v>46023</v>
      </c>
      <c r="C218" t="s">
        <v>439</v>
      </c>
      <c r="D218" t="s">
        <v>440</v>
      </c>
      <c r="E218" t="s">
        <v>381</v>
      </c>
      <c r="F218">
        <v>47</v>
      </c>
      <c r="G218">
        <v>102</v>
      </c>
      <c r="H218" t="str">
        <f>IF(report_B_CategorieBoekjaar[[#This Row],[BedrijfsCode]]="002",IF(report_B_CategorieBoekjaar[[#This Row],[Boekjaar]]=Projectbegroting!$K$1,report_B_CategorieBoekjaar[[#This Row],[CategorieCode]],0),0)</f>
        <v>IS</v>
      </c>
      <c r="I218">
        <f>IF(report_B_CategorieBoekjaar[[#This Row],[BedrijfsCode]]="001",IF(report_B_CategorieBoekjaar[[#This Row],[Boekjaar]]=Projectbegroting!$K$1,report_B_CategorieBoekjaar[[#This Row],[CategorieCode]],0),0)</f>
        <v>0</v>
      </c>
    </row>
    <row r="219" spans="1:9" hidden="1" x14ac:dyDescent="0.3">
      <c r="A219" t="s">
        <v>525</v>
      </c>
      <c r="B219" s="20">
        <v>46023</v>
      </c>
      <c r="C219" t="s">
        <v>441</v>
      </c>
      <c r="D219" t="s">
        <v>442</v>
      </c>
      <c r="E219" t="s">
        <v>381</v>
      </c>
      <c r="F219">
        <v>52</v>
      </c>
      <c r="G219">
        <v>107</v>
      </c>
      <c r="H219" t="str">
        <f>IF(report_B_CategorieBoekjaar[[#This Row],[BedrijfsCode]]="002",IF(report_B_CategorieBoekjaar[[#This Row],[Boekjaar]]=Projectbegroting!$K$1,report_B_CategorieBoekjaar[[#This Row],[CategorieCode]],0),0)</f>
        <v>KCO</v>
      </c>
      <c r="I219">
        <f>IF(report_B_CategorieBoekjaar[[#This Row],[BedrijfsCode]]="001",IF(report_B_CategorieBoekjaar[[#This Row],[Boekjaar]]=Projectbegroting!$K$1,report_B_CategorieBoekjaar[[#This Row],[CategorieCode]],0),0)</f>
        <v>0</v>
      </c>
    </row>
    <row r="220" spans="1:9" hidden="1" x14ac:dyDescent="0.3">
      <c r="A220" t="s">
        <v>525</v>
      </c>
      <c r="B220" s="20">
        <v>46023</v>
      </c>
      <c r="C220" t="s">
        <v>443</v>
      </c>
      <c r="D220" t="s">
        <v>444</v>
      </c>
      <c r="E220" t="s">
        <v>384</v>
      </c>
      <c r="F220">
        <v>0</v>
      </c>
      <c r="G220">
        <v>0</v>
      </c>
      <c r="H220" t="str">
        <f>IF(report_B_CategorieBoekjaar[[#This Row],[BedrijfsCode]]="002",IF(report_B_CategorieBoekjaar[[#This Row],[Boekjaar]]=Projectbegroting!$K$1,report_B_CategorieBoekjaar[[#This Row],[CategorieCode]],0),0)</f>
        <v>KCO-I</v>
      </c>
      <c r="I220">
        <f>IF(report_B_CategorieBoekjaar[[#This Row],[BedrijfsCode]]="001",IF(report_B_CategorieBoekjaar[[#This Row],[Boekjaar]]=Projectbegroting!$K$1,report_B_CategorieBoekjaar[[#This Row],[CategorieCode]],0),0)</f>
        <v>0</v>
      </c>
    </row>
    <row r="221" spans="1:9" hidden="1" x14ac:dyDescent="0.3">
      <c r="A221" t="s">
        <v>525</v>
      </c>
      <c r="B221" s="20">
        <v>46023</v>
      </c>
      <c r="C221" t="s">
        <v>445</v>
      </c>
      <c r="D221" t="s">
        <v>446</v>
      </c>
      <c r="E221" t="s">
        <v>381</v>
      </c>
      <c r="F221">
        <v>0</v>
      </c>
      <c r="G221">
        <v>134</v>
      </c>
      <c r="H221" t="str">
        <f>IF(report_B_CategorieBoekjaar[[#This Row],[BedrijfsCode]]="002",IF(report_B_CategorieBoekjaar[[#This Row],[Boekjaar]]=Projectbegroting!$K$1,report_B_CategorieBoekjaar[[#This Row],[CategorieCode]],0),0)</f>
        <v>KM</v>
      </c>
      <c r="I221">
        <f>IF(report_B_CategorieBoekjaar[[#This Row],[BedrijfsCode]]="001",IF(report_B_CategorieBoekjaar[[#This Row],[Boekjaar]]=Projectbegroting!$K$1,report_B_CategorieBoekjaar[[#This Row],[CategorieCode]],0),0)</f>
        <v>0</v>
      </c>
    </row>
    <row r="222" spans="1:9" hidden="1" x14ac:dyDescent="0.3">
      <c r="A222" t="s">
        <v>525</v>
      </c>
      <c r="B222" s="20">
        <v>46023</v>
      </c>
      <c r="C222" t="s">
        <v>447</v>
      </c>
      <c r="D222" t="s">
        <v>448</v>
      </c>
      <c r="E222" t="s">
        <v>384</v>
      </c>
      <c r="F222">
        <v>0</v>
      </c>
      <c r="G222">
        <v>0</v>
      </c>
      <c r="H222" t="str">
        <f>IF(report_B_CategorieBoekjaar[[#This Row],[BedrijfsCode]]="002",IF(report_B_CategorieBoekjaar[[#This Row],[Boekjaar]]=Projectbegroting!$K$1,report_B_CategorieBoekjaar[[#This Row],[CategorieCode]],0),0)</f>
        <v>KM-I</v>
      </c>
      <c r="I222">
        <f>IF(report_B_CategorieBoekjaar[[#This Row],[BedrijfsCode]]="001",IF(report_B_CategorieBoekjaar[[#This Row],[Boekjaar]]=Projectbegroting!$K$1,report_B_CategorieBoekjaar[[#This Row],[CategorieCode]],0),0)</f>
        <v>0</v>
      </c>
    </row>
    <row r="223" spans="1:9" hidden="1" x14ac:dyDescent="0.3">
      <c r="A223" t="s">
        <v>525</v>
      </c>
      <c r="B223" s="20">
        <v>46023</v>
      </c>
      <c r="C223" t="s">
        <v>449</v>
      </c>
      <c r="D223" t="s">
        <v>450</v>
      </c>
      <c r="E223" t="s">
        <v>381</v>
      </c>
      <c r="F223">
        <v>49</v>
      </c>
      <c r="G223">
        <v>104</v>
      </c>
      <c r="H223" t="str">
        <f>IF(report_B_CategorieBoekjaar[[#This Row],[BedrijfsCode]]="002",IF(report_B_CategorieBoekjaar[[#This Row],[Boekjaar]]=Projectbegroting!$K$1,report_B_CategorieBoekjaar[[#This Row],[CategorieCode]],0),0)</f>
        <v>KS</v>
      </c>
      <c r="I223">
        <f>IF(report_B_CategorieBoekjaar[[#This Row],[BedrijfsCode]]="001",IF(report_B_CategorieBoekjaar[[#This Row],[Boekjaar]]=Projectbegroting!$K$1,report_B_CategorieBoekjaar[[#This Row],[CategorieCode]],0),0)</f>
        <v>0</v>
      </c>
    </row>
    <row r="224" spans="1:9" hidden="1" x14ac:dyDescent="0.3">
      <c r="A224" t="s">
        <v>525</v>
      </c>
      <c r="B224" s="20">
        <v>46023</v>
      </c>
      <c r="C224" t="s">
        <v>451</v>
      </c>
      <c r="D224" t="s">
        <v>452</v>
      </c>
      <c r="E224" t="s">
        <v>384</v>
      </c>
      <c r="F224">
        <v>81</v>
      </c>
      <c r="G224">
        <v>0</v>
      </c>
      <c r="H224" t="str">
        <f>IF(report_B_CategorieBoekjaar[[#This Row],[BedrijfsCode]]="002",IF(report_B_CategorieBoekjaar[[#This Row],[Boekjaar]]=Projectbegroting!$K$1,report_B_CategorieBoekjaar[[#This Row],[CategorieCode]],0),0)</f>
        <v>KS-I</v>
      </c>
      <c r="I224">
        <f>IF(report_B_CategorieBoekjaar[[#This Row],[BedrijfsCode]]="001",IF(report_B_CategorieBoekjaar[[#This Row],[Boekjaar]]=Projectbegroting!$K$1,report_B_CategorieBoekjaar[[#This Row],[CategorieCode]],0),0)</f>
        <v>0</v>
      </c>
    </row>
    <row r="225" spans="1:9" hidden="1" x14ac:dyDescent="0.3">
      <c r="A225" t="s">
        <v>525</v>
      </c>
      <c r="B225" s="20">
        <v>46023</v>
      </c>
      <c r="C225" t="s">
        <v>453</v>
      </c>
      <c r="D225" t="s">
        <v>454</v>
      </c>
      <c r="E225" t="s">
        <v>381</v>
      </c>
      <c r="F225">
        <v>67</v>
      </c>
      <c r="G225">
        <v>122</v>
      </c>
      <c r="H225" t="str">
        <f>IF(report_B_CategorieBoekjaar[[#This Row],[BedrijfsCode]]="002",IF(report_B_CategorieBoekjaar[[#This Row],[Boekjaar]]=Projectbegroting!$K$1,report_B_CategorieBoekjaar[[#This Row],[CategorieCode]],0),0)</f>
        <v>LDG I</v>
      </c>
      <c r="I225">
        <f>IF(report_B_CategorieBoekjaar[[#This Row],[BedrijfsCode]]="001",IF(report_B_CategorieBoekjaar[[#This Row],[Boekjaar]]=Projectbegroting!$K$1,report_B_CategorieBoekjaar[[#This Row],[CategorieCode]],0),0)</f>
        <v>0</v>
      </c>
    </row>
    <row r="226" spans="1:9" hidden="1" x14ac:dyDescent="0.3">
      <c r="A226" t="s">
        <v>525</v>
      </c>
      <c r="B226" s="20">
        <v>46023</v>
      </c>
      <c r="C226" t="s">
        <v>455</v>
      </c>
      <c r="D226" t="s">
        <v>456</v>
      </c>
      <c r="E226" t="s">
        <v>381</v>
      </c>
      <c r="F226">
        <v>88</v>
      </c>
      <c r="G226">
        <v>143</v>
      </c>
      <c r="H226" t="str">
        <f>IF(report_B_CategorieBoekjaar[[#This Row],[BedrijfsCode]]="002",IF(report_B_CategorieBoekjaar[[#This Row],[Boekjaar]]=Projectbegroting!$K$1,report_B_CategorieBoekjaar[[#This Row],[CategorieCode]],0),0)</f>
        <v>LDG II</v>
      </c>
      <c r="I226">
        <f>IF(report_B_CategorieBoekjaar[[#This Row],[BedrijfsCode]]="001",IF(report_B_CategorieBoekjaar[[#This Row],[Boekjaar]]=Projectbegroting!$K$1,report_B_CategorieBoekjaar[[#This Row],[CategorieCode]],0),0)</f>
        <v>0</v>
      </c>
    </row>
    <row r="227" spans="1:9" hidden="1" x14ac:dyDescent="0.3">
      <c r="A227" t="s">
        <v>525</v>
      </c>
      <c r="B227" s="20">
        <v>46023</v>
      </c>
      <c r="C227" t="s">
        <v>457</v>
      </c>
      <c r="D227" t="s">
        <v>458</v>
      </c>
      <c r="E227" t="s">
        <v>384</v>
      </c>
      <c r="F227">
        <v>99</v>
      </c>
      <c r="G227">
        <v>0</v>
      </c>
      <c r="H227" t="str">
        <f>IF(report_B_CategorieBoekjaar[[#This Row],[BedrijfsCode]]="002",IF(report_B_CategorieBoekjaar[[#This Row],[Boekjaar]]=Projectbegroting!$K$1,report_B_CategorieBoekjaar[[#This Row],[CategorieCode]],0),0)</f>
        <v>LDG I-I</v>
      </c>
      <c r="I227">
        <f>IF(report_B_CategorieBoekjaar[[#This Row],[BedrijfsCode]]="001",IF(report_B_CategorieBoekjaar[[#This Row],[Boekjaar]]=Projectbegroting!$K$1,report_B_CategorieBoekjaar[[#This Row],[CategorieCode]],0),0)</f>
        <v>0</v>
      </c>
    </row>
    <row r="228" spans="1:9" hidden="1" x14ac:dyDescent="0.3">
      <c r="A228" t="s">
        <v>525</v>
      </c>
      <c r="B228" s="20">
        <v>46023</v>
      </c>
      <c r="C228" t="s">
        <v>459</v>
      </c>
      <c r="D228" t="s">
        <v>460</v>
      </c>
      <c r="E228" t="s">
        <v>381</v>
      </c>
      <c r="F228">
        <v>114</v>
      </c>
      <c r="G228">
        <v>169</v>
      </c>
      <c r="H228" t="str">
        <f>IF(report_B_CategorieBoekjaar[[#This Row],[BedrijfsCode]]="002",IF(report_B_CategorieBoekjaar[[#This Row],[Boekjaar]]=Projectbegroting!$K$1,report_B_CategorieBoekjaar[[#This Row],[CategorieCode]],0),0)</f>
        <v>LDG III</v>
      </c>
      <c r="I228">
        <f>IF(report_B_CategorieBoekjaar[[#This Row],[BedrijfsCode]]="001",IF(report_B_CategorieBoekjaar[[#This Row],[Boekjaar]]=Projectbegroting!$K$1,report_B_CategorieBoekjaar[[#This Row],[CategorieCode]],0),0)</f>
        <v>0</v>
      </c>
    </row>
    <row r="229" spans="1:9" hidden="1" x14ac:dyDescent="0.3">
      <c r="A229" t="s">
        <v>525</v>
      </c>
      <c r="B229" s="20">
        <v>46023</v>
      </c>
      <c r="C229" t="s">
        <v>461</v>
      </c>
      <c r="D229" t="s">
        <v>462</v>
      </c>
      <c r="E229" t="s">
        <v>384</v>
      </c>
      <c r="F229">
        <v>120</v>
      </c>
      <c r="G229">
        <v>0</v>
      </c>
      <c r="H229" t="str">
        <f>IF(report_B_CategorieBoekjaar[[#This Row],[BedrijfsCode]]="002",IF(report_B_CategorieBoekjaar[[#This Row],[Boekjaar]]=Projectbegroting!$K$1,report_B_CategorieBoekjaar[[#This Row],[CategorieCode]],0),0)</f>
        <v>LDG II-I</v>
      </c>
      <c r="I229">
        <f>IF(report_B_CategorieBoekjaar[[#This Row],[BedrijfsCode]]="001",IF(report_B_CategorieBoekjaar[[#This Row],[Boekjaar]]=Projectbegroting!$K$1,report_B_CategorieBoekjaar[[#This Row],[CategorieCode]],0),0)</f>
        <v>0</v>
      </c>
    </row>
    <row r="230" spans="1:9" hidden="1" x14ac:dyDescent="0.3">
      <c r="A230" t="s">
        <v>525</v>
      </c>
      <c r="B230" s="20">
        <v>46023</v>
      </c>
      <c r="C230" t="s">
        <v>463</v>
      </c>
      <c r="D230" t="s">
        <v>464</v>
      </c>
      <c r="E230" t="s">
        <v>384</v>
      </c>
      <c r="F230">
        <v>146</v>
      </c>
      <c r="G230">
        <v>0</v>
      </c>
      <c r="H230" t="str">
        <f>IF(report_B_CategorieBoekjaar[[#This Row],[BedrijfsCode]]="002",IF(report_B_CategorieBoekjaar[[#This Row],[Boekjaar]]=Projectbegroting!$K$1,report_B_CategorieBoekjaar[[#This Row],[CategorieCode]],0),0)</f>
        <v>LDG III-I</v>
      </c>
      <c r="I230">
        <f>IF(report_B_CategorieBoekjaar[[#This Row],[BedrijfsCode]]="001",IF(report_B_CategorieBoekjaar[[#This Row],[Boekjaar]]=Projectbegroting!$K$1,report_B_CategorieBoekjaar[[#This Row],[CategorieCode]],0),0)</f>
        <v>0</v>
      </c>
    </row>
    <row r="231" spans="1:9" hidden="1" x14ac:dyDescent="0.3">
      <c r="A231" t="s">
        <v>525</v>
      </c>
      <c r="B231" s="20">
        <v>46023</v>
      </c>
      <c r="C231" t="s">
        <v>465</v>
      </c>
      <c r="D231" t="s">
        <v>466</v>
      </c>
      <c r="E231" t="s">
        <v>381</v>
      </c>
      <c r="F231">
        <v>27</v>
      </c>
      <c r="G231">
        <v>82</v>
      </c>
      <c r="H231" t="str">
        <f>IF(report_B_CategorieBoekjaar[[#This Row],[BedrijfsCode]]="002",IF(report_B_CategorieBoekjaar[[#This Row],[Boekjaar]]=Projectbegroting!$K$1,report_B_CategorieBoekjaar[[#This Row],[CategorieCode]],0),0)</f>
        <v>LS</v>
      </c>
      <c r="I231">
        <f>IF(report_B_CategorieBoekjaar[[#This Row],[BedrijfsCode]]="001",IF(report_B_CategorieBoekjaar[[#This Row],[Boekjaar]]=Projectbegroting!$K$1,report_B_CategorieBoekjaar[[#This Row],[CategorieCode]],0),0)</f>
        <v>0</v>
      </c>
    </row>
    <row r="232" spans="1:9" hidden="1" x14ac:dyDescent="0.3">
      <c r="A232" t="s">
        <v>525</v>
      </c>
      <c r="B232" s="20">
        <v>46023</v>
      </c>
      <c r="C232" t="s">
        <v>467</v>
      </c>
      <c r="D232" t="s">
        <v>468</v>
      </c>
      <c r="E232" t="s">
        <v>384</v>
      </c>
      <c r="F232">
        <v>0</v>
      </c>
      <c r="G232">
        <v>0</v>
      </c>
      <c r="H232" t="str">
        <f>IF(report_B_CategorieBoekjaar[[#This Row],[BedrijfsCode]]="002",IF(report_B_CategorieBoekjaar[[#This Row],[Boekjaar]]=Projectbegroting!$K$1,report_B_CategorieBoekjaar[[#This Row],[CategorieCode]],0),0)</f>
        <v>LS-I</v>
      </c>
      <c r="I232">
        <f>IF(report_B_CategorieBoekjaar[[#This Row],[BedrijfsCode]]="001",IF(report_B_CategorieBoekjaar[[#This Row],[Boekjaar]]=Projectbegroting!$K$1,report_B_CategorieBoekjaar[[#This Row],[CategorieCode]],0),0)</f>
        <v>0</v>
      </c>
    </row>
    <row r="233" spans="1:9" hidden="1" x14ac:dyDescent="0.3">
      <c r="A233" t="s">
        <v>525</v>
      </c>
      <c r="B233" s="20">
        <v>46023</v>
      </c>
      <c r="C233" t="s">
        <v>469</v>
      </c>
      <c r="D233" t="s">
        <v>470</v>
      </c>
      <c r="E233" t="s">
        <v>381</v>
      </c>
      <c r="F233">
        <v>56</v>
      </c>
      <c r="G233">
        <v>111</v>
      </c>
      <c r="H233" t="str">
        <f>IF(report_B_CategorieBoekjaar[[#This Row],[BedrijfsCode]]="002",IF(report_B_CategorieBoekjaar[[#This Row],[Boekjaar]]=Projectbegroting!$K$1,report_B_CategorieBoekjaar[[#This Row],[CategorieCode]],0),0)</f>
        <v>MA</v>
      </c>
      <c r="I233">
        <f>IF(report_B_CategorieBoekjaar[[#This Row],[BedrijfsCode]]="001",IF(report_B_CategorieBoekjaar[[#This Row],[Boekjaar]]=Projectbegroting!$K$1,report_B_CategorieBoekjaar[[#This Row],[CategorieCode]],0),0)</f>
        <v>0</v>
      </c>
    </row>
    <row r="234" spans="1:9" hidden="1" x14ac:dyDescent="0.3">
      <c r="A234" t="s">
        <v>525</v>
      </c>
      <c r="B234" s="20">
        <v>46023</v>
      </c>
      <c r="C234" t="s">
        <v>471</v>
      </c>
      <c r="D234" t="s">
        <v>472</v>
      </c>
      <c r="E234" t="s">
        <v>384</v>
      </c>
      <c r="F234">
        <v>88</v>
      </c>
      <c r="G234">
        <v>0</v>
      </c>
      <c r="H234" t="str">
        <f>IF(report_B_CategorieBoekjaar[[#This Row],[BedrijfsCode]]="002",IF(report_B_CategorieBoekjaar[[#This Row],[Boekjaar]]=Projectbegroting!$K$1,report_B_CategorieBoekjaar[[#This Row],[CategorieCode]],0),0)</f>
        <v>MA-I</v>
      </c>
      <c r="I234">
        <f>IF(report_B_CategorieBoekjaar[[#This Row],[BedrijfsCode]]="001",IF(report_B_CategorieBoekjaar[[#This Row],[Boekjaar]]=Projectbegroting!$K$1,report_B_CategorieBoekjaar[[#This Row],[CategorieCode]],0),0)</f>
        <v>0</v>
      </c>
    </row>
    <row r="235" spans="1:9" hidden="1" x14ac:dyDescent="0.3">
      <c r="A235" t="s">
        <v>525</v>
      </c>
      <c r="B235" s="20">
        <v>46023</v>
      </c>
      <c r="C235" t="s">
        <v>62</v>
      </c>
      <c r="D235" t="s">
        <v>473</v>
      </c>
      <c r="E235" t="s">
        <v>381</v>
      </c>
      <c r="F235">
        <v>56</v>
      </c>
      <c r="G235">
        <v>111</v>
      </c>
      <c r="H235" t="str">
        <f>IF(report_B_CategorieBoekjaar[[#This Row],[BedrijfsCode]]="002",IF(report_B_CategorieBoekjaar[[#This Row],[Boekjaar]]=Projectbegroting!$K$1,report_B_CategorieBoekjaar[[#This Row],[CategorieCode]],0),0)</f>
        <v>MCB</v>
      </c>
      <c r="I235">
        <f>IF(report_B_CategorieBoekjaar[[#This Row],[BedrijfsCode]]="001",IF(report_B_CategorieBoekjaar[[#This Row],[Boekjaar]]=Projectbegroting!$K$1,report_B_CategorieBoekjaar[[#This Row],[CategorieCode]],0),0)</f>
        <v>0</v>
      </c>
    </row>
    <row r="236" spans="1:9" hidden="1" x14ac:dyDescent="0.3">
      <c r="A236" t="s">
        <v>525</v>
      </c>
      <c r="B236" s="20">
        <v>46023</v>
      </c>
      <c r="C236" t="s">
        <v>474</v>
      </c>
      <c r="D236" t="s">
        <v>475</v>
      </c>
      <c r="E236" t="s">
        <v>384</v>
      </c>
      <c r="F236">
        <v>88</v>
      </c>
      <c r="G236">
        <v>0</v>
      </c>
      <c r="H236" t="str">
        <f>IF(report_B_CategorieBoekjaar[[#This Row],[BedrijfsCode]]="002",IF(report_B_CategorieBoekjaar[[#This Row],[Boekjaar]]=Projectbegroting!$K$1,report_B_CategorieBoekjaar[[#This Row],[CategorieCode]],0),0)</f>
        <v>MCB-I</v>
      </c>
      <c r="I236">
        <f>IF(report_B_CategorieBoekjaar[[#This Row],[BedrijfsCode]]="001",IF(report_B_CategorieBoekjaar[[#This Row],[Boekjaar]]=Projectbegroting!$K$1,report_B_CategorieBoekjaar[[#This Row],[CategorieCode]],0),0)</f>
        <v>0</v>
      </c>
    </row>
    <row r="237" spans="1:9" hidden="1" x14ac:dyDescent="0.3">
      <c r="A237" t="s">
        <v>525</v>
      </c>
      <c r="B237" s="20">
        <v>46023</v>
      </c>
      <c r="C237" t="s">
        <v>64</v>
      </c>
      <c r="D237" t="s">
        <v>476</v>
      </c>
      <c r="E237" t="s">
        <v>381</v>
      </c>
      <c r="F237">
        <v>50</v>
      </c>
      <c r="G237">
        <v>105</v>
      </c>
      <c r="H237" t="str">
        <f>IF(report_B_CategorieBoekjaar[[#This Row],[BedrijfsCode]]="002",IF(report_B_CategorieBoekjaar[[#This Row],[Boekjaar]]=Projectbegroting!$K$1,report_B_CategorieBoekjaar[[#This Row],[CategorieCode]],0),0)</f>
        <v>MS</v>
      </c>
      <c r="I237">
        <f>IF(report_B_CategorieBoekjaar[[#This Row],[BedrijfsCode]]="001",IF(report_B_CategorieBoekjaar[[#This Row],[Boekjaar]]=Projectbegroting!$K$1,report_B_CategorieBoekjaar[[#This Row],[CategorieCode]],0),0)</f>
        <v>0</v>
      </c>
    </row>
    <row r="238" spans="1:9" hidden="1" x14ac:dyDescent="0.3">
      <c r="A238" t="s">
        <v>525</v>
      </c>
      <c r="B238" s="20">
        <v>46023</v>
      </c>
      <c r="C238" t="s">
        <v>477</v>
      </c>
      <c r="D238" t="s">
        <v>478</v>
      </c>
      <c r="E238" t="s">
        <v>384</v>
      </c>
      <c r="F238">
        <v>82</v>
      </c>
      <c r="G238">
        <v>0</v>
      </c>
      <c r="H238" t="str">
        <f>IF(report_B_CategorieBoekjaar[[#This Row],[BedrijfsCode]]="002",IF(report_B_CategorieBoekjaar[[#This Row],[Boekjaar]]=Projectbegroting!$K$1,report_B_CategorieBoekjaar[[#This Row],[CategorieCode]],0),0)</f>
        <v>MS-I</v>
      </c>
      <c r="I238">
        <f>IF(report_B_CategorieBoekjaar[[#This Row],[BedrijfsCode]]="001",IF(report_B_CategorieBoekjaar[[#This Row],[Boekjaar]]=Projectbegroting!$K$1,report_B_CategorieBoekjaar[[#This Row],[CategorieCode]],0),0)</f>
        <v>0</v>
      </c>
    </row>
    <row r="239" spans="1:9" hidden="1" x14ac:dyDescent="0.3">
      <c r="A239" t="s">
        <v>525</v>
      </c>
      <c r="B239" s="20">
        <v>46023</v>
      </c>
      <c r="C239" t="s">
        <v>80</v>
      </c>
      <c r="D239" t="s">
        <v>81</v>
      </c>
      <c r="E239" t="s">
        <v>381</v>
      </c>
      <c r="F239">
        <v>95</v>
      </c>
      <c r="G239">
        <v>150</v>
      </c>
      <c r="H239" t="str">
        <f>IF(report_B_CategorieBoekjaar[[#This Row],[BedrijfsCode]]="002",IF(report_B_CategorieBoekjaar[[#This Row],[Boekjaar]]=Projectbegroting!$K$1,report_B_CategorieBoekjaar[[#This Row],[CategorieCode]],0),0)</f>
        <v>PDM</v>
      </c>
      <c r="I239">
        <f>IF(report_B_CategorieBoekjaar[[#This Row],[BedrijfsCode]]="001",IF(report_B_CategorieBoekjaar[[#This Row],[Boekjaar]]=Projectbegroting!$K$1,report_B_CategorieBoekjaar[[#This Row],[CategorieCode]],0),0)</f>
        <v>0</v>
      </c>
    </row>
    <row r="240" spans="1:9" hidden="1" x14ac:dyDescent="0.3">
      <c r="A240" t="s">
        <v>525</v>
      </c>
      <c r="B240" s="20">
        <v>46023</v>
      </c>
      <c r="C240" t="s">
        <v>479</v>
      </c>
      <c r="D240" t="s">
        <v>480</v>
      </c>
      <c r="E240" t="s">
        <v>384</v>
      </c>
      <c r="F240">
        <v>127</v>
      </c>
      <c r="G240">
        <v>0</v>
      </c>
      <c r="H240" t="str">
        <f>IF(report_B_CategorieBoekjaar[[#This Row],[BedrijfsCode]]="002",IF(report_B_CategorieBoekjaar[[#This Row],[Boekjaar]]=Projectbegroting!$K$1,report_B_CategorieBoekjaar[[#This Row],[CategorieCode]],0),0)</f>
        <v>PDM-I</v>
      </c>
      <c r="I240">
        <f>IF(report_B_CategorieBoekjaar[[#This Row],[BedrijfsCode]]="001",IF(report_B_CategorieBoekjaar[[#This Row],[Boekjaar]]=Projectbegroting!$K$1,report_B_CategorieBoekjaar[[#This Row],[CategorieCode]],0),0)</f>
        <v>0</v>
      </c>
    </row>
    <row r="241" spans="1:9" hidden="1" x14ac:dyDescent="0.3">
      <c r="A241" t="s">
        <v>525</v>
      </c>
      <c r="B241" s="20">
        <v>46023</v>
      </c>
      <c r="C241" t="s">
        <v>66</v>
      </c>
      <c r="D241" t="s">
        <v>67</v>
      </c>
      <c r="E241" t="s">
        <v>381</v>
      </c>
      <c r="F241">
        <v>87</v>
      </c>
      <c r="G241">
        <v>142</v>
      </c>
      <c r="H241" t="str">
        <f>IF(report_B_CategorieBoekjaar[[#This Row],[BedrijfsCode]]="002",IF(report_B_CategorieBoekjaar[[#This Row],[Boekjaar]]=Projectbegroting!$K$1,report_B_CategorieBoekjaar[[#This Row],[CategorieCode]],0),0)</f>
        <v>PDO</v>
      </c>
      <c r="I241">
        <f>IF(report_B_CategorieBoekjaar[[#This Row],[BedrijfsCode]]="001",IF(report_B_CategorieBoekjaar[[#This Row],[Boekjaar]]=Projectbegroting!$K$1,report_B_CategorieBoekjaar[[#This Row],[CategorieCode]],0),0)</f>
        <v>0</v>
      </c>
    </row>
    <row r="242" spans="1:9" hidden="1" x14ac:dyDescent="0.3">
      <c r="A242" t="s">
        <v>525</v>
      </c>
      <c r="B242" s="20">
        <v>46023</v>
      </c>
      <c r="C242" t="s">
        <v>481</v>
      </c>
      <c r="D242" t="s">
        <v>482</v>
      </c>
      <c r="E242" t="s">
        <v>384</v>
      </c>
      <c r="F242">
        <v>119</v>
      </c>
      <c r="G242">
        <v>0</v>
      </c>
      <c r="H242" t="str">
        <f>IF(report_B_CategorieBoekjaar[[#This Row],[BedrijfsCode]]="002",IF(report_B_CategorieBoekjaar[[#This Row],[Boekjaar]]=Projectbegroting!$K$1,report_B_CategorieBoekjaar[[#This Row],[CategorieCode]],0),0)</f>
        <v>PDO-I</v>
      </c>
      <c r="I242">
        <f>IF(report_B_CategorieBoekjaar[[#This Row],[BedrijfsCode]]="001",IF(report_B_CategorieBoekjaar[[#This Row],[Boekjaar]]=Projectbegroting!$K$1,report_B_CategorieBoekjaar[[#This Row],[CategorieCode]],0),0)</f>
        <v>0</v>
      </c>
    </row>
    <row r="243" spans="1:9" hidden="1" x14ac:dyDescent="0.3">
      <c r="A243" t="s">
        <v>525</v>
      </c>
      <c r="B243" s="20">
        <v>46023</v>
      </c>
      <c r="C243" t="s">
        <v>98</v>
      </c>
      <c r="D243" t="s">
        <v>99</v>
      </c>
      <c r="E243" t="s">
        <v>381</v>
      </c>
      <c r="F243">
        <v>90</v>
      </c>
      <c r="G243">
        <v>145</v>
      </c>
      <c r="H243" t="str">
        <f>IF(report_B_CategorieBoekjaar[[#This Row],[BedrijfsCode]]="002",IF(report_B_CategorieBoekjaar[[#This Row],[Boekjaar]]=Projectbegroting!$K$1,report_B_CategorieBoekjaar[[#This Row],[CategorieCode]],0),0)</f>
        <v>PJM</v>
      </c>
      <c r="I243">
        <f>IF(report_B_CategorieBoekjaar[[#This Row],[BedrijfsCode]]="001",IF(report_B_CategorieBoekjaar[[#This Row],[Boekjaar]]=Projectbegroting!$K$1,report_B_CategorieBoekjaar[[#This Row],[CategorieCode]],0),0)</f>
        <v>0</v>
      </c>
    </row>
    <row r="244" spans="1:9" hidden="1" x14ac:dyDescent="0.3">
      <c r="A244" t="s">
        <v>525</v>
      </c>
      <c r="B244" s="20">
        <v>46023</v>
      </c>
      <c r="C244" t="s">
        <v>483</v>
      </c>
      <c r="D244" t="s">
        <v>484</v>
      </c>
      <c r="E244" t="s">
        <v>381</v>
      </c>
      <c r="F244">
        <v>153</v>
      </c>
      <c r="G244">
        <v>153</v>
      </c>
      <c r="H244" t="str">
        <f>IF(report_B_CategorieBoekjaar[[#This Row],[BedrijfsCode]]="002",IF(report_B_CategorieBoekjaar[[#This Row],[Boekjaar]]=Projectbegroting!$K$1,report_B_CategorieBoekjaar[[#This Row],[CategorieCode]],0),0)</f>
        <v>PJME</v>
      </c>
      <c r="I244">
        <f>IF(report_B_CategorieBoekjaar[[#This Row],[BedrijfsCode]]="001",IF(report_B_CategorieBoekjaar[[#This Row],[Boekjaar]]=Projectbegroting!$K$1,report_B_CategorieBoekjaar[[#This Row],[CategorieCode]],0),0)</f>
        <v>0</v>
      </c>
    </row>
    <row r="245" spans="1:9" hidden="1" x14ac:dyDescent="0.3">
      <c r="A245" t="s">
        <v>525</v>
      </c>
      <c r="B245" s="20">
        <v>46023</v>
      </c>
      <c r="C245" t="s">
        <v>485</v>
      </c>
      <c r="D245" t="s">
        <v>486</v>
      </c>
      <c r="E245" t="s">
        <v>384</v>
      </c>
      <c r="F245">
        <v>153</v>
      </c>
      <c r="G245">
        <v>0</v>
      </c>
      <c r="H245" t="str">
        <f>IF(report_B_CategorieBoekjaar[[#This Row],[BedrijfsCode]]="002",IF(report_B_CategorieBoekjaar[[#This Row],[Boekjaar]]=Projectbegroting!$K$1,report_B_CategorieBoekjaar[[#This Row],[CategorieCode]],0),0)</f>
        <v>PJME-I</v>
      </c>
      <c r="I245">
        <f>IF(report_B_CategorieBoekjaar[[#This Row],[BedrijfsCode]]="001",IF(report_B_CategorieBoekjaar[[#This Row],[Boekjaar]]=Projectbegroting!$K$1,report_B_CategorieBoekjaar[[#This Row],[CategorieCode]],0),0)</f>
        <v>0</v>
      </c>
    </row>
    <row r="246" spans="1:9" hidden="1" x14ac:dyDescent="0.3">
      <c r="A246" t="s">
        <v>525</v>
      </c>
      <c r="B246" s="20">
        <v>46023</v>
      </c>
      <c r="C246" t="s">
        <v>175</v>
      </c>
      <c r="D246" t="s">
        <v>487</v>
      </c>
      <c r="E246" t="s">
        <v>384</v>
      </c>
      <c r="F246">
        <v>122</v>
      </c>
      <c r="G246">
        <v>0</v>
      </c>
      <c r="H246" t="str">
        <f>IF(report_B_CategorieBoekjaar[[#This Row],[BedrijfsCode]]="002",IF(report_B_CategorieBoekjaar[[#This Row],[Boekjaar]]=Projectbegroting!$K$1,report_B_CategorieBoekjaar[[#This Row],[CategorieCode]],0),0)</f>
        <v>PJM-I</v>
      </c>
      <c r="I246">
        <f>IF(report_B_CategorieBoekjaar[[#This Row],[BedrijfsCode]]="001",IF(report_B_CategorieBoekjaar[[#This Row],[Boekjaar]]=Projectbegroting!$K$1,report_B_CategorieBoekjaar[[#This Row],[CategorieCode]],0),0)</f>
        <v>0</v>
      </c>
    </row>
    <row r="247" spans="1:9" hidden="1" x14ac:dyDescent="0.3">
      <c r="A247" t="s">
        <v>525</v>
      </c>
      <c r="B247" s="20">
        <v>46023</v>
      </c>
      <c r="C247" t="s">
        <v>488</v>
      </c>
      <c r="D247" t="s">
        <v>489</v>
      </c>
      <c r="E247" t="s">
        <v>381</v>
      </c>
      <c r="F247">
        <v>80</v>
      </c>
      <c r="G247">
        <v>135</v>
      </c>
      <c r="H247" t="str">
        <f>IF(report_B_CategorieBoekjaar[[#This Row],[BedrijfsCode]]="002",IF(report_B_CategorieBoekjaar[[#This Row],[Boekjaar]]=Projectbegroting!$K$1,report_B_CategorieBoekjaar[[#This Row],[CategorieCode]],0),0)</f>
        <v>PRMAN</v>
      </c>
      <c r="I247">
        <f>IF(report_B_CategorieBoekjaar[[#This Row],[BedrijfsCode]]="001",IF(report_B_CategorieBoekjaar[[#This Row],[Boekjaar]]=Projectbegroting!$K$1,report_B_CategorieBoekjaar[[#This Row],[CategorieCode]],0),0)</f>
        <v>0</v>
      </c>
    </row>
    <row r="248" spans="1:9" hidden="1" x14ac:dyDescent="0.3">
      <c r="A248" t="s">
        <v>525</v>
      </c>
      <c r="B248" s="20">
        <v>46023</v>
      </c>
      <c r="C248" t="s">
        <v>490</v>
      </c>
      <c r="D248" t="s">
        <v>491</v>
      </c>
      <c r="E248" t="s">
        <v>384</v>
      </c>
      <c r="F248">
        <v>112</v>
      </c>
      <c r="G248">
        <v>0</v>
      </c>
      <c r="H248" t="str">
        <f>IF(report_B_CategorieBoekjaar[[#This Row],[BedrijfsCode]]="002",IF(report_B_CategorieBoekjaar[[#This Row],[Boekjaar]]=Projectbegroting!$K$1,report_B_CategorieBoekjaar[[#This Row],[CategorieCode]],0),0)</f>
        <v>PRMAN-I</v>
      </c>
      <c r="I248">
        <f>IF(report_B_CategorieBoekjaar[[#This Row],[BedrijfsCode]]="001",IF(report_B_CategorieBoekjaar[[#This Row],[Boekjaar]]=Projectbegroting!$K$1,report_B_CategorieBoekjaar[[#This Row],[CategorieCode]],0),0)</f>
        <v>0</v>
      </c>
    </row>
    <row r="249" spans="1:9" hidden="1" x14ac:dyDescent="0.3">
      <c r="A249" t="s">
        <v>525</v>
      </c>
      <c r="B249" s="20">
        <v>46023</v>
      </c>
      <c r="C249" t="s">
        <v>68</v>
      </c>
      <c r="D249" t="s">
        <v>492</v>
      </c>
      <c r="E249" t="s">
        <v>381</v>
      </c>
      <c r="F249">
        <v>56</v>
      </c>
      <c r="G249">
        <v>111</v>
      </c>
      <c r="H249" t="str">
        <f>IF(report_B_CategorieBoekjaar[[#This Row],[BedrijfsCode]]="002",IF(report_B_CategorieBoekjaar[[#This Row],[Boekjaar]]=Projectbegroting!$K$1,report_B_CategorieBoekjaar[[#This Row],[CategorieCode]],0),0)</f>
        <v>PRO</v>
      </c>
      <c r="I249">
        <f>IF(report_B_CategorieBoekjaar[[#This Row],[BedrijfsCode]]="001",IF(report_B_CategorieBoekjaar[[#This Row],[Boekjaar]]=Projectbegroting!$K$1,report_B_CategorieBoekjaar[[#This Row],[CategorieCode]],0),0)</f>
        <v>0</v>
      </c>
    </row>
    <row r="250" spans="1:9" hidden="1" x14ac:dyDescent="0.3">
      <c r="A250" t="s">
        <v>525</v>
      </c>
      <c r="B250" s="20">
        <v>46023</v>
      </c>
      <c r="C250" t="s">
        <v>177</v>
      </c>
      <c r="D250" t="s">
        <v>493</v>
      </c>
      <c r="E250" t="s">
        <v>384</v>
      </c>
      <c r="F250">
        <v>88</v>
      </c>
      <c r="G250">
        <v>0</v>
      </c>
      <c r="H250" t="str">
        <f>IF(report_B_CategorieBoekjaar[[#This Row],[BedrijfsCode]]="002",IF(report_B_CategorieBoekjaar[[#This Row],[Boekjaar]]=Projectbegroting!$K$1,report_B_CategorieBoekjaar[[#This Row],[CategorieCode]],0),0)</f>
        <v>PRO-I</v>
      </c>
      <c r="I250">
        <f>IF(report_B_CategorieBoekjaar[[#This Row],[BedrijfsCode]]="001",IF(report_B_CategorieBoekjaar[[#This Row],[Boekjaar]]=Projectbegroting!$K$1,report_B_CategorieBoekjaar[[#This Row],[CategorieCode]],0),0)</f>
        <v>0</v>
      </c>
    </row>
    <row r="251" spans="1:9" hidden="1" x14ac:dyDescent="0.3">
      <c r="A251" t="s">
        <v>525</v>
      </c>
      <c r="B251" s="20">
        <v>46023</v>
      </c>
      <c r="C251" t="s">
        <v>494</v>
      </c>
      <c r="D251" t="s">
        <v>495</v>
      </c>
      <c r="E251" t="s">
        <v>381</v>
      </c>
      <c r="F251">
        <v>50</v>
      </c>
      <c r="G251">
        <v>105</v>
      </c>
      <c r="H251" t="str">
        <f>IF(report_B_CategorieBoekjaar[[#This Row],[BedrijfsCode]]="002",IF(report_B_CategorieBoekjaar[[#This Row],[Boekjaar]]=Projectbegroting!$K$1,report_B_CategorieBoekjaar[[#This Row],[CategorieCode]],0),0)</f>
        <v>PROM</v>
      </c>
      <c r="I251">
        <f>IF(report_B_CategorieBoekjaar[[#This Row],[BedrijfsCode]]="001",IF(report_B_CategorieBoekjaar[[#This Row],[Boekjaar]]=Projectbegroting!$K$1,report_B_CategorieBoekjaar[[#This Row],[CategorieCode]],0),0)</f>
        <v>0</v>
      </c>
    </row>
    <row r="252" spans="1:9" hidden="1" x14ac:dyDescent="0.3">
      <c r="A252" t="s">
        <v>525</v>
      </c>
      <c r="B252" s="20">
        <v>46023</v>
      </c>
      <c r="C252" t="s">
        <v>496</v>
      </c>
      <c r="D252" t="s">
        <v>497</v>
      </c>
      <c r="E252" t="s">
        <v>384</v>
      </c>
      <c r="F252">
        <v>82</v>
      </c>
      <c r="G252">
        <v>0</v>
      </c>
      <c r="H252" t="str">
        <f>IF(report_B_CategorieBoekjaar[[#This Row],[BedrijfsCode]]="002",IF(report_B_CategorieBoekjaar[[#This Row],[Boekjaar]]=Projectbegroting!$K$1,report_B_CategorieBoekjaar[[#This Row],[CategorieCode]],0),0)</f>
        <v>PROM-I</v>
      </c>
      <c r="I252">
        <f>IF(report_B_CategorieBoekjaar[[#This Row],[BedrijfsCode]]="001",IF(report_B_CategorieBoekjaar[[#This Row],[Boekjaar]]=Projectbegroting!$K$1,report_B_CategorieBoekjaar[[#This Row],[CategorieCode]],0),0)</f>
        <v>0</v>
      </c>
    </row>
    <row r="253" spans="1:9" hidden="1" x14ac:dyDescent="0.3">
      <c r="A253" t="s">
        <v>525</v>
      </c>
      <c r="B253" s="20">
        <v>46023</v>
      </c>
      <c r="C253" t="s">
        <v>70</v>
      </c>
      <c r="D253" t="s">
        <v>498</v>
      </c>
      <c r="E253" t="s">
        <v>381</v>
      </c>
      <c r="F253">
        <v>46</v>
      </c>
      <c r="G253">
        <v>101</v>
      </c>
      <c r="H253" t="str">
        <f>IF(report_B_CategorieBoekjaar[[#This Row],[BedrijfsCode]]="002",IF(report_B_CategorieBoekjaar[[#This Row],[Boekjaar]]=Projectbegroting!$K$1,report_B_CategorieBoekjaar[[#This Row],[CategorieCode]],0),0)</f>
        <v>PS</v>
      </c>
      <c r="I253">
        <f>IF(report_B_CategorieBoekjaar[[#This Row],[BedrijfsCode]]="001",IF(report_B_CategorieBoekjaar[[#This Row],[Boekjaar]]=Projectbegroting!$K$1,report_B_CategorieBoekjaar[[#This Row],[CategorieCode]],0),0)</f>
        <v>0</v>
      </c>
    </row>
    <row r="254" spans="1:9" hidden="1" x14ac:dyDescent="0.3">
      <c r="A254" t="s">
        <v>525</v>
      </c>
      <c r="B254" s="20">
        <v>46023</v>
      </c>
      <c r="C254" t="s">
        <v>499</v>
      </c>
      <c r="D254" t="s">
        <v>500</v>
      </c>
      <c r="E254" t="s">
        <v>384</v>
      </c>
      <c r="F254">
        <v>78</v>
      </c>
      <c r="G254">
        <v>0</v>
      </c>
      <c r="H254" t="str">
        <f>IF(report_B_CategorieBoekjaar[[#This Row],[BedrijfsCode]]="002",IF(report_B_CategorieBoekjaar[[#This Row],[Boekjaar]]=Projectbegroting!$K$1,report_B_CategorieBoekjaar[[#This Row],[CategorieCode]],0),0)</f>
        <v>PS-I</v>
      </c>
      <c r="I254">
        <f>IF(report_B_CategorieBoekjaar[[#This Row],[BedrijfsCode]]="001",IF(report_B_CategorieBoekjaar[[#This Row],[Boekjaar]]=Projectbegroting!$K$1,report_B_CategorieBoekjaar[[#This Row],[CategorieCode]],0),0)</f>
        <v>0</v>
      </c>
    </row>
    <row r="255" spans="1:9" hidden="1" x14ac:dyDescent="0.3">
      <c r="A255" t="s">
        <v>525</v>
      </c>
      <c r="B255" s="20">
        <v>46023</v>
      </c>
      <c r="C255" t="s">
        <v>501</v>
      </c>
      <c r="D255" t="s">
        <v>502</v>
      </c>
      <c r="E255" t="s">
        <v>381</v>
      </c>
      <c r="F255">
        <v>83</v>
      </c>
      <c r="G255">
        <v>138</v>
      </c>
      <c r="H255" t="str">
        <f>IF(report_B_CategorieBoekjaar[[#This Row],[BedrijfsCode]]="002",IF(report_B_CategorieBoekjaar[[#This Row],[Boekjaar]]=Projectbegroting!$K$1,report_B_CategorieBoekjaar[[#This Row],[CategorieCode]],0),0)</f>
        <v>RD</v>
      </c>
      <c r="I255">
        <f>IF(report_B_CategorieBoekjaar[[#This Row],[BedrijfsCode]]="001",IF(report_B_CategorieBoekjaar[[#This Row],[Boekjaar]]=Projectbegroting!$K$1,report_B_CategorieBoekjaar[[#This Row],[CategorieCode]],0),0)</f>
        <v>0</v>
      </c>
    </row>
    <row r="256" spans="1:9" hidden="1" x14ac:dyDescent="0.3">
      <c r="A256" t="s">
        <v>525</v>
      </c>
      <c r="B256" s="20">
        <v>46023</v>
      </c>
      <c r="C256" t="s">
        <v>503</v>
      </c>
      <c r="D256" t="s">
        <v>504</v>
      </c>
      <c r="E256" t="s">
        <v>384</v>
      </c>
      <c r="F256">
        <v>115</v>
      </c>
      <c r="G256">
        <v>0</v>
      </c>
      <c r="H256" t="str">
        <f>IF(report_B_CategorieBoekjaar[[#This Row],[BedrijfsCode]]="002",IF(report_B_CategorieBoekjaar[[#This Row],[Boekjaar]]=Projectbegroting!$K$1,report_B_CategorieBoekjaar[[#This Row],[CategorieCode]],0),0)</f>
        <v>RD-I</v>
      </c>
      <c r="I256">
        <f>IF(report_B_CategorieBoekjaar[[#This Row],[BedrijfsCode]]="001",IF(report_B_CategorieBoekjaar[[#This Row],[Boekjaar]]=Projectbegroting!$K$1,report_B_CategorieBoekjaar[[#This Row],[CategorieCode]],0),0)</f>
        <v>0</v>
      </c>
    </row>
    <row r="257" spans="1:9" hidden="1" x14ac:dyDescent="0.3">
      <c r="A257" t="s">
        <v>525</v>
      </c>
      <c r="B257" s="20">
        <v>46023</v>
      </c>
      <c r="C257" t="s">
        <v>505</v>
      </c>
      <c r="D257" t="s">
        <v>506</v>
      </c>
      <c r="E257" t="s">
        <v>381</v>
      </c>
      <c r="F257">
        <v>0</v>
      </c>
      <c r="G257">
        <v>0</v>
      </c>
      <c r="H257" t="str">
        <f>IF(report_B_CategorieBoekjaar[[#This Row],[BedrijfsCode]]="002",IF(report_B_CategorieBoekjaar[[#This Row],[Boekjaar]]=Projectbegroting!$K$1,report_B_CategorieBoekjaar[[#This Row],[CategorieCode]],0),0)</f>
        <v>RP</v>
      </c>
      <c r="I257">
        <f>IF(report_B_CategorieBoekjaar[[#This Row],[BedrijfsCode]]="001",IF(report_B_CategorieBoekjaar[[#This Row],[Boekjaar]]=Projectbegroting!$K$1,report_B_CategorieBoekjaar[[#This Row],[CategorieCode]],0),0)</f>
        <v>0</v>
      </c>
    </row>
    <row r="258" spans="1:9" hidden="1" x14ac:dyDescent="0.3">
      <c r="A258" t="s">
        <v>525</v>
      </c>
      <c r="B258" s="20">
        <v>46023</v>
      </c>
      <c r="C258" t="s">
        <v>507</v>
      </c>
      <c r="D258" t="s">
        <v>508</v>
      </c>
      <c r="E258" t="s">
        <v>384</v>
      </c>
      <c r="F258">
        <v>0</v>
      </c>
      <c r="G258">
        <v>0</v>
      </c>
      <c r="H258" t="str">
        <f>IF(report_B_CategorieBoekjaar[[#This Row],[BedrijfsCode]]="002",IF(report_B_CategorieBoekjaar[[#This Row],[Boekjaar]]=Projectbegroting!$K$1,report_B_CategorieBoekjaar[[#This Row],[CategorieCode]],0),0)</f>
        <v>RP-I</v>
      </c>
      <c r="I258">
        <f>IF(report_B_CategorieBoekjaar[[#This Row],[BedrijfsCode]]="001",IF(report_B_CategorieBoekjaar[[#This Row],[Boekjaar]]=Projectbegroting!$K$1,report_B_CategorieBoekjaar[[#This Row],[CategorieCode]],0),0)</f>
        <v>0</v>
      </c>
    </row>
    <row r="259" spans="1:9" hidden="1" x14ac:dyDescent="0.3">
      <c r="A259" t="s">
        <v>525</v>
      </c>
      <c r="B259" s="20">
        <v>46023</v>
      </c>
      <c r="C259" t="s">
        <v>509</v>
      </c>
      <c r="D259" t="s">
        <v>510</v>
      </c>
      <c r="E259" t="s">
        <v>381</v>
      </c>
      <c r="F259">
        <v>197</v>
      </c>
      <c r="G259">
        <v>252</v>
      </c>
      <c r="H259" t="str">
        <f>IF(report_B_CategorieBoekjaar[[#This Row],[BedrijfsCode]]="002",IF(report_B_CategorieBoekjaar[[#This Row],[Boekjaar]]=Projectbegroting!$K$1,report_B_CategorieBoekjaar[[#This Row],[CategorieCode]],0),0)</f>
        <v>RvB</v>
      </c>
      <c r="I259">
        <f>IF(report_B_CategorieBoekjaar[[#This Row],[BedrijfsCode]]="001",IF(report_B_CategorieBoekjaar[[#This Row],[Boekjaar]]=Projectbegroting!$K$1,report_B_CategorieBoekjaar[[#This Row],[CategorieCode]],0),0)</f>
        <v>0</v>
      </c>
    </row>
    <row r="260" spans="1:9" hidden="1" x14ac:dyDescent="0.3">
      <c r="A260" t="s">
        <v>525</v>
      </c>
      <c r="B260" s="20">
        <v>46023</v>
      </c>
      <c r="C260" t="s">
        <v>511</v>
      </c>
      <c r="D260" t="s">
        <v>512</v>
      </c>
      <c r="E260" t="s">
        <v>381</v>
      </c>
      <c r="F260">
        <v>0</v>
      </c>
      <c r="G260">
        <v>0</v>
      </c>
      <c r="H260" t="str">
        <f>IF(report_B_CategorieBoekjaar[[#This Row],[BedrijfsCode]]="002",IF(report_B_CategorieBoekjaar[[#This Row],[Boekjaar]]=Projectbegroting!$K$1,report_B_CategorieBoekjaar[[#This Row],[CategorieCode]],0),0)</f>
        <v>STAGE</v>
      </c>
      <c r="I260">
        <f>IF(report_B_CategorieBoekjaar[[#This Row],[BedrijfsCode]]="001",IF(report_B_CategorieBoekjaar[[#This Row],[Boekjaar]]=Projectbegroting!$K$1,report_B_CategorieBoekjaar[[#This Row],[CategorieCode]],0),0)</f>
        <v>0</v>
      </c>
    </row>
    <row r="261" spans="1:9" hidden="1" x14ac:dyDescent="0.3">
      <c r="A261" t="s">
        <v>525</v>
      </c>
      <c r="B261" s="20">
        <v>46023</v>
      </c>
      <c r="C261" t="s">
        <v>92</v>
      </c>
      <c r="D261" t="s">
        <v>513</v>
      </c>
      <c r="E261" t="s">
        <v>381</v>
      </c>
      <c r="F261">
        <v>70</v>
      </c>
      <c r="G261">
        <v>125</v>
      </c>
      <c r="H261" t="str">
        <f>IF(report_B_CategorieBoekjaar[[#This Row],[BedrijfsCode]]="002",IF(report_B_CategorieBoekjaar[[#This Row],[Boekjaar]]=Projectbegroting!$K$1,report_B_CategorieBoekjaar[[#This Row],[CategorieCode]],0),0)</f>
        <v>TEST</v>
      </c>
      <c r="I261">
        <f>IF(report_B_CategorieBoekjaar[[#This Row],[BedrijfsCode]]="001",IF(report_B_CategorieBoekjaar[[#This Row],[Boekjaar]]=Projectbegroting!$K$1,report_B_CategorieBoekjaar[[#This Row],[CategorieCode]],0),0)</f>
        <v>0</v>
      </c>
    </row>
    <row r="262" spans="1:9" hidden="1" x14ac:dyDescent="0.3">
      <c r="A262" t="s">
        <v>525</v>
      </c>
      <c r="B262" s="20">
        <v>46023</v>
      </c>
      <c r="C262" t="s">
        <v>514</v>
      </c>
      <c r="D262" t="s">
        <v>515</v>
      </c>
      <c r="E262" t="s">
        <v>384</v>
      </c>
      <c r="F262">
        <v>102</v>
      </c>
      <c r="G262">
        <v>0</v>
      </c>
      <c r="H262" t="str">
        <f>IF(report_B_CategorieBoekjaar[[#This Row],[BedrijfsCode]]="002",IF(report_B_CategorieBoekjaar[[#This Row],[Boekjaar]]=Projectbegroting!$K$1,report_B_CategorieBoekjaar[[#This Row],[CategorieCode]],0),0)</f>
        <v>TEST-I</v>
      </c>
      <c r="I262">
        <f>IF(report_B_CategorieBoekjaar[[#This Row],[BedrijfsCode]]="001",IF(report_B_CategorieBoekjaar[[#This Row],[Boekjaar]]=Projectbegroting!$K$1,report_B_CategorieBoekjaar[[#This Row],[CategorieCode]],0),0)</f>
        <v>0</v>
      </c>
    </row>
    <row r="263" spans="1:9" hidden="1" x14ac:dyDescent="0.3">
      <c r="A263" t="s">
        <v>525</v>
      </c>
      <c r="B263" s="20">
        <v>46023</v>
      </c>
      <c r="C263" t="s">
        <v>72</v>
      </c>
      <c r="D263" t="s">
        <v>516</v>
      </c>
      <c r="E263" t="s">
        <v>381</v>
      </c>
      <c r="F263">
        <v>63</v>
      </c>
      <c r="G263">
        <v>118</v>
      </c>
      <c r="H263" t="str">
        <f>IF(report_B_CategorieBoekjaar[[#This Row],[BedrijfsCode]]="002",IF(report_B_CategorieBoekjaar[[#This Row],[Boekjaar]]=Projectbegroting!$K$1,report_B_CategorieBoekjaar[[#This Row],[CategorieCode]],0),0)</f>
        <v>TOE</v>
      </c>
      <c r="I263">
        <f>IF(report_B_CategorieBoekjaar[[#This Row],[BedrijfsCode]]="001",IF(report_B_CategorieBoekjaar[[#This Row],[Boekjaar]]=Projectbegroting!$K$1,report_B_CategorieBoekjaar[[#This Row],[CategorieCode]],0),0)</f>
        <v>0</v>
      </c>
    </row>
    <row r="264" spans="1:9" hidden="1" x14ac:dyDescent="0.3">
      <c r="A264" t="s">
        <v>525</v>
      </c>
      <c r="B264" s="20">
        <v>46023</v>
      </c>
      <c r="C264" t="s">
        <v>517</v>
      </c>
      <c r="D264" t="s">
        <v>518</v>
      </c>
      <c r="E264" t="s">
        <v>384</v>
      </c>
      <c r="F264">
        <v>95</v>
      </c>
      <c r="G264">
        <v>0</v>
      </c>
      <c r="H264" t="str">
        <f>IF(report_B_CategorieBoekjaar[[#This Row],[BedrijfsCode]]="002",IF(report_B_CategorieBoekjaar[[#This Row],[Boekjaar]]=Projectbegroting!$K$1,report_B_CategorieBoekjaar[[#This Row],[CategorieCode]],0),0)</f>
        <v>TOE-I</v>
      </c>
      <c r="I264">
        <f>IF(report_B_CategorieBoekjaar[[#This Row],[BedrijfsCode]]="001",IF(report_B_CategorieBoekjaar[[#This Row],[Boekjaar]]=Projectbegroting!$K$1,report_B_CategorieBoekjaar[[#This Row],[CategorieCode]],0),0)</f>
        <v>0</v>
      </c>
    </row>
    <row r="265" spans="1:9" hidden="1" x14ac:dyDescent="0.3">
      <c r="A265" t="s">
        <v>525</v>
      </c>
      <c r="B265" s="20">
        <v>46023</v>
      </c>
      <c r="C265" t="s">
        <v>74</v>
      </c>
      <c r="D265" t="s">
        <v>75</v>
      </c>
      <c r="E265" t="s">
        <v>381</v>
      </c>
      <c r="F265">
        <v>50</v>
      </c>
      <c r="G265">
        <v>105</v>
      </c>
      <c r="H265" t="str">
        <f>IF(report_B_CategorieBoekjaar[[#This Row],[BedrijfsCode]]="002",IF(report_B_CategorieBoekjaar[[#This Row],[Boekjaar]]=Projectbegroting!$K$1,report_B_CategorieBoekjaar[[#This Row],[CategorieCode]],0),0)</f>
        <v>TOM</v>
      </c>
      <c r="I265">
        <f>IF(report_B_CategorieBoekjaar[[#This Row],[BedrijfsCode]]="001",IF(report_B_CategorieBoekjaar[[#This Row],[Boekjaar]]=Projectbegroting!$K$1,report_B_CategorieBoekjaar[[#This Row],[CategorieCode]],0),0)</f>
        <v>0</v>
      </c>
    </row>
    <row r="266" spans="1:9" hidden="1" x14ac:dyDescent="0.3">
      <c r="A266" t="s">
        <v>525</v>
      </c>
      <c r="B266" s="20">
        <v>46023</v>
      </c>
      <c r="C266" t="s">
        <v>178</v>
      </c>
      <c r="D266" t="s">
        <v>519</v>
      </c>
      <c r="E266" t="s">
        <v>384</v>
      </c>
      <c r="F266">
        <v>82</v>
      </c>
      <c r="G266">
        <v>0</v>
      </c>
      <c r="H266" t="str">
        <f>IF(report_B_CategorieBoekjaar[[#This Row],[BedrijfsCode]]="002",IF(report_B_CategorieBoekjaar[[#This Row],[Boekjaar]]=Projectbegroting!$K$1,report_B_CategorieBoekjaar[[#This Row],[CategorieCode]],0),0)</f>
        <v>TOM-I</v>
      </c>
      <c r="I266">
        <f>IF(report_B_CategorieBoekjaar[[#This Row],[BedrijfsCode]]="001",IF(report_B_CategorieBoekjaar[[#This Row],[Boekjaar]]=Projectbegroting!$K$1,report_B_CategorieBoekjaar[[#This Row],[CategorieCode]],0),0)</f>
        <v>0</v>
      </c>
    </row>
    <row r="267" spans="1:9" hidden="1" x14ac:dyDescent="0.3">
      <c r="A267" t="s">
        <v>525</v>
      </c>
      <c r="B267" s="20">
        <v>46023</v>
      </c>
      <c r="C267" t="s">
        <v>76</v>
      </c>
      <c r="D267" t="s">
        <v>77</v>
      </c>
      <c r="E267" t="s">
        <v>381</v>
      </c>
      <c r="F267">
        <v>87</v>
      </c>
      <c r="G267">
        <v>142</v>
      </c>
      <c r="H267" t="str">
        <f>IF(report_B_CategorieBoekjaar[[#This Row],[BedrijfsCode]]="002",IF(report_B_CategorieBoekjaar[[#This Row],[Boekjaar]]=Projectbegroting!$K$1,report_B_CategorieBoekjaar[[#This Row],[CategorieCode]],0),0)</f>
        <v>TRA</v>
      </c>
      <c r="I267">
        <f>IF(report_B_CategorieBoekjaar[[#This Row],[BedrijfsCode]]="001",IF(report_B_CategorieBoekjaar[[#This Row],[Boekjaar]]=Projectbegroting!$K$1,report_B_CategorieBoekjaar[[#This Row],[CategorieCode]],0),0)</f>
        <v>0</v>
      </c>
    </row>
    <row r="268" spans="1:9" hidden="1" x14ac:dyDescent="0.3">
      <c r="A268" t="s">
        <v>525</v>
      </c>
      <c r="B268" s="20">
        <v>46023</v>
      </c>
      <c r="C268" t="s">
        <v>520</v>
      </c>
      <c r="D268" t="s">
        <v>521</v>
      </c>
      <c r="E268" t="s">
        <v>384</v>
      </c>
      <c r="F268">
        <v>119</v>
      </c>
      <c r="G268">
        <v>0</v>
      </c>
      <c r="H268" t="str">
        <f>IF(report_B_CategorieBoekjaar[[#This Row],[BedrijfsCode]]="002",IF(report_B_CategorieBoekjaar[[#This Row],[Boekjaar]]=Projectbegroting!$K$1,report_B_CategorieBoekjaar[[#This Row],[CategorieCode]],0),0)</f>
        <v>TRA-I</v>
      </c>
      <c r="I268">
        <f>IF(report_B_CategorieBoekjaar[[#This Row],[BedrijfsCode]]="001",IF(report_B_CategorieBoekjaar[[#This Row],[Boekjaar]]=Projectbegroting!$K$1,report_B_CategorieBoekjaar[[#This Row],[CategorieCode]],0),0)</f>
        <v>0</v>
      </c>
    </row>
    <row r="269" spans="1:9" hidden="1" x14ac:dyDescent="0.3">
      <c r="A269" t="s">
        <v>525</v>
      </c>
      <c r="B269" s="20">
        <v>46023</v>
      </c>
      <c r="C269" t="s">
        <v>522</v>
      </c>
      <c r="D269" t="s">
        <v>523</v>
      </c>
      <c r="E269" t="s">
        <v>381</v>
      </c>
      <c r="F269">
        <v>93</v>
      </c>
      <c r="G269">
        <v>148</v>
      </c>
      <c r="H269" t="str">
        <f>IF(report_B_CategorieBoekjaar[[#This Row],[BedrijfsCode]]="002",IF(report_B_CategorieBoekjaar[[#This Row],[Boekjaar]]=Projectbegroting!$K$1,report_B_CategorieBoekjaar[[#This Row],[CategorieCode]],0),0)</f>
        <v>VL</v>
      </c>
      <c r="I269">
        <f>IF(report_B_CategorieBoekjaar[[#This Row],[BedrijfsCode]]="001",IF(report_B_CategorieBoekjaar[[#This Row],[Boekjaar]]=Projectbegroting!$K$1,report_B_CategorieBoekjaar[[#This Row],[CategorieCode]],0),0)</f>
        <v>0</v>
      </c>
    </row>
    <row r="270" spans="1:9" hidden="1" x14ac:dyDescent="0.3">
      <c r="A270" t="s">
        <v>525</v>
      </c>
      <c r="B270" s="20">
        <v>46023</v>
      </c>
      <c r="C270" t="s">
        <v>78</v>
      </c>
      <c r="D270" t="s">
        <v>79</v>
      </c>
      <c r="E270" t="s">
        <v>381</v>
      </c>
      <c r="F270">
        <v>76</v>
      </c>
      <c r="G270">
        <v>131</v>
      </c>
      <c r="H270" t="str">
        <f>IF(report_B_CategorieBoekjaar[[#This Row],[BedrijfsCode]]="002",IF(report_B_CategorieBoekjaar[[#This Row],[Boekjaar]]=Projectbegroting!$K$1,report_B_CategorieBoekjaar[[#This Row],[CategorieCode]],0),0)</f>
        <v>WO</v>
      </c>
      <c r="I270">
        <f>IF(report_B_CategorieBoekjaar[[#This Row],[BedrijfsCode]]="001",IF(report_B_CategorieBoekjaar[[#This Row],[Boekjaar]]=Projectbegroting!$K$1,report_B_CategorieBoekjaar[[#This Row],[CategorieCode]],0),0)</f>
        <v>0</v>
      </c>
    </row>
    <row r="271" spans="1:9" hidden="1" x14ac:dyDescent="0.3">
      <c r="A271" t="s">
        <v>525</v>
      </c>
      <c r="B271" s="20">
        <v>46023</v>
      </c>
      <c r="C271" t="s">
        <v>176</v>
      </c>
      <c r="D271" t="s">
        <v>524</v>
      </c>
      <c r="E271" t="s">
        <v>384</v>
      </c>
      <c r="F271">
        <v>120</v>
      </c>
      <c r="G271">
        <v>0</v>
      </c>
      <c r="H271" t="str">
        <f>IF(report_B_CategorieBoekjaar[[#This Row],[BedrijfsCode]]="002",IF(report_B_CategorieBoekjaar[[#This Row],[Boekjaar]]=Projectbegroting!$K$1,report_B_CategorieBoekjaar[[#This Row],[CategorieCode]],0),0)</f>
        <v>WO-I</v>
      </c>
      <c r="I271">
        <f>IF(report_B_CategorieBoekjaar[[#This Row],[BedrijfsCode]]="001",IF(report_B_CategorieBoekjaar[[#This Row],[Boekjaar]]=Projectbegroting!$K$1,report_B_CategorieBoekjaar[[#This Row],[CategorieCode]],0),0)</f>
        <v>0</v>
      </c>
    </row>
    <row r="272" spans="1:9" x14ac:dyDescent="0.3">
      <c r="A272" t="s">
        <v>330</v>
      </c>
      <c r="B272" s="20">
        <v>45658</v>
      </c>
      <c r="C272" t="s">
        <v>179</v>
      </c>
      <c r="D272" t="s">
        <v>331</v>
      </c>
      <c r="E272" t="s">
        <v>217</v>
      </c>
      <c r="F272">
        <v>0</v>
      </c>
      <c r="G272">
        <v>0</v>
      </c>
      <c r="H272">
        <f>IF(report_B_CategorieBoekjaar[[#This Row],[BedrijfsCode]]="002",IF(report_B_CategorieBoekjaar[[#This Row],[Boekjaar]]=Projectbegroting!$K$1,report_B_CategorieBoekjaar[[#This Row],[CategorieCode]],0),0)</f>
        <v>0</v>
      </c>
      <c r="I272">
        <f>IF(report_B_CategorieBoekjaar[[#This Row],[BedrijfsCode]]="001",IF(report_B_CategorieBoekjaar[[#This Row],[Boekjaar]]=Projectbegroting!$K$1,report_B_CategorieBoekjaar[[#This Row],[CategorieCode]],0),0)</f>
        <v>0</v>
      </c>
    </row>
    <row r="273" spans="1:9" x14ac:dyDescent="0.3">
      <c r="A273" t="s">
        <v>330</v>
      </c>
      <c r="B273" s="20">
        <v>45658</v>
      </c>
      <c r="C273" t="s">
        <v>180</v>
      </c>
      <c r="D273" t="s">
        <v>332</v>
      </c>
      <c r="E273" t="s">
        <v>217</v>
      </c>
      <c r="F273">
        <v>0</v>
      </c>
      <c r="G273">
        <v>0</v>
      </c>
      <c r="H273">
        <f>IF(report_B_CategorieBoekjaar[[#This Row],[BedrijfsCode]]="002",IF(report_B_CategorieBoekjaar[[#This Row],[Boekjaar]]=Projectbegroting!$K$1,report_B_CategorieBoekjaar[[#This Row],[CategorieCode]],0),0)</f>
        <v>0</v>
      </c>
      <c r="I273">
        <f>IF(report_B_CategorieBoekjaar[[#This Row],[BedrijfsCode]]="001",IF(report_B_CategorieBoekjaar[[#This Row],[Boekjaar]]=Projectbegroting!$K$1,report_B_CategorieBoekjaar[[#This Row],[CategorieCode]],0),0)</f>
        <v>0</v>
      </c>
    </row>
    <row r="274" spans="1:9" x14ac:dyDescent="0.3">
      <c r="A274" t="s">
        <v>330</v>
      </c>
      <c r="B274" s="20">
        <v>45658</v>
      </c>
      <c r="C274" t="s">
        <v>181</v>
      </c>
      <c r="D274" t="s">
        <v>333</v>
      </c>
      <c r="E274" t="s">
        <v>217</v>
      </c>
      <c r="F274">
        <v>0</v>
      </c>
      <c r="G274">
        <v>0</v>
      </c>
      <c r="H274">
        <f>IF(report_B_CategorieBoekjaar[[#This Row],[BedrijfsCode]]="002",IF(report_B_CategorieBoekjaar[[#This Row],[Boekjaar]]=Projectbegroting!$K$1,report_B_CategorieBoekjaar[[#This Row],[CategorieCode]],0),0)</f>
        <v>0</v>
      </c>
      <c r="I274">
        <f>IF(report_B_CategorieBoekjaar[[#This Row],[BedrijfsCode]]="001",IF(report_B_CategorieBoekjaar[[#This Row],[Boekjaar]]=Projectbegroting!$K$1,report_B_CategorieBoekjaar[[#This Row],[CategorieCode]],0),0)</f>
        <v>0</v>
      </c>
    </row>
    <row r="275" spans="1:9" x14ac:dyDescent="0.3">
      <c r="A275" t="s">
        <v>330</v>
      </c>
      <c r="B275" s="20">
        <v>45658</v>
      </c>
      <c r="C275" t="s">
        <v>182</v>
      </c>
      <c r="D275" t="s">
        <v>334</v>
      </c>
      <c r="E275" t="s">
        <v>217</v>
      </c>
      <c r="F275">
        <v>0</v>
      </c>
      <c r="G275">
        <v>0</v>
      </c>
      <c r="H275">
        <f>IF(report_B_CategorieBoekjaar[[#This Row],[BedrijfsCode]]="002",IF(report_B_CategorieBoekjaar[[#This Row],[Boekjaar]]=Projectbegroting!$K$1,report_B_CategorieBoekjaar[[#This Row],[CategorieCode]],0),0)</f>
        <v>0</v>
      </c>
      <c r="I275">
        <f>IF(report_B_CategorieBoekjaar[[#This Row],[BedrijfsCode]]="001",IF(report_B_CategorieBoekjaar[[#This Row],[Boekjaar]]=Projectbegroting!$K$1,report_B_CategorieBoekjaar[[#This Row],[CategorieCode]],0),0)</f>
        <v>0</v>
      </c>
    </row>
    <row r="276" spans="1:9" x14ac:dyDescent="0.3">
      <c r="A276" t="s">
        <v>330</v>
      </c>
      <c r="B276" s="20">
        <v>45658</v>
      </c>
      <c r="C276" t="s">
        <v>183</v>
      </c>
      <c r="D276" t="s">
        <v>335</v>
      </c>
      <c r="E276" t="s">
        <v>217</v>
      </c>
      <c r="F276">
        <v>0</v>
      </c>
      <c r="G276">
        <v>0</v>
      </c>
      <c r="H276">
        <f>IF(report_B_CategorieBoekjaar[[#This Row],[BedrijfsCode]]="002",IF(report_B_CategorieBoekjaar[[#This Row],[Boekjaar]]=Projectbegroting!$K$1,report_B_CategorieBoekjaar[[#This Row],[CategorieCode]],0),0)</f>
        <v>0</v>
      </c>
      <c r="I276">
        <f>IF(report_B_CategorieBoekjaar[[#This Row],[BedrijfsCode]]="001",IF(report_B_CategorieBoekjaar[[#This Row],[Boekjaar]]=Projectbegroting!$K$1,report_B_CategorieBoekjaar[[#This Row],[CategorieCode]],0),0)</f>
        <v>0</v>
      </c>
    </row>
    <row r="277" spans="1:9" x14ac:dyDescent="0.3">
      <c r="A277" t="s">
        <v>330</v>
      </c>
      <c r="B277" s="20">
        <v>45658</v>
      </c>
      <c r="C277" t="s">
        <v>184</v>
      </c>
      <c r="D277" t="s">
        <v>336</v>
      </c>
      <c r="E277" t="s">
        <v>217</v>
      </c>
      <c r="F277">
        <v>0</v>
      </c>
      <c r="G277">
        <v>0</v>
      </c>
      <c r="H277">
        <f>IF(report_B_CategorieBoekjaar[[#This Row],[BedrijfsCode]]="002",IF(report_B_CategorieBoekjaar[[#This Row],[Boekjaar]]=Projectbegroting!$K$1,report_B_CategorieBoekjaar[[#This Row],[CategorieCode]],0),0)</f>
        <v>0</v>
      </c>
      <c r="I277">
        <f>IF(report_B_CategorieBoekjaar[[#This Row],[BedrijfsCode]]="001",IF(report_B_CategorieBoekjaar[[#This Row],[Boekjaar]]=Projectbegroting!$K$1,report_B_CategorieBoekjaar[[#This Row],[CategorieCode]],0),0)</f>
        <v>0</v>
      </c>
    </row>
    <row r="278" spans="1:9" x14ac:dyDescent="0.3">
      <c r="A278" t="s">
        <v>330</v>
      </c>
      <c r="B278" s="20">
        <v>45658</v>
      </c>
      <c r="C278" t="s">
        <v>185</v>
      </c>
      <c r="D278" t="s">
        <v>337</v>
      </c>
      <c r="E278" t="s">
        <v>217</v>
      </c>
      <c r="F278">
        <v>0</v>
      </c>
      <c r="G278">
        <v>0</v>
      </c>
      <c r="H278">
        <f>IF(report_B_CategorieBoekjaar[[#This Row],[BedrijfsCode]]="002",IF(report_B_CategorieBoekjaar[[#This Row],[Boekjaar]]=Projectbegroting!$K$1,report_B_CategorieBoekjaar[[#This Row],[CategorieCode]],0),0)</f>
        <v>0</v>
      </c>
      <c r="I278">
        <f>IF(report_B_CategorieBoekjaar[[#This Row],[BedrijfsCode]]="001",IF(report_B_CategorieBoekjaar[[#This Row],[Boekjaar]]=Projectbegroting!$K$1,report_B_CategorieBoekjaar[[#This Row],[CategorieCode]],0),0)</f>
        <v>0</v>
      </c>
    </row>
    <row r="279" spans="1:9" x14ac:dyDescent="0.3">
      <c r="A279" t="s">
        <v>330</v>
      </c>
      <c r="B279" s="20">
        <v>45658</v>
      </c>
      <c r="C279" t="s">
        <v>186</v>
      </c>
      <c r="D279" t="s">
        <v>338</v>
      </c>
      <c r="E279" t="s">
        <v>217</v>
      </c>
      <c r="F279">
        <v>0</v>
      </c>
      <c r="G279">
        <v>0</v>
      </c>
      <c r="H279">
        <f>IF(report_B_CategorieBoekjaar[[#This Row],[BedrijfsCode]]="002",IF(report_B_CategorieBoekjaar[[#This Row],[Boekjaar]]=Projectbegroting!$K$1,report_B_CategorieBoekjaar[[#This Row],[CategorieCode]],0),0)</f>
        <v>0</v>
      </c>
      <c r="I279">
        <f>IF(report_B_CategorieBoekjaar[[#This Row],[BedrijfsCode]]="001",IF(report_B_CategorieBoekjaar[[#This Row],[Boekjaar]]=Projectbegroting!$K$1,report_B_CategorieBoekjaar[[#This Row],[CategorieCode]],0),0)</f>
        <v>0</v>
      </c>
    </row>
    <row r="280" spans="1:9" x14ac:dyDescent="0.3">
      <c r="A280" t="s">
        <v>330</v>
      </c>
      <c r="B280" s="20">
        <v>45658</v>
      </c>
      <c r="C280" t="s">
        <v>187</v>
      </c>
      <c r="D280" t="s">
        <v>339</v>
      </c>
      <c r="E280" t="s">
        <v>217</v>
      </c>
      <c r="F280">
        <v>0</v>
      </c>
      <c r="G280">
        <v>0</v>
      </c>
      <c r="H280">
        <f>IF(report_B_CategorieBoekjaar[[#This Row],[BedrijfsCode]]="002",IF(report_B_CategorieBoekjaar[[#This Row],[Boekjaar]]=Projectbegroting!$K$1,report_B_CategorieBoekjaar[[#This Row],[CategorieCode]],0),0)</f>
        <v>0</v>
      </c>
      <c r="I280">
        <f>IF(report_B_CategorieBoekjaar[[#This Row],[BedrijfsCode]]="001",IF(report_B_CategorieBoekjaar[[#This Row],[Boekjaar]]=Projectbegroting!$K$1,report_B_CategorieBoekjaar[[#This Row],[CategorieCode]],0),0)</f>
        <v>0</v>
      </c>
    </row>
    <row r="281" spans="1:9" x14ac:dyDescent="0.3">
      <c r="A281" t="s">
        <v>330</v>
      </c>
      <c r="B281" s="20">
        <v>45658</v>
      </c>
      <c r="C281" t="s">
        <v>188</v>
      </c>
      <c r="D281" t="s">
        <v>340</v>
      </c>
      <c r="E281" t="s">
        <v>217</v>
      </c>
      <c r="F281">
        <v>0</v>
      </c>
      <c r="G281">
        <v>0</v>
      </c>
      <c r="H281">
        <f>IF(report_B_CategorieBoekjaar[[#This Row],[BedrijfsCode]]="002",IF(report_B_CategorieBoekjaar[[#This Row],[Boekjaar]]=Projectbegroting!$K$1,report_B_CategorieBoekjaar[[#This Row],[CategorieCode]],0),0)</f>
        <v>0</v>
      </c>
      <c r="I281">
        <f>IF(report_B_CategorieBoekjaar[[#This Row],[BedrijfsCode]]="001",IF(report_B_CategorieBoekjaar[[#This Row],[Boekjaar]]=Projectbegroting!$K$1,report_B_CategorieBoekjaar[[#This Row],[CategorieCode]],0),0)</f>
        <v>0</v>
      </c>
    </row>
    <row r="282" spans="1:9" x14ac:dyDescent="0.3">
      <c r="A282" t="s">
        <v>330</v>
      </c>
      <c r="B282" s="20">
        <v>45658</v>
      </c>
      <c r="C282" t="s">
        <v>189</v>
      </c>
      <c r="D282" t="s">
        <v>341</v>
      </c>
      <c r="E282" t="s">
        <v>217</v>
      </c>
      <c r="F282">
        <v>0</v>
      </c>
      <c r="G282">
        <v>0</v>
      </c>
      <c r="H282">
        <f>IF(report_B_CategorieBoekjaar[[#This Row],[BedrijfsCode]]="002",IF(report_B_CategorieBoekjaar[[#This Row],[Boekjaar]]=Projectbegroting!$K$1,report_B_CategorieBoekjaar[[#This Row],[CategorieCode]],0),0)</f>
        <v>0</v>
      </c>
      <c r="I282">
        <f>IF(report_B_CategorieBoekjaar[[#This Row],[BedrijfsCode]]="001",IF(report_B_CategorieBoekjaar[[#This Row],[Boekjaar]]=Projectbegroting!$K$1,report_B_CategorieBoekjaar[[#This Row],[CategorieCode]],0),0)</f>
        <v>0</v>
      </c>
    </row>
    <row r="283" spans="1:9" x14ac:dyDescent="0.3">
      <c r="A283" t="s">
        <v>330</v>
      </c>
      <c r="B283" s="20">
        <v>45658</v>
      </c>
      <c r="C283" t="s">
        <v>190</v>
      </c>
      <c r="D283" t="s">
        <v>342</v>
      </c>
      <c r="E283" t="s">
        <v>217</v>
      </c>
      <c r="F283">
        <v>0</v>
      </c>
      <c r="G283">
        <v>0</v>
      </c>
      <c r="H283">
        <f>IF(report_B_CategorieBoekjaar[[#This Row],[BedrijfsCode]]="002",IF(report_B_CategorieBoekjaar[[#This Row],[Boekjaar]]=Projectbegroting!$K$1,report_B_CategorieBoekjaar[[#This Row],[CategorieCode]],0),0)</f>
        <v>0</v>
      </c>
      <c r="I283">
        <f>IF(report_B_CategorieBoekjaar[[#This Row],[BedrijfsCode]]="001",IF(report_B_CategorieBoekjaar[[#This Row],[Boekjaar]]=Projectbegroting!$K$1,report_B_CategorieBoekjaar[[#This Row],[CategorieCode]],0),0)</f>
        <v>0</v>
      </c>
    </row>
    <row r="284" spans="1:9" x14ac:dyDescent="0.3">
      <c r="A284" t="s">
        <v>330</v>
      </c>
      <c r="B284" s="20">
        <v>45658</v>
      </c>
      <c r="C284" t="s">
        <v>191</v>
      </c>
      <c r="D284" t="s">
        <v>343</v>
      </c>
      <c r="E284" t="s">
        <v>217</v>
      </c>
      <c r="F284">
        <v>0</v>
      </c>
      <c r="G284">
        <v>0</v>
      </c>
      <c r="H284">
        <f>IF(report_B_CategorieBoekjaar[[#This Row],[BedrijfsCode]]="002",IF(report_B_CategorieBoekjaar[[#This Row],[Boekjaar]]=Projectbegroting!$K$1,report_B_CategorieBoekjaar[[#This Row],[CategorieCode]],0),0)</f>
        <v>0</v>
      </c>
      <c r="I284">
        <f>IF(report_B_CategorieBoekjaar[[#This Row],[BedrijfsCode]]="001",IF(report_B_CategorieBoekjaar[[#This Row],[Boekjaar]]=Projectbegroting!$K$1,report_B_CategorieBoekjaar[[#This Row],[CategorieCode]],0),0)</f>
        <v>0</v>
      </c>
    </row>
    <row r="285" spans="1:9" x14ac:dyDescent="0.3">
      <c r="A285" t="s">
        <v>330</v>
      </c>
      <c r="B285" s="20">
        <v>45658</v>
      </c>
      <c r="C285" t="s">
        <v>192</v>
      </c>
      <c r="D285" t="s">
        <v>344</v>
      </c>
      <c r="E285" t="s">
        <v>217</v>
      </c>
      <c r="F285">
        <v>0</v>
      </c>
      <c r="G285">
        <v>0</v>
      </c>
      <c r="H285">
        <f>IF(report_B_CategorieBoekjaar[[#This Row],[BedrijfsCode]]="002",IF(report_B_CategorieBoekjaar[[#This Row],[Boekjaar]]=Projectbegroting!$K$1,report_B_CategorieBoekjaar[[#This Row],[CategorieCode]],0),0)</f>
        <v>0</v>
      </c>
      <c r="I285">
        <f>IF(report_B_CategorieBoekjaar[[#This Row],[BedrijfsCode]]="001",IF(report_B_CategorieBoekjaar[[#This Row],[Boekjaar]]=Projectbegroting!$K$1,report_B_CategorieBoekjaar[[#This Row],[CategorieCode]],0),0)</f>
        <v>0</v>
      </c>
    </row>
    <row r="286" spans="1:9" x14ac:dyDescent="0.3">
      <c r="A286" t="s">
        <v>330</v>
      </c>
      <c r="B286" s="20">
        <v>45658</v>
      </c>
      <c r="C286" t="s">
        <v>193</v>
      </c>
      <c r="D286" t="s">
        <v>345</v>
      </c>
      <c r="E286" t="s">
        <v>217</v>
      </c>
      <c r="F286">
        <v>0</v>
      </c>
      <c r="G286">
        <v>0</v>
      </c>
      <c r="H286">
        <f>IF(report_B_CategorieBoekjaar[[#This Row],[BedrijfsCode]]="002",IF(report_B_CategorieBoekjaar[[#This Row],[Boekjaar]]=Projectbegroting!$K$1,report_B_CategorieBoekjaar[[#This Row],[CategorieCode]],0),0)</f>
        <v>0</v>
      </c>
      <c r="I286">
        <f>IF(report_B_CategorieBoekjaar[[#This Row],[BedrijfsCode]]="001",IF(report_B_CategorieBoekjaar[[#This Row],[Boekjaar]]=Projectbegroting!$K$1,report_B_CategorieBoekjaar[[#This Row],[CategorieCode]],0),0)</f>
        <v>0</v>
      </c>
    </row>
    <row r="287" spans="1:9" x14ac:dyDescent="0.3">
      <c r="A287" t="s">
        <v>330</v>
      </c>
      <c r="B287" s="20">
        <v>45658</v>
      </c>
      <c r="C287" t="s">
        <v>194</v>
      </c>
      <c r="D287" t="s">
        <v>346</v>
      </c>
      <c r="E287" t="s">
        <v>217</v>
      </c>
      <c r="F287">
        <v>0</v>
      </c>
      <c r="G287">
        <v>0</v>
      </c>
      <c r="H287">
        <f>IF(report_B_CategorieBoekjaar[[#This Row],[BedrijfsCode]]="002",IF(report_B_CategorieBoekjaar[[#This Row],[Boekjaar]]=Projectbegroting!$K$1,report_B_CategorieBoekjaar[[#This Row],[CategorieCode]],0),0)</f>
        <v>0</v>
      </c>
      <c r="I287">
        <f>IF(report_B_CategorieBoekjaar[[#This Row],[BedrijfsCode]]="001",IF(report_B_CategorieBoekjaar[[#This Row],[Boekjaar]]=Projectbegroting!$K$1,report_B_CategorieBoekjaar[[#This Row],[CategorieCode]],0),0)</f>
        <v>0</v>
      </c>
    </row>
    <row r="288" spans="1:9" x14ac:dyDescent="0.3">
      <c r="A288" t="s">
        <v>330</v>
      </c>
      <c r="B288" s="20">
        <v>45658</v>
      </c>
      <c r="C288" t="s">
        <v>195</v>
      </c>
      <c r="D288" t="s">
        <v>347</v>
      </c>
      <c r="E288" t="s">
        <v>217</v>
      </c>
      <c r="F288">
        <v>0</v>
      </c>
      <c r="G288">
        <v>0</v>
      </c>
      <c r="H288">
        <f>IF(report_B_CategorieBoekjaar[[#This Row],[BedrijfsCode]]="002",IF(report_B_CategorieBoekjaar[[#This Row],[Boekjaar]]=Projectbegroting!$K$1,report_B_CategorieBoekjaar[[#This Row],[CategorieCode]],0),0)</f>
        <v>0</v>
      </c>
      <c r="I288">
        <f>IF(report_B_CategorieBoekjaar[[#This Row],[BedrijfsCode]]="001",IF(report_B_CategorieBoekjaar[[#This Row],[Boekjaar]]=Projectbegroting!$K$1,report_B_CategorieBoekjaar[[#This Row],[CategorieCode]],0),0)</f>
        <v>0</v>
      </c>
    </row>
    <row r="289" spans="1:9" x14ac:dyDescent="0.3">
      <c r="A289" t="s">
        <v>330</v>
      </c>
      <c r="B289" s="20">
        <v>45658</v>
      </c>
      <c r="C289" t="s">
        <v>196</v>
      </c>
      <c r="D289" t="s">
        <v>348</v>
      </c>
      <c r="E289" t="s">
        <v>217</v>
      </c>
      <c r="F289">
        <v>0</v>
      </c>
      <c r="G289">
        <v>0</v>
      </c>
      <c r="H289">
        <f>IF(report_B_CategorieBoekjaar[[#This Row],[BedrijfsCode]]="002",IF(report_B_CategorieBoekjaar[[#This Row],[Boekjaar]]=Projectbegroting!$K$1,report_B_CategorieBoekjaar[[#This Row],[CategorieCode]],0),0)</f>
        <v>0</v>
      </c>
      <c r="I289">
        <f>IF(report_B_CategorieBoekjaar[[#This Row],[BedrijfsCode]]="001",IF(report_B_CategorieBoekjaar[[#This Row],[Boekjaar]]=Projectbegroting!$K$1,report_B_CategorieBoekjaar[[#This Row],[CategorieCode]],0),0)</f>
        <v>0</v>
      </c>
    </row>
    <row r="290" spans="1:9" x14ac:dyDescent="0.3">
      <c r="A290" t="s">
        <v>330</v>
      </c>
      <c r="B290" s="20">
        <v>45658</v>
      </c>
      <c r="C290" t="s">
        <v>349</v>
      </c>
      <c r="D290" t="s">
        <v>350</v>
      </c>
      <c r="E290" t="s">
        <v>217</v>
      </c>
      <c r="F290">
        <v>0</v>
      </c>
      <c r="G290">
        <v>0</v>
      </c>
      <c r="H290">
        <f>IF(report_B_CategorieBoekjaar[[#This Row],[BedrijfsCode]]="002",IF(report_B_CategorieBoekjaar[[#This Row],[Boekjaar]]=Projectbegroting!$K$1,report_B_CategorieBoekjaar[[#This Row],[CategorieCode]],0),0)</f>
        <v>0</v>
      </c>
      <c r="I290">
        <f>IF(report_B_CategorieBoekjaar[[#This Row],[BedrijfsCode]]="001",IF(report_B_CategorieBoekjaar[[#This Row],[Boekjaar]]=Projectbegroting!$K$1,report_B_CategorieBoekjaar[[#This Row],[CategorieCode]],0),0)</f>
        <v>0</v>
      </c>
    </row>
    <row r="291" spans="1:9" x14ac:dyDescent="0.3">
      <c r="A291" t="s">
        <v>330</v>
      </c>
      <c r="B291" s="20">
        <v>45658</v>
      </c>
      <c r="C291" t="s">
        <v>197</v>
      </c>
      <c r="D291" t="s">
        <v>351</v>
      </c>
      <c r="E291" t="s">
        <v>217</v>
      </c>
      <c r="F291">
        <v>0</v>
      </c>
      <c r="G291">
        <v>0</v>
      </c>
      <c r="H291">
        <f>IF(report_B_CategorieBoekjaar[[#This Row],[BedrijfsCode]]="002",IF(report_B_CategorieBoekjaar[[#This Row],[Boekjaar]]=Projectbegroting!$K$1,report_B_CategorieBoekjaar[[#This Row],[CategorieCode]],0),0)</f>
        <v>0</v>
      </c>
      <c r="I291">
        <f>IF(report_B_CategorieBoekjaar[[#This Row],[BedrijfsCode]]="001",IF(report_B_CategorieBoekjaar[[#This Row],[Boekjaar]]=Projectbegroting!$K$1,report_B_CategorieBoekjaar[[#This Row],[CategorieCode]],0),0)</f>
        <v>0</v>
      </c>
    </row>
    <row r="292" spans="1:9" x14ac:dyDescent="0.3">
      <c r="A292" t="s">
        <v>330</v>
      </c>
      <c r="B292" s="20">
        <v>45658</v>
      </c>
      <c r="C292" t="s">
        <v>198</v>
      </c>
      <c r="D292" t="s">
        <v>352</v>
      </c>
      <c r="E292" t="s">
        <v>217</v>
      </c>
      <c r="F292">
        <v>0</v>
      </c>
      <c r="G292">
        <v>0</v>
      </c>
      <c r="H292">
        <f>IF(report_B_CategorieBoekjaar[[#This Row],[BedrijfsCode]]="002",IF(report_B_CategorieBoekjaar[[#This Row],[Boekjaar]]=Projectbegroting!$K$1,report_B_CategorieBoekjaar[[#This Row],[CategorieCode]],0),0)</f>
        <v>0</v>
      </c>
      <c r="I292">
        <f>IF(report_B_CategorieBoekjaar[[#This Row],[BedrijfsCode]]="001",IF(report_B_CategorieBoekjaar[[#This Row],[Boekjaar]]=Projectbegroting!$K$1,report_B_CategorieBoekjaar[[#This Row],[CategorieCode]],0),0)</f>
        <v>0</v>
      </c>
    </row>
    <row r="293" spans="1:9" x14ac:dyDescent="0.3">
      <c r="A293" t="s">
        <v>330</v>
      </c>
      <c r="B293" s="20">
        <v>45658</v>
      </c>
      <c r="C293" t="s">
        <v>353</v>
      </c>
      <c r="D293" t="s">
        <v>354</v>
      </c>
      <c r="E293" t="s">
        <v>217</v>
      </c>
      <c r="F293">
        <v>0</v>
      </c>
      <c r="G293">
        <v>0</v>
      </c>
      <c r="H293">
        <f>IF(report_B_CategorieBoekjaar[[#This Row],[BedrijfsCode]]="002",IF(report_B_CategorieBoekjaar[[#This Row],[Boekjaar]]=Projectbegroting!$K$1,report_B_CategorieBoekjaar[[#This Row],[CategorieCode]],0),0)</f>
        <v>0</v>
      </c>
      <c r="I293">
        <f>IF(report_B_CategorieBoekjaar[[#This Row],[BedrijfsCode]]="001",IF(report_B_CategorieBoekjaar[[#This Row],[Boekjaar]]=Projectbegroting!$K$1,report_B_CategorieBoekjaar[[#This Row],[CategorieCode]],0),0)</f>
        <v>0</v>
      </c>
    </row>
    <row r="294" spans="1:9" x14ac:dyDescent="0.3">
      <c r="A294" t="s">
        <v>330</v>
      </c>
      <c r="B294" s="20">
        <v>45658</v>
      </c>
      <c r="C294" t="s">
        <v>199</v>
      </c>
      <c r="D294" t="s">
        <v>355</v>
      </c>
      <c r="E294" t="s">
        <v>217</v>
      </c>
      <c r="F294">
        <v>0</v>
      </c>
      <c r="G294">
        <v>0</v>
      </c>
      <c r="H294">
        <f>IF(report_B_CategorieBoekjaar[[#This Row],[BedrijfsCode]]="002",IF(report_B_CategorieBoekjaar[[#This Row],[Boekjaar]]=Projectbegroting!$K$1,report_B_CategorieBoekjaar[[#This Row],[CategorieCode]],0),0)</f>
        <v>0</v>
      </c>
      <c r="I294">
        <f>IF(report_B_CategorieBoekjaar[[#This Row],[BedrijfsCode]]="001",IF(report_B_CategorieBoekjaar[[#This Row],[Boekjaar]]=Projectbegroting!$K$1,report_B_CategorieBoekjaar[[#This Row],[CategorieCode]],0),0)</f>
        <v>0</v>
      </c>
    </row>
    <row r="295" spans="1:9" x14ac:dyDescent="0.3">
      <c r="A295" t="s">
        <v>330</v>
      </c>
      <c r="B295" s="20">
        <v>45658</v>
      </c>
      <c r="C295" t="s">
        <v>200</v>
      </c>
      <c r="D295" t="s">
        <v>356</v>
      </c>
      <c r="E295" t="s">
        <v>217</v>
      </c>
      <c r="F295">
        <v>0</v>
      </c>
      <c r="G295">
        <v>0</v>
      </c>
      <c r="H295">
        <f>IF(report_B_CategorieBoekjaar[[#This Row],[BedrijfsCode]]="002",IF(report_B_CategorieBoekjaar[[#This Row],[Boekjaar]]=Projectbegroting!$K$1,report_B_CategorieBoekjaar[[#This Row],[CategorieCode]],0),0)</f>
        <v>0</v>
      </c>
      <c r="I295">
        <f>IF(report_B_CategorieBoekjaar[[#This Row],[BedrijfsCode]]="001",IF(report_B_CategorieBoekjaar[[#This Row],[Boekjaar]]=Projectbegroting!$K$1,report_B_CategorieBoekjaar[[#This Row],[CategorieCode]],0),0)</f>
        <v>0</v>
      </c>
    </row>
    <row r="296" spans="1:9" x14ac:dyDescent="0.3">
      <c r="A296" t="s">
        <v>330</v>
      </c>
      <c r="B296" s="20">
        <v>45658</v>
      </c>
      <c r="C296" t="s">
        <v>201</v>
      </c>
      <c r="D296" t="s">
        <v>357</v>
      </c>
      <c r="E296" t="s">
        <v>217</v>
      </c>
      <c r="F296">
        <v>0</v>
      </c>
      <c r="G296">
        <v>0</v>
      </c>
      <c r="H296">
        <f>IF(report_B_CategorieBoekjaar[[#This Row],[BedrijfsCode]]="002",IF(report_B_CategorieBoekjaar[[#This Row],[Boekjaar]]=Projectbegroting!$K$1,report_B_CategorieBoekjaar[[#This Row],[CategorieCode]],0),0)</f>
        <v>0</v>
      </c>
      <c r="I296">
        <f>IF(report_B_CategorieBoekjaar[[#This Row],[BedrijfsCode]]="001",IF(report_B_CategorieBoekjaar[[#This Row],[Boekjaar]]=Projectbegroting!$K$1,report_B_CategorieBoekjaar[[#This Row],[CategorieCode]],0),0)</f>
        <v>0</v>
      </c>
    </row>
    <row r="297" spans="1:9" x14ac:dyDescent="0.3">
      <c r="A297" t="s">
        <v>330</v>
      </c>
      <c r="B297" s="20">
        <v>45658</v>
      </c>
      <c r="C297" t="s">
        <v>202</v>
      </c>
      <c r="D297" t="s">
        <v>358</v>
      </c>
      <c r="E297" t="s">
        <v>217</v>
      </c>
      <c r="F297">
        <v>0</v>
      </c>
      <c r="G297">
        <v>0</v>
      </c>
      <c r="H297">
        <f>IF(report_B_CategorieBoekjaar[[#This Row],[BedrijfsCode]]="002",IF(report_B_CategorieBoekjaar[[#This Row],[Boekjaar]]=Projectbegroting!$K$1,report_B_CategorieBoekjaar[[#This Row],[CategorieCode]],0),0)</f>
        <v>0</v>
      </c>
      <c r="I297">
        <f>IF(report_B_CategorieBoekjaar[[#This Row],[BedrijfsCode]]="001",IF(report_B_CategorieBoekjaar[[#This Row],[Boekjaar]]=Projectbegroting!$K$1,report_B_CategorieBoekjaar[[#This Row],[CategorieCode]],0),0)</f>
        <v>0</v>
      </c>
    </row>
    <row r="298" spans="1:9" x14ac:dyDescent="0.3">
      <c r="A298" t="s">
        <v>330</v>
      </c>
      <c r="B298" s="20">
        <v>45658</v>
      </c>
      <c r="C298" t="s">
        <v>203</v>
      </c>
      <c r="D298" t="s">
        <v>359</v>
      </c>
      <c r="E298" t="s">
        <v>217</v>
      </c>
      <c r="F298">
        <v>0</v>
      </c>
      <c r="G298">
        <v>0</v>
      </c>
      <c r="H298">
        <f>IF(report_B_CategorieBoekjaar[[#This Row],[BedrijfsCode]]="002",IF(report_B_CategorieBoekjaar[[#This Row],[Boekjaar]]=Projectbegroting!$K$1,report_B_CategorieBoekjaar[[#This Row],[CategorieCode]],0),0)</f>
        <v>0</v>
      </c>
      <c r="I298">
        <f>IF(report_B_CategorieBoekjaar[[#This Row],[BedrijfsCode]]="001",IF(report_B_CategorieBoekjaar[[#This Row],[Boekjaar]]=Projectbegroting!$K$1,report_B_CategorieBoekjaar[[#This Row],[CategorieCode]],0),0)</f>
        <v>0</v>
      </c>
    </row>
    <row r="299" spans="1:9" x14ac:dyDescent="0.3">
      <c r="A299" t="s">
        <v>330</v>
      </c>
      <c r="B299" s="20">
        <v>45658</v>
      </c>
      <c r="C299" t="s">
        <v>204</v>
      </c>
      <c r="D299" t="s">
        <v>360</v>
      </c>
      <c r="E299" t="s">
        <v>217</v>
      </c>
      <c r="F299">
        <v>0</v>
      </c>
      <c r="G299">
        <v>0</v>
      </c>
      <c r="H299">
        <f>IF(report_B_CategorieBoekjaar[[#This Row],[BedrijfsCode]]="002",IF(report_B_CategorieBoekjaar[[#This Row],[Boekjaar]]=Projectbegroting!$K$1,report_B_CategorieBoekjaar[[#This Row],[CategorieCode]],0),0)</f>
        <v>0</v>
      </c>
      <c r="I299">
        <f>IF(report_B_CategorieBoekjaar[[#This Row],[BedrijfsCode]]="001",IF(report_B_CategorieBoekjaar[[#This Row],[Boekjaar]]=Projectbegroting!$K$1,report_B_CategorieBoekjaar[[#This Row],[CategorieCode]],0),0)</f>
        <v>0</v>
      </c>
    </row>
    <row r="300" spans="1:9" x14ac:dyDescent="0.3">
      <c r="A300" t="s">
        <v>330</v>
      </c>
      <c r="B300" s="20">
        <v>45658</v>
      </c>
      <c r="C300" t="s">
        <v>205</v>
      </c>
      <c r="D300" t="s">
        <v>361</v>
      </c>
      <c r="E300" t="s">
        <v>217</v>
      </c>
      <c r="F300">
        <v>0</v>
      </c>
      <c r="G300">
        <v>0</v>
      </c>
      <c r="H300">
        <f>IF(report_B_CategorieBoekjaar[[#This Row],[BedrijfsCode]]="002",IF(report_B_CategorieBoekjaar[[#This Row],[Boekjaar]]=Projectbegroting!$K$1,report_B_CategorieBoekjaar[[#This Row],[CategorieCode]],0),0)</f>
        <v>0</v>
      </c>
      <c r="I300">
        <f>IF(report_B_CategorieBoekjaar[[#This Row],[BedrijfsCode]]="001",IF(report_B_CategorieBoekjaar[[#This Row],[Boekjaar]]=Projectbegroting!$K$1,report_B_CategorieBoekjaar[[#This Row],[CategorieCode]],0),0)</f>
        <v>0</v>
      </c>
    </row>
    <row r="301" spans="1:9" x14ac:dyDescent="0.3">
      <c r="A301" t="s">
        <v>330</v>
      </c>
      <c r="B301" s="20">
        <v>45658</v>
      </c>
      <c r="C301" t="s">
        <v>206</v>
      </c>
      <c r="D301" t="s">
        <v>362</v>
      </c>
      <c r="E301" t="s">
        <v>217</v>
      </c>
      <c r="F301">
        <v>0</v>
      </c>
      <c r="G301">
        <v>0</v>
      </c>
      <c r="H301">
        <f>IF(report_B_CategorieBoekjaar[[#This Row],[BedrijfsCode]]="002",IF(report_B_CategorieBoekjaar[[#This Row],[Boekjaar]]=Projectbegroting!$K$1,report_B_CategorieBoekjaar[[#This Row],[CategorieCode]],0),0)</f>
        <v>0</v>
      </c>
      <c r="I301">
        <f>IF(report_B_CategorieBoekjaar[[#This Row],[BedrijfsCode]]="001",IF(report_B_CategorieBoekjaar[[#This Row],[Boekjaar]]=Projectbegroting!$K$1,report_B_CategorieBoekjaar[[#This Row],[CategorieCode]],0),0)</f>
        <v>0</v>
      </c>
    </row>
    <row r="302" spans="1:9" x14ac:dyDescent="0.3">
      <c r="A302" t="s">
        <v>330</v>
      </c>
      <c r="B302" s="20">
        <v>45658</v>
      </c>
      <c r="C302" t="s">
        <v>363</v>
      </c>
      <c r="D302" t="s">
        <v>364</v>
      </c>
      <c r="E302" t="s">
        <v>217</v>
      </c>
      <c r="F302">
        <v>0</v>
      </c>
      <c r="G302">
        <v>0</v>
      </c>
      <c r="H302">
        <f>IF(report_B_CategorieBoekjaar[[#This Row],[BedrijfsCode]]="002",IF(report_B_CategorieBoekjaar[[#This Row],[Boekjaar]]=Projectbegroting!$K$1,report_B_CategorieBoekjaar[[#This Row],[CategorieCode]],0),0)</f>
        <v>0</v>
      </c>
      <c r="I302">
        <f>IF(report_B_CategorieBoekjaar[[#This Row],[BedrijfsCode]]="001",IF(report_B_CategorieBoekjaar[[#This Row],[Boekjaar]]=Projectbegroting!$K$1,report_B_CategorieBoekjaar[[#This Row],[CategorieCode]],0),0)</f>
        <v>0</v>
      </c>
    </row>
    <row r="303" spans="1:9" x14ac:dyDescent="0.3">
      <c r="A303" t="s">
        <v>330</v>
      </c>
      <c r="B303" s="20">
        <v>45658</v>
      </c>
      <c r="C303" t="s">
        <v>207</v>
      </c>
      <c r="D303" t="s">
        <v>365</v>
      </c>
      <c r="E303" t="s">
        <v>217</v>
      </c>
      <c r="F303">
        <v>0</v>
      </c>
      <c r="G303">
        <v>0</v>
      </c>
      <c r="H303">
        <f>IF(report_B_CategorieBoekjaar[[#This Row],[BedrijfsCode]]="002",IF(report_B_CategorieBoekjaar[[#This Row],[Boekjaar]]=Projectbegroting!$K$1,report_B_CategorieBoekjaar[[#This Row],[CategorieCode]],0),0)</f>
        <v>0</v>
      </c>
      <c r="I303">
        <f>IF(report_B_CategorieBoekjaar[[#This Row],[BedrijfsCode]]="001",IF(report_B_CategorieBoekjaar[[#This Row],[Boekjaar]]=Projectbegroting!$K$1,report_B_CategorieBoekjaar[[#This Row],[CategorieCode]],0),0)</f>
        <v>0</v>
      </c>
    </row>
    <row r="304" spans="1:9" x14ac:dyDescent="0.3">
      <c r="A304" t="s">
        <v>330</v>
      </c>
      <c r="B304" s="20">
        <v>45658</v>
      </c>
      <c r="C304" t="s">
        <v>208</v>
      </c>
      <c r="D304" t="s">
        <v>366</v>
      </c>
      <c r="E304" t="s">
        <v>217</v>
      </c>
      <c r="F304">
        <v>0</v>
      </c>
      <c r="G304">
        <v>0</v>
      </c>
      <c r="H304">
        <f>IF(report_B_CategorieBoekjaar[[#This Row],[BedrijfsCode]]="002",IF(report_B_CategorieBoekjaar[[#This Row],[Boekjaar]]=Projectbegroting!$K$1,report_B_CategorieBoekjaar[[#This Row],[CategorieCode]],0),0)</f>
        <v>0</v>
      </c>
      <c r="I304">
        <f>IF(report_B_CategorieBoekjaar[[#This Row],[BedrijfsCode]]="001",IF(report_B_CategorieBoekjaar[[#This Row],[Boekjaar]]=Projectbegroting!$K$1,report_B_CategorieBoekjaar[[#This Row],[CategorieCode]],0),0)</f>
        <v>0</v>
      </c>
    </row>
    <row r="305" spans="1:9" x14ac:dyDescent="0.3">
      <c r="A305" t="s">
        <v>330</v>
      </c>
      <c r="B305" s="20">
        <v>45658</v>
      </c>
      <c r="C305" t="s">
        <v>209</v>
      </c>
      <c r="D305" t="s">
        <v>367</v>
      </c>
      <c r="E305" t="s">
        <v>217</v>
      </c>
      <c r="F305">
        <v>0</v>
      </c>
      <c r="G305">
        <v>0</v>
      </c>
      <c r="H305">
        <f>IF(report_B_CategorieBoekjaar[[#This Row],[BedrijfsCode]]="002",IF(report_B_CategorieBoekjaar[[#This Row],[Boekjaar]]=Projectbegroting!$K$1,report_B_CategorieBoekjaar[[#This Row],[CategorieCode]],0),0)</f>
        <v>0</v>
      </c>
      <c r="I305">
        <f>IF(report_B_CategorieBoekjaar[[#This Row],[BedrijfsCode]]="001",IF(report_B_CategorieBoekjaar[[#This Row],[Boekjaar]]=Projectbegroting!$K$1,report_B_CategorieBoekjaar[[#This Row],[CategorieCode]],0),0)</f>
        <v>0</v>
      </c>
    </row>
    <row r="306" spans="1:9" x14ac:dyDescent="0.3">
      <c r="A306" t="s">
        <v>330</v>
      </c>
      <c r="B306" s="20">
        <v>45658</v>
      </c>
      <c r="C306" t="s">
        <v>210</v>
      </c>
      <c r="D306" t="s">
        <v>368</v>
      </c>
      <c r="E306" t="s">
        <v>217</v>
      </c>
      <c r="F306">
        <v>0</v>
      </c>
      <c r="G306">
        <v>0</v>
      </c>
      <c r="H306">
        <f>IF(report_B_CategorieBoekjaar[[#This Row],[BedrijfsCode]]="002",IF(report_B_CategorieBoekjaar[[#This Row],[Boekjaar]]=Projectbegroting!$K$1,report_B_CategorieBoekjaar[[#This Row],[CategorieCode]],0),0)</f>
        <v>0</v>
      </c>
      <c r="I306">
        <f>IF(report_B_CategorieBoekjaar[[#This Row],[BedrijfsCode]]="001",IF(report_B_CategorieBoekjaar[[#This Row],[Boekjaar]]=Projectbegroting!$K$1,report_B_CategorieBoekjaar[[#This Row],[CategorieCode]],0),0)</f>
        <v>0</v>
      </c>
    </row>
    <row r="307" spans="1:9" x14ac:dyDescent="0.3">
      <c r="A307" t="s">
        <v>330</v>
      </c>
      <c r="B307" s="20">
        <v>45658</v>
      </c>
      <c r="C307" t="s">
        <v>369</v>
      </c>
      <c r="D307" t="s">
        <v>370</v>
      </c>
      <c r="E307" t="s">
        <v>217</v>
      </c>
      <c r="F307">
        <v>0</v>
      </c>
      <c r="G307">
        <v>0</v>
      </c>
      <c r="H307">
        <f>IF(report_B_CategorieBoekjaar[[#This Row],[BedrijfsCode]]="002",IF(report_B_CategorieBoekjaar[[#This Row],[Boekjaar]]=Projectbegroting!$K$1,report_B_CategorieBoekjaar[[#This Row],[CategorieCode]],0),0)</f>
        <v>0</v>
      </c>
      <c r="I307">
        <f>IF(report_B_CategorieBoekjaar[[#This Row],[BedrijfsCode]]="001",IF(report_B_CategorieBoekjaar[[#This Row],[Boekjaar]]=Projectbegroting!$K$1,report_B_CategorieBoekjaar[[#This Row],[CategorieCode]],0),0)</f>
        <v>0</v>
      </c>
    </row>
    <row r="308" spans="1:9" x14ac:dyDescent="0.3">
      <c r="A308" t="s">
        <v>330</v>
      </c>
      <c r="B308" s="20">
        <v>45658</v>
      </c>
      <c r="C308" t="s">
        <v>371</v>
      </c>
      <c r="D308" t="s">
        <v>372</v>
      </c>
      <c r="E308" t="s">
        <v>217</v>
      </c>
      <c r="F308">
        <v>0</v>
      </c>
      <c r="G308">
        <v>0</v>
      </c>
      <c r="H308">
        <f>IF(report_B_CategorieBoekjaar[[#This Row],[BedrijfsCode]]="002",IF(report_B_CategorieBoekjaar[[#This Row],[Boekjaar]]=Projectbegroting!$K$1,report_B_CategorieBoekjaar[[#This Row],[CategorieCode]],0),0)</f>
        <v>0</v>
      </c>
      <c r="I308">
        <f>IF(report_B_CategorieBoekjaar[[#This Row],[BedrijfsCode]]="001",IF(report_B_CategorieBoekjaar[[#This Row],[Boekjaar]]=Projectbegroting!$K$1,report_B_CategorieBoekjaar[[#This Row],[CategorieCode]],0),0)</f>
        <v>0</v>
      </c>
    </row>
    <row r="309" spans="1:9" x14ac:dyDescent="0.3">
      <c r="A309" t="s">
        <v>330</v>
      </c>
      <c r="B309" s="20">
        <v>45658</v>
      </c>
      <c r="C309" t="s">
        <v>373</v>
      </c>
      <c r="D309" t="s">
        <v>374</v>
      </c>
      <c r="E309" t="s">
        <v>217</v>
      </c>
      <c r="F309">
        <v>0</v>
      </c>
      <c r="G309">
        <v>0</v>
      </c>
      <c r="H309">
        <f>IF(report_B_CategorieBoekjaar[[#This Row],[BedrijfsCode]]="002",IF(report_B_CategorieBoekjaar[[#This Row],[Boekjaar]]=Projectbegroting!$K$1,report_B_CategorieBoekjaar[[#This Row],[CategorieCode]],0),0)</f>
        <v>0</v>
      </c>
      <c r="I309">
        <f>IF(report_B_CategorieBoekjaar[[#This Row],[BedrijfsCode]]="001",IF(report_B_CategorieBoekjaar[[#This Row],[Boekjaar]]=Projectbegroting!$K$1,report_B_CategorieBoekjaar[[#This Row],[CategorieCode]],0),0)</f>
        <v>0</v>
      </c>
    </row>
    <row r="310" spans="1:9" x14ac:dyDescent="0.3">
      <c r="A310" t="s">
        <v>330</v>
      </c>
      <c r="B310" s="20">
        <v>45658</v>
      </c>
      <c r="C310" t="s">
        <v>375</v>
      </c>
      <c r="D310" t="s">
        <v>376</v>
      </c>
      <c r="E310" t="s">
        <v>217</v>
      </c>
      <c r="F310">
        <v>0</v>
      </c>
      <c r="G310">
        <v>0</v>
      </c>
      <c r="H310">
        <f>IF(report_B_CategorieBoekjaar[[#This Row],[BedrijfsCode]]="002",IF(report_B_CategorieBoekjaar[[#This Row],[Boekjaar]]=Projectbegroting!$K$1,report_B_CategorieBoekjaar[[#This Row],[CategorieCode]],0),0)</f>
        <v>0</v>
      </c>
      <c r="I310">
        <f>IF(report_B_CategorieBoekjaar[[#This Row],[BedrijfsCode]]="001",IF(report_B_CategorieBoekjaar[[#This Row],[Boekjaar]]=Projectbegroting!$K$1,report_B_CategorieBoekjaar[[#This Row],[CategorieCode]],0),0)</f>
        <v>0</v>
      </c>
    </row>
    <row r="311" spans="1:9" x14ac:dyDescent="0.3">
      <c r="A311" t="s">
        <v>330</v>
      </c>
      <c r="B311" s="20">
        <v>45658</v>
      </c>
      <c r="C311" t="s">
        <v>377</v>
      </c>
      <c r="D311" t="s">
        <v>378</v>
      </c>
      <c r="E311" t="s">
        <v>217</v>
      </c>
      <c r="F311">
        <v>0</v>
      </c>
      <c r="G311">
        <v>0</v>
      </c>
      <c r="H311">
        <f>IF(report_B_CategorieBoekjaar[[#This Row],[BedrijfsCode]]="002",IF(report_B_CategorieBoekjaar[[#This Row],[Boekjaar]]=Projectbegroting!$K$1,report_B_CategorieBoekjaar[[#This Row],[CategorieCode]],0),0)</f>
        <v>0</v>
      </c>
      <c r="I311">
        <f>IF(report_B_CategorieBoekjaar[[#This Row],[BedrijfsCode]]="001",IF(report_B_CategorieBoekjaar[[#This Row],[Boekjaar]]=Projectbegroting!$K$1,report_B_CategorieBoekjaar[[#This Row],[CategorieCode]],0),0)</f>
        <v>0</v>
      </c>
    </row>
    <row r="312" spans="1:9" x14ac:dyDescent="0.3">
      <c r="A312" t="s">
        <v>330</v>
      </c>
      <c r="B312" s="20">
        <v>45658</v>
      </c>
      <c r="C312" t="s">
        <v>379</v>
      </c>
      <c r="D312" t="s">
        <v>380</v>
      </c>
      <c r="E312" t="s">
        <v>381</v>
      </c>
      <c r="F312">
        <v>51</v>
      </c>
      <c r="G312">
        <v>70</v>
      </c>
      <c r="H312">
        <f>IF(report_B_CategorieBoekjaar[[#This Row],[BedrijfsCode]]="002",IF(report_B_CategorieBoekjaar[[#This Row],[Boekjaar]]=Projectbegroting!$K$1,report_B_CategorieBoekjaar[[#This Row],[CategorieCode]],0),0)</f>
        <v>0</v>
      </c>
      <c r="I312">
        <f>IF(report_B_CategorieBoekjaar[[#This Row],[BedrijfsCode]]="001",IF(report_B_CategorieBoekjaar[[#This Row],[Boekjaar]]=Projectbegroting!$K$1,report_B_CategorieBoekjaar[[#This Row],[CategorieCode]],0),0)</f>
        <v>0</v>
      </c>
    </row>
    <row r="313" spans="1:9" x14ac:dyDescent="0.3">
      <c r="A313" t="s">
        <v>330</v>
      </c>
      <c r="B313" s="20">
        <v>45658</v>
      </c>
      <c r="C313" t="s">
        <v>382</v>
      </c>
      <c r="D313" t="s">
        <v>383</v>
      </c>
      <c r="E313" t="s">
        <v>384</v>
      </c>
      <c r="F313">
        <v>106</v>
      </c>
      <c r="G313">
        <v>0</v>
      </c>
      <c r="H313">
        <f>IF(report_B_CategorieBoekjaar[[#This Row],[BedrijfsCode]]="002",IF(report_B_CategorieBoekjaar[[#This Row],[Boekjaar]]=Projectbegroting!$K$1,report_B_CategorieBoekjaar[[#This Row],[CategorieCode]],0),0)</f>
        <v>0</v>
      </c>
      <c r="I313">
        <f>IF(report_B_CategorieBoekjaar[[#This Row],[BedrijfsCode]]="001",IF(report_B_CategorieBoekjaar[[#This Row],[Boekjaar]]=Projectbegroting!$K$1,report_B_CategorieBoekjaar[[#This Row],[CategorieCode]],0),0)</f>
        <v>0</v>
      </c>
    </row>
    <row r="314" spans="1:9" x14ac:dyDescent="0.3">
      <c r="A314" t="s">
        <v>330</v>
      </c>
      <c r="B314" s="20">
        <v>45658</v>
      </c>
      <c r="C314" t="s">
        <v>385</v>
      </c>
      <c r="D314" t="s">
        <v>386</v>
      </c>
      <c r="E314" t="s">
        <v>381</v>
      </c>
      <c r="F314">
        <v>74</v>
      </c>
      <c r="G314">
        <v>106</v>
      </c>
      <c r="H314">
        <f>IF(report_B_CategorieBoekjaar[[#This Row],[BedrijfsCode]]="002",IF(report_B_CategorieBoekjaar[[#This Row],[Boekjaar]]=Projectbegroting!$K$1,report_B_CategorieBoekjaar[[#This Row],[CategorieCode]],0),0)</f>
        <v>0</v>
      </c>
      <c r="I314">
        <f>IF(report_B_CategorieBoekjaar[[#This Row],[BedrijfsCode]]="001",IF(report_B_CategorieBoekjaar[[#This Row],[Boekjaar]]=Projectbegroting!$K$1,report_B_CategorieBoekjaar[[#This Row],[CategorieCode]],0),0)</f>
        <v>0</v>
      </c>
    </row>
    <row r="315" spans="1:9" x14ac:dyDescent="0.3">
      <c r="A315" t="s">
        <v>330</v>
      </c>
      <c r="B315" s="20">
        <v>45658</v>
      </c>
      <c r="C315" t="s">
        <v>387</v>
      </c>
      <c r="D315" t="s">
        <v>388</v>
      </c>
      <c r="E315" t="s">
        <v>384</v>
      </c>
      <c r="F315">
        <v>0</v>
      </c>
      <c r="G315">
        <v>0</v>
      </c>
      <c r="H315">
        <f>IF(report_B_CategorieBoekjaar[[#This Row],[BedrijfsCode]]="002",IF(report_B_CategorieBoekjaar[[#This Row],[Boekjaar]]=Projectbegroting!$K$1,report_B_CategorieBoekjaar[[#This Row],[CategorieCode]],0),0)</f>
        <v>0</v>
      </c>
      <c r="I315">
        <f>IF(report_B_CategorieBoekjaar[[#This Row],[BedrijfsCode]]="001",IF(report_B_CategorieBoekjaar[[#This Row],[Boekjaar]]=Projectbegroting!$K$1,report_B_CategorieBoekjaar[[#This Row],[CategorieCode]],0),0)</f>
        <v>0</v>
      </c>
    </row>
    <row r="316" spans="1:9" x14ac:dyDescent="0.3">
      <c r="A316" t="s">
        <v>330</v>
      </c>
      <c r="B316" s="20">
        <v>45658</v>
      </c>
      <c r="C316" t="s">
        <v>52</v>
      </c>
      <c r="D316" t="s">
        <v>53</v>
      </c>
      <c r="E316" t="s">
        <v>381</v>
      </c>
      <c r="F316">
        <v>80</v>
      </c>
      <c r="G316">
        <v>0</v>
      </c>
      <c r="H316">
        <f>IF(report_B_CategorieBoekjaar[[#This Row],[BedrijfsCode]]="002",IF(report_B_CategorieBoekjaar[[#This Row],[Boekjaar]]=Projectbegroting!$K$1,report_B_CategorieBoekjaar[[#This Row],[CategorieCode]],0),0)</f>
        <v>0</v>
      </c>
      <c r="I316">
        <f>IF(report_B_CategorieBoekjaar[[#This Row],[BedrijfsCode]]="001",IF(report_B_CategorieBoekjaar[[#This Row],[Boekjaar]]=Projectbegroting!$K$1,report_B_CategorieBoekjaar[[#This Row],[CategorieCode]],0),0)</f>
        <v>0</v>
      </c>
    </row>
    <row r="317" spans="1:9" x14ac:dyDescent="0.3">
      <c r="A317" t="s">
        <v>330</v>
      </c>
      <c r="B317" s="20">
        <v>45658</v>
      </c>
      <c r="C317" t="s">
        <v>389</v>
      </c>
      <c r="D317" t="s">
        <v>390</v>
      </c>
      <c r="E317" t="s">
        <v>384</v>
      </c>
      <c r="F317">
        <v>0</v>
      </c>
      <c r="G317">
        <v>0</v>
      </c>
      <c r="H317">
        <f>IF(report_B_CategorieBoekjaar[[#This Row],[BedrijfsCode]]="002",IF(report_B_CategorieBoekjaar[[#This Row],[Boekjaar]]=Projectbegroting!$K$1,report_B_CategorieBoekjaar[[#This Row],[CategorieCode]],0),0)</f>
        <v>0</v>
      </c>
      <c r="I317">
        <f>IF(report_B_CategorieBoekjaar[[#This Row],[BedrijfsCode]]="001",IF(report_B_CategorieBoekjaar[[#This Row],[Boekjaar]]=Projectbegroting!$K$1,report_B_CategorieBoekjaar[[#This Row],[CategorieCode]],0),0)</f>
        <v>0</v>
      </c>
    </row>
    <row r="318" spans="1:9" x14ac:dyDescent="0.3">
      <c r="A318" t="s">
        <v>330</v>
      </c>
      <c r="B318" s="20">
        <v>45658</v>
      </c>
      <c r="C318" t="s">
        <v>391</v>
      </c>
      <c r="D318" t="s">
        <v>392</v>
      </c>
      <c r="E318" t="s">
        <v>381</v>
      </c>
      <c r="F318">
        <v>69</v>
      </c>
      <c r="G318">
        <v>0</v>
      </c>
      <c r="H318">
        <f>IF(report_B_CategorieBoekjaar[[#This Row],[BedrijfsCode]]="002",IF(report_B_CategorieBoekjaar[[#This Row],[Boekjaar]]=Projectbegroting!$K$1,report_B_CategorieBoekjaar[[#This Row],[CategorieCode]],0),0)</f>
        <v>0</v>
      </c>
      <c r="I318">
        <f>IF(report_B_CategorieBoekjaar[[#This Row],[BedrijfsCode]]="001",IF(report_B_CategorieBoekjaar[[#This Row],[Boekjaar]]=Projectbegroting!$K$1,report_B_CategorieBoekjaar[[#This Row],[CategorieCode]],0),0)</f>
        <v>0</v>
      </c>
    </row>
    <row r="319" spans="1:9" x14ac:dyDescent="0.3">
      <c r="A319" t="s">
        <v>330</v>
      </c>
      <c r="B319" s="20">
        <v>45658</v>
      </c>
      <c r="C319" t="s">
        <v>393</v>
      </c>
      <c r="D319" t="s">
        <v>394</v>
      </c>
      <c r="E319" t="s">
        <v>384</v>
      </c>
      <c r="F319">
        <v>124</v>
      </c>
      <c r="G319">
        <v>0</v>
      </c>
      <c r="H319">
        <f>IF(report_B_CategorieBoekjaar[[#This Row],[BedrijfsCode]]="002",IF(report_B_CategorieBoekjaar[[#This Row],[Boekjaar]]=Projectbegroting!$K$1,report_B_CategorieBoekjaar[[#This Row],[CategorieCode]],0),0)</f>
        <v>0</v>
      </c>
      <c r="I319">
        <f>IF(report_B_CategorieBoekjaar[[#This Row],[BedrijfsCode]]="001",IF(report_B_CategorieBoekjaar[[#This Row],[Boekjaar]]=Projectbegroting!$K$1,report_B_CategorieBoekjaar[[#This Row],[CategorieCode]],0),0)</f>
        <v>0</v>
      </c>
    </row>
    <row r="320" spans="1:9" x14ac:dyDescent="0.3">
      <c r="A320" t="s">
        <v>330</v>
      </c>
      <c r="B320" s="20">
        <v>45658</v>
      </c>
      <c r="C320" t="s">
        <v>395</v>
      </c>
      <c r="D320" t="s">
        <v>396</v>
      </c>
      <c r="E320" t="s">
        <v>381</v>
      </c>
      <c r="F320">
        <v>54</v>
      </c>
      <c r="G320">
        <v>0</v>
      </c>
      <c r="H320">
        <f>IF(report_B_CategorieBoekjaar[[#This Row],[BedrijfsCode]]="002",IF(report_B_CategorieBoekjaar[[#This Row],[Boekjaar]]=Projectbegroting!$K$1,report_B_CategorieBoekjaar[[#This Row],[CategorieCode]],0),0)</f>
        <v>0</v>
      </c>
      <c r="I320">
        <f>IF(report_B_CategorieBoekjaar[[#This Row],[BedrijfsCode]]="001",IF(report_B_CategorieBoekjaar[[#This Row],[Boekjaar]]=Projectbegroting!$K$1,report_B_CategorieBoekjaar[[#This Row],[CategorieCode]],0),0)</f>
        <v>0</v>
      </c>
    </row>
    <row r="321" spans="1:9" x14ac:dyDescent="0.3">
      <c r="A321" t="s">
        <v>330</v>
      </c>
      <c r="B321" s="20">
        <v>45658</v>
      </c>
      <c r="C321" t="s">
        <v>397</v>
      </c>
      <c r="D321" t="s">
        <v>398</v>
      </c>
      <c r="E321" t="s">
        <v>384</v>
      </c>
      <c r="F321">
        <v>0</v>
      </c>
      <c r="G321">
        <v>0</v>
      </c>
      <c r="H321">
        <f>IF(report_B_CategorieBoekjaar[[#This Row],[BedrijfsCode]]="002",IF(report_B_CategorieBoekjaar[[#This Row],[Boekjaar]]=Projectbegroting!$K$1,report_B_CategorieBoekjaar[[#This Row],[CategorieCode]],0),0)</f>
        <v>0</v>
      </c>
      <c r="I321">
        <f>IF(report_B_CategorieBoekjaar[[#This Row],[BedrijfsCode]]="001",IF(report_B_CategorieBoekjaar[[#This Row],[Boekjaar]]=Projectbegroting!$K$1,report_B_CategorieBoekjaar[[#This Row],[CategorieCode]],0),0)</f>
        <v>0</v>
      </c>
    </row>
    <row r="322" spans="1:9" x14ac:dyDescent="0.3">
      <c r="A322" t="s">
        <v>330</v>
      </c>
      <c r="B322" s="20">
        <v>45658</v>
      </c>
      <c r="C322" t="s">
        <v>54</v>
      </c>
      <c r="D322" t="s">
        <v>399</v>
      </c>
      <c r="E322" t="s">
        <v>381</v>
      </c>
      <c r="F322">
        <v>61</v>
      </c>
      <c r="G322">
        <v>79</v>
      </c>
      <c r="H322">
        <f>IF(report_B_CategorieBoekjaar[[#This Row],[BedrijfsCode]]="002",IF(report_B_CategorieBoekjaar[[#This Row],[Boekjaar]]=Projectbegroting!$K$1,report_B_CategorieBoekjaar[[#This Row],[CategorieCode]],0),0)</f>
        <v>0</v>
      </c>
      <c r="I322">
        <f>IF(report_B_CategorieBoekjaar[[#This Row],[BedrijfsCode]]="001",IF(report_B_CategorieBoekjaar[[#This Row],[Boekjaar]]=Projectbegroting!$K$1,report_B_CategorieBoekjaar[[#This Row],[CategorieCode]],0),0)</f>
        <v>0</v>
      </c>
    </row>
    <row r="323" spans="1:9" x14ac:dyDescent="0.3">
      <c r="A323" t="s">
        <v>330</v>
      </c>
      <c r="B323" s="20">
        <v>45658</v>
      </c>
      <c r="C323" t="s">
        <v>400</v>
      </c>
      <c r="D323" t="s">
        <v>401</v>
      </c>
      <c r="E323" t="s">
        <v>384</v>
      </c>
      <c r="F323">
        <v>116</v>
      </c>
      <c r="G323">
        <v>0</v>
      </c>
      <c r="H323">
        <f>IF(report_B_CategorieBoekjaar[[#This Row],[BedrijfsCode]]="002",IF(report_B_CategorieBoekjaar[[#This Row],[Boekjaar]]=Projectbegroting!$K$1,report_B_CategorieBoekjaar[[#This Row],[CategorieCode]],0),0)</f>
        <v>0</v>
      </c>
      <c r="I323">
        <f>IF(report_B_CategorieBoekjaar[[#This Row],[BedrijfsCode]]="001",IF(report_B_CategorieBoekjaar[[#This Row],[Boekjaar]]=Projectbegroting!$K$1,report_B_CategorieBoekjaar[[#This Row],[CategorieCode]],0),0)</f>
        <v>0</v>
      </c>
    </row>
    <row r="324" spans="1:9" x14ac:dyDescent="0.3">
      <c r="A324" t="s">
        <v>330</v>
      </c>
      <c r="B324" s="20">
        <v>45658</v>
      </c>
      <c r="C324" t="s">
        <v>56</v>
      </c>
      <c r="D324" t="s">
        <v>402</v>
      </c>
      <c r="E324" t="s">
        <v>381</v>
      </c>
      <c r="F324">
        <v>64</v>
      </c>
      <c r="G324">
        <v>0</v>
      </c>
      <c r="H324">
        <f>IF(report_B_CategorieBoekjaar[[#This Row],[BedrijfsCode]]="002",IF(report_B_CategorieBoekjaar[[#This Row],[Boekjaar]]=Projectbegroting!$K$1,report_B_CategorieBoekjaar[[#This Row],[CategorieCode]],0),0)</f>
        <v>0</v>
      </c>
      <c r="I324">
        <f>IF(report_B_CategorieBoekjaar[[#This Row],[BedrijfsCode]]="001",IF(report_B_CategorieBoekjaar[[#This Row],[Boekjaar]]=Projectbegroting!$K$1,report_B_CategorieBoekjaar[[#This Row],[CategorieCode]],0),0)</f>
        <v>0</v>
      </c>
    </row>
    <row r="325" spans="1:9" x14ac:dyDescent="0.3">
      <c r="A325" t="s">
        <v>330</v>
      </c>
      <c r="B325" s="20">
        <v>45658</v>
      </c>
      <c r="C325" t="s">
        <v>403</v>
      </c>
      <c r="D325" t="s">
        <v>404</v>
      </c>
      <c r="E325" t="s">
        <v>384</v>
      </c>
      <c r="F325">
        <v>0</v>
      </c>
      <c r="G325">
        <v>0</v>
      </c>
      <c r="H325">
        <f>IF(report_B_CategorieBoekjaar[[#This Row],[BedrijfsCode]]="002",IF(report_B_CategorieBoekjaar[[#This Row],[Boekjaar]]=Projectbegroting!$K$1,report_B_CategorieBoekjaar[[#This Row],[CategorieCode]],0),0)</f>
        <v>0</v>
      </c>
      <c r="I325">
        <f>IF(report_B_CategorieBoekjaar[[#This Row],[BedrijfsCode]]="001",IF(report_B_CategorieBoekjaar[[#This Row],[Boekjaar]]=Projectbegroting!$K$1,report_B_CategorieBoekjaar[[#This Row],[CategorieCode]],0),0)</f>
        <v>0</v>
      </c>
    </row>
    <row r="326" spans="1:9" x14ac:dyDescent="0.3">
      <c r="A326" t="s">
        <v>330</v>
      </c>
      <c r="B326" s="20">
        <v>45658</v>
      </c>
      <c r="C326" t="s">
        <v>405</v>
      </c>
      <c r="D326" t="s">
        <v>16</v>
      </c>
      <c r="E326" t="s">
        <v>381</v>
      </c>
      <c r="F326">
        <v>0</v>
      </c>
      <c r="G326">
        <v>0</v>
      </c>
      <c r="H326">
        <f>IF(report_B_CategorieBoekjaar[[#This Row],[BedrijfsCode]]="002",IF(report_B_CategorieBoekjaar[[#This Row],[Boekjaar]]=Projectbegroting!$K$1,report_B_CategorieBoekjaar[[#This Row],[CategorieCode]],0),0)</f>
        <v>0</v>
      </c>
      <c r="I326">
        <f>IF(report_B_CategorieBoekjaar[[#This Row],[BedrijfsCode]]="001",IF(report_B_CategorieBoekjaar[[#This Row],[Boekjaar]]=Projectbegroting!$K$1,report_B_CategorieBoekjaar[[#This Row],[CategorieCode]],0),0)</f>
        <v>0</v>
      </c>
    </row>
    <row r="327" spans="1:9" x14ac:dyDescent="0.3">
      <c r="A327" t="s">
        <v>330</v>
      </c>
      <c r="B327" s="20">
        <v>45658</v>
      </c>
      <c r="C327" t="s">
        <v>58</v>
      </c>
      <c r="D327" t="s">
        <v>406</v>
      </c>
      <c r="E327" t="s">
        <v>381</v>
      </c>
      <c r="F327">
        <v>69</v>
      </c>
      <c r="G327">
        <v>0</v>
      </c>
      <c r="H327">
        <f>IF(report_B_CategorieBoekjaar[[#This Row],[BedrijfsCode]]="002",IF(report_B_CategorieBoekjaar[[#This Row],[Boekjaar]]=Projectbegroting!$K$1,report_B_CategorieBoekjaar[[#This Row],[CategorieCode]],0),0)</f>
        <v>0</v>
      </c>
      <c r="I327">
        <f>IF(report_B_CategorieBoekjaar[[#This Row],[BedrijfsCode]]="001",IF(report_B_CategorieBoekjaar[[#This Row],[Boekjaar]]=Projectbegroting!$K$1,report_B_CategorieBoekjaar[[#This Row],[CategorieCode]],0),0)</f>
        <v>0</v>
      </c>
    </row>
    <row r="328" spans="1:9" x14ac:dyDescent="0.3">
      <c r="A328" t="s">
        <v>330</v>
      </c>
      <c r="B328" s="20">
        <v>45658</v>
      </c>
      <c r="C328" t="s">
        <v>407</v>
      </c>
      <c r="D328" t="s">
        <v>408</v>
      </c>
      <c r="E328" t="s">
        <v>384</v>
      </c>
      <c r="F328">
        <v>0</v>
      </c>
      <c r="G328">
        <v>0</v>
      </c>
      <c r="H328">
        <f>IF(report_B_CategorieBoekjaar[[#This Row],[BedrijfsCode]]="002",IF(report_B_CategorieBoekjaar[[#This Row],[Boekjaar]]=Projectbegroting!$K$1,report_B_CategorieBoekjaar[[#This Row],[CategorieCode]],0),0)</f>
        <v>0</v>
      </c>
      <c r="I328">
        <f>IF(report_B_CategorieBoekjaar[[#This Row],[BedrijfsCode]]="001",IF(report_B_CategorieBoekjaar[[#This Row],[Boekjaar]]=Projectbegroting!$K$1,report_B_CategorieBoekjaar[[#This Row],[CategorieCode]],0),0)</f>
        <v>0</v>
      </c>
    </row>
    <row r="329" spans="1:9" x14ac:dyDescent="0.3">
      <c r="A329" t="s">
        <v>330</v>
      </c>
      <c r="B329" s="20">
        <v>45658</v>
      </c>
      <c r="C329" t="s">
        <v>60</v>
      </c>
      <c r="D329" t="s">
        <v>61</v>
      </c>
      <c r="E329" t="s">
        <v>381</v>
      </c>
      <c r="F329">
        <v>75</v>
      </c>
      <c r="G329">
        <v>107</v>
      </c>
      <c r="H329">
        <f>IF(report_B_CategorieBoekjaar[[#This Row],[BedrijfsCode]]="002",IF(report_B_CategorieBoekjaar[[#This Row],[Boekjaar]]=Projectbegroting!$K$1,report_B_CategorieBoekjaar[[#This Row],[CategorieCode]],0),0)</f>
        <v>0</v>
      </c>
      <c r="I329">
        <f>IF(report_B_CategorieBoekjaar[[#This Row],[BedrijfsCode]]="001",IF(report_B_CategorieBoekjaar[[#This Row],[Boekjaar]]=Projectbegroting!$K$1,report_B_CategorieBoekjaar[[#This Row],[CategorieCode]],0),0)</f>
        <v>0</v>
      </c>
    </row>
    <row r="330" spans="1:9" x14ac:dyDescent="0.3">
      <c r="A330" t="s">
        <v>330</v>
      </c>
      <c r="B330" s="20">
        <v>45658</v>
      </c>
      <c r="C330" t="s">
        <v>168</v>
      </c>
      <c r="D330" t="s">
        <v>409</v>
      </c>
      <c r="E330" t="s">
        <v>384</v>
      </c>
      <c r="F330">
        <v>130</v>
      </c>
      <c r="G330">
        <v>0</v>
      </c>
      <c r="H330">
        <f>IF(report_B_CategorieBoekjaar[[#This Row],[BedrijfsCode]]="002",IF(report_B_CategorieBoekjaar[[#This Row],[Boekjaar]]=Projectbegroting!$K$1,report_B_CategorieBoekjaar[[#This Row],[CategorieCode]],0),0)</f>
        <v>0</v>
      </c>
      <c r="I330">
        <f>IF(report_B_CategorieBoekjaar[[#This Row],[BedrijfsCode]]="001",IF(report_B_CategorieBoekjaar[[#This Row],[Boekjaar]]=Projectbegroting!$K$1,report_B_CategorieBoekjaar[[#This Row],[CategorieCode]],0),0)</f>
        <v>0</v>
      </c>
    </row>
    <row r="331" spans="1:9" x14ac:dyDescent="0.3">
      <c r="A331" t="s">
        <v>330</v>
      </c>
      <c r="B331" s="20">
        <v>45658</v>
      </c>
      <c r="C331" t="s">
        <v>410</v>
      </c>
      <c r="D331" t="s">
        <v>411</v>
      </c>
      <c r="E331" t="s">
        <v>381</v>
      </c>
      <c r="F331">
        <v>34</v>
      </c>
      <c r="G331">
        <v>0</v>
      </c>
      <c r="H331">
        <f>IF(report_B_CategorieBoekjaar[[#This Row],[BedrijfsCode]]="002",IF(report_B_CategorieBoekjaar[[#This Row],[Boekjaar]]=Projectbegroting!$K$1,report_B_CategorieBoekjaar[[#This Row],[CategorieCode]],0),0)</f>
        <v>0</v>
      </c>
      <c r="I331">
        <f>IF(report_B_CategorieBoekjaar[[#This Row],[BedrijfsCode]]="001",IF(report_B_CategorieBoekjaar[[#This Row],[Boekjaar]]=Projectbegroting!$K$1,report_B_CategorieBoekjaar[[#This Row],[CategorieCode]],0),0)</f>
        <v>0</v>
      </c>
    </row>
    <row r="332" spans="1:9" x14ac:dyDescent="0.3">
      <c r="A332" t="s">
        <v>330</v>
      </c>
      <c r="B332" s="20">
        <v>45658</v>
      </c>
      <c r="C332" t="s">
        <v>412</v>
      </c>
      <c r="D332" t="s">
        <v>413</v>
      </c>
      <c r="E332" t="s">
        <v>381</v>
      </c>
      <c r="F332">
        <v>44</v>
      </c>
      <c r="G332">
        <v>0</v>
      </c>
      <c r="H332">
        <f>IF(report_B_CategorieBoekjaar[[#This Row],[BedrijfsCode]]="002",IF(report_B_CategorieBoekjaar[[#This Row],[Boekjaar]]=Projectbegroting!$K$1,report_B_CategorieBoekjaar[[#This Row],[CategorieCode]],0),0)</f>
        <v>0</v>
      </c>
      <c r="I332">
        <f>IF(report_B_CategorieBoekjaar[[#This Row],[BedrijfsCode]]="001",IF(report_B_CategorieBoekjaar[[#This Row],[Boekjaar]]=Projectbegroting!$K$1,report_B_CategorieBoekjaar[[#This Row],[CategorieCode]],0),0)</f>
        <v>0</v>
      </c>
    </row>
    <row r="333" spans="1:9" x14ac:dyDescent="0.3">
      <c r="A333" t="s">
        <v>330</v>
      </c>
      <c r="B333" s="20">
        <v>45658</v>
      </c>
      <c r="C333" t="s">
        <v>414</v>
      </c>
      <c r="D333" t="s">
        <v>415</v>
      </c>
      <c r="E333" t="s">
        <v>384</v>
      </c>
      <c r="F333">
        <v>0</v>
      </c>
      <c r="G333">
        <v>0</v>
      </c>
      <c r="H333">
        <f>IF(report_B_CategorieBoekjaar[[#This Row],[BedrijfsCode]]="002",IF(report_B_CategorieBoekjaar[[#This Row],[Boekjaar]]=Projectbegroting!$K$1,report_B_CategorieBoekjaar[[#This Row],[CategorieCode]],0),0)</f>
        <v>0</v>
      </c>
      <c r="I333">
        <f>IF(report_B_CategorieBoekjaar[[#This Row],[BedrijfsCode]]="001",IF(report_B_CategorieBoekjaar[[#This Row],[Boekjaar]]=Projectbegroting!$K$1,report_B_CategorieBoekjaar[[#This Row],[CategorieCode]],0),0)</f>
        <v>0</v>
      </c>
    </row>
    <row r="334" spans="1:9" x14ac:dyDescent="0.3">
      <c r="A334" t="s">
        <v>330</v>
      </c>
      <c r="B334" s="20">
        <v>45658</v>
      </c>
      <c r="C334" t="s">
        <v>82</v>
      </c>
      <c r="D334" t="s">
        <v>416</v>
      </c>
      <c r="E334" t="s">
        <v>381</v>
      </c>
      <c r="F334">
        <v>84</v>
      </c>
      <c r="G334">
        <v>129</v>
      </c>
      <c r="H334">
        <f>IF(report_B_CategorieBoekjaar[[#This Row],[BedrijfsCode]]="002",IF(report_B_CategorieBoekjaar[[#This Row],[Boekjaar]]=Projectbegroting!$K$1,report_B_CategorieBoekjaar[[#This Row],[CategorieCode]],0),0)</f>
        <v>0</v>
      </c>
      <c r="I334">
        <f>IF(report_B_CategorieBoekjaar[[#This Row],[BedrijfsCode]]="001",IF(report_B_CategorieBoekjaar[[#This Row],[Boekjaar]]=Projectbegroting!$K$1,report_B_CategorieBoekjaar[[#This Row],[CategorieCode]],0),0)</f>
        <v>0</v>
      </c>
    </row>
    <row r="335" spans="1:9" x14ac:dyDescent="0.3">
      <c r="A335" t="s">
        <v>330</v>
      </c>
      <c r="B335" s="20">
        <v>45658</v>
      </c>
      <c r="C335" t="s">
        <v>169</v>
      </c>
      <c r="D335" t="s">
        <v>417</v>
      </c>
      <c r="E335" t="s">
        <v>384</v>
      </c>
      <c r="F335">
        <v>0</v>
      </c>
      <c r="G335">
        <v>0</v>
      </c>
      <c r="H335">
        <f>IF(report_B_CategorieBoekjaar[[#This Row],[BedrijfsCode]]="002",IF(report_B_CategorieBoekjaar[[#This Row],[Boekjaar]]=Projectbegroting!$K$1,report_B_CategorieBoekjaar[[#This Row],[CategorieCode]],0),0)</f>
        <v>0</v>
      </c>
      <c r="I335">
        <f>IF(report_B_CategorieBoekjaar[[#This Row],[BedrijfsCode]]="001",IF(report_B_CategorieBoekjaar[[#This Row],[Boekjaar]]=Projectbegroting!$K$1,report_B_CategorieBoekjaar[[#This Row],[CategorieCode]],0),0)</f>
        <v>0</v>
      </c>
    </row>
    <row r="336" spans="1:9" x14ac:dyDescent="0.3">
      <c r="A336" t="s">
        <v>330</v>
      </c>
      <c r="B336" s="20">
        <v>45658</v>
      </c>
      <c r="C336" t="s">
        <v>418</v>
      </c>
      <c r="D336" t="s">
        <v>419</v>
      </c>
      <c r="E336" t="s">
        <v>381</v>
      </c>
      <c r="F336">
        <v>66</v>
      </c>
      <c r="G336">
        <v>102</v>
      </c>
      <c r="H336">
        <f>IF(report_B_CategorieBoekjaar[[#This Row],[BedrijfsCode]]="002",IF(report_B_CategorieBoekjaar[[#This Row],[Boekjaar]]=Projectbegroting!$K$1,report_B_CategorieBoekjaar[[#This Row],[CategorieCode]],0),0)</f>
        <v>0</v>
      </c>
      <c r="I336">
        <f>IF(report_B_CategorieBoekjaar[[#This Row],[BedrijfsCode]]="001",IF(report_B_CategorieBoekjaar[[#This Row],[Boekjaar]]=Projectbegroting!$K$1,report_B_CategorieBoekjaar[[#This Row],[CategorieCode]],0),0)</f>
        <v>0</v>
      </c>
    </row>
    <row r="337" spans="1:9" x14ac:dyDescent="0.3">
      <c r="A337" t="s">
        <v>330</v>
      </c>
      <c r="B337" s="20">
        <v>45658</v>
      </c>
      <c r="C337" t="s">
        <v>84</v>
      </c>
      <c r="D337" t="s">
        <v>420</v>
      </c>
      <c r="E337" t="s">
        <v>381</v>
      </c>
      <c r="F337">
        <v>66</v>
      </c>
      <c r="G337">
        <v>98</v>
      </c>
      <c r="H337">
        <f>IF(report_B_CategorieBoekjaar[[#This Row],[BedrijfsCode]]="002",IF(report_B_CategorieBoekjaar[[#This Row],[Boekjaar]]=Projectbegroting!$K$1,report_B_CategorieBoekjaar[[#This Row],[CategorieCode]],0),0)</f>
        <v>0</v>
      </c>
      <c r="I337">
        <f>IF(report_B_CategorieBoekjaar[[#This Row],[BedrijfsCode]]="001",IF(report_B_CategorieBoekjaar[[#This Row],[Boekjaar]]=Projectbegroting!$K$1,report_B_CategorieBoekjaar[[#This Row],[CategorieCode]],0),0)</f>
        <v>0</v>
      </c>
    </row>
    <row r="338" spans="1:9" x14ac:dyDescent="0.3">
      <c r="A338" t="s">
        <v>330</v>
      </c>
      <c r="B338" s="20">
        <v>45658</v>
      </c>
      <c r="C338" t="s">
        <v>170</v>
      </c>
      <c r="D338" t="s">
        <v>421</v>
      </c>
      <c r="E338" t="s">
        <v>384</v>
      </c>
      <c r="F338">
        <v>121</v>
      </c>
      <c r="G338">
        <v>0</v>
      </c>
      <c r="H338">
        <f>IF(report_B_CategorieBoekjaar[[#This Row],[BedrijfsCode]]="002",IF(report_B_CategorieBoekjaar[[#This Row],[Boekjaar]]=Projectbegroting!$K$1,report_B_CategorieBoekjaar[[#This Row],[CategorieCode]],0),0)</f>
        <v>0</v>
      </c>
      <c r="I338">
        <f>IF(report_B_CategorieBoekjaar[[#This Row],[BedrijfsCode]]="001",IF(report_B_CategorieBoekjaar[[#This Row],[Boekjaar]]=Projectbegroting!$K$1,report_B_CategorieBoekjaar[[#This Row],[CategorieCode]],0),0)</f>
        <v>0</v>
      </c>
    </row>
    <row r="339" spans="1:9" x14ac:dyDescent="0.3">
      <c r="A339" t="s">
        <v>330</v>
      </c>
      <c r="B339" s="20">
        <v>45658</v>
      </c>
      <c r="C339" t="s">
        <v>96</v>
      </c>
      <c r="D339" t="s">
        <v>422</v>
      </c>
      <c r="E339" t="s">
        <v>381</v>
      </c>
      <c r="F339">
        <v>68</v>
      </c>
      <c r="G339">
        <v>100</v>
      </c>
      <c r="H339">
        <f>IF(report_B_CategorieBoekjaar[[#This Row],[BedrijfsCode]]="002",IF(report_B_CategorieBoekjaar[[#This Row],[Boekjaar]]=Projectbegroting!$K$1,report_B_CategorieBoekjaar[[#This Row],[CategorieCode]],0),0)</f>
        <v>0</v>
      </c>
      <c r="I339">
        <f>IF(report_B_CategorieBoekjaar[[#This Row],[BedrijfsCode]]="001",IF(report_B_CategorieBoekjaar[[#This Row],[Boekjaar]]=Projectbegroting!$K$1,report_B_CategorieBoekjaar[[#This Row],[CategorieCode]],0),0)</f>
        <v>0</v>
      </c>
    </row>
    <row r="340" spans="1:9" x14ac:dyDescent="0.3">
      <c r="A340" t="s">
        <v>330</v>
      </c>
      <c r="B340" s="20">
        <v>45658</v>
      </c>
      <c r="C340" t="s">
        <v>171</v>
      </c>
      <c r="D340" t="s">
        <v>423</v>
      </c>
      <c r="E340" t="s">
        <v>384</v>
      </c>
      <c r="F340">
        <v>123</v>
      </c>
      <c r="G340">
        <v>0</v>
      </c>
      <c r="H340">
        <f>IF(report_B_CategorieBoekjaar[[#This Row],[BedrijfsCode]]="002",IF(report_B_CategorieBoekjaar[[#This Row],[Boekjaar]]=Projectbegroting!$K$1,report_B_CategorieBoekjaar[[#This Row],[CategorieCode]],0),0)</f>
        <v>0</v>
      </c>
      <c r="I340">
        <f>IF(report_B_CategorieBoekjaar[[#This Row],[BedrijfsCode]]="001",IF(report_B_CategorieBoekjaar[[#This Row],[Boekjaar]]=Projectbegroting!$K$1,report_B_CategorieBoekjaar[[#This Row],[CategorieCode]],0),0)</f>
        <v>0</v>
      </c>
    </row>
    <row r="341" spans="1:9" x14ac:dyDescent="0.3">
      <c r="A341" t="s">
        <v>330</v>
      </c>
      <c r="B341" s="20">
        <v>45658</v>
      </c>
      <c r="C341" t="s">
        <v>86</v>
      </c>
      <c r="D341" t="s">
        <v>424</v>
      </c>
      <c r="E341" t="s">
        <v>381</v>
      </c>
      <c r="F341">
        <v>63</v>
      </c>
      <c r="G341">
        <v>95</v>
      </c>
      <c r="H341">
        <f>IF(report_B_CategorieBoekjaar[[#This Row],[BedrijfsCode]]="002",IF(report_B_CategorieBoekjaar[[#This Row],[Boekjaar]]=Projectbegroting!$K$1,report_B_CategorieBoekjaar[[#This Row],[CategorieCode]],0),0)</f>
        <v>0</v>
      </c>
      <c r="I341">
        <f>IF(report_B_CategorieBoekjaar[[#This Row],[BedrijfsCode]]="001",IF(report_B_CategorieBoekjaar[[#This Row],[Boekjaar]]=Projectbegroting!$K$1,report_B_CategorieBoekjaar[[#This Row],[CategorieCode]],0),0)</f>
        <v>0</v>
      </c>
    </row>
    <row r="342" spans="1:9" x14ac:dyDescent="0.3">
      <c r="A342" t="s">
        <v>330</v>
      </c>
      <c r="B342" s="20">
        <v>45658</v>
      </c>
      <c r="C342" t="s">
        <v>172</v>
      </c>
      <c r="D342" t="s">
        <v>425</v>
      </c>
      <c r="E342" t="s">
        <v>384</v>
      </c>
      <c r="F342">
        <v>118</v>
      </c>
      <c r="G342">
        <v>0</v>
      </c>
      <c r="H342">
        <f>IF(report_B_CategorieBoekjaar[[#This Row],[BedrijfsCode]]="002",IF(report_B_CategorieBoekjaar[[#This Row],[Boekjaar]]=Projectbegroting!$K$1,report_B_CategorieBoekjaar[[#This Row],[CategorieCode]],0),0)</f>
        <v>0</v>
      </c>
      <c r="I342">
        <f>IF(report_B_CategorieBoekjaar[[#This Row],[BedrijfsCode]]="001",IF(report_B_CategorieBoekjaar[[#This Row],[Boekjaar]]=Projectbegroting!$K$1,report_B_CategorieBoekjaar[[#This Row],[CategorieCode]],0),0)</f>
        <v>0</v>
      </c>
    </row>
    <row r="343" spans="1:9" x14ac:dyDescent="0.3">
      <c r="A343" t="s">
        <v>330</v>
      </c>
      <c r="B343" s="20">
        <v>45658</v>
      </c>
      <c r="C343" t="s">
        <v>94</v>
      </c>
      <c r="D343" t="s">
        <v>426</v>
      </c>
      <c r="E343" t="s">
        <v>381</v>
      </c>
      <c r="F343">
        <v>132</v>
      </c>
      <c r="G343">
        <v>132</v>
      </c>
      <c r="H343">
        <f>IF(report_B_CategorieBoekjaar[[#This Row],[BedrijfsCode]]="002",IF(report_B_CategorieBoekjaar[[#This Row],[Boekjaar]]=Projectbegroting!$K$1,report_B_CategorieBoekjaar[[#This Row],[CategorieCode]],0),0)</f>
        <v>0</v>
      </c>
      <c r="I343">
        <f>IF(report_B_CategorieBoekjaar[[#This Row],[BedrijfsCode]]="001",IF(report_B_CategorieBoekjaar[[#This Row],[Boekjaar]]=Projectbegroting!$K$1,report_B_CategorieBoekjaar[[#This Row],[CategorieCode]],0),0)</f>
        <v>0</v>
      </c>
    </row>
    <row r="344" spans="1:9" x14ac:dyDescent="0.3">
      <c r="A344" t="s">
        <v>330</v>
      </c>
      <c r="B344" s="20">
        <v>45658</v>
      </c>
      <c r="C344" t="s">
        <v>173</v>
      </c>
      <c r="D344" t="s">
        <v>427</v>
      </c>
      <c r="E344" t="s">
        <v>384</v>
      </c>
      <c r="F344">
        <v>132</v>
      </c>
      <c r="G344">
        <v>0</v>
      </c>
      <c r="H344">
        <f>IF(report_B_CategorieBoekjaar[[#This Row],[BedrijfsCode]]="002",IF(report_B_CategorieBoekjaar[[#This Row],[Boekjaar]]=Projectbegroting!$K$1,report_B_CategorieBoekjaar[[#This Row],[CategorieCode]],0),0)</f>
        <v>0</v>
      </c>
      <c r="I344">
        <f>IF(report_B_CategorieBoekjaar[[#This Row],[BedrijfsCode]]="001",IF(report_B_CategorieBoekjaar[[#This Row],[Boekjaar]]=Projectbegroting!$K$1,report_B_CategorieBoekjaar[[#This Row],[CategorieCode]],0),0)</f>
        <v>0</v>
      </c>
    </row>
    <row r="345" spans="1:9" x14ac:dyDescent="0.3">
      <c r="A345" t="s">
        <v>330</v>
      </c>
      <c r="B345" s="20">
        <v>45658</v>
      </c>
      <c r="C345" t="s">
        <v>88</v>
      </c>
      <c r="D345" t="s">
        <v>89</v>
      </c>
      <c r="E345" t="s">
        <v>381</v>
      </c>
      <c r="F345">
        <v>67</v>
      </c>
      <c r="G345">
        <v>99</v>
      </c>
      <c r="H345">
        <f>IF(report_B_CategorieBoekjaar[[#This Row],[BedrijfsCode]]="002",IF(report_B_CategorieBoekjaar[[#This Row],[Boekjaar]]=Projectbegroting!$K$1,report_B_CategorieBoekjaar[[#This Row],[CategorieCode]],0),0)</f>
        <v>0</v>
      </c>
      <c r="I345">
        <f>IF(report_B_CategorieBoekjaar[[#This Row],[BedrijfsCode]]="001",IF(report_B_CategorieBoekjaar[[#This Row],[Boekjaar]]=Projectbegroting!$K$1,report_B_CategorieBoekjaar[[#This Row],[CategorieCode]],0),0)</f>
        <v>0</v>
      </c>
    </row>
    <row r="346" spans="1:9" x14ac:dyDescent="0.3">
      <c r="A346" t="s">
        <v>330</v>
      </c>
      <c r="B346" s="20">
        <v>45658</v>
      </c>
      <c r="C346" t="s">
        <v>174</v>
      </c>
      <c r="D346" t="s">
        <v>428</v>
      </c>
      <c r="E346" t="s">
        <v>384</v>
      </c>
      <c r="F346">
        <v>122</v>
      </c>
      <c r="G346">
        <v>0</v>
      </c>
      <c r="H346">
        <f>IF(report_B_CategorieBoekjaar[[#This Row],[BedrijfsCode]]="002",IF(report_B_CategorieBoekjaar[[#This Row],[Boekjaar]]=Projectbegroting!$K$1,report_B_CategorieBoekjaar[[#This Row],[CategorieCode]],0),0)</f>
        <v>0</v>
      </c>
      <c r="I346">
        <f>IF(report_B_CategorieBoekjaar[[#This Row],[BedrijfsCode]]="001",IF(report_B_CategorieBoekjaar[[#This Row],[Boekjaar]]=Projectbegroting!$K$1,report_B_CategorieBoekjaar[[#This Row],[CategorieCode]],0),0)</f>
        <v>0</v>
      </c>
    </row>
    <row r="347" spans="1:9" x14ac:dyDescent="0.3">
      <c r="A347" t="s">
        <v>330</v>
      </c>
      <c r="B347" s="20">
        <v>45658</v>
      </c>
      <c r="C347" t="s">
        <v>90</v>
      </c>
      <c r="D347" t="s">
        <v>91</v>
      </c>
      <c r="E347" t="s">
        <v>381</v>
      </c>
      <c r="F347">
        <v>49</v>
      </c>
      <c r="G347">
        <v>68</v>
      </c>
      <c r="H347">
        <f>IF(report_B_CategorieBoekjaar[[#This Row],[BedrijfsCode]]="002",IF(report_B_CategorieBoekjaar[[#This Row],[Boekjaar]]=Projectbegroting!$K$1,report_B_CategorieBoekjaar[[#This Row],[CategorieCode]],0),0)</f>
        <v>0</v>
      </c>
      <c r="I347">
        <f>IF(report_B_CategorieBoekjaar[[#This Row],[BedrijfsCode]]="001",IF(report_B_CategorieBoekjaar[[#This Row],[Boekjaar]]=Projectbegroting!$K$1,report_B_CategorieBoekjaar[[#This Row],[CategorieCode]],0),0)</f>
        <v>0</v>
      </c>
    </row>
    <row r="348" spans="1:9" x14ac:dyDescent="0.3">
      <c r="A348" t="s">
        <v>330</v>
      </c>
      <c r="B348" s="20">
        <v>45658</v>
      </c>
      <c r="C348" t="s">
        <v>429</v>
      </c>
      <c r="D348" t="s">
        <v>430</v>
      </c>
      <c r="E348" t="s">
        <v>384</v>
      </c>
      <c r="F348">
        <v>0</v>
      </c>
      <c r="G348">
        <v>0</v>
      </c>
      <c r="H348">
        <f>IF(report_B_CategorieBoekjaar[[#This Row],[BedrijfsCode]]="002",IF(report_B_CategorieBoekjaar[[#This Row],[Boekjaar]]=Projectbegroting!$K$1,report_B_CategorieBoekjaar[[#This Row],[CategorieCode]],0),0)</f>
        <v>0</v>
      </c>
      <c r="I348">
        <f>IF(report_B_CategorieBoekjaar[[#This Row],[BedrijfsCode]]="001",IF(report_B_CategorieBoekjaar[[#This Row],[Boekjaar]]=Projectbegroting!$K$1,report_B_CategorieBoekjaar[[#This Row],[CategorieCode]],0),0)</f>
        <v>0</v>
      </c>
    </row>
    <row r="349" spans="1:9" x14ac:dyDescent="0.3">
      <c r="A349" t="s">
        <v>330</v>
      </c>
      <c r="B349" s="20">
        <v>45658</v>
      </c>
      <c r="C349" t="s">
        <v>431</v>
      </c>
      <c r="D349" t="s">
        <v>432</v>
      </c>
      <c r="E349" t="s">
        <v>381</v>
      </c>
      <c r="F349">
        <v>82</v>
      </c>
      <c r="G349">
        <v>113</v>
      </c>
      <c r="H349">
        <f>IF(report_B_CategorieBoekjaar[[#This Row],[BedrijfsCode]]="002",IF(report_B_CategorieBoekjaar[[#This Row],[Boekjaar]]=Projectbegroting!$K$1,report_B_CategorieBoekjaar[[#This Row],[CategorieCode]],0),0)</f>
        <v>0</v>
      </c>
      <c r="I349">
        <f>IF(report_B_CategorieBoekjaar[[#This Row],[BedrijfsCode]]="001",IF(report_B_CategorieBoekjaar[[#This Row],[Boekjaar]]=Projectbegroting!$K$1,report_B_CategorieBoekjaar[[#This Row],[CategorieCode]],0),0)</f>
        <v>0</v>
      </c>
    </row>
    <row r="350" spans="1:9" x14ac:dyDescent="0.3">
      <c r="A350" t="s">
        <v>330</v>
      </c>
      <c r="B350" s="20">
        <v>45658</v>
      </c>
      <c r="C350" t="s">
        <v>433</v>
      </c>
      <c r="D350" t="s">
        <v>434</v>
      </c>
      <c r="E350" t="s">
        <v>384</v>
      </c>
      <c r="F350">
        <v>0</v>
      </c>
      <c r="G350">
        <v>0</v>
      </c>
      <c r="H350">
        <f>IF(report_B_CategorieBoekjaar[[#This Row],[BedrijfsCode]]="002",IF(report_B_CategorieBoekjaar[[#This Row],[Boekjaar]]=Projectbegroting!$K$1,report_B_CategorieBoekjaar[[#This Row],[CategorieCode]],0),0)</f>
        <v>0</v>
      </c>
      <c r="I350">
        <f>IF(report_B_CategorieBoekjaar[[#This Row],[BedrijfsCode]]="001",IF(report_B_CategorieBoekjaar[[#This Row],[Boekjaar]]=Projectbegroting!$K$1,report_B_CategorieBoekjaar[[#This Row],[CategorieCode]],0),0)</f>
        <v>0</v>
      </c>
    </row>
    <row r="351" spans="1:9" x14ac:dyDescent="0.3">
      <c r="A351" t="s">
        <v>330</v>
      </c>
      <c r="B351" s="20">
        <v>45658</v>
      </c>
      <c r="C351" t="s">
        <v>435</v>
      </c>
      <c r="D351" t="s">
        <v>436</v>
      </c>
      <c r="E351" t="s">
        <v>381</v>
      </c>
      <c r="F351">
        <v>63</v>
      </c>
      <c r="G351">
        <v>0</v>
      </c>
      <c r="H351">
        <f>IF(report_B_CategorieBoekjaar[[#This Row],[BedrijfsCode]]="002",IF(report_B_CategorieBoekjaar[[#This Row],[Boekjaar]]=Projectbegroting!$K$1,report_B_CategorieBoekjaar[[#This Row],[CategorieCode]],0),0)</f>
        <v>0</v>
      </c>
      <c r="I351">
        <f>IF(report_B_CategorieBoekjaar[[#This Row],[BedrijfsCode]]="001",IF(report_B_CategorieBoekjaar[[#This Row],[Boekjaar]]=Projectbegroting!$K$1,report_B_CategorieBoekjaar[[#This Row],[CategorieCode]],0),0)</f>
        <v>0</v>
      </c>
    </row>
    <row r="352" spans="1:9" x14ac:dyDescent="0.3">
      <c r="A352" t="s">
        <v>330</v>
      </c>
      <c r="B352" s="20">
        <v>45658</v>
      </c>
      <c r="C352" t="s">
        <v>437</v>
      </c>
      <c r="D352" t="s">
        <v>438</v>
      </c>
      <c r="E352" t="s">
        <v>384</v>
      </c>
      <c r="F352">
        <v>118</v>
      </c>
      <c r="G352">
        <v>0</v>
      </c>
      <c r="H352">
        <f>IF(report_B_CategorieBoekjaar[[#This Row],[BedrijfsCode]]="002",IF(report_B_CategorieBoekjaar[[#This Row],[Boekjaar]]=Projectbegroting!$K$1,report_B_CategorieBoekjaar[[#This Row],[CategorieCode]],0),0)</f>
        <v>0</v>
      </c>
      <c r="I352">
        <f>IF(report_B_CategorieBoekjaar[[#This Row],[BedrijfsCode]]="001",IF(report_B_CategorieBoekjaar[[#This Row],[Boekjaar]]=Projectbegroting!$K$1,report_B_CategorieBoekjaar[[#This Row],[CategorieCode]],0),0)</f>
        <v>0</v>
      </c>
    </row>
    <row r="353" spans="1:9" x14ac:dyDescent="0.3">
      <c r="A353" t="s">
        <v>330</v>
      </c>
      <c r="B353" s="20">
        <v>45658</v>
      </c>
      <c r="C353" t="s">
        <v>439</v>
      </c>
      <c r="D353" t="s">
        <v>440</v>
      </c>
      <c r="E353" t="s">
        <v>381</v>
      </c>
      <c r="F353">
        <v>45</v>
      </c>
      <c r="G353">
        <v>0</v>
      </c>
      <c r="H353">
        <f>IF(report_B_CategorieBoekjaar[[#This Row],[BedrijfsCode]]="002",IF(report_B_CategorieBoekjaar[[#This Row],[Boekjaar]]=Projectbegroting!$K$1,report_B_CategorieBoekjaar[[#This Row],[CategorieCode]],0),0)</f>
        <v>0</v>
      </c>
      <c r="I353">
        <f>IF(report_B_CategorieBoekjaar[[#This Row],[BedrijfsCode]]="001",IF(report_B_CategorieBoekjaar[[#This Row],[Boekjaar]]=Projectbegroting!$K$1,report_B_CategorieBoekjaar[[#This Row],[CategorieCode]],0),0)</f>
        <v>0</v>
      </c>
    </row>
    <row r="354" spans="1:9" x14ac:dyDescent="0.3">
      <c r="A354" t="s">
        <v>330</v>
      </c>
      <c r="B354" s="20">
        <v>45658</v>
      </c>
      <c r="C354" t="s">
        <v>441</v>
      </c>
      <c r="D354" t="s">
        <v>442</v>
      </c>
      <c r="E354" t="s">
        <v>381</v>
      </c>
      <c r="F354">
        <v>52</v>
      </c>
      <c r="G354">
        <v>0</v>
      </c>
      <c r="H354">
        <f>IF(report_B_CategorieBoekjaar[[#This Row],[BedrijfsCode]]="002",IF(report_B_CategorieBoekjaar[[#This Row],[Boekjaar]]=Projectbegroting!$K$1,report_B_CategorieBoekjaar[[#This Row],[CategorieCode]],0),0)</f>
        <v>0</v>
      </c>
      <c r="I354">
        <f>IF(report_B_CategorieBoekjaar[[#This Row],[BedrijfsCode]]="001",IF(report_B_CategorieBoekjaar[[#This Row],[Boekjaar]]=Projectbegroting!$K$1,report_B_CategorieBoekjaar[[#This Row],[CategorieCode]],0),0)</f>
        <v>0</v>
      </c>
    </row>
    <row r="355" spans="1:9" x14ac:dyDescent="0.3">
      <c r="A355" t="s">
        <v>330</v>
      </c>
      <c r="B355" s="20">
        <v>45658</v>
      </c>
      <c r="C355" t="s">
        <v>443</v>
      </c>
      <c r="D355" t="s">
        <v>444</v>
      </c>
      <c r="E355" t="s">
        <v>384</v>
      </c>
      <c r="F355">
        <v>0</v>
      </c>
      <c r="G355">
        <v>0</v>
      </c>
      <c r="H355">
        <f>IF(report_B_CategorieBoekjaar[[#This Row],[BedrijfsCode]]="002",IF(report_B_CategorieBoekjaar[[#This Row],[Boekjaar]]=Projectbegroting!$K$1,report_B_CategorieBoekjaar[[#This Row],[CategorieCode]],0),0)</f>
        <v>0</v>
      </c>
      <c r="I355">
        <f>IF(report_B_CategorieBoekjaar[[#This Row],[BedrijfsCode]]="001",IF(report_B_CategorieBoekjaar[[#This Row],[Boekjaar]]=Projectbegroting!$K$1,report_B_CategorieBoekjaar[[#This Row],[CategorieCode]],0),0)</f>
        <v>0</v>
      </c>
    </row>
    <row r="356" spans="1:9" x14ac:dyDescent="0.3">
      <c r="A356" t="s">
        <v>330</v>
      </c>
      <c r="B356" s="20">
        <v>45658</v>
      </c>
      <c r="C356" t="s">
        <v>445</v>
      </c>
      <c r="D356" t="s">
        <v>446</v>
      </c>
      <c r="E356" t="s">
        <v>381</v>
      </c>
      <c r="F356">
        <v>0</v>
      </c>
      <c r="G356">
        <v>105</v>
      </c>
      <c r="H356">
        <f>IF(report_B_CategorieBoekjaar[[#This Row],[BedrijfsCode]]="002",IF(report_B_CategorieBoekjaar[[#This Row],[Boekjaar]]=Projectbegroting!$K$1,report_B_CategorieBoekjaar[[#This Row],[CategorieCode]],0),0)</f>
        <v>0</v>
      </c>
      <c r="I356">
        <f>IF(report_B_CategorieBoekjaar[[#This Row],[BedrijfsCode]]="001",IF(report_B_CategorieBoekjaar[[#This Row],[Boekjaar]]=Projectbegroting!$K$1,report_B_CategorieBoekjaar[[#This Row],[CategorieCode]],0),0)</f>
        <v>0</v>
      </c>
    </row>
    <row r="357" spans="1:9" x14ac:dyDescent="0.3">
      <c r="A357" t="s">
        <v>330</v>
      </c>
      <c r="B357" s="20">
        <v>45658</v>
      </c>
      <c r="C357" t="s">
        <v>447</v>
      </c>
      <c r="D357" t="s">
        <v>448</v>
      </c>
      <c r="E357" t="s">
        <v>384</v>
      </c>
      <c r="F357">
        <v>0</v>
      </c>
      <c r="G357">
        <v>0</v>
      </c>
      <c r="H357">
        <f>IF(report_B_CategorieBoekjaar[[#This Row],[BedrijfsCode]]="002",IF(report_B_CategorieBoekjaar[[#This Row],[Boekjaar]]=Projectbegroting!$K$1,report_B_CategorieBoekjaar[[#This Row],[CategorieCode]],0),0)</f>
        <v>0</v>
      </c>
      <c r="I357">
        <f>IF(report_B_CategorieBoekjaar[[#This Row],[BedrijfsCode]]="001",IF(report_B_CategorieBoekjaar[[#This Row],[Boekjaar]]=Projectbegroting!$K$1,report_B_CategorieBoekjaar[[#This Row],[CategorieCode]],0),0)</f>
        <v>0</v>
      </c>
    </row>
    <row r="358" spans="1:9" x14ac:dyDescent="0.3">
      <c r="A358" t="s">
        <v>330</v>
      </c>
      <c r="B358" s="20">
        <v>45658</v>
      </c>
      <c r="C358" t="s">
        <v>449</v>
      </c>
      <c r="D358" t="s">
        <v>450</v>
      </c>
      <c r="E358" t="s">
        <v>381</v>
      </c>
      <c r="F358">
        <v>45</v>
      </c>
      <c r="G358">
        <v>0</v>
      </c>
      <c r="H358">
        <f>IF(report_B_CategorieBoekjaar[[#This Row],[BedrijfsCode]]="002",IF(report_B_CategorieBoekjaar[[#This Row],[Boekjaar]]=Projectbegroting!$K$1,report_B_CategorieBoekjaar[[#This Row],[CategorieCode]],0),0)</f>
        <v>0</v>
      </c>
      <c r="I358">
        <f>IF(report_B_CategorieBoekjaar[[#This Row],[BedrijfsCode]]="001",IF(report_B_CategorieBoekjaar[[#This Row],[Boekjaar]]=Projectbegroting!$K$1,report_B_CategorieBoekjaar[[#This Row],[CategorieCode]],0),0)</f>
        <v>0</v>
      </c>
    </row>
    <row r="359" spans="1:9" x14ac:dyDescent="0.3">
      <c r="A359" t="s">
        <v>330</v>
      </c>
      <c r="B359" s="20">
        <v>45658</v>
      </c>
      <c r="C359" t="s">
        <v>451</v>
      </c>
      <c r="D359" t="s">
        <v>452</v>
      </c>
      <c r="E359" t="s">
        <v>384</v>
      </c>
      <c r="F359">
        <v>100</v>
      </c>
      <c r="G359">
        <v>0</v>
      </c>
      <c r="H359">
        <f>IF(report_B_CategorieBoekjaar[[#This Row],[BedrijfsCode]]="002",IF(report_B_CategorieBoekjaar[[#This Row],[Boekjaar]]=Projectbegroting!$K$1,report_B_CategorieBoekjaar[[#This Row],[CategorieCode]],0),0)</f>
        <v>0</v>
      </c>
      <c r="I359">
        <f>IF(report_B_CategorieBoekjaar[[#This Row],[BedrijfsCode]]="001",IF(report_B_CategorieBoekjaar[[#This Row],[Boekjaar]]=Projectbegroting!$K$1,report_B_CategorieBoekjaar[[#This Row],[CategorieCode]],0),0)</f>
        <v>0</v>
      </c>
    </row>
    <row r="360" spans="1:9" x14ac:dyDescent="0.3">
      <c r="A360" t="s">
        <v>330</v>
      </c>
      <c r="B360" s="20">
        <v>45658</v>
      </c>
      <c r="C360" t="s">
        <v>453</v>
      </c>
      <c r="D360" t="s">
        <v>454</v>
      </c>
      <c r="E360" t="s">
        <v>381</v>
      </c>
      <c r="F360">
        <v>63</v>
      </c>
      <c r="G360">
        <v>86</v>
      </c>
      <c r="H360">
        <f>IF(report_B_CategorieBoekjaar[[#This Row],[BedrijfsCode]]="002",IF(report_B_CategorieBoekjaar[[#This Row],[Boekjaar]]=Projectbegroting!$K$1,report_B_CategorieBoekjaar[[#This Row],[CategorieCode]],0),0)</f>
        <v>0</v>
      </c>
      <c r="I360">
        <f>IF(report_B_CategorieBoekjaar[[#This Row],[BedrijfsCode]]="001",IF(report_B_CategorieBoekjaar[[#This Row],[Boekjaar]]=Projectbegroting!$K$1,report_B_CategorieBoekjaar[[#This Row],[CategorieCode]],0),0)</f>
        <v>0</v>
      </c>
    </row>
    <row r="361" spans="1:9" x14ac:dyDescent="0.3">
      <c r="A361" t="s">
        <v>330</v>
      </c>
      <c r="B361" s="20">
        <v>45658</v>
      </c>
      <c r="C361" t="s">
        <v>455</v>
      </c>
      <c r="D361" t="s">
        <v>456</v>
      </c>
      <c r="E361" t="s">
        <v>381</v>
      </c>
      <c r="F361">
        <v>83</v>
      </c>
      <c r="G361">
        <v>128</v>
      </c>
      <c r="H361">
        <f>IF(report_B_CategorieBoekjaar[[#This Row],[BedrijfsCode]]="002",IF(report_B_CategorieBoekjaar[[#This Row],[Boekjaar]]=Projectbegroting!$K$1,report_B_CategorieBoekjaar[[#This Row],[CategorieCode]],0),0)</f>
        <v>0</v>
      </c>
      <c r="I361">
        <f>IF(report_B_CategorieBoekjaar[[#This Row],[BedrijfsCode]]="001",IF(report_B_CategorieBoekjaar[[#This Row],[Boekjaar]]=Projectbegroting!$K$1,report_B_CategorieBoekjaar[[#This Row],[CategorieCode]],0),0)</f>
        <v>0</v>
      </c>
    </row>
    <row r="362" spans="1:9" x14ac:dyDescent="0.3">
      <c r="A362" t="s">
        <v>330</v>
      </c>
      <c r="B362" s="20">
        <v>45658</v>
      </c>
      <c r="C362" t="s">
        <v>457</v>
      </c>
      <c r="D362" t="s">
        <v>458</v>
      </c>
      <c r="E362" t="s">
        <v>384</v>
      </c>
      <c r="F362">
        <v>0</v>
      </c>
      <c r="G362">
        <v>0</v>
      </c>
      <c r="H362">
        <f>IF(report_B_CategorieBoekjaar[[#This Row],[BedrijfsCode]]="002",IF(report_B_CategorieBoekjaar[[#This Row],[Boekjaar]]=Projectbegroting!$K$1,report_B_CategorieBoekjaar[[#This Row],[CategorieCode]],0),0)</f>
        <v>0</v>
      </c>
      <c r="I362">
        <f>IF(report_B_CategorieBoekjaar[[#This Row],[BedrijfsCode]]="001",IF(report_B_CategorieBoekjaar[[#This Row],[Boekjaar]]=Projectbegroting!$K$1,report_B_CategorieBoekjaar[[#This Row],[CategorieCode]],0),0)</f>
        <v>0</v>
      </c>
    </row>
    <row r="363" spans="1:9" x14ac:dyDescent="0.3">
      <c r="A363" t="s">
        <v>330</v>
      </c>
      <c r="B363" s="20">
        <v>45658</v>
      </c>
      <c r="C363" t="s">
        <v>459</v>
      </c>
      <c r="D363" t="s">
        <v>460</v>
      </c>
      <c r="E363" t="s">
        <v>381</v>
      </c>
      <c r="F363">
        <v>109</v>
      </c>
      <c r="G363">
        <v>155</v>
      </c>
      <c r="H363">
        <f>IF(report_B_CategorieBoekjaar[[#This Row],[BedrijfsCode]]="002",IF(report_B_CategorieBoekjaar[[#This Row],[Boekjaar]]=Projectbegroting!$K$1,report_B_CategorieBoekjaar[[#This Row],[CategorieCode]],0),0)</f>
        <v>0</v>
      </c>
      <c r="I363">
        <f>IF(report_B_CategorieBoekjaar[[#This Row],[BedrijfsCode]]="001",IF(report_B_CategorieBoekjaar[[#This Row],[Boekjaar]]=Projectbegroting!$K$1,report_B_CategorieBoekjaar[[#This Row],[CategorieCode]],0),0)</f>
        <v>0</v>
      </c>
    </row>
    <row r="364" spans="1:9" x14ac:dyDescent="0.3">
      <c r="A364" t="s">
        <v>330</v>
      </c>
      <c r="B364" s="20">
        <v>45658</v>
      </c>
      <c r="C364" t="s">
        <v>461</v>
      </c>
      <c r="D364" t="s">
        <v>462</v>
      </c>
      <c r="E364" t="s">
        <v>384</v>
      </c>
      <c r="F364">
        <v>143</v>
      </c>
      <c r="G364">
        <v>0</v>
      </c>
      <c r="H364">
        <f>IF(report_B_CategorieBoekjaar[[#This Row],[BedrijfsCode]]="002",IF(report_B_CategorieBoekjaar[[#This Row],[Boekjaar]]=Projectbegroting!$K$1,report_B_CategorieBoekjaar[[#This Row],[CategorieCode]],0),0)</f>
        <v>0</v>
      </c>
      <c r="I364">
        <f>IF(report_B_CategorieBoekjaar[[#This Row],[BedrijfsCode]]="001",IF(report_B_CategorieBoekjaar[[#This Row],[Boekjaar]]=Projectbegroting!$K$1,report_B_CategorieBoekjaar[[#This Row],[CategorieCode]],0),0)</f>
        <v>0</v>
      </c>
    </row>
    <row r="365" spans="1:9" x14ac:dyDescent="0.3">
      <c r="A365" t="s">
        <v>330</v>
      </c>
      <c r="B365" s="20">
        <v>45658</v>
      </c>
      <c r="C365" t="s">
        <v>463</v>
      </c>
      <c r="D365" t="s">
        <v>464</v>
      </c>
      <c r="E365" t="s">
        <v>384</v>
      </c>
      <c r="F365">
        <v>0</v>
      </c>
      <c r="G365">
        <v>0</v>
      </c>
      <c r="H365">
        <f>IF(report_B_CategorieBoekjaar[[#This Row],[BedrijfsCode]]="002",IF(report_B_CategorieBoekjaar[[#This Row],[Boekjaar]]=Projectbegroting!$K$1,report_B_CategorieBoekjaar[[#This Row],[CategorieCode]],0),0)</f>
        <v>0</v>
      </c>
      <c r="I365">
        <f>IF(report_B_CategorieBoekjaar[[#This Row],[BedrijfsCode]]="001",IF(report_B_CategorieBoekjaar[[#This Row],[Boekjaar]]=Projectbegroting!$K$1,report_B_CategorieBoekjaar[[#This Row],[CategorieCode]],0),0)</f>
        <v>0</v>
      </c>
    </row>
    <row r="366" spans="1:9" x14ac:dyDescent="0.3">
      <c r="A366" t="s">
        <v>330</v>
      </c>
      <c r="B366" s="20">
        <v>45658</v>
      </c>
      <c r="C366" t="s">
        <v>465</v>
      </c>
      <c r="D366" t="s">
        <v>466</v>
      </c>
      <c r="E366" t="s">
        <v>381</v>
      </c>
      <c r="F366">
        <v>27</v>
      </c>
      <c r="G366">
        <v>0</v>
      </c>
      <c r="H366">
        <f>IF(report_B_CategorieBoekjaar[[#This Row],[BedrijfsCode]]="002",IF(report_B_CategorieBoekjaar[[#This Row],[Boekjaar]]=Projectbegroting!$K$1,report_B_CategorieBoekjaar[[#This Row],[CategorieCode]],0),0)</f>
        <v>0</v>
      </c>
      <c r="I366">
        <f>IF(report_B_CategorieBoekjaar[[#This Row],[BedrijfsCode]]="001",IF(report_B_CategorieBoekjaar[[#This Row],[Boekjaar]]=Projectbegroting!$K$1,report_B_CategorieBoekjaar[[#This Row],[CategorieCode]],0),0)</f>
        <v>0</v>
      </c>
    </row>
    <row r="367" spans="1:9" x14ac:dyDescent="0.3">
      <c r="A367" t="s">
        <v>330</v>
      </c>
      <c r="B367" s="20">
        <v>45658</v>
      </c>
      <c r="C367" t="s">
        <v>467</v>
      </c>
      <c r="D367" t="s">
        <v>468</v>
      </c>
      <c r="E367" t="s">
        <v>384</v>
      </c>
      <c r="F367">
        <v>0</v>
      </c>
      <c r="G367">
        <v>0</v>
      </c>
      <c r="H367">
        <f>IF(report_B_CategorieBoekjaar[[#This Row],[BedrijfsCode]]="002",IF(report_B_CategorieBoekjaar[[#This Row],[Boekjaar]]=Projectbegroting!$K$1,report_B_CategorieBoekjaar[[#This Row],[CategorieCode]],0),0)</f>
        <v>0</v>
      </c>
      <c r="I367">
        <f>IF(report_B_CategorieBoekjaar[[#This Row],[BedrijfsCode]]="001",IF(report_B_CategorieBoekjaar[[#This Row],[Boekjaar]]=Projectbegroting!$K$1,report_B_CategorieBoekjaar[[#This Row],[CategorieCode]],0),0)</f>
        <v>0</v>
      </c>
    </row>
    <row r="368" spans="1:9" x14ac:dyDescent="0.3">
      <c r="A368" t="s">
        <v>330</v>
      </c>
      <c r="B368" s="20">
        <v>45658</v>
      </c>
      <c r="C368" t="s">
        <v>469</v>
      </c>
      <c r="D368" t="s">
        <v>470</v>
      </c>
      <c r="E368" t="s">
        <v>381</v>
      </c>
      <c r="F368">
        <v>51</v>
      </c>
      <c r="G368">
        <v>87</v>
      </c>
      <c r="H368">
        <f>IF(report_B_CategorieBoekjaar[[#This Row],[BedrijfsCode]]="002",IF(report_B_CategorieBoekjaar[[#This Row],[Boekjaar]]=Projectbegroting!$K$1,report_B_CategorieBoekjaar[[#This Row],[CategorieCode]],0),0)</f>
        <v>0</v>
      </c>
      <c r="I368">
        <f>IF(report_B_CategorieBoekjaar[[#This Row],[BedrijfsCode]]="001",IF(report_B_CategorieBoekjaar[[#This Row],[Boekjaar]]=Projectbegroting!$K$1,report_B_CategorieBoekjaar[[#This Row],[CategorieCode]],0),0)</f>
        <v>0</v>
      </c>
    </row>
    <row r="369" spans="1:9" x14ac:dyDescent="0.3">
      <c r="A369" t="s">
        <v>330</v>
      </c>
      <c r="B369" s="20">
        <v>45658</v>
      </c>
      <c r="C369" t="s">
        <v>471</v>
      </c>
      <c r="D369" t="s">
        <v>472</v>
      </c>
      <c r="E369" t="s">
        <v>384</v>
      </c>
      <c r="F369">
        <v>0</v>
      </c>
      <c r="G369">
        <v>0</v>
      </c>
      <c r="H369">
        <f>IF(report_B_CategorieBoekjaar[[#This Row],[BedrijfsCode]]="002",IF(report_B_CategorieBoekjaar[[#This Row],[Boekjaar]]=Projectbegroting!$K$1,report_B_CategorieBoekjaar[[#This Row],[CategorieCode]],0),0)</f>
        <v>0</v>
      </c>
      <c r="I369">
        <f>IF(report_B_CategorieBoekjaar[[#This Row],[BedrijfsCode]]="001",IF(report_B_CategorieBoekjaar[[#This Row],[Boekjaar]]=Projectbegroting!$K$1,report_B_CategorieBoekjaar[[#This Row],[CategorieCode]],0),0)</f>
        <v>0</v>
      </c>
    </row>
    <row r="370" spans="1:9" x14ac:dyDescent="0.3">
      <c r="A370" t="s">
        <v>330</v>
      </c>
      <c r="B370" s="20">
        <v>45658</v>
      </c>
      <c r="C370" t="s">
        <v>62</v>
      </c>
      <c r="D370" t="s">
        <v>473</v>
      </c>
      <c r="E370" t="s">
        <v>381</v>
      </c>
      <c r="F370">
        <v>52</v>
      </c>
      <c r="G370">
        <v>0</v>
      </c>
      <c r="H370">
        <f>IF(report_B_CategorieBoekjaar[[#This Row],[BedrijfsCode]]="002",IF(report_B_CategorieBoekjaar[[#This Row],[Boekjaar]]=Projectbegroting!$K$1,report_B_CategorieBoekjaar[[#This Row],[CategorieCode]],0),0)</f>
        <v>0</v>
      </c>
      <c r="I370">
        <f>IF(report_B_CategorieBoekjaar[[#This Row],[BedrijfsCode]]="001",IF(report_B_CategorieBoekjaar[[#This Row],[Boekjaar]]=Projectbegroting!$K$1,report_B_CategorieBoekjaar[[#This Row],[CategorieCode]],0),0)</f>
        <v>0</v>
      </c>
    </row>
    <row r="371" spans="1:9" x14ac:dyDescent="0.3">
      <c r="A371" t="s">
        <v>330</v>
      </c>
      <c r="B371" s="20">
        <v>45658</v>
      </c>
      <c r="C371" t="s">
        <v>474</v>
      </c>
      <c r="D371" t="s">
        <v>475</v>
      </c>
      <c r="E371" t="s">
        <v>384</v>
      </c>
      <c r="F371">
        <v>0</v>
      </c>
      <c r="G371">
        <v>0</v>
      </c>
      <c r="H371">
        <f>IF(report_B_CategorieBoekjaar[[#This Row],[BedrijfsCode]]="002",IF(report_B_CategorieBoekjaar[[#This Row],[Boekjaar]]=Projectbegroting!$K$1,report_B_CategorieBoekjaar[[#This Row],[CategorieCode]],0),0)</f>
        <v>0</v>
      </c>
      <c r="I371">
        <f>IF(report_B_CategorieBoekjaar[[#This Row],[BedrijfsCode]]="001",IF(report_B_CategorieBoekjaar[[#This Row],[Boekjaar]]=Projectbegroting!$K$1,report_B_CategorieBoekjaar[[#This Row],[CategorieCode]],0),0)</f>
        <v>0</v>
      </c>
    </row>
    <row r="372" spans="1:9" x14ac:dyDescent="0.3">
      <c r="A372" t="s">
        <v>330</v>
      </c>
      <c r="B372" s="20">
        <v>45658</v>
      </c>
      <c r="C372" t="s">
        <v>64</v>
      </c>
      <c r="D372" t="s">
        <v>476</v>
      </c>
      <c r="E372" t="s">
        <v>381</v>
      </c>
      <c r="F372">
        <v>43</v>
      </c>
      <c r="G372">
        <v>0</v>
      </c>
      <c r="H372">
        <f>IF(report_B_CategorieBoekjaar[[#This Row],[BedrijfsCode]]="002",IF(report_B_CategorieBoekjaar[[#This Row],[Boekjaar]]=Projectbegroting!$K$1,report_B_CategorieBoekjaar[[#This Row],[CategorieCode]],0),0)</f>
        <v>0</v>
      </c>
      <c r="I372">
        <f>IF(report_B_CategorieBoekjaar[[#This Row],[BedrijfsCode]]="001",IF(report_B_CategorieBoekjaar[[#This Row],[Boekjaar]]=Projectbegroting!$K$1,report_B_CategorieBoekjaar[[#This Row],[CategorieCode]],0),0)</f>
        <v>0</v>
      </c>
    </row>
    <row r="373" spans="1:9" x14ac:dyDescent="0.3">
      <c r="A373" t="s">
        <v>330</v>
      </c>
      <c r="B373" s="20">
        <v>45658</v>
      </c>
      <c r="C373" t="s">
        <v>477</v>
      </c>
      <c r="D373" t="s">
        <v>478</v>
      </c>
      <c r="E373" t="s">
        <v>384</v>
      </c>
      <c r="F373">
        <v>102</v>
      </c>
      <c r="G373">
        <v>0</v>
      </c>
      <c r="H373">
        <f>IF(report_B_CategorieBoekjaar[[#This Row],[BedrijfsCode]]="002",IF(report_B_CategorieBoekjaar[[#This Row],[Boekjaar]]=Projectbegroting!$K$1,report_B_CategorieBoekjaar[[#This Row],[CategorieCode]],0),0)</f>
        <v>0</v>
      </c>
      <c r="I373">
        <f>IF(report_B_CategorieBoekjaar[[#This Row],[BedrijfsCode]]="001",IF(report_B_CategorieBoekjaar[[#This Row],[Boekjaar]]=Projectbegroting!$K$1,report_B_CategorieBoekjaar[[#This Row],[CategorieCode]],0),0)</f>
        <v>0</v>
      </c>
    </row>
    <row r="374" spans="1:9" x14ac:dyDescent="0.3">
      <c r="A374" t="s">
        <v>330</v>
      </c>
      <c r="B374" s="20">
        <v>45658</v>
      </c>
      <c r="C374" t="s">
        <v>80</v>
      </c>
      <c r="D374" t="s">
        <v>81</v>
      </c>
      <c r="E374" t="s">
        <v>381</v>
      </c>
      <c r="F374">
        <v>85</v>
      </c>
      <c r="G374">
        <v>0</v>
      </c>
      <c r="H374">
        <f>IF(report_B_CategorieBoekjaar[[#This Row],[BedrijfsCode]]="002",IF(report_B_CategorieBoekjaar[[#This Row],[Boekjaar]]=Projectbegroting!$K$1,report_B_CategorieBoekjaar[[#This Row],[CategorieCode]],0),0)</f>
        <v>0</v>
      </c>
      <c r="I374">
        <f>IF(report_B_CategorieBoekjaar[[#This Row],[BedrijfsCode]]="001",IF(report_B_CategorieBoekjaar[[#This Row],[Boekjaar]]=Projectbegroting!$K$1,report_B_CategorieBoekjaar[[#This Row],[CategorieCode]],0),0)</f>
        <v>0</v>
      </c>
    </row>
    <row r="375" spans="1:9" x14ac:dyDescent="0.3">
      <c r="A375" t="s">
        <v>330</v>
      </c>
      <c r="B375" s="20">
        <v>45658</v>
      </c>
      <c r="C375" t="s">
        <v>479</v>
      </c>
      <c r="D375" t="s">
        <v>480</v>
      </c>
      <c r="E375" t="s">
        <v>384</v>
      </c>
      <c r="F375">
        <v>140</v>
      </c>
      <c r="G375">
        <v>0</v>
      </c>
      <c r="H375">
        <f>IF(report_B_CategorieBoekjaar[[#This Row],[BedrijfsCode]]="002",IF(report_B_CategorieBoekjaar[[#This Row],[Boekjaar]]=Projectbegroting!$K$1,report_B_CategorieBoekjaar[[#This Row],[CategorieCode]],0),0)</f>
        <v>0</v>
      </c>
      <c r="I375">
        <f>IF(report_B_CategorieBoekjaar[[#This Row],[BedrijfsCode]]="001",IF(report_B_CategorieBoekjaar[[#This Row],[Boekjaar]]=Projectbegroting!$K$1,report_B_CategorieBoekjaar[[#This Row],[CategorieCode]],0),0)</f>
        <v>0</v>
      </c>
    </row>
    <row r="376" spans="1:9" x14ac:dyDescent="0.3">
      <c r="A376" t="s">
        <v>330</v>
      </c>
      <c r="B376" s="20">
        <v>45658</v>
      </c>
      <c r="C376" t="s">
        <v>66</v>
      </c>
      <c r="D376" t="s">
        <v>67</v>
      </c>
      <c r="E376" t="s">
        <v>381</v>
      </c>
      <c r="F376">
        <v>85</v>
      </c>
      <c r="G376">
        <v>117</v>
      </c>
      <c r="H376">
        <f>IF(report_B_CategorieBoekjaar[[#This Row],[BedrijfsCode]]="002",IF(report_B_CategorieBoekjaar[[#This Row],[Boekjaar]]=Projectbegroting!$K$1,report_B_CategorieBoekjaar[[#This Row],[CategorieCode]],0),0)</f>
        <v>0</v>
      </c>
      <c r="I376">
        <f>IF(report_B_CategorieBoekjaar[[#This Row],[BedrijfsCode]]="001",IF(report_B_CategorieBoekjaar[[#This Row],[Boekjaar]]=Projectbegroting!$K$1,report_B_CategorieBoekjaar[[#This Row],[CategorieCode]],0),0)</f>
        <v>0</v>
      </c>
    </row>
    <row r="377" spans="1:9" x14ac:dyDescent="0.3">
      <c r="A377" t="s">
        <v>330</v>
      </c>
      <c r="B377" s="20">
        <v>45658</v>
      </c>
      <c r="C377" t="s">
        <v>481</v>
      </c>
      <c r="D377" t="s">
        <v>482</v>
      </c>
      <c r="E377" t="s">
        <v>384</v>
      </c>
      <c r="F377">
        <v>140</v>
      </c>
      <c r="G377">
        <v>0</v>
      </c>
      <c r="H377">
        <f>IF(report_B_CategorieBoekjaar[[#This Row],[BedrijfsCode]]="002",IF(report_B_CategorieBoekjaar[[#This Row],[Boekjaar]]=Projectbegroting!$K$1,report_B_CategorieBoekjaar[[#This Row],[CategorieCode]],0),0)</f>
        <v>0</v>
      </c>
      <c r="I377">
        <f>IF(report_B_CategorieBoekjaar[[#This Row],[BedrijfsCode]]="001",IF(report_B_CategorieBoekjaar[[#This Row],[Boekjaar]]=Projectbegroting!$K$1,report_B_CategorieBoekjaar[[#This Row],[CategorieCode]],0),0)</f>
        <v>0</v>
      </c>
    </row>
    <row r="378" spans="1:9" x14ac:dyDescent="0.3">
      <c r="A378" t="s">
        <v>330</v>
      </c>
      <c r="B378" s="20">
        <v>45658</v>
      </c>
      <c r="C378" t="s">
        <v>98</v>
      </c>
      <c r="D378" t="s">
        <v>99</v>
      </c>
      <c r="E378" t="s">
        <v>381</v>
      </c>
      <c r="F378">
        <v>81</v>
      </c>
      <c r="G378">
        <v>105</v>
      </c>
      <c r="H378">
        <f>IF(report_B_CategorieBoekjaar[[#This Row],[BedrijfsCode]]="002",IF(report_B_CategorieBoekjaar[[#This Row],[Boekjaar]]=Projectbegroting!$K$1,report_B_CategorieBoekjaar[[#This Row],[CategorieCode]],0),0)</f>
        <v>0</v>
      </c>
      <c r="I378">
        <f>IF(report_B_CategorieBoekjaar[[#This Row],[BedrijfsCode]]="001",IF(report_B_CategorieBoekjaar[[#This Row],[Boekjaar]]=Projectbegroting!$K$1,report_B_CategorieBoekjaar[[#This Row],[CategorieCode]],0),0)</f>
        <v>0</v>
      </c>
    </row>
    <row r="379" spans="1:9" x14ac:dyDescent="0.3">
      <c r="A379" t="s">
        <v>330</v>
      </c>
      <c r="B379" s="20">
        <v>45658</v>
      </c>
      <c r="C379" t="s">
        <v>483</v>
      </c>
      <c r="D379" t="s">
        <v>484</v>
      </c>
      <c r="E379" t="s">
        <v>381</v>
      </c>
      <c r="F379">
        <v>164</v>
      </c>
      <c r="G379">
        <v>164</v>
      </c>
      <c r="H379">
        <f>IF(report_B_CategorieBoekjaar[[#This Row],[BedrijfsCode]]="002",IF(report_B_CategorieBoekjaar[[#This Row],[Boekjaar]]=Projectbegroting!$K$1,report_B_CategorieBoekjaar[[#This Row],[CategorieCode]],0),0)</f>
        <v>0</v>
      </c>
      <c r="I379">
        <f>IF(report_B_CategorieBoekjaar[[#This Row],[BedrijfsCode]]="001",IF(report_B_CategorieBoekjaar[[#This Row],[Boekjaar]]=Projectbegroting!$K$1,report_B_CategorieBoekjaar[[#This Row],[CategorieCode]],0),0)</f>
        <v>0</v>
      </c>
    </row>
    <row r="380" spans="1:9" x14ac:dyDescent="0.3">
      <c r="A380" t="s">
        <v>330</v>
      </c>
      <c r="B380" s="20">
        <v>45658</v>
      </c>
      <c r="C380" t="s">
        <v>485</v>
      </c>
      <c r="D380" t="s">
        <v>486</v>
      </c>
      <c r="E380" t="s">
        <v>384</v>
      </c>
      <c r="F380">
        <v>164</v>
      </c>
      <c r="G380">
        <v>0</v>
      </c>
      <c r="H380">
        <f>IF(report_B_CategorieBoekjaar[[#This Row],[BedrijfsCode]]="002",IF(report_B_CategorieBoekjaar[[#This Row],[Boekjaar]]=Projectbegroting!$K$1,report_B_CategorieBoekjaar[[#This Row],[CategorieCode]],0),0)</f>
        <v>0</v>
      </c>
      <c r="I380">
        <f>IF(report_B_CategorieBoekjaar[[#This Row],[BedrijfsCode]]="001",IF(report_B_CategorieBoekjaar[[#This Row],[Boekjaar]]=Projectbegroting!$K$1,report_B_CategorieBoekjaar[[#This Row],[CategorieCode]],0),0)</f>
        <v>0</v>
      </c>
    </row>
    <row r="381" spans="1:9" x14ac:dyDescent="0.3">
      <c r="A381" t="s">
        <v>330</v>
      </c>
      <c r="B381" s="20">
        <v>45658</v>
      </c>
      <c r="C381" t="s">
        <v>175</v>
      </c>
      <c r="D381" t="s">
        <v>487</v>
      </c>
      <c r="E381" t="s">
        <v>384</v>
      </c>
      <c r="F381">
        <v>0</v>
      </c>
      <c r="G381">
        <v>0</v>
      </c>
      <c r="H381">
        <f>IF(report_B_CategorieBoekjaar[[#This Row],[BedrijfsCode]]="002",IF(report_B_CategorieBoekjaar[[#This Row],[Boekjaar]]=Projectbegroting!$K$1,report_B_CategorieBoekjaar[[#This Row],[CategorieCode]],0),0)</f>
        <v>0</v>
      </c>
      <c r="I381">
        <f>IF(report_B_CategorieBoekjaar[[#This Row],[BedrijfsCode]]="001",IF(report_B_CategorieBoekjaar[[#This Row],[Boekjaar]]=Projectbegroting!$K$1,report_B_CategorieBoekjaar[[#This Row],[CategorieCode]],0),0)</f>
        <v>0</v>
      </c>
    </row>
    <row r="382" spans="1:9" x14ac:dyDescent="0.3">
      <c r="A382" t="s">
        <v>330</v>
      </c>
      <c r="B382" s="20">
        <v>45658</v>
      </c>
      <c r="C382" t="s">
        <v>488</v>
      </c>
      <c r="D382" t="s">
        <v>489</v>
      </c>
      <c r="E382" t="s">
        <v>381</v>
      </c>
      <c r="F382">
        <v>80</v>
      </c>
      <c r="G382">
        <v>105</v>
      </c>
      <c r="H382">
        <f>IF(report_B_CategorieBoekjaar[[#This Row],[BedrijfsCode]]="002",IF(report_B_CategorieBoekjaar[[#This Row],[Boekjaar]]=Projectbegroting!$K$1,report_B_CategorieBoekjaar[[#This Row],[CategorieCode]],0),0)</f>
        <v>0</v>
      </c>
      <c r="I382">
        <f>IF(report_B_CategorieBoekjaar[[#This Row],[BedrijfsCode]]="001",IF(report_B_CategorieBoekjaar[[#This Row],[Boekjaar]]=Projectbegroting!$K$1,report_B_CategorieBoekjaar[[#This Row],[CategorieCode]],0),0)</f>
        <v>0</v>
      </c>
    </row>
    <row r="383" spans="1:9" x14ac:dyDescent="0.3">
      <c r="A383" t="s">
        <v>330</v>
      </c>
      <c r="B383" s="20">
        <v>45658</v>
      </c>
      <c r="C383" t="s">
        <v>490</v>
      </c>
      <c r="D383" t="s">
        <v>491</v>
      </c>
      <c r="E383" t="s">
        <v>384</v>
      </c>
      <c r="F383">
        <v>0</v>
      </c>
      <c r="G383">
        <v>0</v>
      </c>
      <c r="H383">
        <f>IF(report_B_CategorieBoekjaar[[#This Row],[BedrijfsCode]]="002",IF(report_B_CategorieBoekjaar[[#This Row],[Boekjaar]]=Projectbegroting!$K$1,report_B_CategorieBoekjaar[[#This Row],[CategorieCode]],0),0)</f>
        <v>0</v>
      </c>
      <c r="I383">
        <f>IF(report_B_CategorieBoekjaar[[#This Row],[BedrijfsCode]]="001",IF(report_B_CategorieBoekjaar[[#This Row],[Boekjaar]]=Projectbegroting!$K$1,report_B_CategorieBoekjaar[[#This Row],[CategorieCode]],0),0)</f>
        <v>0</v>
      </c>
    </row>
    <row r="384" spans="1:9" x14ac:dyDescent="0.3">
      <c r="A384" t="s">
        <v>330</v>
      </c>
      <c r="B384" s="20">
        <v>45658</v>
      </c>
      <c r="C384" t="s">
        <v>68</v>
      </c>
      <c r="D384" t="s">
        <v>492</v>
      </c>
      <c r="E384" t="s">
        <v>381</v>
      </c>
      <c r="F384">
        <v>52</v>
      </c>
      <c r="G384">
        <v>84</v>
      </c>
      <c r="H384">
        <f>IF(report_B_CategorieBoekjaar[[#This Row],[BedrijfsCode]]="002",IF(report_B_CategorieBoekjaar[[#This Row],[Boekjaar]]=Projectbegroting!$K$1,report_B_CategorieBoekjaar[[#This Row],[CategorieCode]],0),0)</f>
        <v>0</v>
      </c>
      <c r="I384">
        <f>IF(report_B_CategorieBoekjaar[[#This Row],[BedrijfsCode]]="001",IF(report_B_CategorieBoekjaar[[#This Row],[Boekjaar]]=Projectbegroting!$K$1,report_B_CategorieBoekjaar[[#This Row],[CategorieCode]],0),0)</f>
        <v>0</v>
      </c>
    </row>
    <row r="385" spans="1:9" x14ac:dyDescent="0.3">
      <c r="A385" t="s">
        <v>330</v>
      </c>
      <c r="B385" s="20">
        <v>45658</v>
      </c>
      <c r="C385" t="s">
        <v>177</v>
      </c>
      <c r="D385" t="s">
        <v>493</v>
      </c>
      <c r="E385" t="s">
        <v>384</v>
      </c>
      <c r="F385">
        <v>107</v>
      </c>
      <c r="G385">
        <v>0</v>
      </c>
      <c r="H385">
        <f>IF(report_B_CategorieBoekjaar[[#This Row],[BedrijfsCode]]="002",IF(report_B_CategorieBoekjaar[[#This Row],[Boekjaar]]=Projectbegroting!$K$1,report_B_CategorieBoekjaar[[#This Row],[CategorieCode]],0),0)</f>
        <v>0</v>
      </c>
      <c r="I385">
        <f>IF(report_B_CategorieBoekjaar[[#This Row],[BedrijfsCode]]="001",IF(report_B_CategorieBoekjaar[[#This Row],[Boekjaar]]=Projectbegroting!$K$1,report_B_CategorieBoekjaar[[#This Row],[CategorieCode]],0),0)</f>
        <v>0</v>
      </c>
    </row>
    <row r="386" spans="1:9" x14ac:dyDescent="0.3">
      <c r="A386" t="s">
        <v>330</v>
      </c>
      <c r="B386" s="20">
        <v>45658</v>
      </c>
      <c r="C386" t="s">
        <v>494</v>
      </c>
      <c r="D386" t="s">
        <v>495</v>
      </c>
      <c r="E386" t="s">
        <v>381</v>
      </c>
      <c r="F386">
        <v>47</v>
      </c>
      <c r="G386">
        <v>83</v>
      </c>
      <c r="H386">
        <f>IF(report_B_CategorieBoekjaar[[#This Row],[BedrijfsCode]]="002",IF(report_B_CategorieBoekjaar[[#This Row],[Boekjaar]]=Projectbegroting!$K$1,report_B_CategorieBoekjaar[[#This Row],[CategorieCode]],0),0)</f>
        <v>0</v>
      </c>
      <c r="I386">
        <f>IF(report_B_CategorieBoekjaar[[#This Row],[BedrijfsCode]]="001",IF(report_B_CategorieBoekjaar[[#This Row],[Boekjaar]]=Projectbegroting!$K$1,report_B_CategorieBoekjaar[[#This Row],[CategorieCode]],0),0)</f>
        <v>0</v>
      </c>
    </row>
    <row r="387" spans="1:9" x14ac:dyDescent="0.3">
      <c r="A387" t="s">
        <v>330</v>
      </c>
      <c r="B387" s="20">
        <v>45658</v>
      </c>
      <c r="C387" t="s">
        <v>496</v>
      </c>
      <c r="D387" t="s">
        <v>497</v>
      </c>
      <c r="E387" t="s">
        <v>384</v>
      </c>
      <c r="F387">
        <v>0</v>
      </c>
      <c r="G387">
        <v>0</v>
      </c>
      <c r="H387">
        <f>IF(report_B_CategorieBoekjaar[[#This Row],[BedrijfsCode]]="002",IF(report_B_CategorieBoekjaar[[#This Row],[Boekjaar]]=Projectbegroting!$K$1,report_B_CategorieBoekjaar[[#This Row],[CategorieCode]],0),0)</f>
        <v>0</v>
      </c>
      <c r="I387">
        <f>IF(report_B_CategorieBoekjaar[[#This Row],[BedrijfsCode]]="001",IF(report_B_CategorieBoekjaar[[#This Row],[Boekjaar]]=Projectbegroting!$K$1,report_B_CategorieBoekjaar[[#This Row],[CategorieCode]],0),0)</f>
        <v>0</v>
      </c>
    </row>
    <row r="388" spans="1:9" x14ac:dyDescent="0.3">
      <c r="A388" t="s">
        <v>330</v>
      </c>
      <c r="B388" s="20">
        <v>45658</v>
      </c>
      <c r="C388" t="s">
        <v>70</v>
      </c>
      <c r="D388" t="s">
        <v>498</v>
      </c>
      <c r="E388" t="s">
        <v>381</v>
      </c>
      <c r="F388">
        <v>45</v>
      </c>
      <c r="G388">
        <v>0</v>
      </c>
      <c r="H388">
        <f>IF(report_B_CategorieBoekjaar[[#This Row],[BedrijfsCode]]="002",IF(report_B_CategorieBoekjaar[[#This Row],[Boekjaar]]=Projectbegroting!$K$1,report_B_CategorieBoekjaar[[#This Row],[CategorieCode]],0),0)</f>
        <v>0</v>
      </c>
      <c r="I388">
        <f>IF(report_B_CategorieBoekjaar[[#This Row],[BedrijfsCode]]="001",IF(report_B_CategorieBoekjaar[[#This Row],[Boekjaar]]=Projectbegroting!$K$1,report_B_CategorieBoekjaar[[#This Row],[CategorieCode]],0),0)</f>
        <v>0</v>
      </c>
    </row>
    <row r="389" spans="1:9" x14ac:dyDescent="0.3">
      <c r="A389" t="s">
        <v>330</v>
      </c>
      <c r="B389" s="20">
        <v>45658</v>
      </c>
      <c r="C389" t="s">
        <v>499</v>
      </c>
      <c r="D389" t="s">
        <v>500</v>
      </c>
      <c r="E389" t="s">
        <v>384</v>
      </c>
      <c r="F389">
        <v>100</v>
      </c>
      <c r="G389">
        <v>0</v>
      </c>
      <c r="H389">
        <f>IF(report_B_CategorieBoekjaar[[#This Row],[BedrijfsCode]]="002",IF(report_B_CategorieBoekjaar[[#This Row],[Boekjaar]]=Projectbegroting!$K$1,report_B_CategorieBoekjaar[[#This Row],[CategorieCode]],0),0)</f>
        <v>0</v>
      </c>
      <c r="I389">
        <f>IF(report_B_CategorieBoekjaar[[#This Row],[BedrijfsCode]]="001",IF(report_B_CategorieBoekjaar[[#This Row],[Boekjaar]]=Projectbegroting!$K$1,report_B_CategorieBoekjaar[[#This Row],[CategorieCode]],0),0)</f>
        <v>0</v>
      </c>
    </row>
    <row r="390" spans="1:9" x14ac:dyDescent="0.3">
      <c r="A390" t="s">
        <v>330</v>
      </c>
      <c r="B390" s="20">
        <v>45658</v>
      </c>
      <c r="C390" t="s">
        <v>501</v>
      </c>
      <c r="D390" t="s">
        <v>502</v>
      </c>
      <c r="E390" t="s">
        <v>381</v>
      </c>
      <c r="F390">
        <v>70</v>
      </c>
      <c r="G390">
        <v>114</v>
      </c>
      <c r="H390">
        <f>IF(report_B_CategorieBoekjaar[[#This Row],[BedrijfsCode]]="002",IF(report_B_CategorieBoekjaar[[#This Row],[Boekjaar]]=Projectbegroting!$K$1,report_B_CategorieBoekjaar[[#This Row],[CategorieCode]],0),0)</f>
        <v>0</v>
      </c>
      <c r="I390">
        <f>IF(report_B_CategorieBoekjaar[[#This Row],[BedrijfsCode]]="001",IF(report_B_CategorieBoekjaar[[#This Row],[Boekjaar]]=Projectbegroting!$K$1,report_B_CategorieBoekjaar[[#This Row],[CategorieCode]],0),0)</f>
        <v>0</v>
      </c>
    </row>
    <row r="391" spans="1:9" x14ac:dyDescent="0.3">
      <c r="A391" t="s">
        <v>330</v>
      </c>
      <c r="B391" s="20">
        <v>45658</v>
      </c>
      <c r="C391" t="s">
        <v>503</v>
      </c>
      <c r="D391" t="s">
        <v>504</v>
      </c>
      <c r="E391" t="s">
        <v>384</v>
      </c>
      <c r="F391">
        <v>0</v>
      </c>
      <c r="G391">
        <v>0</v>
      </c>
      <c r="H391">
        <f>IF(report_B_CategorieBoekjaar[[#This Row],[BedrijfsCode]]="002",IF(report_B_CategorieBoekjaar[[#This Row],[Boekjaar]]=Projectbegroting!$K$1,report_B_CategorieBoekjaar[[#This Row],[CategorieCode]],0),0)</f>
        <v>0</v>
      </c>
      <c r="I391">
        <f>IF(report_B_CategorieBoekjaar[[#This Row],[BedrijfsCode]]="001",IF(report_B_CategorieBoekjaar[[#This Row],[Boekjaar]]=Projectbegroting!$K$1,report_B_CategorieBoekjaar[[#This Row],[CategorieCode]],0),0)</f>
        <v>0</v>
      </c>
    </row>
    <row r="392" spans="1:9" x14ac:dyDescent="0.3">
      <c r="A392" t="s">
        <v>330</v>
      </c>
      <c r="B392" s="20">
        <v>45658</v>
      </c>
      <c r="C392" t="s">
        <v>505</v>
      </c>
      <c r="D392" t="s">
        <v>506</v>
      </c>
      <c r="E392" t="s">
        <v>381</v>
      </c>
      <c r="F392">
        <v>0</v>
      </c>
      <c r="G392">
        <v>0</v>
      </c>
      <c r="H392">
        <f>IF(report_B_CategorieBoekjaar[[#This Row],[BedrijfsCode]]="002",IF(report_B_CategorieBoekjaar[[#This Row],[Boekjaar]]=Projectbegroting!$K$1,report_B_CategorieBoekjaar[[#This Row],[CategorieCode]],0),0)</f>
        <v>0</v>
      </c>
      <c r="I392">
        <f>IF(report_B_CategorieBoekjaar[[#This Row],[BedrijfsCode]]="001",IF(report_B_CategorieBoekjaar[[#This Row],[Boekjaar]]=Projectbegroting!$K$1,report_B_CategorieBoekjaar[[#This Row],[CategorieCode]],0),0)</f>
        <v>0</v>
      </c>
    </row>
    <row r="393" spans="1:9" x14ac:dyDescent="0.3">
      <c r="A393" t="s">
        <v>330</v>
      </c>
      <c r="B393" s="20">
        <v>45658</v>
      </c>
      <c r="C393" t="s">
        <v>507</v>
      </c>
      <c r="D393" t="s">
        <v>508</v>
      </c>
      <c r="E393" t="s">
        <v>384</v>
      </c>
      <c r="F393">
        <v>0</v>
      </c>
      <c r="G393">
        <v>0</v>
      </c>
      <c r="H393">
        <f>IF(report_B_CategorieBoekjaar[[#This Row],[BedrijfsCode]]="002",IF(report_B_CategorieBoekjaar[[#This Row],[Boekjaar]]=Projectbegroting!$K$1,report_B_CategorieBoekjaar[[#This Row],[CategorieCode]],0),0)</f>
        <v>0</v>
      </c>
      <c r="I393">
        <f>IF(report_B_CategorieBoekjaar[[#This Row],[BedrijfsCode]]="001",IF(report_B_CategorieBoekjaar[[#This Row],[Boekjaar]]=Projectbegroting!$K$1,report_B_CategorieBoekjaar[[#This Row],[CategorieCode]],0),0)</f>
        <v>0</v>
      </c>
    </row>
    <row r="394" spans="1:9" x14ac:dyDescent="0.3">
      <c r="A394" t="s">
        <v>330</v>
      </c>
      <c r="B394" s="20">
        <v>45658</v>
      </c>
      <c r="C394" t="s">
        <v>509</v>
      </c>
      <c r="D394" t="s">
        <v>510</v>
      </c>
      <c r="E394" t="s">
        <v>381</v>
      </c>
      <c r="F394">
        <v>154</v>
      </c>
      <c r="G394">
        <v>0</v>
      </c>
      <c r="H394">
        <f>IF(report_B_CategorieBoekjaar[[#This Row],[BedrijfsCode]]="002",IF(report_B_CategorieBoekjaar[[#This Row],[Boekjaar]]=Projectbegroting!$K$1,report_B_CategorieBoekjaar[[#This Row],[CategorieCode]],0),0)</f>
        <v>0</v>
      </c>
      <c r="I394">
        <f>IF(report_B_CategorieBoekjaar[[#This Row],[BedrijfsCode]]="001",IF(report_B_CategorieBoekjaar[[#This Row],[Boekjaar]]=Projectbegroting!$K$1,report_B_CategorieBoekjaar[[#This Row],[CategorieCode]],0),0)</f>
        <v>0</v>
      </c>
    </row>
    <row r="395" spans="1:9" x14ac:dyDescent="0.3">
      <c r="A395" t="s">
        <v>330</v>
      </c>
      <c r="B395" s="20">
        <v>45658</v>
      </c>
      <c r="C395" t="s">
        <v>511</v>
      </c>
      <c r="D395" t="s">
        <v>512</v>
      </c>
      <c r="E395" t="s">
        <v>381</v>
      </c>
      <c r="F395">
        <v>0</v>
      </c>
      <c r="G395">
        <v>0</v>
      </c>
      <c r="H395">
        <f>IF(report_B_CategorieBoekjaar[[#This Row],[BedrijfsCode]]="002",IF(report_B_CategorieBoekjaar[[#This Row],[Boekjaar]]=Projectbegroting!$K$1,report_B_CategorieBoekjaar[[#This Row],[CategorieCode]],0),0)</f>
        <v>0</v>
      </c>
      <c r="I395">
        <f>IF(report_B_CategorieBoekjaar[[#This Row],[BedrijfsCode]]="001",IF(report_B_CategorieBoekjaar[[#This Row],[Boekjaar]]=Projectbegroting!$K$1,report_B_CategorieBoekjaar[[#This Row],[CategorieCode]],0),0)</f>
        <v>0</v>
      </c>
    </row>
    <row r="396" spans="1:9" x14ac:dyDescent="0.3">
      <c r="A396" t="s">
        <v>330</v>
      </c>
      <c r="B396" s="20">
        <v>45658</v>
      </c>
      <c r="C396" t="s">
        <v>92</v>
      </c>
      <c r="D396" t="s">
        <v>513</v>
      </c>
      <c r="E396" t="s">
        <v>381</v>
      </c>
      <c r="F396">
        <v>68</v>
      </c>
      <c r="G396">
        <v>100</v>
      </c>
      <c r="H396">
        <f>IF(report_B_CategorieBoekjaar[[#This Row],[BedrijfsCode]]="002",IF(report_B_CategorieBoekjaar[[#This Row],[Boekjaar]]=Projectbegroting!$K$1,report_B_CategorieBoekjaar[[#This Row],[CategorieCode]],0),0)</f>
        <v>0</v>
      </c>
      <c r="I396">
        <f>IF(report_B_CategorieBoekjaar[[#This Row],[BedrijfsCode]]="001",IF(report_B_CategorieBoekjaar[[#This Row],[Boekjaar]]=Projectbegroting!$K$1,report_B_CategorieBoekjaar[[#This Row],[CategorieCode]],0),0)</f>
        <v>0</v>
      </c>
    </row>
    <row r="397" spans="1:9" x14ac:dyDescent="0.3">
      <c r="A397" t="s">
        <v>330</v>
      </c>
      <c r="B397" s="20">
        <v>45658</v>
      </c>
      <c r="C397" t="s">
        <v>514</v>
      </c>
      <c r="D397" t="s">
        <v>515</v>
      </c>
      <c r="E397" t="s">
        <v>384</v>
      </c>
      <c r="F397">
        <v>123</v>
      </c>
      <c r="G397">
        <v>0</v>
      </c>
      <c r="H397">
        <f>IF(report_B_CategorieBoekjaar[[#This Row],[BedrijfsCode]]="002",IF(report_B_CategorieBoekjaar[[#This Row],[Boekjaar]]=Projectbegroting!$K$1,report_B_CategorieBoekjaar[[#This Row],[CategorieCode]],0),0)</f>
        <v>0</v>
      </c>
      <c r="I397">
        <f>IF(report_B_CategorieBoekjaar[[#This Row],[BedrijfsCode]]="001",IF(report_B_CategorieBoekjaar[[#This Row],[Boekjaar]]=Projectbegroting!$K$1,report_B_CategorieBoekjaar[[#This Row],[CategorieCode]],0),0)</f>
        <v>0</v>
      </c>
    </row>
    <row r="398" spans="1:9" x14ac:dyDescent="0.3">
      <c r="A398" t="s">
        <v>330</v>
      </c>
      <c r="B398" s="20">
        <v>45658</v>
      </c>
      <c r="C398" t="s">
        <v>72</v>
      </c>
      <c r="D398" t="s">
        <v>516</v>
      </c>
      <c r="E398" t="s">
        <v>381</v>
      </c>
      <c r="F398">
        <v>58</v>
      </c>
      <c r="G398">
        <v>70</v>
      </c>
      <c r="H398">
        <f>IF(report_B_CategorieBoekjaar[[#This Row],[BedrijfsCode]]="002",IF(report_B_CategorieBoekjaar[[#This Row],[Boekjaar]]=Projectbegroting!$K$1,report_B_CategorieBoekjaar[[#This Row],[CategorieCode]],0),0)</f>
        <v>0</v>
      </c>
      <c r="I398">
        <f>IF(report_B_CategorieBoekjaar[[#This Row],[BedrijfsCode]]="001",IF(report_B_CategorieBoekjaar[[#This Row],[Boekjaar]]=Projectbegroting!$K$1,report_B_CategorieBoekjaar[[#This Row],[CategorieCode]],0),0)</f>
        <v>0</v>
      </c>
    </row>
    <row r="399" spans="1:9" x14ac:dyDescent="0.3">
      <c r="A399" t="s">
        <v>330</v>
      </c>
      <c r="B399" s="20">
        <v>45658</v>
      </c>
      <c r="C399" t="s">
        <v>517</v>
      </c>
      <c r="D399" t="s">
        <v>518</v>
      </c>
      <c r="E399" t="s">
        <v>384</v>
      </c>
      <c r="F399">
        <v>113</v>
      </c>
      <c r="G399">
        <v>0</v>
      </c>
      <c r="H399">
        <f>IF(report_B_CategorieBoekjaar[[#This Row],[BedrijfsCode]]="002",IF(report_B_CategorieBoekjaar[[#This Row],[Boekjaar]]=Projectbegroting!$K$1,report_B_CategorieBoekjaar[[#This Row],[CategorieCode]],0),0)</f>
        <v>0</v>
      </c>
      <c r="I399">
        <f>IF(report_B_CategorieBoekjaar[[#This Row],[BedrijfsCode]]="001",IF(report_B_CategorieBoekjaar[[#This Row],[Boekjaar]]=Projectbegroting!$K$1,report_B_CategorieBoekjaar[[#This Row],[CategorieCode]],0),0)</f>
        <v>0</v>
      </c>
    </row>
    <row r="400" spans="1:9" x14ac:dyDescent="0.3">
      <c r="A400" t="s">
        <v>330</v>
      </c>
      <c r="B400" s="20">
        <v>45658</v>
      </c>
      <c r="C400" t="s">
        <v>74</v>
      </c>
      <c r="D400" t="s">
        <v>75</v>
      </c>
      <c r="E400" t="s">
        <v>381</v>
      </c>
      <c r="F400">
        <v>47</v>
      </c>
      <c r="G400">
        <v>79</v>
      </c>
      <c r="H400">
        <f>IF(report_B_CategorieBoekjaar[[#This Row],[BedrijfsCode]]="002",IF(report_B_CategorieBoekjaar[[#This Row],[Boekjaar]]=Projectbegroting!$K$1,report_B_CategorieBoekjaar[[#This Row],[CategorieCode]],0),0)</f>
        <v>0</v>
      </c>
      <c r="I400">
        <f>IF(report_B_CategorieBoekjaar[[#This Row],[BedrijfsCode]]="001",IF(report_B_CategorieBoekjaar[[#This Row],[Boekjaar]]=Projectbegroting!$K$1,report_B_CategorieBoekjaar[[#This Row],[CategorieCode]],0),0)</f>
        <v>0</v>
      </c>
    </row>
    <row r="401" spans="1:9" x14ac:dyDescent="0.3">
      <c r="A401" t="s">
        <v>330</v>
      </c>
      <c r="B401" s="20">
        <v>45658</v>
      </c>
      <c r="C401" t="s">
        <v>178</v>
      </c>
      <c r="D401" t="s">
        <v>519</v>
      </c>
      <c r="E401" t="s">
        <v>384</v>
      </c>
      <c r="F401">
        <v>102</v>
      </c>
      <c r="G401">
        <v>0</v>
      </c>
      <c r="H401">
        <f>IF(report_B_CategorieBoekjaar[[#This Row],[BedrijfsCode]]="002",IF(report_B_CategorieBoekjaar[[#This Row],[Boekjaar]]=Projectbegroting!$K$1,report_B_CategorieBoekjaar[[#This Row],[CategorieCode]],0),0)</f>
        <v>0</v>
      </c>
      <c r="I401">
        <f>IF(report_B_CategorieBoekjaar[[#This Row],[BedrijfsCode]]="001",IF(report_B_CategorieBoekjaar[[#This Row],[Boekjaar]]=Projectbegroting!$K$1,report_B_CategorieBoekjaar[[#This Row],[CategorieCode]],0),0)</f>
        <v>0</v>
      </c>
    </row>
    <row r="402" spans="1:9" x14ac:dyDescent="0.3">
      <c r="A402" t="s">
        <v>330</v>
      </c>
      <c r="B402" s="20">
        <v>45658</v>
      </c>
      <c r="C402" t="s">
        <v>76</v>
      </c>
      <c r="D402" t="s">
        <v>77</v>
      </c>
      <c r="E402" t="s">
        <v>381</v>
      </c>
      <c r="F402">
        <v>75</v>
      </c>
      <c r="G402">
        <v>0</v>
      </c>
      <c r="H402">
        <f>IF(report_B_CategorieBoekjaar[[#This Row],[BedrijfsCode]]="002",IF(report_B_CategorieBoekjaar[[#This Row],[Boekjaar]]=Projectbegroting!$K$1,report_B_CategorieBoekjaar[[#This Row],[CategorieCode]],0),0)</f>
        <v>0</v>
      </c>
      <c r="I402">
        <f>IF(report_B_CategorieBoekjaar[[#This Row],[BedrijfsCode]]="001",IF(report_B_CategorieBoekjaar[[#This Row],[Boekjaar]]=Projectbegroting!$K$1,report_B_CategorieBoekjaar[[#This Row],[CategorieCode]],0),0)</f>
        <v>0</v>
      </c>
    </row>
    <row r="403" spans="1:9" x14ac:dyDescent="0.3">
      <c r="A403" t="s">
        <v>330</v>
      </c>
      <c r="B403" s="20">
        <v>45658</v>
      </c>
      <c r="C403" t="s">
        <v>520</v>
      </c>
      <c r="D403" t="s">
        <v>521</v>
      </c>
      <c r="E403" t="s">
        <v>384</v>
      </c>
      <c r="F403">
        <v>130</v>
      </c>
      <c r="G403">
        <v>0</v>
      </c>
      <c r="H403">
        <f>IF(report_B_CategorieBoekjaar[[#This Row],[BedrijfsCode]]="002",IF(report_B_CategorieBoekjaar[[#This Row],[Boekjaar]]=Projectbegroting!$K$1,report_B_CategorieBoekjaar[[#This Row],[CategorieCode]],0),0)</f>
        <v>0</v>
      </c>
      <c r="I403">
        <f>IF(report_B_CategorieBoekjaar[[#This Row],[BedrijfsCode]]="001",IF(report_B_CategorieBoekjaar[[#This Row],[Boekjaar]]=Projectbegroting!$K$1,report_B_CategorieBoekjaar[[#This Row],[CategorieCode]],0),0)</f>
        <v>0</v>
      </c>
    </row>
    <row r="404" spans="1:9" x14ac:dyDescent="0.3">
      <c r="A404" t="s">
        <v>330</v>
      </c>
      <c r="B404" s="20">
        <v>45658</v>
      </c>
      <c r="C404" t="s">
        <v>522</v>
      </c>
      <c r="D404" t="s">
        <v>523</v>
      </c>
      <c r="E404" t="s">
        <v>381</v>
      </c>
      <c r="F404">
        <v>90</v>
      </c>
      <c r="G404">
        <v>122</v>
      </c>
      <c r="H404">
        <f>IF(report_B_CategorieBoekjaar[[#This Row],[BedrijfsCode]]="002",IF(report_B_CategorieBoekjaar[[#This Row],[Boekjaar]]=Projectbegroting!$K$1,report_B_CategorieBoekjaar[[#This Row],[CategorieCode]],0),0)</f>
        <v>0</v>
      </c>
      <c r="I404">
        <f>IF(report_B_CategorieBoekjaar[[#This Row],[BedrijfsCode]]="001",IF(report_B_CategorieBoekjaar[[#This Row],[Boekjaar]]=Projectbegroting!$K$1,report_B_CategorieBoekjaar[[#This Row],[CategorieCode]],0),0)</f>
        <v>0</v>
      </c>
    </row>
    <row r="405" spans="1:9" x14ac:dyDescent="0.3">
      <c r="A405" t="s">
        <v>330</v>
      </c>
      <c r="B405" s="20">
        <v>45658</v>
      </c>
      <c r="C405" t="s">
        <v>78</v>
      </c>
      <c r="D405" t="s">
        <v>79</v>
      </c>
      <c r="E405" t="s">
        <v>381</v>
      </c>
      <c r="F405">
        <v>74</v>
      </c>
      <c r="G405">
        <v>119</v>
      </c>
      <c r="H405">
        <f>IF(report_B_CategorieBoekjaar[[#This Row],[BedrijfsCode]]="002",IF(report_B_CategorieBoekjaar[[#This Row],[Boekjaar]]=Projectbegroting!$K$1,report_B_CategorieBoekjaar[[#This Row],[CategorieCode]],0),0)</f>
        <v>0</v>
      </c>
      <c r="I405">
        <f>IF(report_B_CategorieBoekjaar[[#This Row],[BedrijfsCode]]="001",IF(report_B_CategorieBoekjaar[[#This Row],[Boekjaar]]=Projectbegroting!$K$1,report_B_CategorieBoekjaar[[#This Row],[CategorieCode]],0),0)</f>
        <v>0</v>
      </c>
    </row>
    <row r="406" spans="1:9" x14ac:dyDescent="0.3">
      <c r="A406" t="s">
        <v>330</v>
      </c>
      <c r="B406" s="20">
        <v>45658</v>
      </c>
      <c r="C406" t="s">
        <v>176</v>
      </c>
      <c r="D406" t="s">
        <v>524</v>
      </c>
      <c r="E406" t="s">
        <v>384</v>
      </c>
      <c r="F406">
        <v>129</v>
      </c>
      <c r="G406">
        <v>0</v>
      </c>
      <c r="H406">
        <f>IF(report_B_CategorieBoekjaar[[#This Row],[BedrijfsCode]]="002",IF(report_B_CategorieBoekjaar[[#This Row],[Boekjaar]]=Projectbegroting!$K$1,report_B_CategorieBoekjaar[[#This Row],[CategorieCode]],0),0)</f>
        <v>0</v>
      </c>
      <c r="I406">
        <f>IF(report_B_CategorieBoekjaar[[#This Row],[BedrijfsCode]]="001",IF(report_B_CategorieBoekjaar[[#This Row],[Boekjaar]]=Projectbegroting!$K$1,report_B_CategorieBoekjaar[[#This Row],[CategorieCode]],0),0)</f>
        <v>0</v>
      </c>
    </row>
    <row r="407" spans="1:9" hidden="1" x14ac:dyDescent="0.3">
      <c r="A407" t="s">
        <v>525</v>
      </c>
      <c r="B407" s="20">
        <v>45658</v>
      </c>
      <c r="C407" t="s">
        <v>179</v>
      </c>
      <c r="D407" t="s">
        <v>331</v>
      </c>
      <c r="E407" t="s">
        <v>217</v>
      </c>
      <c r="F407">
        <v>0</v>
      </c>
      <c r="G407">
        <v>0</v>
      </c>
      <c r="H407">
        <f>IF(report_B_CategorieBoekjaar[[#This Row],[BedrijfsCode]]="002",IF(report_B_CategorieBoekjaar[[#This Row],[Boekjaar]]=Projectbegroting!$K$1,report_B_CategorieBoekjaar[[#This Row],[CategorieCode]],0),0)</f>
        <v>0</v>
      </c>
      <c r="I407">
        <f>IF(report_B_CategorieBoekjaar[[#This Row],[BedrijfsCode]]="001",IF(report_B_CategorieBoekjaar[[#This Row],[Boekjaar]]=Projectbegroting!$K$1,report_B_CategorieBoekjaar[[#This Row],[CategorieCode]],0),0)</f>
        <v>0</v>
      </c>
    </row>
    <row r="408" spans="1:9" hidden="1" x14ac:dyDescent="0.3">
      <c r="A408" t="s">
        <v>525</v>
      </c>
      <c r="B408" s="20">
        <v>45658</v>
      </c>
      <c r="C408" t="s">
        <v>180</v>
      </c>
      <c r="D408" t="s">
        <v>332</v>
      </c>
      <c r="E408" t="s">
        <v>217</v>
      </c>
      <c r="F408">
        <v>0</v>
      </c>
      <c r="G408">
        <v>0</v>
      </c>
      <c r="H408">
        <f>IF(report_B_CategorieBoekjaar[[#This Row],[BedrijfsCode]]="002",IF(report_B_CategorieBoekjaar[[#This Row],[Boekjaar]]=Projectbegroting!$K$1,report_B_CategorieBoekjaar[[#This Row],[CategorieCode]],0),0)</f>
        <v>0</v>
      </c>
      <c r="I408">
        <f>IF(report_B_CategorieBoekjaar[[#This Row],[BedrijfsCode]]="001",IF(report_B_CategorieBoekjaar[[#This Row],[Boekjaar]]=Projectbegroting!$K$1,report_B_CategorieBoekjaar[[#This Row],[CategorieCode]],0),0)</f>
        <v>0</v>
      </c>
    </row>
    <row r="409" spans="1:9" hidden="1" x14ac:dyDescent="0.3">
      <c r="A409" t="s">
        <v>525</v>
      </c>
      <c r="B409" s="20">
        <v>45658</v>
      </c>
      <c r="C409" t="s">
        <v>181</v>
      </c>
      <c r="D409" t="s">
        <v>333</v>
      </c>
      <c r="E409" t="s">
        <v>217</v>
      </c>
      <c r="F409">
        <v>0</v>
      </c>
      <c r="G409">
        <v>0</v>
      </c>
      <c r="H409">
        <f>IF(report_B_CategorieBoekjaar[[#This Row],[BedrijfsCode]]="002",IF(report_B_CategorieBoekjaar[[#This Row],[Boekjaar]]=Projectbegroting!$K$1,report_B_CategorieBoekjaar[[#This Row],[CategorieCode]],0),0)</f>
        <v>0</v>
      </c>
      <c r="I409">
        <f>IF(report_B_CategorieBoekjaar[[#This Row],[BedrijfsCode]]="001",IF(report_B_CategorieBoekjaar[[#This Row],[Boekjaar]]=Projectbegroting!$K$1,report_B_CategorieBoekjaar[[#This Row],[CategorieCode]],0),0)</f>
        <v>0</v>
      </c>
    </row>
    <row r="410" spans="1:9" hidden="1" x14ac:dyDescent="0.3">
      <c r="A410" t="s">
        <v>525</v>
      </c>
      <c r="B410" s="20">
        <v>45658</v>
      </c>
      <c r="C410" t="s">
        <v>182</v>
      </c>
      <c r="D410" t="s">
        <v>334</v>
      </c>
      <c r="E410" t="s">
        <v>217</v>
      </c>
      <c r="F410">
        <v>0</v>
      </c>
      <c r="G410">
        <v>0</v>
      </c>
      <c r="H410">
        <f>IF(report_B_CategorieBoekjaar[[#This Row],[BedrijfsCode]]="002",IF(report_B_CategorieBoekjaar[[#This Row],[Boekjaar]]=Projectbegroting!$K$1,report_B_CategorieBoekjaar[[#This Row],[CategorieCode]],0),0)</f>
        <v>0</v>
      </c>
      <c r="I410">
        <f>IF(report_B_CategorieBoekjaar[[#This Row],[BedrijfsCode]]="001",IF(report_B_CategorieBoekjaar[[#This Row],[Boekjaar]]=Projectbegroting!$K$1,report_B_CategorieBoekjaar[[#This Row],[CategorieCode]],0),0)</f>
        <v>0</v>
      </c>
    </row>
    <row r="411" spans="1:9" hidden="1" x14ac:dyDescent="0.3">
      <c r="A411" t="s">
        <v>525</v>
      </c>
      <c r="B411" s="20">
        <v>45658</v>
      </c>
      <c r="C411" t="s">
        <v>183</v>
      </c>
      <c r="D411" t="s">
        <v>335</v>
      </c>
      <c r="E411" t="s">
        <v>217</v>
      </c>
      <c r="F411">
        <v>0</v>
      </c>
      <c r="G411">
        <v>0</v>
      </c>
      <c r="H411">
        <f>IF(report_B_CategorieBoekjaar[[#This Row],[BedrijfsCode]]="002",IF(report_B_CategorieBoekjaar[[#This Row],[Boekjaar]]=Projectbegroting!$K$1,report_B_CategorieBoekjaar[[#This Row],[CategorieCode]],0),0)</f>
        <v>0</v>
      </c>
      <c r="I411">
        <f>IF(report_B_CategorieBoekjaar[[#This Row],[BedrijfsCode]]="001",IF(report_B_CategorieBoekjaar[[#This Row],[Boekjaar]]=Projectbegroting!$K$1,report_B_CategorieBoekjaar[[#This Row],[CategorieCode]],0),0)</f>
        <v>0</v>
      </c>
    </row>
    <row r="412" spans="1:9" hidden="1" x14ac:dyDescent="0.3">
      <c r="A412" t="s">
        <v>525</v>
      </c>
      <c r="B412" s="20">
        <v>45658</v>
      </c>
      <c r="C412" t="s">
        <v>184</v>
      </c>
      <c r="D412" t="s">
        <v>336</v>
      </c>
      <c r="E412" t="s">
        <v>217</v>
      </c>
      <c r="F412">
        <v>0</v>
      </c>
      <c r="G412">
        <v>0</v>
      </c>
      <c r="H412">
        <f>IF(report_B_CategorieBoekjaar[[#This Row],[BedrijfsCode]]="002",IF(report_B_CategorieBoekjaar[[#This Row],[Boekjaar]]=Projectbegroting!$K$1,report_B_CategorieBoekjaar[[#This Row],[CategorieCode]],0),0)</f>
        <v>0</v>
      </c>
      <c r="I412">
        <f>IF(report_B_CategorieBoekjaar[[#This Row],[BedrijfsCode]]="001",IF(report_B_CategorieBoekjaar[[#This Row],[Boekjaar]]=Projectbegroting!$K$1,report_B_CategorieBoekjaar[[#This Row],[CategorieCode]],0),0)</f>
        <v>0</v>
      </c>
    </row>
    <row r="413" spans="1:9" hidden="1" x14ac:dyDescent="0.3">
      <c r="A413" t="s">
        <v>525</v>
      </c>
      <c r="B413" s="20">
        <v>45658</v>
      </c>
      <c r="C413" t="s">
        <v>185</v>
      </c>
      <c r="D413" t="s">
        <v>337</v>
      </c>
      <c r="E413" t="s">
        <v>217</v>
      </c>
      <c r="F413">
        <v>0</v>
      </c>
      <c r="G413">
        <v>0</v>
      </c>
      <c r="H413">
        <f>IF(report_B_CategorieBoekjaar[[#This Row],[BedrijfsCode]]="002",IF(report_B_CategorieBoekjaar[[#This Row],[Boekjaar]]=Projectbegroting!$K$1,report_B_CategorieBoekjaar[[#This Row],[CategorieCode]],0),0)</f>
        <v>0</v>
      </c>
      <c r="I413">
        <f>IF(report_B_CategorieBoekjaar[[#This Row],[BedrijfsCode]]="001",IF(report_B_CategorieBoekjaar[[#This Row],[Boekjaar]]=Projectbegroting!$K$1,report_B_CategorieBoekjaar[[#This Row],[CategorieCode]],0),0)</f>
        <v>0</v>
      </c>
    </row>
    <row r="414" spans="1:9" hidden="1" x14ac:dyDescent="0.3">
      <c r="A414" t="s">
        <v>525</v>
      </c>
      <c r="B414" s="20">
        <v>45658</v>
      </c>
      <c r="C414" t="s">
        <v>186</v>
      </c>
      <c r="D414" t="s">
        <v>338</v>
      </c>
      <c r="E414" t="s">
        <v>217</v>
      </c>
      <c r="F414">
        <v>0</v>
      </c>
      <c r="G414">
        <v>0</v>
      </c>
      <c r="H414">
        <f>IF(report_B_CategorieBoekjaar[[#This Row],[BedrijfsCode]]="002",IF(report_B_CategorieBoekjaar[[#This Row],[Boekjaar]]=Projectbegroting!$K$1,report_B_CategorieBoekjaar[[#This Row],[CategorieCode]],0),0)</f>
        <v>0</v>
      </c>
      <c r="I414">
        <f>IF(report_B_CategorieBoekjaar[[#This Row],[BedrijfsCode]]="001",IF(report_B_CategorieBoekjaar[[#This Row],[Boekjaar]]=Projectbegroting!$K$1,report_B_CategorieBoekjaar[[#This Row],[CategorieCode]],0),0)</f>
        <v>0</v>
      </c>
    </row>
    <row r="415" spans="1:9" hidden="1" x14ac:dyDescent="0.3">
      <c r="A415" t="s">
        <v>525</v>
      </c>
      <c r="B415" s="20">
        <v>45658</v>
      </c>
      <c r="C415" t="s">
        <v>187</v>
      </c>
      <c r="D415" t="s">
        <v>339</v>
      </c>
      <c r="E415" t="s">
        <v>217</v>
      </c>
      <c r="F415">
        <v>0</v>
      </c>
      <c r="G415">
        <v>0</v>
      </c>
      <c r="H415">
        <f>IF(report_B_CategorieBoekjaar[[#This Row],[BedrijfsCode]]="002",IF(report_B_CategorieBoekjaar[[#This Row],[Boekjaar]]=Projectbegroting!$K$1,report_B_CategorieBoekjaar[[#This Row],[CategorieCode]],0),0)</f>
        <v>0</v>
      </c>
      <c r="I415">
        <f>IF(report_B_CategorieBoekjaar[[#This Row],[BedrijfsCode]]="001",IF(report_B_CategorieBoekjaar[[#This Row],[Boekjaar]]=Projectbegroting!$K$1,report_B_CategorieBoekjaar[[#This Row],[CategorieCode]],0),0)</f>
        <v>0</v>
      </c>
    </row>
    <row r="416" spans="1:9" hidden="1" x14ac:dyDescent="0.3">
      <c r="A416" t="s">
        <v>525</v>
      </c>
      <c r="B416" s="20">
        <v>45658</v>
      </c>
      <c r="C416" t="s">
        <v>188</v>
      </c>
      <c r="D416" t="s">
        <v>340</v>
      </c>
      <c r="E416" t="s">
        <v>217</v>
      </c>
      <c r="F416">
        <v>0</v>
      </c>
      <c r="G416">
        <v>0</v>
      </c>
      <c r="H416">
        <f>IF(report_B_CategorieBoekjaar[[#This Row],[BedrijfsCode]]="002",IF(report_B_CategorieBoekjaar[[#This Row],[Boekjaar]]=Projectbegroting!$K$1,report_B_CategorieBoekjaar[[#This Row],[CategorieCode]],0),0)</f>
        <v>0</v>
      </c>
      <c r="I416">
        <f>IF(report_B_CategorieBoekjaar[[#This Row],[BedrijfsCode]]="001",IF(report_B_CategorieBoekjaar[[#This Row],[Boekjaar]]=Projectbegroting!$K$1,report_B_CategorieBoekjaar[[#This Row],[CategorieCode]],0),0)</f>
        <v>0</v>
      </c>
    </row>
    <row r="417" spans="1:9" hidden="1" x14ac:dyDescent="0.3">
      <c r="A417" t="s">
        <v>525</v>
      </c>
      <c r="B417" s="20">
        <v>45658</v>
      </c>
      <c r="C417" t="s">
        <v>189</v>
      </c>
      <c r="D417" t="s">
        <v>341</v>
      </c>
      <c r="E417" t="s">
        <v>217</v>
      </c>
      <c r="F417">
        <v>0</v>
      </c>
      <c r="G417">
        <v>0</v>
      </c>
      <c r="H417">
        <f>IF(report_B_CategorieBoekjaar[[#This Row],[BedrijfsCode]]="002",IF(report_B_CategorieBoekjaar[[#This Row],[Boekjaar]]=Projectbegroting!$K$1,report_B_CategorieBoekjaar[[#This Row],[CategorieCode]],0),0)</f>
        <v>0</v>
      </c>
      <c r="I417">
        <f>IF(report_B_CategorieBoekjaar[[#This Row],[BedrijfsCode]]="001",IF(report_B_CategorieBoekjaar[[#This Row],[Boekjaar]]=Projectbegroting!$K$1,report_B_CategorieBoekjaar[[#This Row],[CategorieCode]],0),0)</f>
        <v>0</v>
      </c>
    </row>
    <row r="418" spans="1:9" hidden="1" x14ac:dyDescent="0.3">
      <c r="A418" t="s">
        <v>525</v>
      </c>
      <c r="B418" s="20">
        <v>45658</v>
      </c>
      <c r="C418" t="s">
        <v>190</v>
      </c>
      <c r="D418" t="s">
        <v>342</v>
      </c>
      <c r="E418" t="s">
        <v>217</v>
      </c>
      <c r="F418">
        <v>0</v>
      </c>
      <c r="G418">
        <v>0</v>
      </c>
      <c r="H418">
        <f>IF(report_B_CategorieBoekjaar[[#This Row],[BedrijfsCode]]="002",IF(report_B_CategorieBoekjaar[[#This Row],[Boekjaar]]=Projectbegroting!$K$1,report_B_CategorieBoekjaar[[#This Row],[CategorieCode]],0),0)</f>
        <v>0</v>
      </c>
      <c r="I418">
        <f>IF(report_B_CategorieBoekjaar[[#This Row],[BedrijfsCode]]="001",IF(report_B_CategorieBoekjaar[[#This Row],[Boekjaar]]=Projectbegroting!$K$1,report_B_CategorieBoekjaar[[#This Row],[CategorieCode]],0),0)</f>
        <v>0</v>
      </c>
    </row>
    <row r="419" spans="1:9" hidden="1" x14ac:dyDescent="0.3">
      <c r="A419" t="s">
        <v>525</v>
      </c>
      <c r="B419" s="20">
        <v>45658</v>
      </c>
      <c r="C419" t="s">
        <v>191</v>
      </c>
      <c r="D419" t="s">
        <v>343</v>
      </c>
      <c r="E419" t="s">
        <v>217</v>
      </c>
      <c r="F419">
        <v>0</v>
      </c>
      <c r="G419">
        <v>0</v>
      </c>
      <c r="H419">
        <f>IF(report_B_CategorieBoekjaar[[#This Row],[BedrijfsCode]]="002",IF(report_B_CategorieBoekjaar[[#This Row],[Boekjaar]]=Projectbegroting!$K$1,report_B_CategorieBoekjaar[[#This Row],[CategorieCode]],0),0)</f>
        <v>0</v>
      </c>
      <c r="I419">
        <f>IF(report_B_CategorieBoekjaar[[#This Row],[BedrijfsCode]]="001",IF(report_B_CategorieBoekjaar[[#This Row],[Boekjaar]]=Projectbegroting!$K$1,report_B_CategorieBoekjaar[[#This Row],[CategorieCode]],0),0)</f>
        <v>0</v>
      </c>
    </row>
    <row r="420" spans="1:9" hidden="1" x14ac:dyDescent="0.3">
      <c r="A420" t="s">
        <v>525</v>
      </c>
      <c r="B420" s="20">
        <v>45658</v>
      </c>
      <c r="C420" t="s">
        <v>192</v>
      </c>
      <c r="D420" t="s">
        <v>344</v>
      </c>
      <c r="E420" t="s">
        <v>217</v>
      </c>
      <c r="F420">
        <v>0</v>
      </c>
      <c r="G420">
        <v>0</v>
      </c>
      <c r="H420">
        <f>IF(report_B_CategorieBoekjaar[[#This Row],[BedrijfsCode]]="002",IF(report_B_CategorieBoekjaar[[#This Row],[Boekjaar]]=Projectbegroting!$K$1,report_B_CategorieBoekjaar[[#This Row],[CategorieCode]],0),0)</f>
        <v>0</v>
      </c>
      <c r="I420">
        <f>IF(report_B_CategorieBoekjaar[[#This Row],[BedrijfsCode]]="001",IF(report_B_CategorieBoekjaar[[#This Row],[Boekjaar]]=Projectbegroting!$K$1,report_B_CategorieBoekjaar[[#This Row],[CategorieCode]],0),0)</f>
        <v>0</v>
      </c>
    </row>
    <row r="421" spans="1:9" hidden="1" x14ac:dyDescent="0.3">
      <c r="A421" t="s">
        <v>525</v>
      </c>
      <c r="B421" s="20">
        <v>45658</v>
      </c>
      <c r="C421" t="s">
        <v>193</v>
      </c>
      <c r="D421" t="s">
        <v>345</v>
      </c>
      <c r="E421" t="s">
        <v>217</v>
      </c>
      <c r="F421">
        <v>0</v>
      </c>
      <c r="G421">
        <v>0</v>
      </c>
      <c r="H421">
        <f>IF(report_B_CategorieBoekjaar[[#This Row],[BedrijfsCode]]="002",IF(report_B_CategorieBoekjaar[[#This Row],[Boekjaar]]=Projectbegroting!$K$1,report_B_CategorieBoekjaar[[#This Row],[CategorieCode]],0),0)</f>
        <v>0</v>
      </c>
      <c r="I421">
        <f>IF(report_B_CategorieBoekjaar[[#This Row],[BedrijfsCode]]="001",IF(report_B_CategorieBoekjaar[[#This Row],[Boekjaar]]=Projectbegroting!$K$1,report_B_CategorieBoekjaar[[#This Row],[CategorieCode]],0),0)</f>
        <v>0</v>
      </c>
    </row>
    <row r="422" spans="1:9" hidden="1" x14ac:dyDescent="0.3">
      <c r="A422" t="s">
        <v>525</v>
      </c>
      <c r="B422" s="20">
        <v>45658</v>
      </c>
      <c r="C422" t="s">
        <v>194</v>
      </c>
      <c r="D422" t="s">
        <v>346</v>
      </c>
      <c r="E422" t="s">
        <v>217</v>
      </c>
      <c r="F422">
        <v>0</v>
      </c>
      <c r="G422">
        <v>0</v>
      </c>
      <c r="H422">
        <f>IF(report_B_CategorieBoekjaar[[#This Row],[BedrijfsCode]]="002",IF(report_B_CategorieBoekjaar[[#This Row],[Boekjaar]]=Projectbegroting!$K$1,report_B_CategorieBoekjaar[[#This Row],[CategorieCode]],0),0)</f>
        <v>0</v>
      </c>
      <c r="I422">
        <f>IF(report_B_CategorieBoekjaar[[#This Row],[BedrijfsCode]]="001",IF(report_B_CategorieBoekjaar[[#This Row],[Boekjaar]]=Projectbegroting!$K$1,report_B_CategorieBoekjaar[[#This Row],[CategorieCode]],0),0)</f>
        <v>0</v>
      </c>
    </row>
    <row r="423" spans="1:9" hidden="1" x14ac:dyDescent="0.3">
      <c r="A423" t="s">
        <v>525</v>
      </c>
      <c r="B423" s="20">
        <v>45658</v>
      </c>
      <c r="C423" t="s">
        <v>195</v>
      </c>
      <c r="D423" t="s">
        <v>347</v>
      </c>
      <c r="E423" t="s">
        <v>217</v>
      </c>
      <c r="F423">
        <v>0</v>
      </c>
      <c r="G423">
        <v>0</v>
      </c>
      <c r="H423">
        <f>IF(report_B_CategorieBoekjaar[[#This Row],[BedrijfsCode]]="002",IF(report_B_CategorieBoekjaar[[#This Row],[Boekjaar]]=Projectbegroting!$K$1,report_B_CategorieBoekjaar[[#This Row],[CategorieCode]],0),0)</f>
        <v>0</v>
      </c>
      <c r="I423">
        <f>IF(report_B_CategorieBoekjaar[[#This Row],[BedrijfsCode]]="001",IF(report_B_CategorieBoekjaar[[#This Row],[Boekjaar]]=Projectbegroting!$K$1,report_B_CategorieBoekjaar[[#This Row],[CategorieCode]],0),0)</f>
        <v>0</v>
      </c>
    </row>
    <row r="424" spans="1:9" hidden="1" x14ac:dyDescent="0.3">
      <c r="A424" t="s">
        <v>525</v>
      </c>
      <c r="B424" s="20">
        <v>45658</v>
      </c>
      <c r="C424" t="s">
        <v>196</v>
      </c>
      <c r="D424" t="s">
        <v>348</v>
      </c>
      <c r="E424" t="s">
        <v>217</v>
      </c>
      <c r="F424">
        <v>0</v>
      </c>
      <c r="G424">
        <v>0</v>
      </c>
      <c r="H424">
        <f>IF(report_B_CategorieBoekjaar[[#This Row],[BedrijfsCode]]="002",IF(report_B_CategorieBoekjaar[[#This Row],[Boekjaar]]=Projectbegroting!$K$1,report_B_CategorieBoekjaar[[#This Row],[CategorieCode]],0),0)</f>
        <v>0</v>
      </c>
      <c r="I424">
        <f>IF(report_B_CategorieBoekjaar[[#This Row],[BedrijfsCode]]="001",IF(report_B_CategorieBoekjaar[[#This Row],[Boekjaar]]=Projectbegroting!$K$1,report_B_CategorieBoekjaar[[#This Row],[CategorieCode]],0),0)</f>
        <v>0</v>
      </c>
    </row>
    <row r="425" spans="1:9" hidden="1" x14ac:dyDescent="0.3">
      <c r="A425" t="s">
        <v>525</v>
      </c>
      <c r="B425" s="20">
        <v>45658</v>
      </c>
      <c r="C425" t="s">
        <v>349</v>
      </c>
      <c r="D425" t="s">
        <v>350</v>
      </c>
      <c r="E425" t="s">
        <v>217</v>
      </c>
      <c r="F425">
        <v>0</v>
      </c>
      <c r="G425">
        <v>0</v>
      </c>
      <c r="H425">
        <f>IF(report_B_CategorieBoekjaar[[#This Row],[BedrijfsCode]]="002",IF(report_B_CategorieBoekjaar[[#This Row],[Boekjaar]]=Projectbegroting!$K$1,report_B_CategorieBoekjaar[[#This Row],[CategorieCode]],0),0)</f>
        <v>0</v>
      </c>
      <c r="I425">
        <f>IF(report_B_CategorieBoekjaar[[#This Row],[BedrijfsCode]]="001",IF(report_B_CategorieBoekjaar[[#This Row],[Boekjaar]]=Projectbegroting!$K$1,report_B_CategorieBoekjaar[[#This Row],[CategorieCode]],0),0)</f>
        <v>0</v>
      </c>
    </row>
    <row r="426" spans="1:9" hidden="1" x14ac:dyDescent="0.3">
      <c r="A426" t="s">
        <v>525</v>
      </c>
      <c r="B426" s="20">
        <v>45658</v>
      </c>
      <c r="C426" t="s">
        <v>197</v>
      </c>
      <c r="D426" t="s">
        <v>351</v>
      </c>
      <c r="E426" t="s">
        <v>217</v>
      </c>
      <c r="F426">
        <v>0</v>
      </c>
      <c r="G426">
        <v>0</v>
      </c>
      <c r="H426">
        <f>IF(report_B_CategorieBoekjaar[[#This Row],[BedrijfsCode]]="002",IF(report_B_CategorieBoekjaar[[#This Row],[Boekjaar]]=Projectbegroting!$K$1,report_B_CategorieBoekjaar[[#This Row],[CategorieCode]],0),0)</f>
        <v>0</v>
      </c>
      <c r="I426">
        <f>IF(report_B_CategorieBoekjaar[[#This Row],[BedrijfsCode]]="001",IF(report_B_CategorieBoekjaar[[#This Row],[Boekjaar]]=Projectbegroting!$K$1,report_B_CategorieBoekjaar[[#This Row],[CategorieCode]],0),0)</f>
        <v>0</v>
      </c>
    </row>
    <row r="427" spans="1:9" hidden="1" x14ac:dyDescent="0.3">
      <c r="A427" t="s">
        <v>525</v>
      </c>
      <c r="B427" s="20">
        <v>45658</v>
      </c>
      <c r="C427" t="s">
        <v>198</v>
      </c>
      <c r="D427" t="s">
        <v>352</v>
      </c>
      <c r="E427" t="s">
        <v>217</v>
      </c>
      <c r="F427">
        <v>0</v>
      </c>
      <c r="G427">
        <v>0</v>
      </c>
      <c r="H427">
        <f>IF(report_B_CategorieBoekjaar[[#This Row],[BedrijfsCode]]="002",IF(report_B_CategorieBoekjaar[[#This Row],[Boekjaar]]=Projectbegroting!$K$1,report_B_CategorieBoekjaar[[#This Row],[CategorieCode]],0),0)</f>
        <v>0</v>
      </c>
      <c r="I427">
        <f>IF(report_B_CategorieBoekjaar[[#This Row],[BedrijfsCode]]="001",IF(report_B_CategorieBoekjaar[[#This Row],[Boekjaar]]=Projectbegroting!$K$1,report_B_CategorieBoekjaar[[#This Row],[CategorieCode]],0),0)</f>
        <v>0</v>
      </c>
    </row>
    <row r="428" spans="1:9" hidden="1" x14ac:dyDescent="0.3">
      <c r="A428" t="s">
        <v>525</v>
      </c>
      <c r="B428" s="20">
        <v>45658</v>
      </c>
      <c r="C428" t="s">
        <v>353</v>
      </c>
      <c r="D428" t="s">
        <v>354</v>
      </c>
      <c r="E428" t="s">
        <v>217</v>
      </c>
      <c r="F428">
        <v>0</v>
      </c>
      <c r="G428">
        <v>0</v>
      </c>
      <c r="H428">
        <f>IF(report_B_CategorieBoekjaar[[#This Row],[BedrijfsCode]]="002",IF(report_B_CategorieBoekjaar[[#This Row],[Boekjaar]]=Projectbegroting!$K$1,report_B_CategorieBoekjaar[[#This Row],[CategorieCode]],0),0)</f>
        <v>0</v>
      </c>
      <c r="I428">
        <f>IF(report_B_CategorieBoekjaar[[#This Row],[BedrijfsCode]]="001",IF(report_B_CategorieBoekjaar[[#This Row],[Boekjaar]]=Projectbegroting!$K$1,report_B_CategorieBoekjaar[[#This Row],[CategorieCode]],0),0)</f>
        <v>0</v>
      </c>
    </row>
    <row r="429" spans="1:9" hidden="1" x14ac:dyDescent="0.3">
      <c r="A429" t="s">
        <v>525</v>
      </c>
      <c r="B429" s="20">
        <v>45658</v>
      </c>
      <c r="C429" t="s">
        <v>199</v>
      </c>
      <c r="D429" t="s">
        <v>355</v>
      </c>
      <c r="E429" t="s">
        <v>217</v>
      </c>
      <c r="F429">
        <v>0</v>
      </c>
      <c r="G429">
        <v>0</v>
      </c>
      <c r="H429">
        <f>IF(report_B_CategorieBoekjaar[[#This Row],[BedrijfsCode]]="002",IF(report_B_CategorieBoekjaar[[#This Row],[Boekjaar]]=Projectbegroting!$K$1,report_B_CategorieBoekjaar[[#This Row],[CategorieCode]],0),0)</f>
        <v>0</v>
      </c>
      <c r="I429">
        <f>IF(report_B_CategorieBoekjaar[[#This Row],[BedrijfsCode]]="001",IF(report_B_CategorieBoekjaar[[#This Row],[Boekjaar]]=Projectbegroting!$K$1,report_B_CategorieBoekjaar[[#This Row],[CategorieCode]],0),0)</f>
        <v>0</v>
      </c>
    </row>
    <row r="430" spans="1:9" hidden="1" x14ac:dyDescent="0.3">
      <c r="A430" t="s">
        <v>525</v>
      </c>
      <c r="B430" s="20">
        <v>45658</v>
      </c>
      <c r="C430" t="s">
        <v>200</v>
      </c>
      <c r="D430" t="s">
        <v>356</v>
      </c>
      <c r="E430" t="s">
        <v>217</v>
      </c>
      <c r="F430">
        <v>0</v>
      </c>
      <c r="G430">
        <v>0</v>
      </c>
      <c r="H430">
        <f>IF(report_B_CategorieBoekjaar[[#This Row],[BedrijfsCode]]="002",IF(report_B_CategorieBoekjaar[[#This Row],[Boekjaar]]=Projectbegroting!$K$1,report_B_CategorieBoekjaar[[#This Row],[CategorieCode]],0),0)</f>
        <v>0</v>
      </c>
      <c r="I430">
        <f>IF(report_B_CategorieBoekjaar[[#This Row],[BedrijfsCode]]="001",IF(report_B_CategorieBoekjaar[[#This Row],[Boekjaar]]=Projectbegroting!$K$1,report_B_CategorieBoekjaar[[#This Row],[CategorieCode]],0),0)</f>
        <v>0</v>
      </c>
    </row>
    <row r="431" spans="1:9" hidden="1" x14ac:dyDescent="0.3">
      <c r="A431" t="s">
        <v>525</v>
      </c>
      <c r="B431" s="20">
        <v>45658</v>
      </c>
      <c r="C431" t="s">
        <v>201</v>
      </c>
      <c r="D431" t="s">
        <v>357</v>
      </c>
      <c r="E431" t="s">
        <v>217</v>
      </c>
      <c r="F431">
        <v>0</v>
      </c>
      <c r="G431">
        <v>0</v>
      </c>
      <c r="H431">
        <f>IF(report_B_CategorieBoekjaar[[#This Row],[BedrijfsCode]]="002",IF(report_B_CategorieBoekjaar[[#This Row],[Boekjaar]]=Projectbegroting!$K$1,report_B_CategorieBoekjaar[[#This Row],[CategorieCode]],0),0)</f>
        <v>0</v>
      </c>
      <c r="I431">
        <f>IF(report_B_CategorieBoekjaar[[#This Row],[BedrijfsCode]]="001",IF(report_B_CategorieBoekjaar[[#This Row],[Boekjaar]]=Projectbegroting!$K$1,report_B_CategorieBoekjaar[[#This Row],[CategorieCode]],0),0)</f>
        <v>0</v>
      </c>
    </row>
    <row r="432" spans="1:9" hidden="1" x14ac:dyDescent="0.3">
      <c r="A432" t="s">
        <v>525</v>
      </c>
      <c r="B432" s="20">
        <v>45658</v>
      </c>
      <c r="C432" t="s">
        <v>202</v>
      </c>
      <c r="D432" t="s">
        <v>358</v>
      </c>
      <c r="E432" t="s">
        <v>217</v>
      </c>
      <c r="F432">
        <v>0</v>
      </c>
      <c r="G432">
        <v>0</v>
      </c>
      <c r="H432">
        <f>IF(report_B_CategorieBoekjaar[[#This Row],[BedrijfsCode]]="002",IF(report_B_CategorieBoekjaar[[#This Row],[Boekjaar]]=Projectbegroting!$K$1,report_B_CategorieBoekjaar[[#This Row],[CategorieCode]],0),0)</f>
        <v>0</v>
      </c>
      <c r="I432">
        <f>IF(report_B_CategorieBoekjaar[[#This Row],[BedrijfsCode]]="001",IF(report_B_CategorieBoekjaar[[#This Row],[Boekjaar]]=Projectbegroting!$K$1,report_B_CategorieBoekjaar[[#This Row],[CategorieCode]],0),0)</f>
        <v>0</v>
      </c>
    </row>
    <row r="433" spans="1:9" hidden="1" x14ac:dyDescent="0.3">
      <c r="A433" t="s">
        <v>525</v>
      </c>
      <c r="B433" s="20">
        <v>45658</v>
      </c>
      <c r="C433" t="s">
        <v>203</v>
      </c>
      <c r="D433" t="s">
        <v>359</v>
      </c>
      <c r="E433" t="s">
        <v>217</v>
      </c>
      <c r="F433">
        <v>0</v>
      </c>
      <c r="G433">
        <v>0</v>
      </c>
      <c r="H433">
        <f>IF(report_B_CategorieBoekjaar[[#This Row],[BedrijfsCode]]="002",IF(report_B_CategorieBoekjaar[[#This Row],[Boekjaar]]=Projectbegroting!$K$1,report_B_CategorieBoekjaar[[#This Row],[CategorieCode]],0),0)</f>
        <v>0</v>
      </c>
      <c r="I433">
        <f>IF(report_B_CategorieBoekjaar[[#This Row],[BedrijfsCode]]="001",IF(report_B_CategorieBoekjaar[[#This Row],[Boekjaar]]=Projectbegroting!$K$1,report_B_CategorieBoekjaar[[#This Row],[CategorieCode]],0),0)</f>
        <v>0</v>
      </c>
    </row>
    <row r="434" spans="1:9" hidden="1" x14ac:dyDescent="0.3">
      <c r="A434" t="s">
        <v>525</v>
      </c>
      <c r="B434" s="20">
        <v>45658</v>
      </c>
      <c r="C434" t="s">
        <v>204</v>
      </c>
      <c r="D434" t="s">
        <v>360</v>
      </c>
      <c r="E434" t="s">
        <v>217</v>
      </c>
      <c r="F434">
        <v>0</v>
      </c>
      <c r="G434">
        <v>0</v>
      </c>
      <c r="H434">
        <f>IF(report_B_CategorieBoekjaar[[#This Row],[BedrijfsCode]]="002",IF(report_B_CategorieBoekjaar[[#This Row],[Boekjaar]]=Projectbegroting!$K$1,report_B_CategorieBoekjaar[[#This Row],[CategorieCode]],0),0)</f>
        <v>0</v>
      </c>
      <c r="I434">
        <f>IF(report_B_CategorieBoekjaar[[#This Row],[BedrijfsCode]]="001",IF(report_B_CategorieBoekjaar[[#This Row],[Boekjaar]]=Projectbegroting!$K$1,report_B_CategorieBoekjaar[[#This Row],[CategorieCode]],0),0)</f>
        <v>0</v>
      </c>
    </row>
    <row r="435" spans="1:9" hidden="1" x14ac:dyDescent="0.3">
      <c r="A435" t="s">
        <v>525</v>
      </c>
      <c r="B435" s="20">
        <v>45658</v>
      </c>
      <c r="C435" t="s">
        <v>205</v>
      </c>
      <c r="D435" t="s">
        <v>361</v>
      </c>
      <c r="E435" t="s">
        <v>217</v>
      </c>
      <c r="F435">
        <v>0</v>
      </c>
      <c r="G435">
        <v>0</v>
      </c>
      <c r="H435">
        <f>IF(report_B_CategorieBoekjaar[[#This Row],[BedrijfsCode]]="002",IF(report_B_CategorieBoekjaar[[#This Row],[Boekjaar]]=Projectbegroting!$K$1,report_B_CategorieBoekjaar[[#This Row],[CategorieCode]],0),0)</f>
        <v>0</v>
      </c>
      <c r="I435">
        <f>IF(report_B_CategorieBoekjaar[[#This Row],[BedrijfsCode]]="001",IF(report_B_CategorieBoekjaar[[#This Row],[Boekjaar]]=Projectbegroting!$K$1,report_B_CategorieBoekjaar[[#This Row],[CategorieCode]],0),0)</f>
        <v>0</v>
      </c>
    </row>
    <row r="436" spans="1:9" hidden="1" x14ac:dyDescent="0.3">
      <c r="A436" t="s">
        <v>525</v>
      </c>
      <c r="B436" s="20">
        <v>45658</v>
      </c>
      <c r="C436" t="s">
        <v>206</v>
      </c>
      <c r="D436" t="s">
        <v>362</v>
      </c>
      <c r="E436" t="s">
        <v>217</v>
      </c>
      <c r="F436">
        <v>0</v>
      </c>
      <c r="G436">
        <v>0</v>
      </c>
      <c r="H436">
        <f>IF(report_B_CategorieBoekjaar[[#This Row],[BedrijfsCode]]="002",IF(report_B_CategorieBoekjaar[[#This Row],[Boekjaar]]=Projectbegroting!$K$1,report_B_CategorieBoekjaar[[#This Row],[CategorieCode]],0),0)</f>
        <v>0</v>
      </c>
      <c r="I436">
        <f>IF(report_B_CategorieBoekjaar[[#This Row],[BedrijfsCode]]="001",IF(report_B_CategorieBoekjaar[[#This Row],[Boekjaar]]=Projectbegroting!$K$1,report_B_CategorieBoekjaar[[#This Row],[CategorieCode]],0),0)</f>
        <v>0</v>
      </c>
    </row>
    <row r="437" spans="1:9" hidden="1" x14ac:dyDescent="0.3">
      <c r="A437" t="s">
        <v>525</v>
      </c>
      <c r="B437" s="20">
        <v>45658</v>
      </c>
      <c r="C437" t="s">
        <v>363</v>
      </c>
      <c r="D437" t="s">
        <v>364</v>
      </c>
      <c r="E437" t="s">
        <v>217</v>
      </c>
      <c r="F437">
        <v>0</v>
      </c>
      <c r="G437">
        <v>0</v>
      </c>
      <c r="H437">
        <f>IF(report_B_CategorieBoekjaar[[#This Row],[BedrijfsCode]]="002",IF(report_B_CategorieBoekjaar[[#This Row],[Boekjaar]]=Projectbegroting!$K$1,report_B_CategorieBoekjaar[[#This Row],[CategorieCode]],0),0)</f>
        <v>0</v>
      </c>
      <c r="I437">
        <f>IF(report_B_CategorieBoekjaar[[#This Row],[BedrijfsCode]]="001",IF(report_B_CategorieBoekjaar[[#This Row],[Boekjaar]]=Projectbegroting!$K$1,report_B_CategorieBoekjaar[[#This Row],[CategorieCode]],0),0)</f>
        <v>0</v>
      </c>
    </row>
    <row r="438" spans="1:9" hidden="1" x14ac:dyDescent="0.3">
      <c r="A438" t="s">
        <v>525</v>
      </c>
      <c r="B438" s="20">
        <v>45658</v>
      </c>
      <c r="C438" t="s">
        <v>207</v>
      </c>
      <c r="D438" t="s">
        <v>365</v>
      </c>
      <c r="E438" t="s">
        <v>217</v>
      </c>
      <c r="F438">
        <v>0</v>
      </c>
      <c r="G438">
        <v>0</v>
      </c>
      <c r="H438">
        <f>IF(report_B_CategorieBoekjaar[[#This Row],[BedrijfsCode]]="002",IF(report_B_CategorieBoekjaar[[#This Row],[Boekjaar]]=Projectbegroting!$K$1,report_B_CategorieBoekjaar[[#This Row],[CategorieCode]],0),0)</f>
        <v>0</v>
      </c>
      <c r="I438">
        <f>IF(report_B_CategorieBoekjaar[[#This Row],[BedrijfsCode]]="001",IF(report_B_CategorieBoekjaar[[#This Row],[Boekjaar]]=Projectbegroting!$K$1,report_B_CategorieBoekjaar[[#This Row],[CategorieCode]],0),0)</f>
        <v>0</v>
      </c>
    </row>
    <row r="439" spans="1:9" hidden="1" x14ac:dyDescent="0.3">
      <c r="A439" t="s">
        <v>525</v>
      </c>
      <c r="B439" s="20">
        <v>45658</v>
      </c>
      <c r="C439" t="s">
        <v>208</v>
      </c>
      <c r="D439" t="s">
        <v>366</v>
      </c>
      <c r="E439" t="s">
        <v>217</v>
      </c>
      <c r="F439">
        <v>0</v>
      </c>
      <c r="G439">
        <v>0</v>
      </c>
      <c r="H439">
        <f>IF(report_B_CategorieBoekjaar[[#This Row],[BedrijfsCode]]="002",IF(report_B_CategorieBoekjaar[[#This Row],[Boekjaar]]=Projectbegroting!$K$1,report_B_CategorieBoekjaar[[#This Row],[CategorieCode]],0),0)</f>
        <v>0</v>
      </c>
      <c r="I439">
        <f>IF(report_B_CategorieBoekjaar[[#This Row],[BedrijfsCode]]="001",IF(report_B_CategorieBoekjaar[[#This Row],[Boekjaar]]=Projectbegroting!$K$1,report_B_CategorieBoekjaar[[#This Row],[CategorieCode]],0),0)</f>
        <v>0</v>
      </c>
    </row>
    <row r="440" spans="1:9" hidden="1" x14ac:dyDescent="0.3">
      <c r="A440" t="s">
        <v>525</v>
      </c>
      <c r="B440" s="20">
        <v>45658</v>
      </c>
      <c r="C440" t="s">
        <v>209</v>
      </c>
      <c r="D440" t="s">
        <v>367</v>
      </c>
      <c r="E440" t="s">
        <v>217</v>
      </c>
      <c r="F440">
        <v>0</v>
      </c>
      <c r="G440">
        <v>0</v>
      </c>
      <c r="H440">
        <f>IF(report_B_CategorieBoekjaar[[#This Row],[BedrijfsCode]]="002",IF(report_B_CategorieBoekjaar[[#This Row],[Boekjaar]]=Projectbegroting!$K$1,report_B_CategorieBoekjaar[[#This Row],[CategorieCode]],0),0)</f>
        <v>0</v>
      </c>
      <c r="I440">
        <f>IF(report_B_CategorieBoekjaar[[#This Row],[BedrijfsCode]]="001",IF(report_B_CategorieBoekjaar[[#This Row],[Boekjaar]]=Projectbegroting!$K$1,report_B_CategorieBoekjaar[[#This Row],[CategorieCode]],0),0)</f>
        <v>0</v>
      </c>
    </row>
    <row r="441" spans="1:9" hidden="1" x14ac:dyDescent="0.3">
      <c r="A441" t="s">
        <v>525</v>
      </c>
      <c r="B441" s="20">
        <v>45658</v>
      </c>
      <c r="C441" t="s">
        <v>210</v>
      </c>
      <c r="D441" t="s">
        <v>368</v>
      </c>
      <c r="E441" t="s">
        <v>217</v>
      </c>
      <c r="F441">
        <v>0</v>
      </c>
      <c r="G441">
        <v>0</v>
      </c>
      <c r="H441">
        <f>IF(report_B_CategorieBoekjaar[[#This Row],[BedrijfsCode]]="002",IF(report_B_CategorieBoekjaar[[#This Row],[Boekjaar]]=Projectbegroting!$K$1,report_B_CategorieBoekjaar[[#This Row],[CategorieCode]],0),0)</f>
        <v>0</v>
      </c>
      <c r="I441">
        <f>IF(report_B_CategorieBoekjaar[[#This Row],[BedrijfsCode]]="001",IF(report_B_CategorieBoekjaar[[#This Row],[Boekjaar]]=Projectbegroting!$K$1,report_B_CategorieBoekjaar[[#This Row],[CategorieCode]],0),0)</f>
        <v>0</v>
      </c>
    </row>
    <row r="442" spans="1:9" hidden="1" x14ac:dyDescent="0.3">
      <c r="A442" t="s">
        <v>525</v>
      </c>
      <c r="B442" s="20">
        <v>45658</v>
      </c>
      <c r="C442" t="s">
        <v>369</v>
      </c>
      <c r="D442" t="s">
        <v>370</v>
      </c>
      <c r="E442" t="s">
        <v>217</v>
      </c>
      <c r="F442">
        <v>0</v>
      </c>
      <c r="G442">
        <v>0</v>
      </c>
      <c r="H442">
        <f>IF(report_B_CategorieBoekjaar[[#This Row],[BedrijfsCode]]="002",IF(report_B_CategorieBoekjaar[[#This Row],[Boekjaar]]=Projectbegroting!$K$1,report_B_CategorieBoekjaar[[#This Row],[CategorieCode]],0),0)</f>
        <v>0</v>
      </c>
      <c r="I442">
        <f>IF(report_B_CategorieBoekjaar[[#This Row],[BedrijfsCode]]="001",IF(report_B_CategorieBoekjaar[[#This Row],[Boekjaar]]=Projectbegroting!$K$1,report_B_CategorieBoekjaar[[#This Row],[CategorieCode]],0),0)</f>
        <v>0</v>
      </c>
    </row>
    <row r="443" spans="1:9" hidden="1" x14ac:dyDescent="0.3">
      <c r="A443" t="s">
        <v>525</v>
      </c>
      <c r="B443" s="20">
        <v>45658</v>
      </c>
      <c r="C443" t="s">
        <v>371</v>
      </c>
      <c r="D443" t="s">
        <v>372</v>
      </c>
      <c r="E443" t="s">
        <v>217</v>
      </c>
      <c r="F443">
        <v>0</v>
      </c>
      <c r="G443">
        <v>0</v>
      </c>
      <c r="H443">
        <f>IF(report_B_CategorieBoekjaar[[#This Row],[BedrijfsCode]]="002",IF(report_B_CategorieBoekjaar[[#This Row],[Boekjaar]]=Projectbegroting!$K$1,report_B_CategorieBoekjaar[[#This Row],[CategorieCode]],0),0)</f>
        <v>0</v>
      </c>
      <c r="I443">
        <f>IF(report_B_CategorieBoekjaar[[#This Row],[BedrijfsCode]]="001",IF(report_B_CategorieBoekjaar[[#This Row],[Boekjaar]]=Projectbegroting!$K$1,report_B_CategorieBoekjaar[[#This Row],[CategorieCode]],0),0)</f>
        <v>0</v>
      </c>
    </row>
    <row r="444" spans="1:9" hidden="1" x14ac:dyDescent="0.3">
      <c r="A444" t="s">
        <v>525</v>
      </c>
      <c r="B444" s="20">
        <v>45658</v>
      </c>
      <c r="C444" t="s">
        <v>373</v>
      </c>
      <c r="D444" t="s">
        <v>374</v>
      </c>
      <c r="E444" t="s">
        <v>217</v>
      </c>
      <c r="F444">
        <v>0</v>
      </c>
      <c r="G444">
        <v>0</v>
      </c>
      <c r="H444">
        <f>IF(report_B_CategorieBoekjaar[[#This Row],[BedrijfsCode]]="002",IF(report_B_CategorieBoekjaar[[#This Row],[Boekjaar]]=Projectbegroting!$K$1,report_B_CategorieBoekjaar[[#This Row],[CategorieCode]],0),0)</f>
        <v>0</v>
      </c>
      <c r="I444">
        <f>IF(report_B_CategorieBoekjaar[[#This Row],[BedrijfsCode]]="001",IF(report_B_CategorieBoekjaar[[#This Row],[Boekjaar]]=Projectbegroting!$K$1,report_B_CategorieBoekjaar[[#This Row],[CategorieCode]],0),0)</f>
        <v>0</v>
      </c>
    </row>
    <row r="445" spans="1:9" hidden="1" x14ac:dyDescent="0.3">
      <c r="A445" t="s">
        <v>525</v>
      </c>
      <c r="B445" s="20">
        <v>45658</v>
      </c>
      <c r="C445" t="s">
        <v>375</v>
      </c>
      <c r="D445" t="s">
        <v>376</v>
      </c>
      <c r="E445" t="s">
        <v>217</v>
      </c>
      <c r="F445">
        <v>0</v>
      </c>
      <c r="G445">
        <v>0</v>
      </c>
      <c r="H445">
        <f>IF(report_B_CategorieBoekjaar[[#This Row],[BedrijfsCode]]="002",IF(report_B_CategorieBoekjaar[[#This Row],[Boekjaar]]=Projectbegroting!$K$1,report_B_CategorieBoekjaar[[#This Row],[CategorieCode]],0),0)</f>
        <v>0</v>
      </c>
      <c r="I445">
        <f>IF(report_B_CategorieBoekjaar[[#This Row],[BedrijfsCode]]="001",IF(report_B_CategorieBoekjaar[[#This Row],[Boekjaar]]=Projectbegroting!$K$1,report_B_CategorieBoekjaar[[#This Row],[CategorieCode]],0),0)</f>
        <v>0</v>
      </c>
    </row>
    <row r="446" spans="1:9" hidden="1" x14ac:dyDescent="0.3">
      <c r="A446" t="s">
        <v>525</v>
      </c>
      <c r="B446" s="20">
        <v>45658</v>
      </c>
      <c r="C446" t="s">
        <v>377</v>
      </c>
      <c r="D446" t="s">
        <v>378</v>
      </c>
      <c r="E446" t="s">
        <v>217</v>
      </c>
      <c r="F446">
        <v>0</v>
      </c>
      <c r="G446">
        <v>0</v>
      </c>
      <c r="H446">
        <f>IF(report_B_CategorieBoekjaar[[#This Row],[BedrijfsCode]]="002",IF(report_B_CategorieBoekjaar[[#This Row],[Boekjaar]]=Projectbegroting!$K$1,report_B_CategorieBoekjaar[[#This Row],[CategorieCode]],0),0)</f>
        <v>0</v>
      </c>
      <c r="I446">
        <f>IF(report_B_CategorieBoekjaar[[#This Row],[BedrijfsCode]]="001",IF(report_B_CategorieBoekjaar[[#This Row],[Boekjaar]]=Projectbegroting!$K$1,report_B_CategorieBoekjaar[[#This Row],[CategorieCode]],0),0)</f>
        <v>0</v>
      </c>
    </row>
    <row r="447" spans="1:9" hidden="1" x14ac:dyDescent="0.3">
      <c r="A447" t="s">
        <v>525</v>
      </c>
      <c r="B447" s="20">
        <v>45658</v>
      </c>
      <c r="C447" t="s">
        <v>379</v>
      </c>
      <c r="D447" t="s">
        <v>380</v>
      </c>
      <c r="E447" t="s">
        <v>381</v>
      </c>
      <c r="F447">
        <v>51</v>
      </c>
      <c r="G447">
        <v>106</v>
      </c>
      <c r="H447">
        <f>IF(report_B_CategorieBoekjaar[[#This Row],[BedrijfsCode]]="002",IF(report_B_CategorieBoekjaar[[#This Row],[Boekjaar]]=Projectbegroting!$K$1,report_B_CategorieBoekjaar[[#This Row],[CategorieCode]],0),0)</f>
        <v>0</v>
      </c>
      <c r="I447">
        <f>IF(report_B_CategorieBoekjaar[[#This Row],[BedrijfsCode]]="001",IF(report_B_CategorieBoekjaar[[#This Row],[Boekjaar]]=Projectbegroting!$K$1,report_B_CategorieBoekjaar[[#This Row],[CategorieCode]],0),0)</f>
        <v>0</v>
      </c>
    </row>
    <row r="448" spans="1:9" hidden="1" x14ac:dyDescent="0.3">
      <c r="A448" t="s">
        <v>525</v>
      </c>
      <c r="B448" s="20">
        <v>45658</v>
      </c>
      <c r="C448" t="s">
        <v>382</v>
      </c>
      <c r="D448" t="s">
        <v>383</v>
      </c>
      <c r="E448" t="s">
        <v>384</v>
      </c>
      <c r="F448">
        <v>0</v>
      </c>
      <c r="G448">
        <v>0</v>
      </c>
      <c r="H448">
        <f>IF(report_B_CategorieBoekjaar[[#This Row],[BedrijfsCode]]="002",IF(report_B_CategorieBoekjaar[[#This Row],[Boekjaar]]=Projectbegroting!$K$1,report_B_CategorieBoekjaar[[#This Row],[CategorieCode]],0),0)</f>
        <v>0</v>
      </c>
      <c r="I448">
        <f>IF(report_B_CategorieBoekjaar[[#This Row],[BedrijfsCode]]="001",IF(report_B_CategorieBoekjaar[[#This Row],[Boekjaar]]=Projectbegroting!$K$1,report_B_CategorieBoekjaar[[#This Row],[CategorieCode]],0),0)</f>
        <v>0</v>
      </c>
    </row>
    <row r="449" spans="1:9" hidden="1" x14ac:dyDescent="0.3">
      <c r="A449" t="s">
        <v>525</v>
      </c>
      <c r="B449" s="20">
        <v>45658</v>
      </c>
      <c r="C449" t="s">
        <v>385</v>
      </c>
      <c r="D449" t="s">
        <v>386</v>
      </c>
      <c r="E449" t="s">
        <v>381</v>
      </c>
      <c r="F449">
        <v>74</v>
      </c>
      <c r="G449">
        <v>129</v>
      </c>
      <c r="H449">
        <f>IF(report_B_CategorieBoekjaar[[#This Row],[BedrijfsCode]]="002",IF(report_B_CategorieBoekjaar[[#This Row],[Boekjaar]]=Projectbegroting!$K$1,report_B_CategorieBoekjaar[[#This Row],[CategorieCode]],0),0)</f>
        <v>0</v>
      </c>
      <c r="I449">
        <f>IF(report_B_CategorieBoekjaar[[#This Row],[BedrijfsCode]]="001",IF(report_B_CategorieBoekjaar[[#This Row],[Boekjaar]]=Projectbegroting!$K$1,report_B_CategorieBoekjaar[[#This Row],[CategorieCode]],0),0)</f>
        <v>0</v>
      </c>
    </row>
    <row r="450" spans="1:9" hidden="1" x14ac:dyDescent="0.3">
      <c r="A450" t="s">
        <v>525</v>
      </c>
      <c r="B450" s="20">
        <v>45658</v>
      </c>
      <c r="C450" t="s">
        <v>387</v>
      </c>
      <c r="D450" t="s">
        <v>388</v>
      </c>
      <c r="E450" t="s">
        <v>384</v>
      </c>
      <c r="F450">
        <v>106</v>
      </c>
      <c r="G450">
        <v>0</v>
      </c>
      <c r="H450">
        <f>IF(report_B_CategorieBoekjaar[[#This Row],[BedrijfsCode]]="002",IF(report_B_CategorieBoekjaar[[#This Row],[Boekjaar]]=Projectbegroting!$K$1,report_B_CategorieBoekjaar[[#This Row],[CategorieCode]],0),0)</f>
        <v>0</v>
      </c>
      <c r="I450">
        <f>IF(report_B_CategorieBoekjaar[[#This Row],[BedrijfsCode]]="001",IF(report_B_CategorieBoekjaar[[#This Row],[Boekjaar]]=Projectbegroting!$K$1,report_B_CategorieBoekjaar[[#This Row],[CategorieCode]],0),0)</f>
        <v>0</v>
      </c>
    </row>
    <row r="451" spans="1:9" hidden="1" x14ac:dyDescent="0.3">
      <c r="A451" t="s">
        <v>525</v>
      </c>
      <c r="B451" s="20">
        <v>45658</v>
      </c>
      <c r="C451" t="s">
        <v>52</v>
      </c>
      <c r="D451" t="s">
        <v>53</v>
      </c>
      <c r="E451" t="s">
        <v>381</v>
      </c>
      <c r="F451">
        <v>80</v>
      </c>
      <c r="G451">
        <v>115</v>
      </c>
      <c r="H451">
        <f>IF(report_B_CategorieBoekjaar[[#This Row],[BedrijfsCode]]="002",IF(report_B_CategorieBoekjaar[[#This Row],[Boekjaar]]=Projectbegroting!$K$1,report_B_CategorieBoekjaar[[#This Row],[CategorieCode]],0),0)</f>
        <v>0</v>
      </c>
      <c r="I451">
        <f>IF(report_B_CategorieBoekjaar[[#This Row],[BedrijfsCode]]="001",IF(report_B_CategorieBoekjaar[[#This Row],[Boekjaar]]=Projectbegroting!$K$1,report_B_CategorieBoekjaar[[#This Row],[CategorieCode]],0),0)</f>
        <v>0</v>
      </c>
    </row>
    <row r="452" spans="1:9" hidden="1" x14ac:dyDescent="0.3">
      <c r="A452" t="s">
        <v>525</v>
      </c>
      <c r="B452" s="20">
        <v>45658</v>
      </c>
      <c r="C452" t="s">
        <v>389</v>
      </c>
      <c r="D452" t="s">
        <v>390</v>
      </c>
      <c r="E452" t="s">
        <v>384</v>
      </c>
      <c r="F452">
        <v>0</v>
      </c>
      <c r="G452">
        <v>0</v>
      </c>
      <c r="H452">
        <f>IF(report_B_CategorieBoekjaar[[#This Row],[BedrijfsCode]]="002",IF(report_B_CategorieBoekjaar[[#This Row],[Boekjaar]]=Projectbegroting!$K$1,report_B_CategorieBoekjaar[[#This Row],[CategorieCode]],0),0)</f>
        <v>0</v>
      </c>
      <c r="I452">
        <f>IF(report_B_CategorieBoekjaar[[#This Row],[BedrijfsCode]]="001",IF(report_B_CategorieBoekjaar[[#This Row],[Boekjaar]]=Projectbegroting!$K$1,report_B_CategorieBoekjaar[[#This Row],[CategorieCode]],0),0)</f>
        <v>0</v>
      </c>
    </row>
    <row r="453" spans="1:9" hidden="1" x14ac:dyDescent="0.3">
      <c r="A453" t="s">
        <v>525</v>
      </c>
      <c r="B453" s="20">
        <v>45658</v>
      </c>
      <c r="C453" t="s">
        <v>391</v>
      </c>
      <c r="D453" t="s">
        <v>392</v>
      </c>
      <c r="E453" t="s">
        <v>381</v>
      </c>
      <c r="F453">
        <v>69</v>
      </c>
      <c r="G453">
        <v>124</v>
      </c>
      <c r="H453">
        <f>IF(report_B_CategorieBoekjaar[[#This Row],[BedrijfsCode]]="002",IF(report_B_CategorieBoekjaar[[#This Row],[Boekjaar]]=Projectbegroting!$K$1,report_B_CategorieBoekjaar[[#This Row],[CategorieCode]],0),0)</f>
        <v>0</v>
      </c>
      <c r="I453">
        <f>IF(report_B_CategorieBoekjaar[[#This Row],[BedrijfsCode]]="001",IF(report_B_CategorieBoekjaar[[#This Row],[Boekjaar]]=Projectbegroting!$K$1,report_B_CategorieBoekjaar[[#This Row],[CategorieCode]],0),0)</f>
        <v>0</v>
      </c>
    </row>
    <row r="454" spans="1:9" hidden="1" x14ac:dyDescent="0.3">
      <c r="A454" t="s">
        <v>525</v>
      </c>
      <c r="B454" s="20">
        <v>45658</v>
      </c>
      <c r="C454" t="s">
        <v>393</v>
      </c>
      <c r="D454" t="s">
        <v>394</v>
      </c>
      <c r="E454" t="s">
        <v>384</v>
      </c>
      <c r="F454">
        <v>0</v>
      </c>
      <c r="G454">
        <v>0</v>
      </c>
      <c r="H454">
        <f>IF(report_B_CategorieBoekjaar[[#This Row],[BedrijfsCode]]="002",IF(report_B_CategorieBoekjaar[[#This Row],[Boekjaar]]=Projectbegroting!$K$1,report_B_CategorieBoekjaar[[#This Row],[CategorieCode]],0),0)</f>
        <v>0</v>
      </c>
      <c r="I454">
        <f>IF(report_B_CategorieBoekjaar[[#This Row],[BedrijfsCode]]="001",IF(report_B_CategorieBoekjaar[[#This Row],[Boekjaar]]=Projectbegroting!$K$1,report_B_CategorieBoekjaar[[#This Row],[CategorieCode]],0),0)</f>
        <v>0</v>
      </c>
    </row>
    <row r="455" spans="1:9" hidden="1" x14ac:dyDescent="0.3">
      <c r="A455" t="s">
        <v>525</v>
      </c>
      <c r="B455" s="20">
        <v>45658</v>
      </c>
      <c r="C455" t="s">
        <v>395</v>
      </c>
      <c r="D455" t="s">
        <v>396</v>
      </c>
      <c r="E455" t="s">
        <v>381</v>
      </c>
      <c r="F455">
        <v>54</v>
      </c>
      <c r="G455">
        <v>0</v>
      </c>
      <c r="H455">
        <f>IF(report_B_CategorieBoekjaar[[#This Row],[BedrijfsCode]]="002",IF(report_B_CategorieBoekjaar[[#This Row],[Boekjaar]]=Projectbegroting!$K$1,report_B_CategorieBoekjaar[[#This Row],[CategorieCode]],0),0)</f>
        <v>0</v>
      </c>
      <c r="I455">
        <f>IF(report_B_CategorieBoekjaar[[#This Row],[BedrijfsCode]]="001",IF(report_B_CategorieBoekjaar[[#This Row],[Boekjaar]]=Projectbegroting!$K$1,report_B_CategorieBoekjaar[[#This Row],[CategorieCode]],0),0)</f>
        <v>0</v>
      </c>
    </row>
    <row r="456" spans="1:9" hidden="1" x14ac:dyDescent="0.3">
      <c r="A456" t="s">
        <v>525</v>
      </c>
      <c r="B456" s="20">
        <v>45658</v>
      </c>
      <c r="C456" t="s">
        <v>397</v>
      </c>
      <c r="D456" t="s">
        <v>398</v>
      </c>
      <c r="E456" t="s">
        <v>384</v>
      </c>
      <c r="F456">
        <v>0</v>
      </c>
      <c r="G456">
        <v>0</v>
      </c>
      <c r="H456">
        <f>IF(report_B_CategorieBoekjaar[[#This Row],[BedrijfsCode]]="002",IF(report_B_CategorieBoekjaar[[#This Row],[Boekjaar]]=Projectbegroting!$K$1,report_B_CategorieBoekjaar[[#This Row],[CategorieCode]],0),0)</f>
        <v>0</v>
      </c>
      <c r="I456">
        <f>IF(report_B_CategorieBoekjaar[[#This Row],[BedrijfsCode]]="001",IF(report_B_CategorieBoekjaar[[#This Row],[Boekjaar]]=Projectbegroting!$K$1,report_B_CategorieBoekjaar[[#This Row],[CategorieCode]],0),0)</f>
        <v>0</v>
      </c>
    </row>
    <row r="457" spans="1:9" hidden="1" x14ac:dyDescent="0.3">
      <c r="A457" t="s">
        <v>525</v>
      </c>
      <c r="B457" s="20">
        <v>45658</v>
      </c>
      <c r="C457" t="s">
        <v>54</v>
      </c>
      <c r="D457" t="s">
        <v>399</v>
      </c>
      <c r="E457" t="s">
        <v>381</v>
      </c>
      <c r="F457">
        <v>61</v>
      </c>
      <c r="G457">
        <v>116</v>
      </c>
      <c r="H457">
        <f>IF(report_B_CategorieBoekjaar[[#This Row],[BedrijfsCode]]="002",IF(report_B_CategorieBoekjaar[[#This Row],[Boekjaar]]=Projectbegroting!$K$1,report_B_CategorieBoekjaar[[#This Row],[CategorieCode]],0),0)</f>
        <v>0</v>
      </c>
      <c r="I457">
        <f>IF(report_B_CategorieBoekjaar[[#This Row],[BedrijfsCode]]="001",IF(report_B_CategorieBoekjaar[[#This Row],[Boekjaar]]=Projectbegroting!$K$1,report_B_CategorieBoekjaar[[#This Row],[CategorieCode]],0),0)</f>
        <v>0</v>
      </c>
    </row>
    <row r="458" spans="1:9" hidden="1" x14ac:dyDescent="0.3">
      <c r="A458" t="s">
        <v>525</v>
      </c>
      <c r="B458" s="20">
        <v>45658</v>
      </c>
      <c r="C458" t="s">
        <v>400</v>
      </c>
      <c r="D458" t="s">
        <v>401</v>
      </c>
      <c r="E458" t="s">
        <v>384</v>
      </c>
      <c r="F458">
        <v>0</v>
      </c>
      <c r="G458">
        <v>0</v>
      </c>
      <c r="H458">
        <f>IF(report_B_CategorieBoekjaar[[#This Row],[BedrijfsCode]]="002",IF(report_B_CategorieBoekjaar[[#This Row],[Boekjaar]]=Projectbegroting!$K$1,report_B_CategorieBoekjaar[[#This Row],[CategorieCode]],0),0)</f>
        <v>0</v>
      </c>
      <c r="I458">
        <f>IF(report_B_CategorieBoekjaar[[#This Row],[BedrijfsCode]]="001",IF(report_B_CategorieBoekjaar[[#This Row],[Boekjaar]]=Projectbegroting!$K$1,report_B_CategorieBoekjaar[[#This Row],[CategorieCode]],0),0)</f>
        <v>0</v>
      </c>
    </row>
    <row r="459" spans="1:9" hidden="1" x14ac:dyDescent="0.3">
      <c r="A459" t="s">
        <v>525</v>
      </c>
      <c r="B459" s="20">
        <v>45658</v>
      </c>
      <c r="C459" t="s">
        <v>56</v>
      </c>
      <c r="D459" t="s">
        <v>402</v>
      </c>
      <c r="E459" t="s">
        <v>381</v>
      </c>
      <c r="F459">
        <v>64</v>
      </c>
      <c r="G459">
        <v>0</v>
      </c>
      <c r="H459">
        <f>IF(report_B_CategorieBoekjaar[[#This Row],[BedrijfsCode]]="002",IF(report_B_CategorieBoekjaar[[#This Row],[Boekjaar]]=Projectbegroting!$K$1,report_B_CategorieBoekjaar[[#This Row],[CategorieCode]],0),0)</f>
        <v>0</v>
      </c>
      <c r="I459">
        <f>IF(report_B_CategorieBoekjaar[[#This Row],[BedrijfsCode]]="001",IF(report_B_CategorieBoekjaar[[#This Row],[Boekjaar]]=Projectbegroting!$K$1,report_B_CategorieBoekjaar[[#This Row],[CategorieCode]],0),0)</f>
        <v>0</v>
      </c>
    </row>
    <row r="460" spans="1:9" hidden="1" x14ac:dyDescent="0.3">
      <c r="A460" t="s">
        <v>525</v>
      </c>
      <c r="B460" s="20">
        <v>45658</v>
      </c>
      <c r="C460" t="s">
        <v>403</v>
      </c>
      <c r="D460" t="s">
        <v>404</v>
      </c>
      <c r="E460" t="s">
        <v>384</v>
      </c>
      <c r="F460">
        <v>0</v>
      </c>
      <c r="G460">
        <v>0</v>
      </c>
      <c r="H460">
        <f>IF(report_B_CategorieBoekjaar[[#This Row],[BedrijfsCode]]="002",IF(report_B_CategorieBoekjaar[[#This Row],[Boekjaar]]=Projectbegroting!$K$1,report_B_CategorieBoekjaar[[#This Row],[CategorieCode]],0),0)</f>
        <v>0</v>
      </c>
      <c r="I460">
        <f>IF(report_B_CategorieBoekjaar[[#This Row],[BedrijfsCode]]="001",IF(report_B_CategorieBoekjaar[[#This Row],[Boekjaar]]=Projectbegroting!$K$1,report_B_CategorieBoekjaar[[#This Row],[CategorieCode]],0),0)</f>
        <v>0</v>
      </c>
    </row>
    <row r="461" spans="1:9" hidden="1" x14ac:dyDescent="0.3">
      <c r="A461" t="s">
        <v>525</v>
      </c>
      <c r="B461" s="20">
        <v>45658</v>
      </c>
      <c r="C461" t="s">
        <v>405</v>
      </c>
      <c r="D461" t="s">
        <v>16</v>
      </c>
      <c r="E461" t="s">
        <v>381</v>
      </c>
      <c r="F461">
        <v>0</v>
      </c>
      <c r="G461">
        <v>0</v>
      </c>
      <c r="H461">
        <f>IF(report_B_CategorieBoekjaar[[#This Row],[BedrijfsCode]]="002",IF(report_B_CategorieBoekjaar[[#This Row],[Boekjaar]]=Projectbegroting!$K$1,report_B_CategorieBoekjaar[[#This Row],[CategorieCode]],0),0)</f>
        <v>0</v>
      </c>
      <c r="I461">
        <f>IF(report_B_CategorieBoekjaar[[#This Row],[BedrijfsCode]]="001",IF(report_B_CategorieBoekjaar[[#This Row],[Boekjaar]]=Projectbegroting!$K$1,report_B_CategorieBoekjaar[[#This Row],[CategorieCode]],0),0)</f>
        <v>0</v>
      </c>
    </row>
    <row r="462" spans="1:9" hidden="1" x14ac:dyDescent="0.3">
      <c r="A462" t="s">
        <v>525</v>
      </c>
      <c r="B462" s="20">
        <v>45658</v>
      </c>
      <c r="C462" t="s">
        <v>58</v>
      </c>
      <c r="D462" t="s">
        <v>406</v>
      </c>
      <c r="E462" t="s">
        <v>381</v>
      </c>
      <c r="F462">
        <v>69</v>
      </c>
      <c r="G462">
        <v>0</v>
      </c>
      <c r="H462">
        <f>IF(report_B_CategorieBoekjaar[[#This Row],[BedrijfsCode]]="002",IF(report_B_CategorieBoekjaar[[#This Row],[Boekjaar]]=Projectbegroting!$K$1,report_B_CategorieBoekjaar[[#This Row],[CategorieCode]],0),0)</f>
        <v>0</v>
      </c>
      <c r="I462">
        <f>IF(report_B_CategorieBoekjaar[[#This Row],[BedrijfsCode]]="001",IF(report_B_CategorieBoekjaar[[#This Row],[Boekjaar]]=Projectbegroting!$K$1,report_B_CategorieBoekjaar[[#This Row],[CategorieCode]],0),0)</f>
        <v>0</v>
      </c>
    </row>
    <row r="463" spans="1:9" hidden="1" x14ac:dyDescent="0.3">
      <c r="A463" t="s">
        <v>525</v>
      </c>
      <c r="B463" s="20">
        <v>45658</v>
      </c>
      <c r="C463" t="s">
        <v>407</v>
      </c>
      <c r="D463" t="s">
        <v>408</v>
      </c>
      <c r="E463" t="s">
        <v>384</v>
      </c>
      <c r="F463">
        <v>0</v>
      </c>
      <c r="G463">
        <v>0</v>
      </c>
      <c r="H463">
        <f>IF(report_B_CategorieBoekjaar[[#This Row],[BedrijfsCode]]="002",IF(report_B_CategorieBoekjaar[[#This Row],[Boekjaar]]=Projectbegroting!$K$1,report_B_CategorieBoekjaar[[#This Row],[CategorieCode]],0),0)</f>
        <v>0</v>
      </c>
      <c r="I463">
        <f>IF(report_B_CategorieBoekjaar[[#This Row],[BedrijfsCode]]="001",IF(report_B_CategorieBoekjaar[[#This Row],[Boekjaar]]=Projectbegroting!$K$1,report_B_CategorieBoekjaar[[#This Row],[CategorieCode]],0),0)</f>
        <v>0</v>
      </c>
    </row>
    <row r="464" spans="1:9" hidden="1" x14ac:dyDescent="0.3">
      <c r="A464" t="s">
        <v>525</v>
      </c>
      <c r="B464" s="20">
        <v>45658</v>
      </c>
      <c r="C464" t="s">
        <v>60</v>
      </c>
      <c r="D464" t="s">
        <v>61</v>
      </c>
      <c r="E464" t="s">
        <v>381</v>
      </c>
      <c r="F464">
        <v>75</v>
      </c>
      <c r="G464">
        <v>130</v>
      </c>
      <c r="H464">
        <f>IF(report_B_CategorieBoekjaar[[#This Row],[BedrijfsCode]]="002",IF(report_B_CategorieBoekjaar[[#This Row],[Boekjaar]]=Projectbegroting!$K$1,report_B_CategorieBoekjaar[[#This Row],[CategorieCode]],0),0)</f>
        <v>0</v>
      </c>
      <c r="I464">
        <f>IF(report_B_CategorieBoekjaar[[#This Row],[BedrijfsCode]]="001",IF(report_B_CategorieBoekjaar[[#This Row],[Boekjaar]]=Projectbegroting!$K$1,report_B_CategorieBoekjaar[[#This Row],[CategorieCode]],0),0)</f>
        <v>0</v>
      </c>
    </row>
    <row r="465" spans="1:9" hidden="1" x14ac:dyDescent="0.3">
      <c r="A465" t="s">
        <v>525</v>
      </c>
      <c r="B465" s="20">
        <v>45658</v>
      </c>
      <c r="C465" t="s">
        <v>168</v>
      </c>
      <c r="D465" t="s">
        <v>409</v>
      </c>
      <c r="E465" t="s">
        <v>384</v>
      </c>
      <c r="F465">
        <v>107</v>
      </c>
      <c r="G465">
        <v>0</v>
      </c>
      <c r="H465">
        <f>IF(report_B_CategorieBoekjaar[[#This Row],[BedrijfsCode]]="002",IF(report_B_CategorieBoekjaar[[#This Row],[Boekjaar]]=Projectbegroting!$K$1,report_B_CategorieBoekjaar[[#This Row],[CategorieCode]],0),0)</f>
        <v>0</v>
      </c>
      <c r="I465">
        <f>IF(report_B_CategorieBoekjaar[[#This Row],[BedrijfsCode]]="001",IF(report_B_CategorieBoekjaar[[#This Row],[Boekjaar]]=Projectbegroting!$K$1,report_B_CategorieBoekjaar[[#This Row],[CategorieCode]],0),0)</f>
        <v>0</v>
      </c>
    </row>
    <row r="466" spans="1:9" hidden="1" x14ac:dyDescent="0.3">
      <c r="A466" t="s">
        <v>525</v>
      </c>
      <c r="B466" s="20">
        <v>45658</v>
      </c>
      <c r="C466" t="s">
        <v>410</v>
      </c>
      <c r="D466" t="s">
        <v>411</v>
      </c>
      <c r="E466" t="s">
        <v>381</v>
      </c>
      <c r="F466">
        <v>34</v>
      </c>
      <c r="G466">
        <v>0</v>
      </c>
      <c r="H466">
        <f>IF(report_B_CategorieBoekjaar[[#This Row],[BedrijfsCode]]="002",IF(report_B_CategorieBoekjaar[[#This Row],[Boekjaar]]=Projectbegroting!$K$1,report_B_CategorieBoekjaar[[#This Row],[CategorieCode]],0),0)</f>
        <v>0</v>
      </c>
      <c r="I466">
        <f>IF(report_B_CategorieBoekjaar[[#This Row],[BedrijfsCode]]="001",IF(report_B_CategorieBoekjaar[[#This Row],[Boekjaar]]=Projectbegroting!$K$1,report_B_CategorieBoekjaar[[#This Row],[CategorieCode]],0),0)</f>
        <v>0</v>
      </c>
    </row>
    <row r="467" spans="1:9" hidden="1" x14ac:dyDescent="0.3">
      <c r="A467" t="s">
        <v>525</v>
      </c>
      <c r="B467" s="20">
        <v>45658</v>
      </c>
      <c r="C467" t="s">
        <v>412</v>
      </c>
      <c r="D467" t="s">
        <v>413</v>
      </c>
      <c r="E467" t="s">
        <v>381</v>
      </c>
      <c r="F467">
        <v>44</v>
      </c>
      <c r="G467">
        <v>99</v>
      </c>
      <c r="H467">
        <f>IF(report_B_CategorieBoekjaar[[#This Row],[BedrijfsCode]]="002",IF(report_B_CategorieBoekjaar[[#This Row],[Boekjaar]]=Projectbegroting!$K$1,report_B_CategorieBoekjaar[[#This Row],[CategorieCode]],0),0)</f>
        <v>0</v>
      </c>
      <c r="I467">
        <f>IF(report_B_CategorieBoekjaar[[#This Row],[BedrijfsCode]]="001",IF(report_B_CategorieBoekjaar[[#This Row],[Boekjaar]]=Projectbegroting!$K$1,report_B_CategorieBoekjaar[[#This Row],[CategorieCode]],0),0)</f>
        <v>0</v>
      </c>
    </row>
    <row r="468" spans="1:9" hidden="1" x14ac:dyDescent="0.3">
      <c r="A468" t="s">
        <v>525</v>
      </c>
      <c r="B468" s="20">
        <v>45658</v>
      </c>
      <c r="C468" t="s">
        <v>414</v>
      </c>
      <c r="D468" t="s">
        <v>415</v>
      </c>
      <c r="E468" t="s">
        <v>384</v>
      </c>
      <c r="F468">
        <v>0</v>
      </c>
      <c r="G468">
        <v>0</v>
      </c>
      <c r="H468">
        <f>IF(report_B_CategorieBoekjaar[[#This Row],[BedrijfsCode]]="002",IF(report_B_CategorieBoekjaar[[#This Row],[Boekjaar]]=Projectbegroting!$K$1,report_B_CategorieBoekjaar[[#This Row],[CategorieCode]],0),0)</f>
        <v>0</v>
      </c>
      <c r="I468">
        <f>IF(report_B_CategorieBoekjaar[[#This Row],[BedrijfsCode]]="001",IF(report_B_CategorieBoekjaar[[#This Row],[Boekjaar]]=Projectbegroting!$K$1,report_B_CategorieBoekjaar[[#This Row],[CategorieCode]],0),0)</f>
        <v>0</v>
      </c>
    </row>
    <row r="469" spans="1:9" hidden="1" x14ac:dyDescent="0.3">
      <c r="A469" t="s">
        <v>525</v>
      </c>
      <c r="B469" s="20">
        <v>45658</v>
      </c>
      <c r="C469" t="s">
        <v>82</v>
      </c>
      <c r="D469" t="s">
        <v>416</v>
      </c>
      <c r="E469" t="s">
        <v>381</v>
      </c>
      <c r="F469">
        <v>84</v>
      </c>
      <c r="G469">
        <v>128</v>
      </c>
      <c r="H469">
        <f>IF(report_B_CategorieBoekjaar[[#This Row],[BedrijfsCode]]="002",IF(report_B_CategorieBoekjaar[[#This Row],[Boekjaar]]=Projectbegroting!$K$1,report_B_CategorieBoekjaar[[#This Row],[CategorieCode]],0),0)</f>
        <v>0</v>
      </c>
      <c r="I469">
        <f>IF(report_B_CategorieBoekjaar[[#This Row],[BedrijfsCode]]="001",IF(report_B_CategorieBoekjaar[[#This Row],[Boekjaar]]=Projectbegroting!$K$1,report_B_CategorieBoekjaar[[#This Row],[CategorieCode]],0),0)</f>
        <v>0</v>
      </c>
    </row>
    <row r="470" spans="1:9" hidden="1" x14ac:dyDescent="0.3">
      <c r="A470" t="s">
        <v>525</v>
      </c>
      <c r="B470" s="20">
        <v>45658</v>
      </c>
      <c r="C470" t="s">
        <v>169</v>
      </c>
      <c r="D470" t="s">
        <v>417</v>
      </c>
      <c r="E470" t="s">
        <v>384</v>
      </c>
      <c r="F470">
        <v>129</v>
      </c>
      <c r="G470">
        <v>0</v>
      </c>
      <c r="H470">
        <f>IF(report_B_CategorieBoekjaar[[#This Row],[BedrijfsCode]]="002",IF(report_B_CategorieBoekjaar[[#This Row],[Boekjaar]]=Projectbegroting!$K$1,report_B_CategorieBoekjaar[[#This Row],[CategorieCode]],0),0)</f>
        <v>0</v>
      </c>
      <c r="I470">
        <f>IF(report_B_CategorieBoekjaar[[#This Row],[BedrijfsCode]]="001",IF(report_B_CategorieBoekjaar[[#This Row],[Boekjaar]]=Projectbegroting!$K$1,report_B_CategorieBoekjaar[[#This Row],[CategorieCode]],0),0)</f>
        <v>0</v>
      </c>
    </row>
    <row r="471" spans="1:9" hidden="1" x14ac:dyDescent="0.3">
      <c r="A471" t="s">
        <v>525</v>
      </c>
      <c r="B471" s="20">
        <v>45658</v>
      </c>
      <c r="C471" t="s">
        <v>418</v>
      </c>
      <c r="D471" t="s">
        <v>419</v>
      </c>
      <c r="E471" t="s">
        <v>381</v>
      </c>
      <c r="F471">
        <v>66</v>
      </c>
      <c r="G471">
        <v>0</v>
      </c>
      <c r="H471">
        <f>IF(report_B_CategorieBoekjaar[[#This Row],[BedrijfsCode]]="002",IF(report_B_CategorieBoekjaar[[#This Row],[Boekjaar]]=Projectbegroting!$K$1,report_B_CategorieBoekjaar[[#This Row],[CategorieCode]],0),0)</f>
        <v>0</v>
      </c>
      <c r="I471">
        <f>IF(report_B_CategorieBoekjaar[[#This Row],[BedrijfsCode]]="001",IF(report_B_CategorieBoekjaar[[#This Row],[Boekjaar]]=Projectbegroting!$K$1,report_B_CategorieBoekjaar[[#This Row],[CategorieCode]],0),0)</f>
        <v>0</v>
      </c>
    </row>
    <row r="472" spans="1:9" hidden="1" x14ac:dyDescent="0.3">
      <c r="A472" t="s">
        <v>525</v>
      </c>
      <c r="B472" s="20">
        <v>45658</v>
      </c>
      <c r="C472" t="s">
        <v>84</v>
      </c>
      <c r="D472" t="s">
        <v>420</v>
      </c>
      <c r="E472" t="s">
        <v>381</v>
      </c>
      <c r="F472">
        <v>66</v>
      </c>
      <c r="G472">
        <v>121</v>
      </c>
      <c r="H472">
        <f>IF(report_B_CategorieBoekjaar[[#This Row],[BedrijfsCode]]="002",IF(report_B_CategorieBoekjaar[[#This Row],[Boekjaar]]=Projectbegroting!$K$1,report_B_CategorieBoekjaar[[#This Row],[CategorieCode]],0),0)</f>
        <v>0</v>
      </c>
      <c r="I472">
        <f>IF(report_B_CategorieBoekjaar[[#This Row],[BedrijfsCode]]="001",IF(report_B_CategorieBoekjaar[[#This Row],[Boekjaar]]=Projectbegroting!$K$1,report_B_CategorieBoekjaar[[#This Row],[CategorieCode]],0),0)</f>
        <v>0</v>
      </c>
    </row>
    <row r="473" spans="1:9" hidden="1" x14ac:dyDescent="0.3">
      <c r="A473" t="s">
        <v>525</v>
      </c>
      <c r="B473" s="20">
        <v>45658</v>
      </c>
      <c r="C473" t="s">
        <v>170</v>
      </c>
      <c r="D473" t="s">
        <v>421</v>
      </c>
      <c r="E473" t="s">
        <v>384</v>
      </c>
      <c r="F473">
        <v>98</v>
      </c>
      <c r="G473">
        <v>0</v>
      </c>
      <c r="H473">
        <f>IF(report_B_CategorieBoekjaar[[#This Row],[BedrijfsCode]]="002",IF(report_B_CategorieBoekjaar[[#This Row],[Boekjaar]]=Projectbegroting!$K$1,report_B_CategorieBoekjaar[[#This Row],[CategorieCode]],0),0)</f>
        <v>0</v>
      </c>
      <c r="I473">
        <f>IF(report_B_CategorieBoekjaar[[#This Row],[BedrijfsCode]]="001",IF(report_B_CategorieBoekjaar[[#This Row],[Boekjaar]]=Projectbegroting!$K$1,report_B_CategorieBoekjaar[[#This Row],[CategorieCode]],0),0)</f>
        <v>0</v>
      </c>
    </row>
    <row r="474" spans="1:9" hidden="1" x14ac:dyDescent="0.3">
      <c r="A474" t="s">
        <v>525</v>
      </c>
      <c r="B474" s="20">
        <v>45658</v>
      </c>
      <c r="C474" t="s">
        <v>96</v>
      </c>
      <c r="D474" t="s">
        <v>422</v>
      </c>
      <c r="E474" t="s">
        <v>381</v>
      </c>
      <c r="F474">
        <v>68</v>
      </c>
      <c r="G474">
        <v>123</v>
      </c>
      <c r="H474">
        <f>IF(report_B_CategorieBoekjaar[[#This Row],[BedrijfsCode]]="002",IF(report_B_CategorieBoekjaar[[#This Row],[Boekjaar]]=Projectbegroting!$K$1,report_B_CategorieBoekjaar[[#This Row],[CategorieCode]],0),0)</f>
        <v>0</v>
      </c>
      <c r="I474">
        <f>IF(report_B_CategorieBoekjaar[[#This Row],[BedrijfsCode]]="001",IF(report_B_CategorieBoekjaar[[#This Row],[Boekjaar]]=Projectbegroting!$K$1,report_B_CategorieBoekjaar[[#This Row],[CategorieCode]],0),0)</f>
        <v>0</v>
      </c>
    </row>
    <row r="475" spans="1:9" hidden="1" x14ac:dyDescent="0.3">
      <c r="A475" t="s">
        <v>525</v>
      </c>
      <c r="B475" s="20">
        <v>45658</v>
      </c>
      <c r="C475" t="s">
        <v>171</v>
      </c>
      <c r="D475" t="s">
        <v>423</v>
      </c>
      <c r="E475" t="s">
        <v>384</v>
      </c>
      <c r="F475">
        <v>100</v>
      </c>
      <c r="G475">
        <v>0</v>
      </c>
      <c r="H475">
        <f>IF(report_B_CategorieBoekjaar[[#This Row],[BedrijfsCode]]="002",IF(report_B_CategorieBoekjaar[[#This Row],[Boekjaar]]=Projectbegroting!$K$1,report_B_CategorieBoekjaar[[#This Row],[CategorieCode]],0),0)</f>
        <v>0</v>
      </c>
      <c r="I475">
        <f>IF(report_B_CategorieBoekjaar[[#This Row],[BedrijfsCode]]="001",IF(report_B_CategorieBoekjaar[[#This Row],[Boekjaar]]=Projectbegroting!$K$1,report_B_CategorieBoekjaar[[#This Row],[CategorieCode]],0),0)</f>
        <v>0</v>
      </c>
    </row>
    <row r="476" spans="1:9" hidden="1" x14ac:dyDescent="0.3">
      <c r="A476" t="s">
        <v>525</v>
      </c>
      <c r="B476" s="20">
        <v>45658</v>
      </c>
      <c r="C476" t="s">
        <v>86</v>
      </c>
      <c r="D476" t="s">
        <v>424</v>
      </c>
      <c r="E476" t="s">
        <v>381</v>
      </c>
      <c r="F476">
        <v>63</v>
      </c>
      <c r="G476">
        <v>118</v>
      </c>
      <c r="H476">
        <f>IF(report_B_CategorieBoekjaar[[#This Row],[BedrijfsCode]]="002",IF(report_B_CategorieBoekjaar[[#This Row],[Boekjaar]]=Projectbegroting!$K$1,report_B_CategorieBoekjaar[[#This Row],[CategorieCode]],0),0)</f>
        <v>0</v>
      </c>
      <c r="I476">
        <f>IF(report_B_CategorieBoekjaar[[#This Row],[BedrijfsCode]]="001",IF(report_B_CategorieBoekjaar[[#This Row],[Boekjaar]]=Projectbegroting!$K$1,report_B_CategorieBoekjaar[[#This Row],[CategorieCode]],0),0)</f>
        <v>0</v>
      </c>
    </row>
    <row r="477" spans="1:9" hidden="1" x14ac:dyDescent="0.3">
      <c r="A477" t="s">
        <v>525</v>
      </c>
      <c r="B477" s="20">
        <v>45658</v>
      </c>
      <c r="C477" t="s">
        <v>172</v>
      </c>
      <c r="D477" t="s">
        <v>425</v>
      </c>
      <c r="E477" t="s">
        <v>384</v>
      </c>
      <c r="F477">
        <v>95</v>
      </c>
      <c r="G477">
        <v>0</v>
      </c>
      <c r="H477">
        <f>IF(report_B_CategorieBoekjaar[[#This Row],[BedrijfsCode]]="002",IF(report_B_CategorieBoekjaar[[#This Row],[Boekjaar]]=Projectbegroting!$K$1,report_B_CategorieBoekjaar[[#This Row],[CategorieCode]],0),0)</f>
        <v>0</v>
      </c>
      <c r="I477">
        <f>IF(report_B_CategorieBoekjaar[[#This Row],[BedrijfsCode]]="001",IF(report_B_CategorieBoekjaar[[#This Row],[Boekjaar]]=Projectbegroting!$K$1,report_B_CategorieBoekjaar[[#This Row],[CategorieCode]],0),0)</f>
        <v>0</v>
      </c>
    </row>
    <row r="478" spans="1:9" hidden="1" x14ac:dyDescent="0.3">
      <c r="A478" t="s">
        <v>525</v>
      </c>
      <c r="B478" s="20">
        <v>45658</v>
      </c>
      <c r="C478" t="s">
        <v>94</v>
      </c>
      <c r="D478" t="s">
        <v>426</v>
      </c>
      <c r="E478" t="s">
        <v>381</v>
      </c>
      <c r="F478">
        <v>132</v>
      </c>
      <c r="G478">
        <v>132</v>
      </c>
      <c r="H478">
        <f>IF(report_B_CategorieBoekjaar[[#This Row],[BedrijfsCode]]="002",IF(report_B_CategorieBoekjaar[[#This Row],[Boekjaar]]=Projectbegroting!$K$1,report_B_CategorieBoekjaar[[#This Row],[CategorieCode]],0),0)</f>
        <v>0</v>
      </c>
      <c r="I478">
        <f>IF(report_B_CategorieBoekjaar[[#This Row],[BedrijfsCode]]="001",IF(report_B_CategorieBoekjaar[[#This Row],[Boekjaar]]=Projectbegroting!$K$1,report_B_CategorieBoekjaar[[#This Row],[CategorieCode]],0),0)</f>
        <v>0</v>
      </c>
    </row>
    <row r="479" spans="1:9" hidden="1" x14ac:dyDescent="0.3">
      <c r="A479" t="s">
        <v>525</v>
      </c>
      <c r="B479" s="20">
        <v>45658</v>
      </c>
      <c r="C479" t="s">
        <v>173</v>
      </c>
      <c r="D479" t="s">
        <v>427</v>
      </c>
      <c r="E479" t="s">
        <v>384</v>
      </c>
      <c r="F479">
        <v>132</v>
      </c>
      <c r="G479">
        <v>0</v>
      </c>
      <c r="H479">
        <f>IF(report_B_CategorieBoekjaar[[#This Row],[BedrijfsCode]]="002",IF(report_B_CategorieBoekjaar[[#This Row],[Boekjaar]]=Projectbegroting!$K$1,report_B_CategorieBoekjaar[[#This Row],[CategorieCode]],0),0)</f>
        <v>0</v>
      </c>
      <c r="I479">
        <f>IF(report_B_CategorieBoekjaar[[#This Row],[BedrijfsCode]]="001",IF(report_B_CategorieBoekjaar[[#This Row],[Boekjaar]]=Projectbegroting!$K$1,report_B_CategorieBoekjaar[[#This Row],[CategorieCode]],0),0)</f>
        <v>0</v>
      </c>
    </row>
    <row r="480" spans="1:9" hidden="1" x14ac:dyDescent="0.3">
      <c r="A480" t="s">
        <v>525</v>
      </c>
      <c r="B480" s="20">
        <v>45658</v>
      </c>
      <c r="C480" t="s">
        <v>88</v>
      </c>
      <c r="D480" t="s">
        <v>89</v>
      </c>
      <c r="E480" t="s">
        <v>381</v>
      </c>
      <c r="F480">
        <v>67</v>
      </c>
      <c r="G480">
        <v>122</v>
      </c>
      <c r="H480">
        <f>IF(report_B_CategorieBoekjaar[[#This Row],[BedrijfsCode]]="002",IF(report_B_CategorieBoekjaar[[#This Row],[Boekjaar]]=Projectbegroting!$K$1,report_B_CategorieBoekjaar[[#This Row],[CategorieCode]],0),0)</f>
        <v>0</v>
      </c>
      <c r="I480">
        <f>IF(report_B_CategorieBoekjaar[[#This Row],[BedrijfsCode]]="001",IF(report_B_CategorieBoekjaar[[#This Row],[Boekjaar]]=Projectbegroting!$K$1,report_B_CategorieBoekjaar[[#This Row],[CategorieCode]],0),0)</f>
        <v>0</v>
      </c>
    </row>
    <row r="481" spans="1:9" hidden="1" x14ac:dyDescent="0.3">
      <c r="A481" t="s">
        <v>525</v>
      </c>
      <c r="B481" s="20">
        <v>45658</v>
      </c>
      <c r="C481" t="s">
        <v>174</v>
      </c>
      <c r="D481" t="s">
        <v>428</v>
      </c>
      <c r="E481" t="s">
        <v>384</v>
      </c>
      <c r="F481">
        <v>99</v>
      </c>
      <c r="G481">
        <v>0</v>
      </c>
      <c r="H481">
        <f>IF(report_B_CategorieBoekjaar[[#This Row],[BedrijfsCode]]="002",IF(report_B_CategorieBoekjaar[[#This Row],[Boekjaar]]=Projectbegroting!$K$1,report_B_CategorieBoekjaar[[#This Row],[CategorieCode]],0),0)</f>
        <v>0</v>
      </c>
      <c r="I481">
        <f>IF(report_B_CategorieBoekjaar[[#This Row],[BedrijfsCode]]="001",IF(report_B_CategorieBoekjaar[[#This Row],[Boekjaar]]=Projectbegroting!$K$1,report_B_CategorieBoekjaar[[#This Row],[CategorieCode]],0),0)</f>
        <v>0</v>
      </c>
    </row>
    <row r="482" spans="1:9" hidden="1" x14ac:dyDescent="0.3">
      <c r="A482" t="s">
        <v>525</v>
      </c>
      <c r="B482" s="20">
        <v>45658</v>
      </c>
      <c r="C482" t="s">
        <v>90</v>
      </c>
      <c r="D482" t="s">
        <v>91</v>
      </c>
      <c r="E482" t="s">
        <v>381</v>
      </c>
      <c r="F482">
        <v>49</v>
      </c>
      <c r="G482">
        <v>123</v>
      </c>
      <c r="H482">
        <f>IF(report_B_CategorieBoekjaar[[#This Row],[BedrijfsCode]]="002",IF(report_B_CategorieBoekjaar[[#This Row],[Boekjaar]]=Projectbegroting!$K$1,report_B_CategorieBoekjaar[[#This Row],[CategorieCode]],0),0)</f>
        <v>0</v>
      </c>
      <c r="I482">
        <f>IF(report_B_CategorieBoekjaar[[#This Row],[BedrijfsCode]]="001",IF(report_B_CategorieBoekjaar[[#This Row],[Boekjaar]]=Projectbegroting!$K$1,report_B_CategorieBoekjaar[[#This Row],[CategorieCode]],0),0)</f>
        <v>0</v>
      </c>
    </row>
    <row r="483" spans="1:9" hidden="1" x14ac:dyDescent="0.3">
      <c r="A483" t="s">
        <v>525</v>
      </c>
      <c r="B483" s="20">
        <v>45658</v>
      </c>
      <c r="C483" t="s">
        <v>429</v>
      </c>
      <c r="D483" t="s">
        <v>430</v>
      </c>
      <c r="E483" t="s">
        <v>384</v>
      </c>
      <c r="F483">
        <v>0</v>
      </c>
      <c r="G483">
        <v>0</v>
      </c>
      <c r="H483">
        <f>IF(report_B_CategorieBoekjaar[[#This Row],[BedrijfsCode]]="002",IF(report_B_CategorieBoekjaar[[#This Row],[Boekjaar]]=Projectbegroting!$K$1,report_B_CategorieBoekjaar[[#This Row],[CategorieCode]],0),0)</f>
        <v>0</v>
      </c>
      <c r="I483">
        <f>IF(report_B_CategorieBoekjaar[[#This Row],[BedrijfsCode]]="001",IF(report_B_CategorieBoekjaar[[#This Row],[Boekjaar]]=Projectbegroting!$K$1,report_B_CategorieBoekjaar[[#This Row],[CategorieCode]],0),0)</f>
        <v>0</v>
      </c>
    </row>
    <row r="484" spans="1:9" hidden="1" x14ac:dyDescent="0.3">
      <c r="A484" t="s">
        <v>525</v>
      </c>
      <c r="B484" s="20">
        <v>45658</v>
      </c>
      <c r="C484" t="s">
        <v>431</v>
      </c>
      <c r="D484" t="s">
        <v>432</v>
      </c>
      <c r="E484" t="s">
        <v>381</v>
      </c>
      <c r="F484">
        <v>82</v>
      </c>
      <c r="G484">
        <v>127</v>
      </c>
      <c r="H484">
        <f>IF(report_B_CategorieBoekjaar[[#This Row],[BedrijfsCode]]="002",IF(report_B_CategorieBoekjaar[[#This Row],[Boekjaar]]=Projectbegroting!$K$1,report_B_CategorieBoekjaar[[#This Row],[CategorieCode]],0),0)</f>
        <v>0</v>
      </c>
      <c r="I484">
        <f>IF(report_B_CategorieBoekjaar[[#This Row],[BedrijfsCode]]="001",IF(report_B_CategorieBoekjaar[[#This Row],[Boekjaar]]=Projectbegroting!$K$1,report_B_CategorieBoekjaar[[#This Row],[CategorieCode]],0),0)</f>
        <v>0</v>
      </c>
    </row>
    <row r="485" spans="1:9" hidden="1" x14ac:dyDescent="0.3">
      <c r="A485" t="s">
        <v>525</v>
      </c>
      <c r="B485" s="20">
        <v>45658</v>
      </c>
      <c r="C485" t="s">
        <v>433</v>
      </c>
      <c r="D485" t="s">
        <v>434</v>
      </c>
      <c r="E485" t="s">
        <v>384</v>
      </c>
      <c r="F485">
        <v>113</v>
      </c>
      <c r="G485">
        <v>0</v>
      </c>
      <c r="H485">
        <f>IF(report_B_CategorieBoekjaar[[#This Row],[BedrijfsCode]]="002",IF(report_B_CategorieBoekjaar[[#This Row],[Boekjaar]]=Projectbegroting!$K$1,report_B_CategorieBoekjaar[[#This Row],[CategorieCode]],0),0)</f>
        <v>0</v>
      </c>
      <c r="I485">
        <f>IF(report_B_CategorieBoekjaar[[#This Row],[BedrijfsCode]]="001",IF(report_B_CategorieBoekjaar[[#This Row],[Boekjaar]]=Projectbegroting!$K$1,report_B_CategorieBoekjaar[[#This Row],[CategorieCode]],0),0)</f>
        <v>0</v>
      </c>
    </row>
    <row r="486" spans="1:9" hidden="1" x14ac:dyDescent="0.3">
      <c r="A486" t="s">
        <v>525</v>
      </c>
      <c r="B486" s="20">
        <v>45658</v>
      </c>
      <c r="C486" t="s">
        <v>435</v>
      </c>
      <c r="D486" t="s">
        <v>436</v>
      </c>
      <c r="E486" t="s">
        <v>381</v>
      </c>
      <c r="F486">
        <v>63</v>
      </c>
      <c r="G486">
        <v>118</v>
      </c>
      <c r="H486">
        <f>IF(report_B_CategorieBoekjaar[[#This Row],[BedrijfsCode]]="002",IF(report_B_CategorieBoekjaar[[#This Row],[Boekjaar]]=Projectbegroting!$K$1,report_B_CategorieBoekjaar[[#This Row],[CategorieCode]],0),0)</f>
        <v>0</v>
      </c>
      <c r="I486">
        <f>IF(report_B_CategorieBoekjaar[[#This Row],[BedrijfsCode]]="001",IF(report_B_CategorieBoekjaar[[#This Row],[Boekjaar]]=Projectbegroting!$K$1,report_B_CategorieBoekjaar[[#This Row],[CategorieCode]],0),0)</f>
        <v>0</v>
      </c>
    </row>
    <row r="487" spans="1:9" hidden="1" x14ac:dyDescent="0.3">
      <c r="A487" t="s">
        <v>525</v>
      </c>
      <c r="B487" s="20">
        <v>45658</v>
      </c>
      <c r="C487" t="s">
        <v>437</v>
      </c>
      <c r="D487" t="s">
        <v>438</v>
      </c>
      <c r="E487" t="s">
        <v>384</v>
      </c>
      <c r="F487">
        <v>0</v>
      </c>
      <c r="G487">
        <v>0</v>
      </c>
      <c r="H487">
        <f>IF(report_B_CategorieBoekjaar[[#This Row],[BedrijfsCode]]="002",IF(report_B_CategorieBoekjaar[[#This Row],[Boekjaar]]=Projectbegroting!$K$1,report_B_CategorieBoekjaar[[#This Row],[CategorieCode]],0),0)</f>
        <v>0</v>
      </c>
      <c r="I487">
        <f>IF(report_B_CategorieBoekjaar[[#This Row],[BedrijfsCode]]="001",IF(report_B_CategorieBoekjaar[[#This Row],[Boekjaar]]=Projectbegroting!$K$1,report_B_CategorieBoekjaar[[#This Row],[CategorieCode]],0),0)</f>
        <v>0</v>
      </c>
    </row>
    <row r="488" spans="1:9" hidden="1" x14ac:dyDescent="0.3">
      <c r="A488" t="s">
        <v>525</v>
      </c>
      <c r="B488" s="20">
        <v>45658</v>
      </c>
      <c r="C488" t="s">
        <v>439</v>
      </c>
      <c r="D488" t="s">
        <v>440</v>
      </c>
      <c r="E488" t="s">
        <v>381</v>
      </c>
      <c r="F488">
        <v>45</v>
      </c>
      <c r="G488">
        <v>0</v>
      </c>
      <c r="H488">
        <f>IF(report_B_CategorieBoekjaar[[#This Row],[BedrijfsCode]]="002",IF(report_B_CategorieBoekjaar[[#This Row],[Boekjaar]]=Projectbegroting!$K$1,report_B_CategorieBoekjaar[[#This Row],[CategorieCode]],0),0)</f>
        <v>0</v>
      </c>
      <c r="I488">
        <f>IF(report_B_CategorieBoekjaar[[#This Row],[BedrijfsCode]]="001",IF(report_B_CategorieBoekjaar[[#This Row],[Boekjaar]]=Projectbegroting!$K$1,report_B_CategorieBoekjaar[[#This Row],[CategorieCode]],0),0)</f>
        <v>0</v>
      </c>
    </row>
    <row r="489" spans="1:9" hidden="1" x14ac:dyDescent="0.3">
      <c r="A489" t="s">
        <v>525</v>
      </c>
      <c r="B489" s="20">
        <v>45658</v>
      </c>
      <c r="C489" t="s">
        <v>441</v>
      </c>
      <c r="D489" t="s">
        <v>442</v>
      </c>
      <c r="E489" t="s">
        <v>381</v>
      </c>
      <c r="F489">
        <v>52</v>
      </c>
      <c r="G489">
        <v>107</v>
      </c>
      <c r="H489">
        <f>IF(report_B_CategorieBoekjaar[[#This Row],[BedrijfsCode]]="002",IF(report_B_CategorieBoekjaar[[#This Row],[Boekjaar]]=Projectbegroting!$K$1,report_B_CategorieBoekjaar[[#This Row],[CategorieCode]],0),0)</f>
        <v>0</v>
      </c>
      <c r="I489">
        <f>IF(report_B_CategorieBoekjaar[[#This Row],[BedrijfsCode]]="001",IF(report_B_CategorieBoekjaar[[#This Row],[Boekjaar]]=Projectbegroting!$K$1,report_B_CategorieBoekjaar[[#This Row],[CategorieCode]],0),0)</f>
        <v>0</v>
      </c>
    </row>
    <row r="490" spans="1:9" hidden="1" x14ac:dyDescent="0.3">
      <c r="A490" t="s">
        <v>525</v>
      </c>
      <c r="B490" s="20">
        <v>45658</v>
      </c>
      <c r="C490" t="s">
        <v>443</v>
      </c>
      <c r="D490" t="s">
        <v>444</v>
      </c>
      <c r="E490" t="s">
        <v>384</v>
      </c>
      <c r="F490">
        <v>0</v>
      </c>
      <c r="G490">
        <v>0</v>
      </c>
      <c r="H490">
        <f>IF(report_B_CategorieBoekjaar[[#This Row],[BedrijfsCode]]="002",IF(report_B_CategorieBoekjaar[[#This Row],[Boekjaar]]=Projectbegroting!$K$1,report_B_CategorieBoekjaar[[#This Row],[CategorieCode]],0),0)</f>
        <v>0</v>
      </c>
      <c r="I490">
        <f>IF(report_B_CategorieBoekjaar[[#This Row],[BedrijfsCode]]="001",IF(report_B_CategorieBoekjaar[[#This Row],[Boekjaar]]=Projectbegroting!$K$1,report_B_CategorieBoekjaar[[#This Row],[CategorieCode]],0),0)</f>
        <v>0</v>
      </c>
    </row>
    <row r="491" spans="1:9" hidden="1" x14ac:dyDescent="0.3">
      <c r="A491" t="s">
        <v>525</v>
      </c>
      <c r="B491" s="20">
        <v>45658</v>
      </c>
      <c r="C491" t="s">
        <v>445</v>
      </c>
      <c r="D491" t="s">
        <v>446</v>
      </c>
      <c r="E491" t="s">
        <v>381</v>
      </c>
      <c r="F491">
        <v>0</v>
      </c>
      <c r="G491">
        <v>134</v>
      </c>
      <c r="H491">
        <f>IF(report_B_CategorieBoekjaar[[#This Row],[BedrijfsCode]]="002",IF(report_B_CategorieBoekjaar[[#This Row],[Boekjaar]]=Projectbegroting!$K$1,report_B_CategorieBoekjaar[[#This Row],[CategorieCode]],0),0)</f>
        <v>0</v>
      </c>
      <c r="I491">
        <f>IF(report_B_CategorieBoekjaar[[#This Row],[BedrijfsCode]]="001",IF(report_B_CategorieBoekjaar[[#This Row],[Boekjaar]]=Projectbegroting!$K$1,report_B_CategorieBoekjaar[[#This Row],[CategorieCode]],0),0)</f>
        <v>0</v>
      </c>
    </row>
    <row r="492" spans="1:9" hidden="1" x14ac:dyDescent="0.3">
      <c r="A492" t="s">
        <v>525</v>
      </c>
      <c r="B492" s="20">
        <v>45658</v>
      </c>
      <c r="C492" t="s">
        <v>447</v>
      </c>
      <c r="D492" t="s">
        <v>448</v>
      </c>
      <c r="E492" t="s">
        <v>384</v>
      </c>
      <c r="F492">
        <v>0</v>
      </c>
      <c r="G492">
        <v>0</v>
      </c>
      <c r="H492">
        <f>IF(report_B_CategorieBoekjaar[[#This Row],[BedrijfsCode]]="002",IF(report_B_CategorieBoekjaar[[#This Row],[Boekjaar]]=Projectbegroting!$K$1,report_B_CategorieBoekjaar[[#This Row],[CategorieCode]],0),0)</f>
        <v>0</v>
      </c>
      <c r="I492">
        <f>IF(report_B_CategorieBoekjaar[[#This Row],[BedrijfsCode]]="001",IF(report_B_CategorieBoekjaar[[#This Row],[Boekjaar]]=Projectbegroting!$K$1,report_B_CategorieBoekjaar[[#This Row],[CategorieCode]],0),0)</f>
        <v>0</v>
      </c>
    </row>
    <row r="493" spans="1:9" hidden="1" x14ac:dyDescent="0.3">
      <c r="A493" t="s">
        <v>525</v>
      </c>
      <c r="B493" s="20">
        <v>45658</v>
      </c>
      <c r="C493" t="s">
        <v>449</v>
      </c>
      <c r="D493" t="s">
        <v>450</v>
      </c>
      <c r="E493" t="s">
        <v>381</v>
      </c>
      <c r="F493">
        <v>45</v>
      </c>
      <c r="G493">
        <v>100</v>
      </c>
      <c r="H493">
        <f>IF(report_B_CategorieBoekjaar[[#This Row],[BedrijfsCode]]="002",IF(report_B_CategorieBoekjaar[[#This Row],[Boekjaar]]=Projectbegroting!$K$1,report_B_CategorieBoekjaar[[#This Row],[CategorieCode]],0),0)</f>
        <v>0</v>
      </c>
      <c r="I493">
        <f>IF(report_B_CategorieBoekjaar[[#This Row],[BedrijfsCode]]="001",IF(report_B_CategorieBoekjaar[[#This Row],[Boekjaar]]=Projectbegroting!$K$1,report_B_CategorieBoekjaar[[#This Row],[CategorieCode]],0),0)</f>
        <v>0</v>
      </c>
    </row>
    <row r="494" spans="1:9" hidden="1" x14ac:dyDescent="0.3">
      <c r="A494" t="s">
        <v>525</v>
      </c>
      <c r="B494" s="20">
        <v>45658</v>
      </c>
      <c r="C494" t="s">
        <v>451</v>
      </c>
      <c r="D494" t="s">
        <v>452</v>
      </c>
      <c r="E494" t="s">
        <v>384</v>
      </c>
      <c r="F494">
        <v>0</v>
      </c>
      <c r="G494">
        <v>0</v>
      </c>
      <c r="H494">
        <f>IF(report_B_CategorieBoekjaar[[#This Row],[BedrijfsCode]]="002",IF(report_B_CategorieBoekjaar[[#This Row],[Boekjaar]]=Projectbegroting!$K$1,report_B_CategorieBoekjaar[[#This Row],[CategorieCode]],0),0)</f>
        <v>0</v>
      </c>
      <c r="I494">
        <f>IF(report_B_CategorieBoekjaar[[#This Row],[BedrijfsCode]]="001",IF(report_B_CategorieBoekjaar[[#This Row],[Boekjaar]]=Projectbegroting!$K$1,report_B_CategorieBoekjaar[[#This Row],[CategorieCode]],0),0)</f>
        <v>0</v>
      </c>
    </row>
    <row r="495" spans="1:9" hidden="1" x14ac:dyDescent="0.3">
      <c r="A495" t="s">
        <v>525</v>
      </c>
      <c r="B495" s="20">
        <v>45658</v>
      </c>
      <c r="C495" t="s">
        <v>453</v>
      </c>
      <c r="D495" t="s">
        <v>454</v>
      </c>
      <c r="E495" t="s">
        <v>381</v>
      </c>
      <c r="F495">
        <v>63</v>
      </c>
      <c r="G495">
        <v>0</v>
      </c>
      <c r="H495">
        <f>IF(report_B_CategorieBoekjaar[[#This Row],[BedrijfsCode]]="002",IF(report_B_CategorieBoekjaar[[#This Row],[Boekjaar]]=Projectbegroting!$K$1,report_B_CategorieBoekjaar[[#This Row],[CategorieCode]],0),0)</f>
        <v>0</v>
      </c>
      <c r="I495">
        <f>IF(report_B_CategorieBoekjaar[[#This Row],[BedrijfsCode]]="001",IF(report_B_CategorieBoekjaar[[#This Row],[Boekjaar]]=Projectbegroting!$K$1,report_B_CategorieBoekjaar[[#This Row],[CategorieCode]],0),0)</f>
        <v>0</v>
      </c>
    </row>
    <row r="496" spans="1:9" hidden="1" x14ac:dyDescent="0.3">
      <c r="A496" t="s">
        <v>525</v>
      </c>
      <c r="B496" s="20">
        <v>45658</v>
      </c>
      <c r="C496" t="s">
        <v>455</v>
      </c>
      <c r="D496" t="s">
        <v>456</v>
      </c>
      <c r="E496" t="s">
        <v>381</v>
      </c>
      <c r="F496">
        <v>83</v>
      </c>
      <c r="G496">
        <v>138</v>
      </c>
      <c r="H496">
        <f>IF(report_B_CategorieBoekjaar[[#This Row],[BedrijfsCode]]="002",IF(report_B_CategorieBoekjaar[[#This Row],[Boekjaar]]=Projectbegroting!$K$1,report_B_CategorieBoekjaar[[#This Row],[CategorieCode]],0),0)</f>
        <v>0</v>
      </c>
      <c r="I496">
        <f>IF(report_B_CategorieBoekjaar[[#This Row],[BedrijfsCode]]="001",IF(report_B_CategorieBoekjaar[[#This Row],[Boekjaar]]=Projectbegroting!$K$1,report_B_CategorieBoekjaar[[#This Row],[CategorieCode]],0),0)</f>
        <v>0</v>
      </c>
    </row>
    <row r="497" spans="1:9" hidden="1" x14ac:dyDescent="0.3">
      <c r="A497" t="s">
        <v>525</v>
      </c>
      <c r="B497" s="20">
        <v>45658</v>
      </c>
      <c r="C497" t="s">
        <v>457</v>
      </c>
      <c r="D497" t="s">
        <v>458</v>
      </c>
      <c r="E497" t="s">
        <v>384</v>
      </c>
      <c r="F497">
        <v>0</v>
      </c>
      <c r="G497">
        <v>0</v>
      </c>
      <c r="H497">
        <f>IF(report_B_CategorieBoekjaar[[#This Row],[BedrijfsCode]]="002",IF(report_B_CategorieBoekjaar[[#This Row],[Boekjaar]]=Projectbegroting!$K$1,report_B_CategorieBoekjaar[[#This Row],[CategorieCode]],0),0)</f>
        <v>0</v>
      </c>
      <c r="I497">
        <f>IF(report_B_CategorieBoekjaar[[#This Row],[BedrijfsCode]]="001",IF(report_B_CategorieBoekjaar[[#This Row],[Boekjaar]]=Projectbegroting!$K$1,report_B_CategorieBoekjaar[[#This Row],[CategorieCode]],0),0)</f>
        <v>0</v>
      </c>
    </row>
    <row r="498" spans="1:9" hidden="1" x14ac:dyDescent="0.3">
      <c r="A498" t="s">
        <v>525</v>
      </c>
      <c r="B498" s="20">
        <v>45658</v>
      </c>
      <c r="C498" t="s">
        <v>459</v>
      </c>
      <c r="D498" t="s">
        <v>460</v>
      </c>
      <c r="E498" t="s">
        <v>381</v>
      </c>
      <c r="F498">
        <v>109</v>
      </c>
      <c r="G498">
        <v>152</v>
      </c>
      <c r="H498">
        <f>IF(report_B_CategorieBoekjaar[[#This Row],[BedrijfsCode]]="002",IF(report_B_CategorieBoekjaar[[#This Row],[Boekjaar]]=Projectbegroting!$K$1,report_B_CategorieBoekjaar[[#This Row],[CategorieCode]],0),0)</f>
        <v>0</v>
      </c>
      <c r="I498">
        <f>IF(report_B_CategorieBoekjaar[[#This Row],[BedrijfsCode]]="001",IF(report_B_CategorieBoekjaar[[#This Row],[Boekjaar]]=Projectbegroting!$K$1,report_B_CategorieBoekjaar[[#This Row],[CategorieCode]],0),0)</f>
        <v>0</v>
      </c>
    </row>
    <row r="499" spans="1:9" hidden="1" x14ac:dyDescent="0.3">
      <c r="A499" t="s">
        <v>525</v>
      </c>
      <c r="B499" s="20">
        <v>45658</v>
      </c>
      <c r="C499" t="s">
        <v>461</v>
      </c>
      <c r="D499" t="s">
        <v>462</v>
      </c>
      <c r="E499" t="s">
        <v>384</v>
      </c>
      <c r="F499">
        <v>128</v>
      </c>
      <c r="G499">
        <v>0</v>
      </c>
      <c r="H499">
        <f>IF(report_B_CategorieBoekjaar[[#This Row],[BedrijfsCode]]="002",IF(report_B_CategorieBoekjaar[[#This Row],[Boekjaar]]=Projectbegroting!$K$1,report_B_CategorieBoekjaar[[#This Row],[CategorieCode]],0),0)</f>
        <v>0</v>
      </c>
      <c r="I499">
        <f>IF(report_B_CategorieBoekjaar[[#This Row],[BedrijfsCode]]="001",IF(report_B_CategorieBoekjaar[[#This Row],[Boekjaar]]=Projectbegroting!$K$1,report_B_CategorieBoekjaar[[#This Row],[CategorieCode]],0),0)</f>
        <v>0</v>
      </c>
    </row>
    <row r="500" spans="1:9" hidden="1" x14ac:dyDescent="0.3">
      <c r="A500" t="s">
        <v>525</v>
      </c>
      <c r="B500" s="20">
        <v>45658</v>
      </c>
      <c r="C500" t="s">
        <v>463</v>
      </c>
      <c r="D500" t="s">
        <v>464</v>
      </c>
      <c r="E500" t="s">
        <v>384</v>
      </c>
      <c r="F500">
        <v>155</v>
      </c>
      <c r="G500">
        <v>0</v>
      </c>
      <c r="H500">
        <f>IF(report_B_CategorieBoekjaar[[#This Row],[BedrijfsCode]]="002",IF(report_B_CategorieBoekjaar[[#This Row],[Boekjaar]]=Projectbegroting!$K$1,report_B_CategorieBoekjaar[[#This Row],[CategorieCode]],0),0)</f>
        <v>0</v>
      </c>
      <c r="I500">
        <f>IF(report_B_CategorieBoekjaar[[#This Row],[BedrijfsCode]]="001",IF(report_B_CategorieBoekjaar[[#This Row],[Boekjaar]]=Projectbegroting!$K$1,report_B_CategorieBoekjaar[[#This Row],[CategorieCode]],0),0)</f>
        <v>0</v>
      </c>
    </row>
    <row r="501" spans="1:9" hidden="1" x14ac:dyDescent="0.3">
      <c r="A501" t="s">
        <v>525</v>
      </c>
      <c r="B501" s="20">
        <v>45658</v>
      </c>
      <c r="C501" t="s">
        <v>465</v>
      </c>
      <c r="D501" t="s">
        <v>466</v>
      </c>
      <c r="E501" t="s">
        <v>381</v>
      </c>
      <c r="F501">
        <v>27</v>
      </c>
      <c r="G501">
        <v>82</v>
      </c>
      <c r="H501">
        <f>IF(report_B_CategorieBoekjaar[[#This Row],[BedrijfsCode]]="002",IF(report_B_CategorieBoekjaar[[#This Row],[Boekjaar]]=Projectbegroting!$K$1,report_B_CategorieBoekjaar[[#This Row],[CategorieCode]],0),0)</f>
        <v>0</v>
      </c>
      <c r="I501">
        <f>IF(report_B_CategorieBoekjaar[[#This Row],[BedrijfsCode]]="001",IF(report_B_CategorieBoekjaar[[#This Row],[Boekjaar]]=Projectbegroting!$K$1,report_B_CategorieBoekjaar[[#This Row],[CategorieCode]],0),0)</f>
        <v>0</v>
      </c>
    </row>
    <row r="502" spans="1:9" hidden="1" x14ac:dyDescent="0.3">
      <c r="A502" t="s">
        <v>525</v>
      </c>
      <c r="B502" s="20">
        <v>45658</v>
      </c>
      <c r="C502" t="s">
        <v>467</v>
      </c>
      <c r="D502" t="s">
        <v>468</v>
      </c>
      <c r="E502" t="s">
        <v>384</v>
      </c>
      <c r="F502">
        <v>0</v>
      </c>
      <c r="G502">
        <v>0</v>
      </c>
      <c r="H502">
        <f>IF(report_B_CategorieBoekjaar[[#This Row],[BedrijfsCode]]="002",IF(report_B_CategorieBoekjaar[[#This Row],[Boekjaar]]=Projectbegroting!$K$1,report_B_CategorieBoekjaar[[#This Row],[CategorieCode]],0),0)</f>
        <v>0</v>
      </c>
      <c r="I502">
        <f>IF(report_B_CategorieBoekjaar[[#This Row],[BedrijfsCode]]="001",IF(report_B_CategorieBoekjaar[[#This Row],[Boekjaar]]=Projectbegroting!$K$1,report_B_CategorieBoekjaar[[#This Row],[CategorieCode]],0),0)</f>
        <v>0</v>
      </c>
    </row>
    <row r="503" spans="1:9" hidden="1" x14ac:dyDescent="0.3">
      <c r="A503" t="s">
        <v>525</v>
      </c>
      <c r="B503" s="20">
        <v>45658</v>
      </c>
      <c r="C503" t="s">
        <v>469</v>
      </c>
      <c r="D503" t="s">
        <v>470</v>
      </c>
      <c r="E503" t="s">
        <v>381</v>
      </c>
      <c r="F503">
        <v>51</v>
      </c>
      <c r="G503">
        <v>106</v>
      </c>
      <c r="H503">
        <f>IF(report_B_CategorieBoekjaar[[#This Row],[BedrijfsCode]]="002",IF(report_B_CategorieBoekjaar[[#This Row],[Boekjaar]]=Projectbegroting!$K$1,report_B_CategorieBoekjaar[[#This Row],[CategorieCode]],0),0)</f>
        <v>0</v>
      </c>
      <c r="I503">
        <f>IF(report_B_CategorieBoekjaar[[#This Row],[BedrijfsCode]]="001",IF(report_B_CategorieBoekjaar[[#This Row],[Boekjaar]]=Projectbegroting!$K$1,report_B_CategorieBoekjaar[[#This Row],[CategorieCode]],0),0)</f>
        <v>0</v>
      </c>
    </row>
    <row r="504" spans="1:9" hidden="1" x14ac:dyDescent="0.3">
      <c r="A504" t="s">
        <v>525</v>
      </c>
      <c r="B504" s="20">
        <v>45658</v>
      </c>
      <c r="C504" t="s">
        <v>471</v>
      </c>
      <c r="D504" t="s">
        <v>472</v>
      </c>
      <c r="E504" t="s">
        <v>384</v>
      </c>
      <c r="F504">
        <v>0</v>
      </c>
      <c r="G504">
        <v>0</v>
      </c>
      <c r="H504">
        <f>IF(report_B_CategorieBoekjaar[[#This Row],[BedrijfsCode]]="002",IF(report_B_CategorieBoekjaar[[#This Row],[Boekjaar]]=Projectbegroting!$K$1,report_B_CategorieBoekjaar[[#This Row],[CategorieCode]],0),0)</f>
        <v>0</v>
      </c>
      <c r="I504">
        <f>IF(report_B_CategorieBoekjaar[[#This Row],[BedrijfsCode]]="001",IF(report_B_CategorieBoekjaar[[#This Row],[Boekjaar]]=Projectbegroting!$K$1,report_B_CategorieBoekjaar[[#This Row],[CategorieCode]],0),0)</f>
        <v>0</v>
      </c>
    </row>
    <row r="505" spans="1:9" hidden="1" x14ac:dyDescent="0.3">
      <c r="A505" t="s">
        <v>525</v>
      </c>
      <c r="B505" s="20">
        <v>45658</v>
      </c>
      <c r="C505" t="s">
        <v>62</v>
      </c>
      <c r="D505" t="s">
        <v>473</v>
      </c>
      <c r="E505" t="s">
        <v>381</v>
      </c>
      <c r="F505">
        <v>52</v>
      </c>
      <c r="G505">
        <v>0</v>
      </c>
      <c r="H505">
        <f>IF(report_B_CategorieBoekjaar[[#This Row],[BedrijfsCode]]="002",IF(report_B_CategorieBoekjaar[[#This Row],[Boekjaar]]=Projectbegroting!$K$1,report_B_CategorieBoekjaar[[#This Row],[CategorieCode]],0),0)</f>
        <v>0</v>
      </c>
      <c r="I505">
        <f>IF(report_B_CategorieBoekjaar[[#This Row],[BedrijfsCode]]="001",IF(report_B_CategorieBoekjaar[[#This Row],[Boekjaar]]=Projectbegroting!$K$1,report_B_CategorieBoekjaar[[#This Row],[CategorieCode]],0),0)</f>
        <v>0</v>
      </c>
    </row>
    <row r="506" spans="1:9" hidden="1" x14ac:dyDescent="0.3">
      <c r="A506" t="s">
        <v>525</v>
      </c>
      <c r="B506" s="20">
        <v>45658</v>
      </c>
      <c r="C506" t="s">
        <v>474</v>
      </c>
      <c r="D506" t="s">
        <v>475</v>
      </c>
      <c r="E506" t="s">
        <v>384</v>
      </c>
      <c r="F506">
        <v>0</v>
      </c>
      <c r="G506">
        <v>0</v>
      </c>
      <c r="H506">
        <f>IF(report_B_CategorieBoekjaar[[#This Row],[BedrijfsCode]]="002",IF(report_B_CategorieBoekjaar[[#This Row],[Boekjaar]]=Projectbegroting!$K$1,report_B_CategorieBoekjaar[[#This Row],[CategorieCode]],0),0)</f>
        <v>0</v>
      </c>
      <c r="I506">
        <f>IF(report_B_CategorieBoekjaar[[#This Row],[BedrijfsCode]]="001",IF(report_B_CategorieBoekjaar[[#This Row],[Boekjaar]]=Projectbegroting!$K$1,report_B_CategorieBoekjaar[[#This Row],[CategorieCode]],0),0)</f>
        <v>0</v>
      </c>
    </row>
    <row r="507" spans="1:9" hidden="1" x14ac:dyDescent="0.3">
      <c r="A507" t="s">
        <v>525</v>
      </c>
      <c r="B507" s="20">
        <v>45658</v>
      </c>
      <c r="C507" t="s">
        <v>64</v>
      </c>
      <c r="D507" t="s">
        <v>476</v>
      </c>
      <c r="E507" t="s">
        <v>381</v>
      </c>
      <c r="F507">
        <v>47</v>
      </c>
      <c r="G507">
        <v>102</v>
      </c>
      <c r="H507">
        <f>IF(report_B_CategorieBoekjaar[[#This Row],[BedrijfsCode]]="002",IF(report_B_CategorieBoekjaar[[#This Row],[Boekjaar]]=Projectbegroting!$K$1,report_B_CategorieBoekjaar[[#This Row],[CategorieCode]],0),0)</f>
        <v>0</v>
      </c>
      <c r="I507">
        <f>IF(report_B_CategorieBoekjaar[[#This Row],[BedrijfsCode]]="001",IF(report_B_CategorieBoekjaar[[#This Row],[Boekjaar]]=Projectbegroting!$K$1,report_B_CategorieBoekjaar[[#This Row],[CategorieCode]],0),0)</f>
        <v>0</v>
      </c>
    </row>
    <row r="508" spans="1:9" hidden="1" x14ac:dyDescent="0.3">
      <c r="A508" t="s">
        <v>525</v>
      </c>
      <c r="B508" s="20">
        <v>45658</v>
      </c>
      <c r="C508" t="s">
        <v>477</v>
      </c>
      <c r="D508" t="s">
        <v>478</v>
      </c>
      <c r="E508" t="s">
        <v>384</v>
      </c>
      <c r="F508">
        <v>0</v>
      </c>
      <c r="G508">
        <v>0</v>
      </c>
      <c r="H508">
        <f>IF(report_B_CategorieBoekjaar[[#This Row],[BedrijfsCode]]="002",IF(report_B_CategorieBoekjaar[[#This Row],[Boekjaar]]=Projectbegroting!$K$1,report_B_CategorieBoekjaar[[#This Row],[CategorieCode]],0),0)</f>
        <v>0</v>
      </c>
      <c r="I508">
        <f>IF(report_B_CategorieBoekjaar[[#This Row],[BedrijfsCode]]="001",IF(report_B_CategorieBoekjaar[[#This Row],[Boekjaar]]=Projectbegroting!$K$1,report_B_CategorieBoekjaar[[#This Row],[CategorieCode]],0),0)</f>
        <v>0</v>
      </c>
    </row>
    <row r="509" spans="1:9" hidden="1" x14ac:dyDescent="0.3">
      <c r="A509" t="s">
        <v>525</v>
      </c>
      <c r="B509" s="20">
        <v>45658</v>
      </c>
      <c r="C509" t="s">
        <v>80</v>
      </c>
      <c r="D509" t="s">
        <v>81</v>
      </c>
      <c r="E509" t="s">
        <v>381</v>
      </c>
      <c r="F509">
        <v>85</v>
      </c>
      <c r="G509">
        <v>140</v>
      </c>
      <c r="H509">
        <f>IF(report_B_CategorieBoekjaar[[#This Row],[BedrijfsCode]]="002",IF(report_B_CategorieBoekjaar[[#This Row],[Boekjaar]]=Projectbegroting!$K$1,report_B_CategorieBoekjaar[[#This Row],[CategorieCode]],0),0)</f>
        <v>0</v>
      </c>
      <c r="I509">
        <f>IF(report_B_CategorieBoekjaar[[#This Row],[BedrijfsCode]]="001",IF(report_B_CategorieBoekjaar[[#This Row],[Boekjaar]]=Projectbegroting!$K$1,report_B_CategorieBoekjaar[[#This Row],[CategorieCode]],0),0)</f>
        <v>0</v>
      </c>
    </row>
    <row r="510" spans="1:9" hidden="1" x14ac:dyDescent="0.3">
      <c r="A510" t="s">
        <v>525</v>
      </c>
      <c r="B510" s="20">
        <v>45658</v>
      </c>
      <c r="C510" t="s">
        <v>479</v>
      </c>
      <c r="D510" t="s">
        <v>480</v>
      </c>
      <c r="E510" t="s">
        <v>384</v>
      </c>
      <c r="F510">
        <v>0</v>
      </c>
      <c r="G510">
        <v>0</v>
      </c>
      <c r="H510">
        <f>IF(report_B_CategorieBoekjaar[[#This Row],[BedrijfsCode]]="002",IF(report_B_CategorieBoekjaar[[#This Row],[Boekjaar]]=Projectbegroting!$K$1,report_B_CategorieBoekjaar[[#This Row],[CategorieCode]],0),0)</f>
        <v>0</v>
      </c>
      <c r="I510">
        <f>IF(report_B_CategorieBoekjaar[[#This Row],[BedrijfsCode]]="001",IF(report_B_CategorieBoekjaar[[#This Row],[Boekjaar]]=Projectbegroting!$K$1,report_B_CategorieBoekjaar[[#This Row],[CategorieCode]],0),0)</f>
        <v>0</v>
      </c>
    </row>
    <row r="511" spans="1:9" hidden="1" x14ac:dyDescent="0.3">
      <c r="A511" t="s">
        <v>525</v>
      </c>
      <c r="B511" s="20">
        <v>45658</v>
      </c>
      <c r="C511" t="s">
        <v>66</v>
      </c>
      <c r="D511" t="s">
        <v>67</v>
      </c>
      <c r="E511" t="s">
        <v>381</v>
      </c>
      <c r="F511">
        <v>85</v>
      </c>
      <c r="G511">
        <v>140</v>
      </c>
      <c r="H511">
        <f>IF(report_B_CategorieBoekjaar[[#This Row],[BedrijfsCode]]="002",IF(report_B_CategorieBoekjaar[[#This Row],[Boekjaar]]=Projectbegroting!$K$1,report_B_CategorieBoekjaar[[#This Row],[CategorieCode]],0),0)</f>
        <v>0</v>
      </c>
      <c r="I511">
        <f>IF(report_B_CategorieBoekjaar[[#This Row],[BedrijfsCode]]="001",IF(report_B_CategorieBoekjaar[[#This Row],[Boekjaar]]=Projectbegroting!$K$1,report_B_CategorieBoekjaar[[#This Row],[CategorieCode]],0),0)</f>
        <v>0</v>
      </c>
    </row>
    <row r="512" spans="1:9" hidden="1" x14ac:dyDescent="0.3">
      <c r="A512" t="s">
        <v>525</v>
      </c>
      <c r="B512" s="20">
        <v>45658</v>
      </c>
      <c r="C512" t="s">
        <v>481</v>
      </c>
      <c r="D512" t="s">
        <v>482</v>
      </c>
      <c r="E512" t="s">
        <v>384</v>
      </c>
      <c r="F512">
        <v>117</v>
      </c>
      <c r="G512">
        <v>0</v>
      </c>
      <c r="H512">
        <f>IF(report_B_CategorieBoekjaar[[#This Row],[BedrijfsCode]]="002",IF(report_B_CategorieBoekjaar[[#This Row],[Boekjaar]]=Projectbegroting!$K$1,report_B_CategorieBoekjaar[[#This Row],[CategorieCode]],0),0)</f>
        <v>0</v>
      </c>
      <c r="I512">
        <f>IF(report_B_CategorieBoekjaar[[#This Row],[BedrijfsCode]]="001",IF(report_B_CategorieBoekjaar[[#This Row],[Boekjaar]]=Projectbegroting!$K$1,report_B_CategorieBoekjaar[[#This Row],[CategorieCode]],0),0)</f>
        <v>0</v>
      </c>
    </row>
    <row r="513" spans="1:9" hidden="1" x14ac:dyDescent="0.3">
      <c r="A513" t="s">
        <v>525</v>
      </c>
      <c r="B513" s="20">
        <v>45658</v>
      </c>
      <c r="C513" t="s">
        <v>98</v>
      </c>
      <c r="D513" t="s">
        <v>99</v>
      </c>
      <c r="E513" t="s">
        <v>381</v>
      </c>
      <c r="F513">
        <v>81</v>
      </c>
      <c r="G513">
        <v>130</v>
      </c>
      <c r="H513">
        <f>IF(report_B_CategorieBoekjaar[[#This Row],[BedrijfsCode]]="002",IF(report_B_CategorieBoekjaar[[#This Row],[Boekjaar]]=Projectbegroting!$K$1,report_B_CategorieBoekjaar[[#This Row],[CategorieCode]],0),0)</f>
        <v>0</v>
      </c>
      <c r="I513">
        <f>IF(report_B_CategorieBoekjaar[[#This Row],[BedrijfsCode]]="001",IF(report_B_CategorieBoekjaar[[#This Row],[Boekjaar]]=Projectbegroting!$K$1,report_B_CategorieBoekjaar[[#This Row],[CategorieCode]],0),0)</f>
        <v>0</v>
      </c>
    </row>
    <row r="514" spans="1:9" hidden="1" x14ac:dyDescent="0.3">
      <c r="A514" t="s">
        <v>525</v>
      </c>
      <c r="B514" s="20">
        <v>45658</v>
      </c>
      <c r="C514" t="s">
        <v>483</v>
      </c>
      <c r="D514" t="s">
        <v>484</v>
      </c>
      <c r="E514" t="s">
        <v>381</v>
      </c>
      <c r="F514">
        <v>164</v>
      </c>
      <c r="G514">
        <v>164</v>
      </c>
      <c r="H514">
        <f>IF(report_B_CategorieBoekjaar[[#This Row],[BedrijfsCode]]="002",IF(report_B_CategorieBoekjaar[[#This Row],[Boekjaar]]=Projectbegroting!$K$1,report_B_CategorieBoekjaar[[#This Row],[CategorieCode]],0),0)</f>
        <v>0</v>
      </c>
      <c r="I514">
        <f>IF(report_B_CategorieBoekjaar[[#This Row],[BedrijfsCode]]="001",IF(report_B_CategorieBoekjaar[[#This Row],[Boekjaar]]=Projectbegroting!$K$1,report_B_CategorieBoekjaar[[#This Row],[CategorieCode]],0),0)</f>
        <v>0</v>
      </c>
    </row>
    <row r="515" spans="1:9" hidden="1" x14ac:dyDescent="0.3">
      <c r="A515" t="s">
        <v>525</v>
      </c>
      <c r="B515" s="20">
        <v>45658</v>
      </c>
      <c r="C515" t="s">
        <v>485</v>
      </c>
      <c r="D515" t="s">
        <v>486</v>
      </c>
      <c r="E515" t="s">
        <v>384</v>
      </c>
      <c r="F515">
        <v>164</v>
      </c>
      <c r="G515">
        <v>0</v>
      </c>
      <c r="H515">
        <f>IF(report_B_CategorieBoekjaar[[#This Row],[BedrijfsCode]]="002",IF(report_B_CategorieBoekjaar[[#This Row],[Boekjaar]]=Projectbegroting!$K$1,report_B_CategorieBoekjaar[[#This Row],[CategorieCode]],0),0)</f>
        <v>0</v>
      </c>
      <c r="I515">
        <f>IF(report_B_CategorieBoekjaar[[#This Row],[BedrijfsCode]]="001",IF(report_B_CategorieBoekjaar[[#This Row],[Boekjaar]]=Projectbegroting!$K$1,report_B_CategorieBoekjaar[[#This Row],[CategorieCode]],0),0)</f>
        <v>0</v>
      </c>
    </row>
    <row r="516" spans="1:9" hidden="1" x14ac:dyDescent="0.3">
      <c r="A516" t="s">
        <v>525</v>
      </c>
      <c r="B516" s="20">
        <v>45658</v>
      </c>
      <c r="C516" t="s">
        <v>175</v>
      </c>
      <c r="D516" t="s">
        <v>487</v>
      </c>
      <c r="E516" t="s">
        <v>384</v>
      </c>
      <c r="F516">
        <v>0</v>
      </c>
      <c r="G516">
        <v>0</v>
      </c>
      <c r="H516">
        <f>IF(report_B_CategorieBoekjaar[[#This Row],[BedrijfsCode]]="002",IF(report_B_CategorieBoekjaar[[#This Row],[Boekjaar]]=Projectbegroting!$K$1,report_B_CategorieBoekjaar[[#This Row],[CategorieCode]],0),0)</f>
        <v>0</v>
      </c>
      <c r="I516">
        <f>IF(report_B_CategorieBoekjaar[[#This Row],[BedrijfsCode]]="001",IF(report_B_CategorieBoekjaar[[#This Row],[Boekjaar]]=Projectbegroting!$K$1,report_B_CategorieBoekjaar[[#This Row],[CategorieCode]],0),0)</f>
        <v>0</v>
      </c>
    </row>
    <row r="517" spans="1:9" hidden="1" x14ac:dyDescent="0.3">
      <c r="A517" t="s">
        <v>525</v>
      </c>
      <c r="B517" s="20">
        <v>45658</v>
      </c>
      <c r="C517" t="s">
        <v>488</v>
      </c>
      <c r="D517" t="s">
        <v>489</v>
      </c>
      <c r="E517" t="s">
        <v>381</v>
      </c>
      <c r="F517">
        <v>80</v>
      </c>
      <c r="G517">
        <v>124</v>
      </c>
      <c r="H517">
        <f>IF(report_B_CategorieBoekjaar[[#This Row],[BedrijfsCode]]="002",IF(report_B_CategorieBoekjaar[[#This Row],[Boekjaar]]=Projectbegroting!$K$1,report_B_CategorieBoekjaar[[#This Row],[CategorieCode]],0),0)</f>
        <v>0</v>
      </c>
      <c r="I517">
        <f>IF(report_B_CategorieBoekjaar[[#This Row],[BedrijfsCode]]="001",IF(report_B_CategorieBoekjaar[[#This Row],[Boekjaar]]=Projectbegroting!$K$1,report_B_CategorieBoekjaar[[#This Row],[CategorieCode]],0),0)</f>
        <v>0</v>
      </c>
    </row>
    <row r="518" spans="1:9" hidden="1" x14ac:dyDescent="0.3">
      <c r="A518" t="s">
        <v>525</v>
      </c>
      <c r="B518" s="20">
        <v>45658</v>
      </c>
      <c r="C518" t="s">
        <v>490</v>
      </c>
      <c r="D518" t="s">
        <v>491</v>
      </c>
      <c r="E518" t="s">
        <v>384</v>
      </c>
      <c r="F518">
        <v>105</v>
      </c>
      <c r="G518">
        <v>0</v>
      </c>
      <c r="H518">
        <f>IF(report_B_CategorieBoekjaar[[#This Row],[BedrijfsCode]]="002",IF(report_B_CategorieBoekjaar[[#This Row],[Boekjaar]]=Projectbegroting!$K$1,report_B_CategorieBoekjaar[[#This Row],[CategorieCode]],0),0)</f>
        <v>0</v>
      </c>
      <c r="I518">
        <f>IF(report_B_CategorieBoekjaar[[#This Row],[BedrijfsCode]]="001",IF(report_B_CategorieBoekjaar[[#This Row],[Boekjaar]]=Projectbegroting!$K$1,report_B_CategorieBoekjaar[[#This Row],[CategorieCode]],0),0)</f>
        <v>0</v>
      </c>
    </row>
    <row r="519" spans="1:9" hidden="1" x14ac:dyDescent="0.3">
      <c r="A519" t="s">
        <v>525</v>
      </c>
      <c r="B519" s="20">
        <v>45658</v>
      </c>
      <c r="C519" t="s">
        <v>68</v>
      </c>
      <c r="D519" t="s">
        <v>492</v>
      </c>
      <c r="E519" t="s">
        <v>381</v>
      </c>
      <c r="F519">
        <v>52</v>
      </c>
      <c r="G519">
        <v>107</v>
      </c>
      <c r="H519">
        <f>IF(report_B_CategorieBoekjaar[[#This Row],[BedrijfsCode]]="002",IF(report_B_CategorieBoekjaar[[#This Row],[Boekjaar]]=Projectbegroting!$K$1,report_B_CategorieBoekjaar[[#This Row],[CategorieCode]],0),0)</f>
        <v>0</v>
      </c>
      <c r="I519">
        <f>IF(report_B_CategorieBoekjaar[[#This Row],[BedrijfsCode]]="001",IF(report_B_CategorieBoekjaar[[#This Row],[Boekjaar]]=Projectbegroting!$K$1,report_B_CategorieBoekjaar[[#This Row],[CategorieCode]],0),0)</f>
        <v>0</v>
      </c>
    </row>
    <row r="520" spans="1:9" hidden="1" x14ac:dyDescent="0.3">
      <c r="A520" t="s">
        <v>525</v>
      </c>
      <c r="B520" s="20">
        <v>45658</v>
      </c>
      <c r="C520" t="s">
        <v>177</v>
      </c>
      <c r="D520" t="s">
        <v>493</v>
      </c>
      <c r="E520" t="s">
        <v>384</v>
      </c>
      <c r="F520">
        <v>84</v>
      </c>
      <c r="G520">
        <v>0</v>
      </c>
      <c r="H520">
        <f>IF(report_B_CategorieBoekjaar[[#This Row],[BedrijfsCode]]="002",IF(report_B_CategorieBoekjaar[[#This Row],[Boekjaar]]=Projectbegroting!$K$1,report_B_CategorieBoekjaar[[#This Row],[CategorieCode]],0),0)</f>
        <v>0</v>
      </c>
      <c r="I520">
        <f>IF(report_B_CategorieBoekjaar[[#This Row],[BedrijfsCode]]="001",IF(report_B_CategorieBoekjaar[[#This Row],[Boekjaar]]=Projectbegroting!$K$1,report_B_CategorieBoekjaar[[#This Row],[CategorieCode]],0),0)</f>
        <v>0</v>
      </c>
    </row>
    <row r="521" spans="1:9" hidden="1" x14ac:dyDescent="0.3">
      <c r="A521" t="s">
        <v>525</v>
      </c>
      <c r="B521" s="20">
        <v>45658</v>
      </c>
      <c r="C521" t="s">
        <v>494</v>
      </c>
      <c r="D521" t="s">
        <v>495</v>
      </c>
      <c r="E521" t="s">
        <v>381</v>
      </c>
      <c r="F521">
        <v>47</v>
      </c>
      <c r="G521">
        <v>0</v>
      </c>
      <c r="H521">
        <f>IF(report_B_CategorieBoekjaar[[#This Row],[BedrijfsCode]]="002",IF(report_B_CategorieBoekjaar[[#This Row],[Boekjaar]]=Projectbegroting!$K$1,report_B_CategorieBoekjaar[[#This Row],[CategorieCode]],0),0)</f>
        <v>0</v>
      </c>
      <c r="I521">
        <f>IF(report_B_CategorieBoekjaar[[#This Row],[BedrijfsCode]]="001",IF(report_B_CategorieBoekjaar[[#This Row],[Boekjaar]]=Projectbegroting!$K$1,report_B_CategorieBoekjaar[[#This Row],[CategorieCode]],0),0)</f>
        <v>0</v>
      </c>
    </row>
    <row r="522" spans="1:9" hidden="1" x14ac:dyDescent="0.3">
      <c r="A522" t="s">
        <v>525</v>
      </c>
      <c r="B522" s="20">
        <v>45658</v>
      </c>
      <c r="C522" t="s">
        <v>496</v>
      </c>
      <c r="D522" t="s">
        <v>497</v>
      </c>
      <c r="E522" t="s">
        <v>384</v>
      </c>
      <c r="F522">
        <v>83</v>
      </c>
      <c r="G522">
        <v>0</v>
      </c>
      <c r="H522">
        <f>IF(report_B_CategorieBoekjaar[[#This Row],[BedrijfsCode]]="002",IF(report_B_CategorieBoekjaar[[#This Row],[Boekjaar]]=Projectbegroting!$K$1,report_B_CategorieBoekjaar[[#This Row],[CategorieCode]],0),0)</f>
        <v>0</v>
      </c>
      <c r="I522">
        <f>IF(report_B_CategorieBoekjaar[[#This Row],[BedrijfsCode]]="001",IF(report_B_CategorieBoekjaar[[#This Row],[Boekjaar]]=Projectbegroting!$K$1,report_B_CategorieBoekjaar[[#This Row],[CategorieCode]],0),0)</f>
        <v>0</v>
      </c>
    </row>
    <row r="523" spans="1:9" hidden="1" x14ac:dyDescent="0.3">
      <c r="A523" t="s">
        <v>525</v>
      </c>
      <c r="B523" s="20">
        <v>45658</v>
      </c>
      <c r="C523" t="s">
        <v>70</v>
      </c>
      <c r="D523" t="s">
        <v>498</v>
      </c>
      <c r="E523" t="s">
        <v>381</v>
      </c>
      <c r="F523">
        <v>45</v>
      </c>
      <c r="G523">
        <v>100</v>
      </c>
      <c r="H523">
        <f>IF(report_B_CategorieBoekjaar[[#This Row],[BedrijfsCode]]="002",IF(report_B_CategorieBoekjaar[[#This Row],[Boekjaar]]=Projectbegroting!$K$1,report_B_CategorieBoekjaar[[#This Row],[CategorieCode]],0),0)</f>
        <v>0</v>
      </c>
      <c r="I523">
        <f>IF(report_B_CategorieBoekjaar[[#This Row],[BedrijfsCode]]="001",IF(report_B_CategorieBoekjaar[[#This Row],[Boekjaar]]=Projectbegroting!$K$1,report_B_CategorieBoekjaar[[#This Row],[CategorieCode]],0),0)</f>
        <v>0</v>
      </c>
    </row>
    <row r="524" spans="1:9" hidden="1" x14ac:dyDescent="0.3">
      <c r="A524" t="s">
        <v>525</v>
      </c>
      <c r="B524" s="20">
        <v>45658</v>
      </c>
      <c r="C524" t="s">
        <v>499</v>
      </c>
      <c r="D524" t="s">
        <v>500</v>
      </c>
      <c r="E524" t="s">
        <v>384</v>
      </c>
      <c r="F524">
        <v>0</v>
      </c>
      <c r="G524">
        <v>0</v>
      </c>
      <c r="H524">
        <f>IF(report_B_CategorieBoekjaar[[#This Row],[BedrijfsCode]]="002",IF(report_B_CategorieBoekjaar[[#This Row],[Boekjaar]]=Projectbegroting!$K$1,report_B_CategorieBoekjaar[[#This Row],[CategorieCode]],0),0)</f>
        <v>0</v>
      </c>
      <c r="I524">
        <f>IF(report_B_CategorieBoekjaar[[#This Row],[BedrijfsCode]]="001",IF(report_B_CategorieBoekjaar[[#This Row],[Boekjaar]]=Projectbegroting!$K$1,report_B_CategorieBoekjaar[[#This Row],[CategorieCode]],0),0)</f>
        <v>0</v>
      </c>
    </row>
    <row r="525" spans="1:9" hidden="1" x14ac:dyDescent="0.3">
      <c r="A525" t="s">
        <v>525</v>
      </c>
      <c r="B525" s="20">
        <v>45658</v>
      </c>
      <c r="C525" t="s">
        <v>501</v>
      </c>
      <c r="D525" t="s">
        <v>502</v>
      </c>
      <c r="E525" t="s">
        <v>381</v>
      </c>
      <c r="F525">
        <v>70</v>
      </c>
      <c r="G525">
        <v>0</v>
      </c>
      <c r="H525">
        <f>IF(report_B_CategorieBoekjaar[[#This Row],[BedrijfsCode]]="002",IF(report_B_CategorieBoekjaar[[#This Row],[Boekjaar]]=Projectbegroting!$K$1,report_B_CategorieBoekjaar[[#This Row],[CategorieCode]],0),0)</f>
        <v>0</v>
      </c>
      <c r="I525">
        <f>IF(report_B_CategorieBoekjaar[[#This Row],[BedrijfsCode]]="001",IF(report_B_CategorieBoekjaar[[#This Row],[Boekjaar]]=Projectbegroting!$K$1,report_B_CategorieBoekjaar[[#This Row],[CategorieCode]],0),0)</f>
        <v>0</v>
      </c>
    </row>
    <row r="526" spans="1:9" hidden="1" x14ac:dyDescent="0.3">
      <c r="A526" t="s">
        <v>525</v>
      </c>
      <c r="B526" s="20">
        <v>45658</v>
      </c>
      <c r="C526" t="s">
        <v>503</v>
      </c>
      <c r="D526" t="s">
        <v>504</v>
      </c>
      <c r="E526" t="s">
        <v>384</v>
      </c>
      <c r="F526">
        <v>114</v>
      </c>
      <c r="G526">
        <v>0</v>
      </c>
      <c r="H526">
        <f>IF(report_B_CategorieBoekjaar[[#This Row],[BedrijfsCode]]="002",IF(report_B_CategorieBoekjaar[[#This Row],[Boekjaar]]=Projectbegroting!$K$1,report_B_CategorieBoekjaar[[#This Row],[CategorieCode]],0),0)</f>
        <v>0</v>
      </c>
      <c r="I526">
        <f>IF(report_B_CategorieBoekjaar[[#This Row],[BedrijfsCode]]="001",IF(report_B_CategorieBoekjaar[[#This Row],[Boekjaar]]=Projectbegroting!$K$1,report_B_CategorieBoekjaar[[#This Row],[CategorieCode]],0),0)</f>
        <v>0</v>
      </c>
    </row>
    <row r="527" spans="1:9" hidden="1" x14ac:dyDescent="0.3">
      <c r="A527" t="s">
        <v>525</v>
      </c>
      <c r="B527" s="20">
        <v>45658</v>
      </c>
      <c r="C527" t="s">
        <v>505</v>
      </c>
      <c r="D527" t="s">
        <v>506</v>
      </c>
      <c r="E527" t="s">
        <v>381</v>
      </c>
      <c r="F527">
        <v>0</v>
      </c>
      <c r="G527">
        <v>0</v>
      </c>
      <c r="H527">
        <f>IF(report_B_CategorieBoekjaar[[#This Row],[BedrijfsCode]]="002",IF(report_B_CategorieBoekjaar[[#This Row],[Boekjaar]]=Projectbegroting!$K$1,report_B_CategorieBoekjaar[[#This Row],[CategorieCode]],0),0)</f>
        <v>0</v>
      </c>
      <c r="I527">
        <f>IF(report_B_CategorieBoekjaar[[#This Row],[BedrijfsCode]]="001",IF(report_B_CategorieBoekjaar[[#This Row],[Boekjaar]]=Projectbegroting!$K$1,report_B_CategorieBoekjaar[[#This Row],[CategorieCode]],0),0)</f>
        <v>0</v>
      </c>
    </row>
    <row r="528" spans="1:9" hidden="1" x14ac:dyDescent="0.3">
      <c r="A528" t="s">
        <v>525</v>
      </c>
      <c r="B528" s="20">
        <v>45658</v>
      </c>
      <c r="C528" t="s">
        <v>507</v>
      </c>
      <c r="D528" t="s">
        <v>508</v>
      </c>
      <c r="E528" t="s">
        <v>384</v>
      </c>
      <c r="F528">
        <v>0</v>
      </c>
      <c r="G528">
        <v>0</v>
      </c>
      <c r="H528">
        <f>IF(report_B_CategorieBoekjaar[[#This Row],[BedrijfsCode]]="002",IF(report_B_CategorieBoekjaar[[#This Row],[Boekjaar]]=Projectbegroting!$K$1,report_B_CategorieBoekjaar[[#This Row],[CategorieCode]],0),0)</f>
        <v>0</v>
      </c>
      <c r="I528">
        <f>IF(report_B_CategorieBoekjaar[[#This Row],[BedrijfsCode]]="001",IF(report_B_CategorieBoekjaar[[#This Row],[Boekjaar]]=Projectbegroting!$K$1,report_B_CategorieBoekjaar[[#This Row],[CategorieCode]],0),0)</f>
        <v>0</v>
      </c>
    </row>
    <row r="529" spans="1:9" hidden="1" x14ac:dyDescent="0.3">
      <c r="A529" t="s">
        <v>525</v>
      </c>
      <c r="B529" s="20">
        <v>45658</v>
      </c>
      <c r="C529" t="s">
        <v>509</v>
      </c>
      <c r="D529" t="s">
        <v>510</v>
      </c>
      <c r="E529" t="s">
        <v>381</v>
      </c>
      <c r="F529">
        <v>135</v>
      </c>
      <c r="G529">
        <v>0</v>
      </c>
      <c r="H529">
        <f>IF(report_B_CategorieBoekjaar[[#This Row],[BedrijfsCode]]="002",IF(report_B_CategorieBoekjaar[[#This Row],[Boekjaar]]=Projectbegroting!$K$1,report_B_CategorieBoekjaar[[#This Row],[CategorieCode]],0),0)</f>
        <v>0</v>
      </c>
      <c r="I529">
        <f>IF(report_B_CategorieBoekjaar[[#This Row],[BedrijfsCode]]="001",IF(report_B_CategorieBoekjaar[[#This Row],[Boekjaar]]=Projectbegroting!$K$1,report_B_CategorieBoekjaar[[#This Row],[CategorieCode]],0),0)</f>
        <v>0</v>
      </c>
    </row>
    <row r="530" spans="1:9" hidden="1" x14ac:dyDescent="0.3">
      <c r="A530" t="s">
        <v>525</v>
      </c>
      <c r="B530" s="20">
        <v>45658</v>
      </c>
      <c r="C530" t="s">
        <v>511</v>
      </c>
      <c r="D530" t="s">
        <v>512</v>
      </c>
      <c r="E530" t="s">
        <v>381</v>
      </c>
      <c r="F530">
        <v>0</v>
      </c>
      <c r="G530">
        <v>0</v>
      </c>
      <c r="H530">
        <f>IF(report_B_CategorieBoekjaar[[#This Row],[BedrijfsCode]]="002",IF(report_B_CategorieBoekjaar[[#This Row],[Boekjaar]]=Projectbegroting!$K$1,report_B_CategorieBoekjaar[[#This Row],[CategorieCode]],0),0)</f>
        <v>0</v>
      </c>
      <c r="I530">
        <f>IF(report_B_CategorieBoekjaar[[#This Row],[BedrijfsCode]]="001",IF(report_B_CategorieBoekjaar[[#This Row],[Boekjaar]]=Projectbegroting!$K$1,report_B_CategorieBoekjaar[[#This Row],[CategorieCode]],0),0)</f>
        <v>0</v>
      </c>
    </row>
    <row r="531" spans="1:9" hidden="1" x14ac:dyDescent="0.3">
      <c r="A531" t="s">
        <v>525</v>
      </c>
      <c r="B531" s="20">
        <v>45658</v>
      </c>
      <c r="C531" t="s">
        <v>92</v>
      </c>
      <c r="D531" t="s">
        <v>513</v>
      </c>
      <c r="E531" t="s">
        <v>381</v>
      </c>
      <c r="F531">
        <v>68</v>
      </c>
      <c r="G531">
        <v>123</v>
      </c>
      <c r="H531">
        <f>IF(report_B_CategorieBoekjaar[[#This Row],[BedrijfsCode]]="002",IF(report_B_CategorieBoekjaar[[#This Row],[Boekjaar]]=Projectbegroting!$K$1,report_B_CategorieBoekjaar[[#This Row],[CategorieCode]],0),0)</f>
        <v>0</v>
      </c>
      <c r="I531">
        <f>IF(report_B_CategorieBoekjaar[[#This Row],[BedrijfsCode]]="001",IF(report_B_CategorieBoekjaar[[#This Row],[Boekjaar]]=Projectbegroting!$K$1,report_B_CategorieBoekjaar[[#This Row],[CategorieCode]],0),0)</f>
        <v>0</v>
      </c>
    </row>
    <row r="532" spans="1:9" hidden="1" x14ac:dyDescent="0.3">
      <c r="A532" t="s">
        <v>525</v>
      </c>
      <c r="B532" s="20">
        <v>45658</v>
      </c>
      <c r="C532" t="s">
        <v>514</v>
      </c>
      <c r="D532" t="s">
        <v>515</v>
      </c>
      <c r="E532" t="s">
        <v>384</v>
      </c>
      <c r="F532">
        <v>100</v>
      </c>
      <c r="G532">
        <v>0</v>
      </c>
      <c r="H532">
        <f>IF(report_B_CategorieBoekjaar[[#This Row],[BedrijfsCode]]="002",IF(report_B_CategorieBoekjaar[[#This Row],[Boekjaar]]=Projectbegroting!$K$1,report_B_CategorieBoekjaar[[#This Row],[CategorieCode]],0),0)</f>
        <v>0</v>
      </c>
      <c r="I532">
        <f>IF(report_B_CategorieBoekjaar[[#This Row],[BedrijfsCode]]="001",IF(report_B_CategorieBoekjaar[[#This Row],[Boekjaar]]=Projectbegroting!$K$1,report_B_CategorieBoekjaar[[#This Row],[CategorieCode]],0),0)</f>
        <v>0</v>
      </c>
    </row>
    <row r="533" spans="1:9" hidden="1" x14ac:dyDescent="0.3">
      <c r="A533" t="s">
        <v>525</v>
      </c>
      <c r="B533" s="20">
        <v>45658</v>
      </c>
      <c r="C533" t="s">
        <v>72</v>
      </c>
      <c r="D533" t="s">
        <v>516</v>
      </c>
      <c r="E533" t="s">
        <v>381</v>
      </c>
      <c r="F533">
        <v>58</v>
      </c>
      <c r="G533">
        <v>113</v>
      </c>
      <c r="H533">
        <f>IF(report_B_CategorieBoekjaar[[#This Row],[BedrijfsCode]]="002",IF(report_B_CategorieBoekjaar[[#This Row],[Boekjaar]]=Projectbegroting!$K$1,report_B_CategorieBoekjaar[[#This Row],[CategorieCode]],0),0)</f>
        <v>0</v>
      </c>
      <c r="I533">
        <f>IF(report_B_CategorieBoekjaar[[#This Row],[BedrijfsCode]]="001",IF(report_B_CategorieBoekjaar[[#This Row],[Boekjaar]]=Projectbegroting!$K$1,report_B_CategorieBoekjaar[[#This Row],[CategorieCode]],0),0)</f>
        <v>0</v>
      </c>
    </row>
    <row r="534" spans="1:9" hidden="1" x14ac:dyDescent="0.3">
      <c r="A534" t="s">
        <v>525</v>
      </c>
      <c r="B534" s="20">
        <v>45658</v>
      </c>
      <c r="C534" t="s">
        <v>517</v>
      </c>
      <c r="D534" t="s">
        <v>518</v>
      </c>
      <c r="E534" t="s">
        <v>384</v>
      </c>
      <c r="F534">
        <v>0</v>
      </c>
      <c r="G534">
        <v>0</v>
      </c>
      <c r="H534">
        <f>IF(report_B_CategorieBoekjaar[[#This Row],[BedrijfsCode]]="002",IF(report_B_CategorieBoekjaar[[#This Row],[Boekjaar]]=Projectbegroting!$K$1,report_B_CategorieBoekjaar[[#This Row],[CategorieCode]],0),0)</f>
        <v>0</v>
      </c>
      <c r="I534">
        <f>IF(report_B_CategorieBoekjaar[[#This Row],[BedrijfsCode]]="001",IF(report_B_CategorieBoekjaar[[#This Row],[Boekjaar]]=Projectbegroting!$K$1,report_B_CategorieBoekjaar[[#This Row],[CategorieCode]],0),0)</f>
        <v>0</v>
      </c>
    </row>
    <row r="535" spans="1:9" hidden="1" x14ac:dyDescent="0.3">
      <c r="A535" t="s">
        <v>525</v>
      </c>
      <c r="B535" s="20">
        <v>45658</v>
      </c>
      <c r="C535" t="s">
        <v>74</v>
      </c>
      <c r="D535" t="s">
        <v>75</v>
      </c>
      <c r="E535" t="s">
        <v>381</v>
      </c>
      <c r="F535">
        <v>47</v>
      </c>
      <c r="G535">
        <v>102</v>
      </c>
      <c r="H535">
        <f>IF(report_B_CategorieBoekjaar[[#This Row],[BedrijfsCode]]="002",IF(report_B_CategorieBoekjaar[[#This Row],[Boekjaar]]=Projectbegroting!$K$1,report_B_CategorieBoekjaar[[#This Row],[CategorieCode]],0),0)</f>
        <v>0</v>
      </c>
      <c r="I535">
        <f>IF(report_B_CategorieBoekjaar[[#This Row],[BedrijfsCode]]="001",IF(report_B_CategorieBoekjaar[[#This Row],[Boekjaar]]=Projectbegroting!$K$1,report_B_CategorieBoekjaar[[#This Row],[CategorieCode]],0),0)</f>
        <v>0</v>
      </c>
    </row>
    <row r="536" spans="1:9" hidden="1" x14ac:dyDescent="0.3">
      <c r="A536" t="s">
        <v>525</v>
      </c>
      <c r="B536" s="20">
        <v>45658</v>
      </c>
      <c r="C536" t="s">
        <v>178</v>
      </c>
      <c r="D536" t="s">
        <v>519</v>
      </c>
      <c r="E536" t="s">
        <v>384</v>
      </c>
      <c r="F536">
        <v>79</v>
      </c>
      <c r="G536">
        <v>0</v>
      </c>
      <c r="H536">
        <f>IF(report_B_CategorieBoekjaar[[#This Row],[BedrijfsCode]]="002",IF(report_B_CategorieBoekjaar[[#This Row],[Boekjaar]]=Projectbegroting!$K$1,report_B_CategorieBoekjaar[[#This Row],[CategorieCode]],0),0)</f>
        <v>0</v>
      </c>
      <c r="I536">
        <f>IF(report_B_CategorieBoekjaar[[#This Row],[BedrijfsCode]]="001",IF(report_B_CategorieBoekjaar[[#This Row],[Boekjaar]]=Projectbegroting!$K$1,report_B_CategorieBoekjaar[[#This Row],[CategorieCode]],0),0)</f>
        <v>0</v>
      </c>
    </row>
    <row r="537" spans="1:9" hidden="1" x14ac:dyDescent="0.3">
      <c r="A537" t="s">
        <v>525</v>
      </c>
      <c r="B537" s="20">
        <v>45658</v>
      </c>
      <c r="C537" t="s">
        <v>76</v>
      </c>
      <c r="D537" t="s">
        <v>77</v>
      </c>
      <c r="E537" t="s">
        <v>381</v>
      </c>
      <c r="F537">
        <v>75</v>
      </c>
      <c r="G537">
        <v>130</v>
      </c>
      <c r="H537">
        <f>IF(report_B_CategorieBoekjaar[[#This Row],[BedrijfsCode]]="002",IF(report_B_CategorieBoekjaar[[#This Row],[Boekjaar]]=Projectbegroting!$K$1,report_B_CategorieBoekjaar[[#This Row],[CategorieCode]],0),0)</f>
        <v>0</v>
      </c>
      <c r="I537">
        <f>IF(report_B_CategorieBoekjaar[[#This Row],[BedrijfsCode]]="001",IF(report_B_CategorieBoekjaar[[#This Row],[Boekjaar]]=Projectbegroting!$K$1,report_B_CategorieBoekjaar[[#This Row],[CategorieCode]],0),0)</f>
        <v>0</v>
      </c>
    </row>
    <row r="538" spans="1:9" hidden="1" x14ac:dyDescent="0.3">
      <c r="A538" t="s">
        <v>525</v>
      </c>
      <c r="B538" s="20">
        <v>45658</v>
      </c>
      <c r="C538" t="s">
        <v>520</v>
      </c>
      <c r="D538" t="s">
        <v>521</v>
      </c>
      <c r="E538" t="s">
        <v>384</v>
      </c>
      <c r="F538">
        <v>0</v>
      </c>
      <c r="G538">
        <v>0</v>
      </c>
      <c r="H538">
        <f>IF(report_B_CategorieBoekjaar[[#This Row],[BedrijfsCode]]="002",IF(report_B_CategorieBoekjaar[[#This Row],[Boekjaar]]=Projectbegroting!$K$1,report_B_CategorieBoekjaar[[#This Row],[CategorieCode]],0),0)</f>
        <v>0</v>
      </c>
      <c r="I538">
        <f>IF(report_B_CategorieBoekjaar[[#This Row],[BedrijfsCode]]="001",IF(report_B_CategorieBoekjaar[[#This Row],[Boekjaar]]=Projectbegroting!$K$1,report_B_CategorieBoekjaar[[#This Row],[CategorieCode]],0),0)</f>
        <v>0</v>
      </c>
    </row>
    <row r="539" spans="1:9" hidden="1" x14ac:dyDescent="0.3">
      <c r="A539" t="s">
        <v>525</v>
      </c>
      <c r="B539" s="20">
        <v>45658</v>
      </c>
      <c r="C539" t="s">
        <v>522</v>
      </c>
      <c r="D539" t="s">
        <v>523</v>
      </c>
      <c r="E539" t="s">
        <v>381</v>
      </c>
      <c r="F539">
        <v>75</v>
      </c>
      <c r="G539">
        <v>0</v>
      </c>
      <c r="H539">
        <f>IF(report_B_CategorieBoekjaar[[#This Row],[BedrijfsCode]]="002",IF(report_B_CategorieBoekjaar[[#This Row],[Boekjaar]]=Projectbegroting!$K$1,report_B_CategorieBoekjaar[[#This Row],[CategorieCode]],0),0)</f>
        <v>0</v>
      </c>
      <c r="I539">
        <f>IF(report_B_CategorieBoekjaar[[#This Row],[BedrijfsCode]]="001",IF(report_B_CategorieBoekjaar[[#This Row],[Boekjaar]]=Projectbegroting!$K$1,report_B_CategorieBoekjaar[[#This Row],[CategorieCode]],0),0)</f>
        <v>0</v>
      </c>
    </row>
    <row r="540" spans="1:9" hidden="1" x14ac:dyDescent="0.3">
      <c r="A540" t="s">
        <v>525</v>
      </c>
      <c r="B540" s="20">
        <v>45658</v>
      </c>
      <c r="C540" t="s">
        <v>78</v>
      </c>
      <c r="D540" t="s">
        <v>79</v>
      </c>
      <c r="E540" t="s">
        <v>381</v>
      </c>
      <c r="F540">
        <v>74</v>
      </c>
      <c r="G540">
        <v>129</v>
      </c>
      <c r="H540">
        <f>IF(report_B_CategorieBoekjaar[[#This Row],[BedrijfsCode]]="002",IF(report_B_CategorieBoekjaar[[#This Row],[Boekjaar]]=Projectbegroting!$K$1,report_B_CategorieBoekjaar[[#This Row],[CategorieCode]],0),0)</f>
        <v>0</v>
      </c>
      <c r="I540">
        <f>IF(report_B_CategorieBoekjaar[[#This Row],[BedrijfsCode]]="001",IF(report_B_CategorieBoekjaar[[#This Row],[Boekjaar]]=Projectbegroting!$K$1,report_B_CategorieBoekjaar[[#This Row],[CategorieCode]],0),0)</f>
        <v>0</v>
      </c>
    </row>
    <row r="541" spans="1:9" hidden="1" x14ac:dyDescent="0.3">
      <c r="A541" t="s">
        <v>525</v>
      </c>
      <c r="B541" s="20">
        <v>45658</v>
      </c>
      <c r="C541" t="s">
        <v>176</v>
      </c>
      <c r="D541" t="s">
        <v>524</v>
      </c>
      <c r="E541" t="s">
        <v>384</v>
      </c>
      <c r="F541">
        <v>119</v>
      </c>
      <c r="G541">
        <v>0</v>
      </c>
      <c r="H541">
        <f>IF(report_B_CategorieBoekjaar[[#This Row],[BedrijfsCode]]="002",IF(report_B_CategorieBoekjaar[[#This Row],[Boekjaar]]=Projectbegroting!$K$1,report_B_CategorieBoekjaar[[#This Row],[CategorieCode]],0),0)</f>
        <v>0</v>
      </c>
      <c r="I541">
        <f>IF(report_B_CategorieBoekjaar[[#This Row],[BedrijfsCode]]="001",IF(report_B_CategorieBoekjaar[[#This Row],[Boekjaar]]=Projectbegroting!$K$1,report_B_CategorieBoekjaar[[#This Row],[CategorieCode]],0),0)</f>
        <v>0</v>
      </c>
    </row>
    <row r="542" spans="1:9" x14ac:dyDescent="0.3">
      <c r="A542" t="s">
        <v>330</v>
      </c>
      <c r="B542" s="20">
        <v>45292</v>
      </c>
      <c r="C542" t="s">
        <v>179</v>
      </c>
      <c r="D542" t="s">
        <v>331</v>
      </c>
      <c r="E542" t="s">
        <v>217</v>
      </c>
      <c r="F542">
        <v>0</v>
      </c>
      <c r="G542">
        <v>0</v>
      </c>
      <c r="H542">
        <f>IF(report_B_CategorieBoekjaar[[#This Row],[BedrijfsCode]]="002",IF(report_B_CategorieBoekjaar[[#This Row],[Boekjaar]]=Projectbegroting!$K$1,report_B_CategorieBoekjaar[[#This Row],[CategorieCode]],0),0)</f>
        <v>0</v>
      </c>
      <c r="I542">
        <f>IF(report_B_CategorieBoekjaar[[#This Row],[BedrijfsCode]]="001",IF(report_B_CategorieBoekjaar[[#This Row],[Boekjaar]]=Projectbegroting!$K$1,report_B_CategorieBoekjaar[[#This Row],[CategorieCode]],0),0)</f>
        <v>0</v>
      </c>
    </row>
    <row r="543" spans="1:9" x14ac:dyDescent="0.3">
      <c r="A543" t="s">
        <v>330</v>
      </c>
      <c r="B543" s="20">
        <v>45292</v>
      </c>
      <c r="C543" t="s">
        <v>180</v>
      </c>
      <c r="D543" t="s">
        <v>332</v>
      </c>
      <c r="E543" t="s">
        <v>217</v>
      </c>
      <c r="F543">
        <v>0</v>
      </c>
      <c r="G543">
        <v>0</v>
      </c>
      <c r="H543">
        <f>IF(report_B_CategorieBoekjaar[[#This Row],[BedrijfsCode]]="002",IF(report_B_CategorieBoekjaar[[#This Row],[Boekjaar]]=Projectbegroting!$K$1,report_B_CategorieBoekjaar[[#This Row],[CategorieCode]],0),0)</f>
        <v>0</v>
      </c>
      <c r="I543">
        <f>IF(report_B_CategorieBoekjaar[[#This Row],[BedrijfsCode]]="001",IF(report_B_CategorieBoekjaar[[#This Row],[Boekjaar]]=Projectbegroting!$K$1,report_B_CategorieBoekjaar[[#This Row],[CategorieCode]],0),0)</f>
        <v>0</v>
      </c>
    </row>
    <row r="544" spans="1:9" x14ac:dyDescent="0.3">
      <c r="A544" t="s">
        <v>330</v>
      </c>
      <c r="B544" s="20">
        <v>45292</v>
      </c>
      <c r="C544" t="s">
        <v>181</v>
      </c>
      <c r="D544" t="s">
        <v>333</v>
      </c>
      <c r="E544" t="s">
        <v>217</v>
      </c>
      <c r="F544">
        <v>0</v>
      </c>
      <c r="G544">
        <v>0</v>
      </c>
      <c r="H544">
        <f>IF(report_B_CategorieBoekjaar[[#This Row],[BedrijfsCode]]="002",IF(report_B_CategorieBoekjaar[[#This Row],[Boekjaar]]=Projectbegroting!$K$1,report_B_CategorieBoekjaar[[#This Row],[CategorieCode]],0),0)</f>
        <v>0</v>
      </c>
      <c r="I544">
        <f>IF(report_B_CategorieBoekjaar[[#This Row],[BedrijfsCode]]="001",IF(report_B_CategorieBoekjaar[[#This Row],[Boekjaar]]=Projectbegroting!$K$1,report_B_CategorieBoekjaar[[#This Row],[CategorieCode]],0),0)</f>
        <v>0</v>
      </c>
    </row>
    <row r="545" spans="1:9" x14ac:dyDescent="0.3">
      <c r="A545" t="s">
        <v>330</v>
      </c>
      <c r="B545" s="20">
        <v>45292</v>
      </c>
      <c r="C545" t="s">
        <v>182</v>
      </c>
      <c r="D545" t="s">
        <v>334</v>
      </c>
      <c r="E545" t="s">
        <v>217</v>
      </c>
      <c r="F545">
        <v>0</v>
      </c>
      <c r="G545">
        <v>0</v>
      </c>
      <c r="H545">
        <f>IF(report_B_CategorieBoekjaar[[#This Row],[BedrijfsCode]]="002",IF(report_B_CategorieBoekjaar[[#This Row],[Boekjaar]]=Projectbegroting!$K$1,report_B_CategorieBoekjaar[[#This Row],[CategorieCode]],0),0)</f>
        <v>0</v>
      </c>
      <c r="I545">
        <f>IF(report_B_CategorieBoekjaar[[#This Row],[BedrijfsCode]]="001",IF(report_B_CategorieBoekjaar[[#This Row],[Boekjaar]]=Projectbegroting!$K$1,report_B_CategorieBoekjaar[[#This Row],[CategorieCode]],0),0)</f>
        <v>0</v>
      </c>
    </row>
    <row r="546" spans="1:9" x14ac:dyDescent="0.3">
      <c r="A546" t="s">
        <v>330</v>
      </c>
      <c r="B546" s="20">
        <v>45292</v>
      </c>
      <c r="C546" t="s">
        <v>183</v>
      </c>
      <c r="D546" t="s">
        <v>335</v>
      </c>
      <c r="E546" t="s">
        <v>217</v>
      </c>
      <c r="F546">
        <v>0</v>
      </c>
      <c r="G546">
        <v>0</v>
      </c>
      <c r="H546">
        <f>IF(report_B_CategorieBoekjaar[[#This Row],[BedrijfsCode]]="002",IF(report_B_CategorieBoekjaar[[#This Row],[Boekjaar]]=Projectbegroting!$K$1,report_B_CategorieBoekjaar[[#This Row],[CategorieCode]],0),0)</f>
        <v>0</v>
      </c>
      <c r="I546">
        <f>IF(report_B_CategorieBoekjaar[[#This Row],[BedrijfsCode]]="001",IF(report_B_CategorieBoekjaar[[#This Row],[Boekjaar]]=Projectbegroting!$K$1,report_B_CategorieBoekjaar[[#This Row],[CategorieCode]],0),0)</f>
        <v>0</v>
      </c>
    </row>
    <row r="547" spans="1:9" x14ac:dyDescent="0.3">
      <c r="A547" t="s">
        <v>330</v>
      </c>
      <c r="B547" s="20">
        <v>45292</v>
      </c>
      <c r="C547" t="s">
        <v>184</v>
      </c>
      <c r="D547" t="s">
        <v>336</v>
      </c>
      <c r="E547" t="s">
        <v>217</v>
      </c>
      <c r="F547">
        <v>0</v>
      </c>
      <c r="G547">
        <v>0</v>
      </c>
      <c r="H547">
        <f>IF(report_B_CategorieBoekjaar[[#This Row],[BedrijfsCode]]="002",IF(report_B_CategorieBoekjaar[[#This Row],[Boekjaar]]=Projectbegroting!$K$1,report_B_CategorieBoekjaar[[#This Row],[CategorieCode]],0),0)</f>
        <v>0</v>
      </c>
      <c r="I547">
        <f>IF(report_B_CategorieBoekjaar[[#This Row],[BedrijfsCode]]="001",IF(report_B_CategorieBoekjaar[[#This Row],[Boekjaar]]=Projectbegroting!$K$1,report_B_CategorieBoekjaar[[#This Row],[CategorieCode]],0),0)</f>
        <v>0</v>
      </c>
    </row>
    <row r="548" spans="1:9" x14ac:dyDescent="0.3">
      <c r="A548" t="s">
        <v>330</v>
      </c>
      <c r="B548" s="20">
        <v>45292</v>
      </c>
      <c r="C548" t="s">
        <v>185</v>
      </c>
      <c r="D548" t="s">
        <v>337</v>
      </c>
      <c r="E548" t="s">
        <v>217</v>
      </c>
      <c r="F548">
        <v>0</v>
      </c>
      <c r="G548">
        <v>0</v>
      </c>
      <c r="H548">
        <f>IF(report_B_CategorieBoekjaar[[#This Row],[BedrijfsCode]]="002",IF(report_B_CategorieBoekjaar[[#This Row],[Boekjaar]]=Projectbegroting!$K$1,report_B_CategorieBoekjaar[[#This Row],[CategorieCode]],0),0)</f>
        <v>0</v>
      </c>
      <c r="I548">
        <f>IF(report_B_CategorieBoekjaar[[#This Row],[BedrijfsCode]]="001",IF(report_B_CategorieBoekjaar[[#This Row],[Boekjaar]]=Projectbegroting!$K$1,report_B_CategorieBoekjaar[[#This Row],[CategorieCode]],0),0)</f>
        <v>0</v>
      </c>
    </row>
    <row r="549" spans="1:9" x14ac:dyDescent="0.3">
      <c r="A549" t="s">
        <v>330</v>
      </c>
      <c r="B549" s="20">
        <v>45292</v>
      </c>
      <c r="C549" t="s">
        <v>186</v>
      </c>
      <c r="D549" t="s">
        <v>338</v>
      </c>
      <c r="E549" t="s">
        <v>217</v>
      </c>
      <c r="F549">
        <v>0</v>
      </c>
      <c r="G549">
        <v>0</v>
      </c>
      <c r="H549">
        <f>IF(report_B_CategorieBoekjaar[[#This Row],[BedrijfsCode]]="002",IF(report_B_CategorieBoekjaar[[#This Row],[Boekjaar]]=Projectbegroting!$K$1,report_B_CategorieBoekjaar[[#This Row],[CategorieCode]],0),0)</f>
        <v>0</v>
      </c>
      <c r="I549">
        <f>IF(report_B_CategorieBoekjaar[[#This Row],[BedrijfsCode]]="001",IF(report_B_CategorieBoekjaar[[#This Row],[Boekjaar]]=Projectbegroting!$K$1,report_B_CategorieBoekjaar[[#This Row],[CategorieCode]],0),0)</f>
        <v>0</v>
      </c>
    </row>
    <row r="550" spans="1:9" x14ac:dyDescent="0.3">
      <c r="A550" t="s">
        <v>330</v>
      </c>
      <c r="B550" s="20">
        <v>45292</v>
      </c>
      <c r="C550" t="s">
        <v>187</v>
      </c>
      <c r="D550" t="s">
        <v>339</v>
      </c>
      <c r="E550" t="s">
        <v>217</v>
      </c>
      <c r="F550">
        <v>0</v>
      </c>
      <c r="G550">
        <v>0</v>
      </c>
      <c r="H550">
        <f>IF(report_B_CategorieBoekjaar[[#This Row],[BedrijfsCode]]="002",IF(report_B_CategorieBoekjaar[[#This Row],[Boekjaar]]=Projectbegroting!$K$1,report_B_CategorieBoekjaar[[#This Row],[CategorieCode]],0),0)</f>
        <v>0</v>
      </c>
      <c r="I550">
        <f>IF(report_B_CategorieBoekjaar[[#This Row],[BedrijfsCode]]="001",IF(report_B_CategorieBoekjaar[[#This Row],[Boekjaar]]=Projectbegroting!$K$1,report_B_CategorieBoekjaar[[#This Row],[CategorieCode]],0),0)</f>
        <v>0</v>
      </c>
    </row>
    <row r="551" spans="1:9" x14ac:dyDescent="0.3">
      <c r="A551" t="s">
        <v>330</v>
      </c>
      <c r="B551" s="20">
        <v>45292</v>
      </c>
      <c r="C551" t="s">
        <v>188</v>
      </c>
      <c r="D551" t="s">
        <v>340</v>
      </c>
      <c r="E551" t="s">
        <v>217</v>
      </c>
      <c r="F551">
        <v>0</v>
      </c>
      <c r="G551">
        <v>0</v>
      </c>
      <c r="H551">
        <f>IF(report_B_CategorieBoekjaar[[#This Row],[BedrijfsCode]]="002",IF(report_B_CategorieBoekjaar[[#This Row],[Boekjaar]]=Projectbegroting!$K$1,report_B_CategorieBoekjaar[[#This Row],[CategorieCode]],0),0)</f>
        <v>0</v>
      </c>
      <c r="I551">
        <f>IF(report_B_CategorieBoekjaar[[#This Row],[BedrijfsCode]]="001",IF(report_B_CategorieBoekjaar[[#This Row],[Boekjaar]]=Projectbegroting!$K$1,report_B_CategorieBoekjaar[[#This Row],[CategorieCode]],0),0)</f>
        <v>0</v>
      </c>
    </row>
    <row r="552" spans="1:9" x14ac:dyDescent="0.3">
      <c r="A552" t="s">
        <v>330</v>
      </c>
      <c r="B552" s="20">
        <v>45292</v>
      </c>
      <c r="C552" t="s">
        <v>189</v>
      </c>
      <c r="D552" t="s">
        <v>341</v>
      </c>
      <c r="E552" t="s">
        <v>217</v>
      </c>
      <c r="F552">
        <v>0</v>
      </c>
      <c r="G552">
        <v>0</v>
      </c>
      <c r="H552">
        <f>IF(report_B_CategorieBoekjaar[[#This Row],[BedrijfsCode]]="002",IF(report_B_CategorieBoekjaar[[#This Row],[Boekjaar]]=Projectbegroting!$K$1,report_B_CategorieBoekjaar[[#This Row],[CategorieCode]],0),0)</f>
        <v>0</v>
      </c>
      <c r="I552">
        <f>IF(report_B_CategorieBoekjaar[[#This Row],[BedrijfsCode]]="001",IF(report_B_CategorieBoekjaar[[#This Row],[Boekjaar]]=Projectbegroting!$K$1,report_B_CategorieBoekjaar[[#This Row],[CategorieCode]],0),0)</f>
        <v>0</v>
      </c>
    </row>
    <row r="553" spans="1:9" x14ac:dyDescent="0.3">
      <c r="A553" t="s">
        <v>330</v>
      </c>
      <c r="B553" s="20">
        <v>45292</v>
      </c>
      <c r="C553" t="s">
        <v>190</v>
      </c>
      <c r="D553" t="s">
        <v>342</v>
      </c>
      <c r="E553" t="s">
        <v>217</v>
      </c>
      <c r="F553">
        <v>0</v>
      </c>
      <c r="G553">
        <v>0</v>
      </c>
      <c r="H553">
        <f>IF(report_B_CategorieBoekjaar[[#This Row],[BedrijfsCode]]="002",IF(report_B_CategorieBoekjaar[[#This Row],[Boekjaar]]=Projectbegroting!$K$1,report_B_CategorieBoekjaar[[#This Row],[CategorieCode]],0),0)</f>
        <v>0</v>
      </c>
      <c r="I553">
        <f>IF(report_B_CategorieBoekjaar[[#This Row],[BedrijfsCode]]="001",IF(report_B_CategorieBoekjaar[[#This Row],[Boekjaar]]=Projectbegroting!$K$1,report_B_CategorieBoekjaar[[#This Row],[CategorieCode]],0),0)</f>
        <v>0</v>
      </c>
    </row>
    <row r="554" spans="1:9" x14ac:dyDescent="0.3">
      <c r="A554" t="s">
        <v>330</v>
      </c>
      <c r="B554" s="20">
        <v>45292</v>
      </c>
      <c r="C554" t="s">
        <v>191</v>
      </c>
      <c r="D554" t="s">
        <v>343</v>
      </c>
      <c r="E554" t="s">
        <v>217</v>
      </c>
      <c r="F554">
        <v>0</v>
      </c>
      <c r="G554">
        <v>0</v>
      </c>
      <c r="H554">
        <f>IF(report_B_CategorieBoekjaar[[#This Row],[BedrijfsCode]]="002",IF(report_B_CategorieBoekjaar[[#This Row],[Boekjaar]]=Projectbegroting!$K$1,report_B_CategorieBoekjaar[[#This Row],[CategorieCode]],0),0)</f>
        <v>0</v>
      </c>
      <c r="I554">
        <f>IF(report_B_CategorieBoekjaar[[#This Row],[BedrijfsCode]]="001",IF(report_B_CategorieBoekjaar[[#This Row],[Boekjaar]]=Projectbegroting!$K$1,report_B_CategorieBoekjaar[[#This Row],[CategorieCode]],0),0)</f>
        <v>0</v>
      </c>
    </row>
    <row r="555" spans="1:9" x14ac:dyDescent="0.3">
      <c r="A555" t="s">
        <v>330</v>
      </c>
      <c r="B555" s="20">
        <v>45292</v>
      </c>
      <c r="C555" t="s">
        <v>192</v>
      </c>
      <c r="D555" t="s">
        <v>344</v>
      </c>
      <c r="E555" t="s">
        <v>217</v>
      </c>
      <c r="F555">
        <v>0</v>
      </c>
      <c r="G555">
        <v>0</v>
      </c>
      <c r="H555">
        <f>IF(report_B_CategorieBoekjaar[[#This Row],[BedrijfsCode]]="002",IF(report_B_CategorieBoekjaar[[#This Row],[Boekjaar]]=Projectbegroting!$K$1,report_B_CategorieBoekjaar[[#This Row],[CategorieCode]],0),0)</f>
        <v>0</v>
      </c>
      <c r="I555">
        <f>IF(report_B_CategorieBoekjaar[[#This Row],[BedrijfsCode]]="001",IF(report_B_CategorieBoekjaar[[#This Row],[Boekjaar]]=Projectbegroting!$K$1,report_B_CategorieBoekjaar[[#This Row],[CategorieCode]],0),0)</f>
        <v>0</v>
      </c>
    </row>
    <row r="556" spans="1:9" x14ac:dyDescent="0.3">
      <c r="A556" t="s">
        <v>330</v>
      </c>
      <c r="B556" s="20">
        <v>45292</v>
      </c>
      <c r="C556" t="s">
        <v>193</v>
      </c>
      <c r="D556" t="s">
        <v>345</v>
      </c>
      <c r="E556" t="s">
        <v>217</v>
      </c>
      <c r="F556">
        <v>0</v>
      </c>
      <c r="G556">
        <v>0</v>
      </c>
      <c r="H556">
        <f>IF(report_B_CategorieBoekjaar[[#This Row],[BedrijfsCode]]="002",IF(report_B_CategorieBoekjaar[[#This Row],[Boekjaar]]=Projectbegroting!$K$1,report_B_CategorieBoekjaar[[#This Row],[CategorieCode]],0),0)</f>
        <v>0</v>
      </c>
      <c r="I556">
        <f>IF(report_B_CategorieBoekjaar[[#This Row],[BedrijfsCode]]="001",IF(report_B_CategorieBoekjaar[[#This Row],[Boekjaar]]=Projectbegroting!$K$1,report_B_CategorieBoekjaar[[#This Row],[CategorieCode]],0),0)</f>
        <v>0</v>
      </c>
    </row>
    <row r="557" spans="1:9" x14ac:dyDescent="0.3">
      <c r="A557" t="s">
        <v>330</v>
      </c>
      <c r="B557" s="20">
        <v>45292</v>
      </c>
      <c r="C557" t="s">
        <v>194</v>
      </c>
      <c r="D557" t="s">
        <v>346</v>
      </c>
      <c r="E557" t="s">
        <v>217</v>
      </c>
      <c r="F557">
        <v>0</v>
      </c>
      <c r="G557">
        <v>0</v>
      </c>
      <c r="H557">
        <f>IF(report_B_CategorieBoekjaar[[#This Row],[BedrijfsCode]]="002",IF(report_B_CategorieBoekjaar[[#This Row],[Boekjaar]]=Projectbegroting!$K$1,report_B_CategorieBoekjaar[[#This Row],[CategorieCode]],0),0)</f>
        <v>0</v>
      </c>
      <c r="I557">
        <f>IF(report_B_CategorieBoekjaar[[#This Row],[BedrijfsCode]]="001",IF(report_B_CategorieBoekjaar[[#This Row],[Boekjaar]]=Projectbegroting!$K$1,report_B_CategorieBoekjaar[[#This Row],[CategorieCode]],0),0)</f>
        <v>0</v>
      </c>
    </row>
    <row r="558" spans="1:9" x14ac:dyDescent="0.3">
      <c r="A558" t="s">
        <v>330</v>
      </c>
      <c r="B558" s="20">
        <v>45292</v>
      </c>
      <c r="C558" t="s">
        <v>195</v>
      </c>
      <c r="D558" t="s">
        <v>347</v>
      </c>
      <c r="E558" t="s">
        <v>217</v>
      </c>
      <c r="F558">
        <v>0</v>
      </c>
      <c r="G558">
        <v>0</v>
      </c>
      <c r="H558">
        <f>IF(report_B_CategorieBoekjaar[[#This Row],[BedrijfsCode]]="002",IF(report_B_CategorieBoekjaar[[#This Row],[Boekjaar]]=Projectbegroting!$K$1,report_B_CategorieBoekjaar[[#This Row],[CategorieCode]],0),0)</f>
        <v>0</v>
      </c>
      <c r="I558">
        <f>IF(report_B_CategorieBoekjaar[[#This Row],[BedrijfsCode]]="001",IF(report_B_CategorieBoekjaar[[#This Row],[Boekjaar]]=Projectbegroting!$K$1,report_B_CategorieBoekjaar[[#This Row],[CategorieCode]],0),0)</f>
        <v>0</v>
      </c>
    </row>
    <row r="559" spans="1:9" x14ac:dyDescent="0.3">
      <c r="A559" t="s">
        <v>330</v>
      </c>
      <c r="B559" s="20">
        <v>45292</v>
      </c>
      <c r="C559" t="s">
        <v>196</v>
      </c>
      <c r="D559" t="s">
        <v>348</v>
      </c>
      <c r="E559" t="s">
        <v>217</v>
      </c>
      <c r="F559">
        <v>0</v>
      </c>
      <c r="G559">
        <v>0</v>
      </c>
      <c r="H559">
        <f>IF(report_B_CategorieBoekjaar[[#This Row],[BedrijfsCode]]="002",IF(report_B_CategorieBoekjaar[[#This Row],[Boekjaar]]=Projectbegroting!$K$1,report_B_CategorieBoekjaar[[#This Row],[CategorieCode]],0),0)</f>
        <v>0</v>
      </c>
      <c r="I559">
        <f>IF(report_B_CategorieBoekjaar[[#This Row],[BedrijfsCode]]="001",IF(report_B_CategorieBoekjaar[[#This Row],[Boekjaar]]=Projectbegroting!$K$1,report_B_CategorieBoekjaar[[#This Row],[CategorieCode]],0),0)</f>
        <v>0</v>
      </c>
    </row>
    <row r="560" spans="1:9" x14ac:dyDescent="0.3">
      <c r="A560" t="s">
        <v>330</v>
      </c>
      <c r="B560" s="20">
        <v>45292</v>
      </c>
      <c r="C560" t="s">
        <v>349</v>
      </c>
      <c r="D560" t="s">
        <v>350</v>
      </c>
      <c r="E560" t="s">
        <v>217</v>
      </c>
      <c r="F560">
        <v>0</v>
      </c>
      <c r="G560">
        <v>0</v>
      </c>
      <c r="H560">
        <f>IF(report_B_CategorieBoekjaar[[#This Row],[BedrijfsCode]]="002",IF(report_B_CategorieBoekjaar[[#This Row],[Boekjaar]]=Projectbegroting!$K$1,report_B_CategorieBoekjaar[[#This Row],[CategorieCode]],0),0)</f>
        <v>0</v>
      </c>
      <c r="I560">
        <f>IF(report_B_CategorieBoekjaar[[#This Row],[BedrijfsCode]]="001",IF(report_B_CategorieBoekjaar[[#This Row],[Boekjaar]]=Projectbegroting!$K$1,report_B_CategorieBoekjaar[[#This Row],[CategorieCode]],0),0)</f>
        <v>0</v>
      </c>
    </row>
    <row r="561" spans="1:9" x14ac:dyDescent="0.3">
      <c r="A561" t="s">
        <v>330</v>
      </c>
      <c r="B561" s="20">
        <v>45292</v>
      </c>
      <c r="C561" t="s">
        <v>197</v>
      </c>
      <c r="D561" t="s">
        <v>351</v>
      </c>
      <c r="E561" t="s">
        <v>217</v>
      </c>
      <c r="F561">
        <v>0</v>
      </c>
      <c r="G561">
        <v>0</v>
      </c>
      <c r="H561">
        <f>IF(report_B_CategorieBoekjaar[[#This Row],[BedrijfsCode]]="002",IF(report_B_CategorieBoekjaar[[#This Row],[Boekjaar]]=Projectbegroting!$K$1,report_B_CategorieBoekjaar[[#This Row],[CategorieCode]],0),0)</f>
        <v>0</v>
      </c>
      <c r="I561">
        <f>IF(report_B_CategorieBoekjaar[[#This Row],[BedrijfsCode]]="001",IF(report_B_CategorieBoekjaar[[#This Row],[Boekjaar]]=Projectbegroting!$K$1,report_B_CategorieBoekjaar[[#This Row],[CategorieCode]],0),0)</f>
        <v>0</v>
      </c>
    </row>
    <row r="562" spans="1:9" x14ac:dyDescent="0.3">
      <c r="A562" t="s">
        <v>330</v>
      </c>
      <c r="B562" s="20">
        <v>45292</v>
      </c>
      <c r="C562" t="s">
        <v>198</v>
      </c>
      <c r="D562" t="s">
        <v>352</v>
      </c>
      <c r="E562" t="s">
        <v>217</v>
      </c>
      <c r="F562">
        <v>0</v>
      </c>
      <c r="G562">
        <v>0</v>
      </c>
      <c r="H562">
        <f>IF(report_B_CategorieBoekjaar[[#This Row],[BedrijfsCode]]="002",IF(report_B_CategorieBoekjaar[[#This Row],[Boekjaar]]=Projectbegroting!$K$1,report_B_CategorieBoekjaar[[#This Row],[CategorieCode]],0),0)</f>
        <v>0</v>
      </c>
      <c r="I562">
        <f>IF(report_B_CategorieBoekjaar[[#This Row],[BedrijfsCode]]="001",IF(report_B_CategorieBoekjaar[[#This Row],[Boekjaar]]=Projectbegroting!$K$1,report_B_CategorieBoekjaar[[#This Row],[CategorieCode]],0),0)</f>
        <v>0</v>
      </c>
    </row>
    <row r="563" spans="1:9" x14ac:dyDescent="0.3">
      <c r="A563" t="s">
        <v>330</v>
      </c>
      <c r="B563" s="20">
        <v>45292</v>
      </c>
      <c r="C563" t="s">
        <v>353</v>
      </c>
      <c r="D563" t="s">
        <v>354</v>
      </c>
      <c r="E563" t="s">
        <v>217</v>
      </c>
      <c r="F563">
        <v>0</v>
      </c>
      <c r="G563">
        <v>0</v>
      </c>
      <c r="H563">
        <f>IF(report_B_CategorieBoekjaar[[#This Row],[BedrijfsCode]]="002",IF(report_B_CategorieBoekjaar[[#This Row],[Boekjaar]]=Projectbegroting!$K$1,report_B_CategorieBoekjaar[[#This Row],[CategorieCode]],0),0)</f>
        <v>0</v>
      </c>
      <c r="I563">
        <f>IF(report_B_CategorieBoekjaar[[#This Row],[BedrijfsCode]]="001",IF(report_B_CategorieBoekjaar[[#This Row],[Boekjaar]]=Projectbegroting!$K$1,report_B_CategorieBoekjaar[[#This Row],[CategorieCode]],0),0)</f>
        <v>0</v>
      </c>
    </row>
    <row r="564" spans="1:9" x14ac:dyDescent="0.3">
      <c r="A564" t="s">
        <v>330</v>
      </c>
      <c r="B564" s="20">
        <v>45292</v>
      </c>
      <c r="C564" t="s">
        <v>199</v>
      </c>
      <c r="D564" t="s">
        <v>355</v>
      </c>
      <c r="E564" t="s">
        <v>217</v>
      </c>
      <c r="F564">
        <v>0</v>
      </c>
      <c r="G564">
        <v>0</v>
      </c>
      <c r="H564">
        <f>IF(report_B_CategorieBoekjaar[[#This Row],[BedrijfsCode]]="002",IF(report_B_CategorieBoekjaar[[#This Row],[Boekjaar]]=Projectbegroting!$K$1,report_B_CategorieBoekjaar[[#This Row],[CategorieCode]],0),0)</f>
        <v>0</v>
      </c>
      <c r="I564">
        <f>IF(report_B_CategorieBoekjaar[[#This Row],[BedrijfsCode]]="001",IF(report_B_CategorieBoekjaar[[#This Row],[Boekjaar]]=Projectbegroting!$K$1,report_B_CategorieBoekjaar[[#This Row],[CategorieCode]],0),0)</f>
        <v>0</v>
      </c>
    </row>
    <row r="565" spans="1:9" x14ac:dyDescent="0.3">
      <c r="A565" t="s">
        <v>330</v>
      </c>
      <c r="B565" s="20">
        <v>45292</v>
      </c>
      <c r="C565" t="s">
        <v>200</v>
      </c>
      <c r="D565" t="s">
        <v>356</v>
      </c>
      <c r="E565" t="s">
        <v>217</v>
      </c>
      <c r="F565">
        <v>0</v>
      </c>
      <c r="G565">
        <v>0</v>
      </c>
      <c r="H565">
        <f>IF(report_B_CategorieBoekjaar[[#This Row],[BedrijfsCode]]="002",IF(report_B_CategorieBoekjaar[[#This Row],[Boekjaar]]=Projectbegroting!$K$1,report_B_CategorieBoekjaar[[#This Row],[CategorieCode]],0),0)</f>
        <v>0</v>
      </c>
      <c r="I565">
        <f>IF(report_B_CategorieBoekjaar[[#This Row],[BedrijfsCode]]="001",IF(report_B_CategorieBoekjaar[[#This Row],[Boekjaar]]=Projectbegroting!$K$1,report_B_CategorieBoekjaar[[#This Row],[CategorieCode]],0),0)</f>
        <v>0</v>
      </c>
    </row>
    <row r="566" spans="1:9" x14ac:dyDescent="0.3">
      <c r="A566" t="s">
        <v>330</v>
      </c>
      <c r="B566" s="20">
        <v>45292</v>
      </c>
      <c r="C566" t="s">
        <v>201</v>
      </c>
      <c r="D566" t="s">
        <v>357</v>
      </c>
      <c r="E566" t="s">
        <v>217</v>
      </c>
      <c r="F566">
        <v>0</v>
      </c>
      <c r="G566">
        <v>0</v>
      </c>
      <c r="H566">
        <f>IF(report_B_CategorieBoekjaar[[#This Row],[BedrijfsCode]]="002",IF(report_B_CategorieBoekjaar[[#This Row],[Boekjaar]]=Projectbegroting!$K$1,report_B_CategorieBoekjaar[[#This Row],[CategorieCode]],0),0)</f>
        <v>0</v>
      </c>
      <c r="I566">
        <f>IF(report_B_CategorieBoekjaar[[#This Row],[BedrijfsCode]]="001",IF(report_B_CategorieBoekjaar[[#This Row],[Boekjaar]]=Projectbegroting!$K$1,report_B_CategorieBoekjaar[[#This Row],[CategorieCode]],0),0)</f>
        <v>0</v>
      </c>
    </row>
    <row r="567" spans="1:9" x14ac:dyDescent="0.3">
      <c r="A567" t="s">
        <v>330</v>
      </c>
      <c r="B567" s="20">
        <v>45292</v>
      </c>
      <c r="C567" t="s">
        <v>202</v>
      </c>
      <c r="D567" t="s">
        <v>358</v>
      </c>
      <c r="E567" t="s">
        <v>217</v>
      </c>
      <c r="F567">
        <v>0</v>
      </c>
      <c r="G567">
        <v>0</v>
      </c>
      <c r="H567">
        <f>IF(report_B_CategorieBoekjaar[[#This Row],[BedrijfsCode]]="002",IF(report_B_CategorieBoekjaar[[#This Row],[Boekjaar]]=Projectbegroting!$K$1,report_B_CategorieBoekjaar[[#This Row],[CategorieCode]],0),0)</f>
        <v>0</v>
      </c>
      <c r="I567">
        <f>IF(report_B_CategorieBoekjaar[[#This Row],[BedrijfsCode]]="001",IF(report_B_CategorieBoekjaar[[#This Row],[Boekjaar]]=Projectbegroting!$K$1,report_B_CategorieBoekjaar[[#This Row],[CategorieCode]],0),0)</f>
        <v>0</v>
      </c>
    </row>
    <row r="568" spans="1:9" x14ac:dyDescent="0.3">
      <c r="A568" t="s">
        <v>330</v>
      </c>
      <c r="B568" s="20">
        <v>45292</v>
      </c>
      <c r="C568" t="s">
        <v>203</v>
      </c>
      <c r="D568" t="s">
        <v>359</v>
      </c>
      <c r="E568" t="s">
        <v>217</v>
      </c>
      <c r="F568">
        <v>0</v>
      </c>
      <c r="G568">
        <v>0</v>
      </c>
      <c r="H568">
        <f>IF(report_B_CategorieBoekjaar[[#This Row],[BedrijfsCode]]="002",IF(report_B_CategorieBoekjaar[[#This Row],[Boekjaar]]=Projectbegroting!$K$1,report_B_CategorieBoekjaar[[#This Row],[CategorieCode]],0),0)</f>
        <v>0</v>
      </c>
      <c r="I568">
        <f>IF(report_B_CategorieBoekjaar[[#This Row],[BedrijfsCode]]="001",IF(report_B_CategorieBoekjaar[[#This Row],[Boekjaar]]=Projectbegroting!$K$1,report_B_CategorieBoekjaar[[#This Row],[CategorieCode]],0),0)</f>
        <v>0</v>
      </c>
    </row>
    <row r="569" spans="1:9" x14ac:dyDescent="0.3">
      <c r="A569" t="s">
        <v>330</v>
      </c>
      <c r="B569" s="20">
        <v>45292</v>
      </c>
      <c r="C569" t="s">
        <v>204</v>
      </c>
      <c r="D569" t="s">
        <v>360</v>
      </c>
      <c r="E569" t="s">
        <v>217</v>
      </c>
      <c r="F569">
        <v>0</v>
      </c>
      <c r="G569">
        <v>0</v>
      </c>
      <c r="H569">
        <f>IF(report_B_CategorieBoekjaar[[#This Row],[BedrijfsCode]]="002",IF(report_B_CategorieBoekjaar[[#This Row],[Boekjaar]]=Projectbegroting!$K$1,report_B_CategorieBoekjaar[[#This Row],[CategorieCode]],0),0)</f>
        <v>0</v>
      </c>
      <c r="I569">
        <f>IF(report_B_CategorieBoekjaar[[#This Row],[BedrijfsCode]]="001",IF(report_B_CategorieBoekjaar[[#This Row],[Boekjaar]]=Projectbegroting!$K$1,report_B_CategorieBoekjaar[[#This Row],[CategorieCode]],0),0)</f>
        <v>0</v>
      </c>
    </row>
    <row r="570" spans="1:9" x14ac:dyDescent="0.3">
      <c r="A570" t="s">
        <v>330</v>
      </c>
      <c r="B570" s="20">
        <v>45292</v>
      </c>
      <c r="C570" t="s">
        <v>205</v>
      </c>
      <c r="D570" t="s">
        <v>361</v>
      </c>
      <c r="E570" t="s">
        <v>217</v>
      </c>
      <c r="F570">
        <v>0</v>
      </c>
      <c r="G570">
        <v>0</v>
      </c>
      <c r="H570">
        <f>IF(report_B_CategorieBoekjaar[[#This Row],[BedrijfsCode]]="002",IF(report_B_CategorieBoekjaar[[#This Row],[Boekjaar]]=Projectbegroting!$K$1,report_B_CategorieBoekjaar[[#This Row],[CategorieCode]],0),0)</f>
        <v>0</v>
      </c>
      <c r="I570">
        <f>IF(report_B_CategorieBoekjaar[[#This Row],[BedrijfsCode]]="001",IF(report_B_CategorieBoekjaar[[#This Row],[Boekjaar]]=Projectbegroting!$K$1,report_B_CategorieBoekjaar[[#This Row],[CategorieCode]],0),0)</f>
        <v>0</v>
      </c>
    </row>
    <row r="571" spans="1:9" x14ac:dyDescent="0.3">
      <c r="A571" t="s">
        <v>330</v>
      </c>
      <c r="B571" s="20">
        <v>45292</v>
      </c>
      <c r="C571" t="s">
        <v>206</v>
      </c>
      <c r="D571" t="s">
        <v>362</v>
      </c>
      <c r="E571" t="s">
        <v>217</v>
      </c>
      <c r="F571">
        <v>0</v>
      </c>
      <c r="G571">
        <v>0</v>
      </c>
      <c r="H571">
        <f>IF(report_B_CategorieBoekjaar[[#This Row],[BedrijfsCode]]="002",IF(report_B_CategorieBoekjaar[[#This Row],[Boekjaar]]=Projectbegroting!$K$1,report_B_CategorieBoekjaar[[#This Row],[CategorieCode]],0),0)</f>
        <v>0</v>
      </c>
      <c r="I571">
        <f>IF(report_B_CategorieBoekjaar[[#This Row],[BedrijfsCode]]="001",IF(report_B_CategorieBoekjaar[[#This Row],[Boekjaar]]=Projectbegroting!$K$1,report_B_CategorieBoekjaar[[#This Row],[CategorieCode]],0),0)</f>
        <v>0</v>
      </c>
    </row>
    <row r="572" spans="1:9" x14ac:dyDescent="0.3">
      <c r="A572" t="s">
        <v>330</v>
      </c>
      <c r="B572" s="20">
        <v>45292</v>
      </c>
      <c r="C572" t="s">
        <v>363</v>
      </c>
      <c r="D572" t="s">
        <v>364</v>
      </c>
      <c r="E572" t="s">
        <v>217</v>
      </c>
      <c r="F572">
        <v>0</v>
      </c>
      <c r="G572">
        <v>0</v>
      </c>
      <c r="H572">
        <f>IF(report_B_CategorieBoekjaar[[#This Row],[BedrijfsCode]]="002",IF(report_B_CategorieBoekjaar[[#This Row],[Boekjaar]]=Projectbegroting!$K$1,report_B_CategorieBoekjaar[[#This Row],[CategorieCode]],0),0)</f>
        <v>0</v>
      </c>
      <c r="I572">
        <f>IF(report_B_CategorieBoekjaar[[#This Row],[BedrijfsCode]]="001",IF(report_B_CategorieBoekjaar[[#This Row],[Boekjaar]]=Projectbegroting!$K$1,report_B_CategorieBoekjaar[[#This Row],[CategorieCode]],0),0)</f>
        <v>0</v>
      </c>
    </row>
    <row r="573" spans="1:9" x14ac:dyDescent="0.3">
      <c r="A573" t="s">
        <v>330</v>
      </c>
      <c r="B573" s="20">
        <v>45292</v>
      </c>
      <c r="C573" t="s">
        <v>207</v>
      </c>
      <c r="D573" t="s">
        <v>365</v>
      </c>
      <c r="E573" t="s">
        <v>217</v>
      </c>
      <c r="F573">
        <v>0</v>
      </c>
      <c r="G573">
        <v>0</v>
      </c>
      <c r="H573">
        <f>IF(report_B_CategorieBoekjaar[[#This Row],[BedrijfsCode]]="002",IF(report_B_CategorieBoekjaar[[#This Row],[Boekjaar]]=Projectbegroting!$K$1,report_B_CategorieBoekjaar[[#This Row],[CategorieCode]],0),0)</f>
        <v>0</v>
      </c>
      <c r="I573">
        <f>IF(report_B_CategorieBoekjaar[[#This Row],[BedrijfsCode]]="001",IF(report_B_CategorieBoekjaar[[#This Row],[Boekjaar]]=Projectbegroting!$K$1,report_B_CategorieBoekjaar[[#This Row],[CategorieCode]],0),0)</f>
        <v>0</v>
      </c>
    </row>
    <row r="574" spans="1:9" x14ac:dyDescent="0.3">
      <c r="A574" t="s">
        <v>330</v>
      </c>
      <c r="B574" s="20">
        <v>45292</v>
      </c>
      <c r="C574" t="s">
        <v>208</v>
      </c>
      <c r="D574" t="s">
        <v>366</v>
      </c>
      <c r="E574" t="s">
        <v>217</v>
      </c>
      <c r="F574">
        <v>0</v>
      </c>
      <c r="G574">
        <v>0</v>
      </c>
      <c r="H574">
        <f>IF(report_B_CategorieBoekjaar[[#This Row],[BedrijfsCode]]="002",IF(report_B_CategorieBoekjaar[[#This Row],[Boekjaar]]=Projectbegroting!$K$1,report_B_CategorieBoekjaar[[#This Row],[CategorieCode]],0),0)</f>
        <v>0</v>
      </c>
      <c r="I574">
        <f>IF(report_B_CategorieBoekjaar[[#This Row],[BedrijfsCode]]="001",IF(report_B_CategorieBoekjaar[[#This Row],[Boekjaar]]=Projectbegroting!$K$1,report_B_CategorieBoekjaar[[#This Row],[CategorieCode]],0),0)</f>
        <v>0</v>
      </c>
    </row>
    <row r="575" spans="1:9" x14ac:dyDescent="0.3">
      <c r="A575" t="s">
        <v>330</v>
      </c>
      <c r="B575" s="20">
        <v>45292</v>
      </c>
      <c r="C575" t="s">
        <v>209</v>
      </c>
      <c r="D575" t="s">
        <v>367</v>
      </c>
      <c r="E575" t="s">
        <v>217</v>
      </c>
      <c r="F575">
        <v>0</v>
      </c>
      <c r="G575">
        <v>0</v>
      </c>
      <c r="H575">
        <f>IF(report_B_CategorieBoekjaar[[#This Row],[BedrijfsCode]]="002",IF(report_B_CategorieBoekjaar[[#This Row],[Boekjaar]]=Projectbegroting!$K$1,report_B_CategorieBoekjaar[[#This Row],[CategorieCode]],0),0)</f>
        <v>0</v>
      </c>
      <c r="I575">
        <f>IF(report_B_CategorieBoekjaar[[#This Row],[BedrijfsCode]]="001",IF(report_B_CategorieBoekjaar[[#This Row],[Boekjaar]]=Projectbegroting!$K$1,report_B_CategorieBoekjaar[[#This Row],[CategorieCode]],0),0)</f>
        <v>0</v>
      </c>
    </row>
    <row r="576" spans="1:9" x14ac:dyDescent="0.3">
      <c r="A576" t="s">
        <v>330</v>
      </c>
      <c r="B576" s="20">
        <v>45292</v>
      </c>
      <c r="C576" t="s">
        <v>210</v>
      </c>
      <c r="D576" t="s">
        <v>368</v>
      </c>
      <c r="E576" t="s">
        <v>217</v>
      </c>
      <c r="F576">
        <v>0</v>
      </c>
      <c r="G576">
        <v>0</v>
      </c>
      <c r="H576">
        <f>IF(report_B_CategorieBoekjaar[[#This Row],[BedrijfsCode]]="002",IF(report_B_CategorieBoekjaar[[#This Row],[Boekjaar]]=Projectbegroting!$K$1,report_B_CategorieBoekjaar[[#This Row],[CategorieCode]],0),0)</f>
        <v>0</v>
      </c>
      <c r="I576">
        <f>IF(report_B_CategorieBoekjaar[[#This Row],[BedrijfsCode]]="001",IF(report_B_CategorieBoekjaar[[#This Row],[Boekjaar]]=Projectbegroting!$K$1,report_B_CategorieBoekjaar[[#This Row],[CategorieCode]],0),0)</f>
        <v>0</v>
      </c>
    </row>
    <row r="577" spans="1:9" x14ac:dyDescent="0.3">
      <c r="A577" t="s">
        <v>330</v>
      </c>
      <c r="B577" s="20">
        <v>45292</v>
      </c>
      <c r="C577" t="s">
        <v>369</v>
      </c>
      <c r="D577" t="s">
        <v>370</v>
      </c>
      <c r="E577" t="s">
        <v>217</v>
      </c>
      <c r="F577">
        <v>0</v>
      </c>
      <c r="G577">
        <v>0</v>
      </c>
      <c r="H577">
        <f>IF(report_B_CategorieBoekjaar[[#This Row],[BedrijfsCode]]="002",IF(report_B_CategorieBoekjaar[[#This Row],[Boekjaar]]=Projectbegroting!$K$1,report_B_CategorieBoekjaar[[#This Row],[CategorieCode]],0),0)</f>
        <v>0</v>
      </c>
      <c r="I577">
        <f>IF(report_B_CategorieBoekjaar[[#This Row],[BedrijfsCode]]="001",IF(report_B_CategorieBoekjaar[[#This Row],[Boekjaar]]=Projectbegroting!$K$1,report_B_CategorieBoekjaar[[#This Row],[CategorieCode]],0),0)</f>
        <v>0</v>
      </c>
    </row>
    <row r="578" spans="1:9" x14ac:dyDescent="0.3">
      <c r="A578" t="s">
        <v>330</v>
      </c>
      <c r="B578" s="20">
        <v>45292</v>
      </c>
      <c r="C578" t="s">
        <v>371</v>
      </c>
      <c r="D578" t="s">
        <v>372</v>
      </c>
      <c r="E578" t="s">
        <v>217</v>
      </c>
      <c r="F578">
        <v>0</v>
      </c>
      <c r="G578">
        <v>0</v>
      </c>
      <c r="H578">
        <f>IF(report_B_CategorieBoekjaar[[#This Row],[BedrijfsCode]]="002",IF(report_B_CategorieBoekjaar[[#This Row],[Boekjaar]]=Projectbegroting!$K$1,report_B_CategorieBoekjaar[[#This Row],[CategorieCode]],0),0)</f>
        <v>0</v>
      </c>
      <c r="I578">
        <f>IF(report_B_CategorieBoekjaar[[#This Row],[BedrijfsCode]]="001",IF(report_B_CategorieBoekjaar[[#This Row],[Boekjaar]]=Projectbegroting!$K$1,report_B_CategorieBoekjaar[[#This Row],[CategorieCode]],0),0)</f>
        <v>0</v>
      </c>
    </row>
    <row r="579" spans="1:9" x14ac:dyDescent="0.3">
      <c r="A579" t="s">
        <v>330</v>
      </c>
      <c r="B579" s="20">
        <v>45292</v>
      </c>
      <c r="C579" t="s">
        <v>373</v>
      </c>
      <c r="D579" t="s">
        <v>374</v>
      </c>
      <c r="E579" t="s">
        <v>217</v>
      </c>
      <c r="F579">
        <v>0</v>
      </c>
      <c r="G579">
        <v>0</v>
      </c>
      <c r="H579">
        <f>IF(report_B_CategorieBoekjaar[[#This Row],[BedrijfsCode]]="002",IF(report_B_CategorieBoekjaar[[#This Row],[Boekjaar]]=Projectbegroting!$K$1,report_B_CategorieBoekjaar[[#This Row],[CategorieCode]],0),0)</f>
        <v>0</v>
      </c>
      <c r="I579">
        <f>IF(report_B_CategorieBoekjaar[[#This Row],[BedrijfsCode]]="001",IF(report_B_CategorieBoekjaar[[#This Row],[Boekjaar]]=Projectbegroting!$K$1,report_B_CategorieBoekjaar[[#This Row],[CategorieCode]],0),0)</f>
        <v>0</v>
      </c>
    </row>
    <row r="580" spans="1:9" x14ac:dyDescent="0.3">
      <c r="A580" t="s">
        <v>330</v>
      </c>
      <c r="B580" s="20">
        <v>45292</v>
      </c>
      <c r="C580" t="s">
        <v>375</v>
      </c>
      <c r="D580" t="s">
        <v>376</v>
      </c>
      <c r="E580" t="s">
        <v>217</v>
      </c>
      <c r="F580">
        <v>0</v>
      </c>
      <c r="G580">
        <v>0</v>
      </c>
      <c r="H580">
        <f>IF(report_B_CategorieBoekjaar[[#This Row],[BedrijfsCode]]="002",IF(report_B_CategorieBoekjaar[[#This Row],[Boekjaar]]=Projectbegroting!$K$1,report_B_CategorieBoekjaar[[#This Row],[CategorieCode]],0),0)</f>
        <v>0</v>
      </c>
      <c r="I580">
        <f>IF(report_B_CategorieBoekjaar[[#This Row],[BedrijfsCode]]="001",IF(report_B_CategorieBoekjaar[[#This Row],[Boekjaar]]=Projectbegroting!$K$1,report_B_CategorieBoekjaar[[#This Row],[CategorieCode]],0),0)</f>
        <v>0</v>
      </c>
    </row>
    <row r="581" spans="1:9" x14ac:dyDescent="0.3">
      <c r="A581" t="s">
        <v>330</v>
      </c>
      <c r="B581" s="20">
        <v>45292</v>
      </c>
      <c r="C581" t="s">
        <v>377</v>
      </c>
      <c r="D581" t="s">
        <v>378</v>
      </c>
      <c r="E581" t="s">
        <v>217</v>
      </c>
      <c r="F581">
        <v>0</v>
      </c>
      <c r="G581">
        <v>0</v>
      </c>
      <c r="H581">
        <f>IF(report_B_CategorieBoekjaar[[#This Row],[BedrijfsCode]]="002",IF(report_B_CategorieBoekjaar[[#This Row],[Boekjaar]]=Projectbegroting!$K$1,report_B_CategorieBoekjaar[[#This Row],[CategorieCode]],0),0)</f>
        <v>0</v>
      </c>
      <c r="I581">
        <f>IF(report_B_CategorieBoekjaar[[#This Row],[BedrijfsCode]]="001",IF(report_B_CategorieBoekjaar[[#This Row],[Boekjaar]]=Projectbegroting!$K$1,report_B_CategorieBoekjaar[[#This Row],[CategorieCode]],0),0)</f>
        <v>0</v>
      </c>
    </row>
    <row r="582" spans="1:9" x14ac:dyDescent="0.3">
      <c r="A582" t="s">
        <v>330</v>
      </c>
      <c r="B582" s="20">
        <v>45292</v>
      </c>
      <c r="C582" t="s">
        <v>379</v>
      </c>
      <c r="D582" t="s">
        <v>380</v>
      </c>
      <c r="E582" t="s">
        <v>381</v>
      </c>
      <c r="F582">
        <v>49</v>
      </c>
      <c r="G582">
        <v>70</v>
      </c>
      <c r="H582">
        <f>IF(report_B_CategorieBoekjaar[[#This Row],[BedrijfsCode]]="002",IF(report_B_CategorieBoekjaar[[#This Row],[Boekjaar]]=Projectbegroting!$K$1,report_B_CategorieBoekjaar[[#This Row],[CategorieCode]],0),0)</f>
        <v>0</v>
      </c>
      <c r="I582">
        <f>IF(report_B_CategorieBoekjaar[[#This Row],[BedrijfsCode]]="001",IF(report_B_CategorieBoekjaar[[#This Row],[Boekjaar]]=Projectbegroting!$K$1,report_B_CategorieBoekjaar[[#This Row],[CategorieCode]],0),0)</f>
        <v>0</v>
      </c>
    </row>
    <row r="583" spans="1:9" x14ac:dyDescent="0.3">
      <c r="A583" t="s">
        <v>330</v>
      </c>
      <c r="B583" s="20">
        <v>45292</v>
      </c>
      <c r="C583" t="s">
        <v>382</v>
      </c>
      <c r="D583" t="s">
        <v>383</v>
      </c>
      <c r="E583" t="s">
        <v>384</v>
      </c>
      <c r="F583">
        <v>0</v>
      </c>
      <c r="G583">
        <v>0</v>
      </c>
      <c r="H583">
        <f>IF(report_B_CategorieBoekjaar[[#This Row],[BedrijfsCode]]="002",IF(report_B_CategorieBoekjaar[[#This Row],[Boekjaar]]=Projectbegroting!$K$1,report_B_CategorieBoekjaar[[#This Row],[CategorieCode]],0),0)</f>
        <v>0</v>
      </c>
      <c r="I583">
        <f>IF(report_B_CategorieBoekjaar[[#This Row],[BedrijfsCode]]="001",IF(report_B_CategorieBoekjaar[[#This Row],[Boekjaar]]=Projectbegroting!$K$1,report_B_CategorieBoekjaar[[#This Row],[CategorieCode]],0),0)</f>
        <v>0</v>
      </c>
    </row>
    <row r="584" spans="1:9" x14ac:dyDescent="0.3">
      <c r="A584" t="s">
        <v>330</v>
      </c>
      <c r="B584" s="20">
        <v>45292</v>
      </c>
      <c r="C584" t="s">
        <v>385</v>
      </c>
      <c r="D584" t="s">
        <v>386</v>
      </c>
      <c r="E584" t="s">
        <v>381</v>
      </c>
      <c r="F584">
        <v>73</v>
      </c>
      <c r="G584">
        <v>104</v>
      </c>
      <c r="H584">
        <f>IF(report_B_CategorieBoekjaar[[#This Row],[BedrijfsCode]]="002",IF(report_B_CategorieBoekjaar[[#This Row],[Boekjaar]]=Projectbegroting!$K$1,report_B_CategorieBoekjaar[[#This Row],[CategorieCode]],0),0)</f>
        <v>0</v>
      </c>
      <c r="I584">
        <f>IF(report_B_CategorieBoekjaar[[#This Row],[BedrijfsCode]]="001",IF(report_B_CategorieBoekjaar[[#This Row],[Boekjaar]]=Projectbegroting!$K$1,report_B_CategorieBoekjaar[[#This Row],[CategorieCode]],0),0)</f>
        <v>0</v>
      </c>
    </row>
    <row r="585" spans="1:9" x14ac:dyDescent="0.3">
      <c r="A585" t="s">
        <v>330</v>
      </c>
      <c r="B585" s="20">
        <v>45292</v>
      </c>
      <c r="C585" t="s">
        <v>387</v>
      </c>
      <c r="D585" t="s">
        <v>388</v>
      </c>
      <c r="E585" t="s">
        <v>384</v>
      </c>
      <c r="F585">
        <v>0</v>
      </c>
      <c r="G585">
        <v>0</v>
      </c>
      <c r="H585">
        <f>IF(report_B_CategorieBoekjaar[[#This Row],[BedrijfsCode]]="002",IF(report_B_CategorieBoekjaar[[#This Row],[Boekjaar]]=Projectbegroting!$K$1,report_B_CategorieBoekjaar[[#This Row],[CategorieCode]],0),0)</f>
        <v>0</v>
      </c>
      <c r="I585">
        <f>IF(report_B_CategorieBoekjaar[[#This Row],[BedrijfsCode]]="001",IF(report_B_CategorieBoekjaar[[#This Row],[Boekjaar]]=Projectbegroting!$K$1,report_B_CategorieBoekjaar[[#This Row],[CategorieCode]],0),0)</f>
        <v>0</v>
      </c>
    </row>
    <row r="586" spans="1:9" x14ac:dyDescent="0.3">
      <c r="A586" t="s">
        <v>330</v>
      </c>
      <c r="B586" s="20">
        <v>45292</v>
      </c>
      <c r="C586" t="s">
        <v>52</v>
      </c>
      <c r="D586" t="s">
        <v>53</v>
      </c>
      <c r="E586" t="s">
        <v>381</v>
      </c>
      <c r="F586">
        <v>73</v>
      </c>
      <c r="G586">
        <v>0</v>
      </c>
      <c r="H586">
        <f>IF(report_B_CategorieBoekjaar[[#This Row],[BedrijfsCode]]="002",IF(report_B_CategorieBoekjaar[[#This Row],[Boekjaar]]=Projectbegroting!$K$1,report_B_CategorieBoekjaar[[#This Row],[CategorieCode]],0),0)</f>
        <v>0</v>
      </c>
      <c r="I586">
        <f>IF(report_B_CategorieBoekjaar[[#This Row],[BedrijfsCode]]="001",IF(report_B_CategorieBoekjaar[[#This Row],[Boekjaar]]=Projectbegroting!$K$1,report_B_CategorieBoekjaar[[#This Row],[CategorieCode]],0),0)</f>
        <v>0</v>
      </c>
    </row>
    <row r="587" spans="1:9" x14ac:dyDescent="0.3">
      <c r="A587" t="s">
        <v>330</v>
      </c>
      <c r="B587" s="20">
        <v>45292</v>
      </c>
      <c r="C587" t="s">
        <v>389</v>
      </c>
      <c r="D587" t="s">
        <v>390</v>
      </c>
      <c r="E587" t="s">
        <v>384</v>
      </c>
      <c r="F587">
        <v>0</v>
      </c>
      <c r="G587">
        <v>0</v>
      </c>
      <c r="H587">
        <f>IF(report_B_CategorieBoekjaar[[#This Row],[BedrijfsCode]]="002",IF(report_B_CategorieBoekjaar[[#This Row],[Boekjaar]]=Projectbegroting!$K$1,report_B_CategorieBoekjaar[[#This Row],[CategorieCode]],0),0)</f>
        <v>0</v>
      </c>
      <c r="I587">
        <f>IF(report_B_CategorieBoekjaar[[#This Row],[BedrijfsCode]]="001",IF(report_B_CategorieBoekjaar[[#This Row],[Boekjaar]]=Projectbegroting!$K$1,report_B_CategorieBoekjaar[[#This Row],[CategorieCode]],0),0)</f>
        <v>0</v>
      </c>
    </row>
    <row r="588" spans="1:9" x14ac:dyDescent="0.3">
      <c r="A588" t="s">
        <v>330</v>
      </c>
      <c r="B588" s="20">
        <v>45292</v>
      </c>
      <c r="C588" t="s">
        <v>391</v>
      </c>
      <c r="D588" t="s">
        <v>392</v>
      </c>
      <c r="E588" t="s">
        <v>381</v>
      </c>
      <c r="F588">
        <v>57</v>
      </c>
      <c r="G588">
        <v>0</v>
      </c>
      <c r="H588">
        <f>IF(report_B_CategorieBoekjaar[[#This Row],[BedrijfsCode]]="002",IF(report_B_CategorieBoekjaar[[#This Row],[Boekjaar]]=Projectbegroting!$K$1,report_B_CategorieBoekjaar[[#This Row],[CategorieCode]],0),0)</f>
        <v>0</v>
      </c>
      <c r="I588">
        <f>IF(report_B_CategorieBoekjaar[[#This Row],[BedrijfsCode]]="001",IF(report_B_CategorieBoekjaar[[#This Row],[Boekjaar]]=Projectbegroting!$K$1,report_B_CategorieBoekjaar[[#This Row],[CategorieCode]],0),0)</f>
        <v>0</v>
      </c>
    </row>
    <row r="589" spans="1:9" x14ac:dyDescent="0.3">
      <c r="A589" t="s">
        <v>330</v>
      </c>
      <c r="B589" s="20">
        <v>45292</v>
      </c>
      <c r="C589" t="s">
        <v>393</v>
      </c>
      <c r="D589" t="s">
        <v>394</v>
      </c>
      <c r="E589" t="s">
        <v>384</v>
      </c>
      <c r="F589">
        <v>0</v>
      </c>
      <c r="G589">
        <v>0</v>
      </c>
      <c r="H589">
        <f>IF(report_B_CategorieBoekjaar[[#This Row],[BedrijfsCode]]="002",IF(report_B_CategorieBoekjaar[[#This Row],[Boekjaar]]=Projectbegroting!$K$1,report_B_CategorieBoekjaar[[#This Row],[CategorieCode]],0),0)</f>
        <v>0</v>
      </c>
      <c r="I589">
        <f>IF(report_B_CategorieBoekjaar[[#This Row],[BedrijfsCode]]="001",IF(report_B_CategorieBoekjaar[[#This Row],[Boekjaar]]=Projectbegroting!$K$1,report_B_CategorieBoekjaar[[#This Row],[CategorieCode]],0),0)</f>
        <v>0</v>
      </c>
    </row>
    <row r="590" spans="1:9" x14ac:dyDescent="0.3">
      <c r="A590" t="s">
        <v>330</v>
      </c>
      <c r="B590" s="20">
        <v>45292</v>
      </c>
      <c r="C590" t="s">
        <v>395</v>
      </c>
      <c r="D590" t="s">
        <v>396</v>
      </c>
      <c r="E590" t="s">
        <v>381</v>
      </c>
      <c r="F590">
        <v>54</v>
      </c>
      <c r="G590">
        <v>0</v>
      </c>
      <c r="H590">
        <f>IF(report_B_CategorieBoekjaar[[#This Row],[BedrijfsCode]]="002",IF(report_B_CategorieBoekjaar[[#This Row],[Boekjaar]]=Projectbegroting!$K$1,report_B_CategorieBoekjaar[[#This Row],[CategorieCode]],0),0)</f>
        <v>0</v>
      </c>
      <c r="I590">
        <f>IF(report_B_CategorieBoekjaar[[#This Row],[BedrijfsCode]]="001",IF(report_B_CategorieBoekjaar[[#This Row],[Boekjaar]]=Projectbegroting!$K$1,report_B_CategorieBoekjaar[[#This Row],[CategorieCode]],0),0)</f>
        <v>0</v>
      </c>
    </row>
    <row r="591" spans="1:9" x14ac:dyDescent="0.3">
      <c r="A591" t="s">
        <v>330</v>
      </c>
      <c r="B591" s="20">
        <v>45292</v>
      </c>
      <c r="C591" t="s">
        <v>397</v>
      </c>
      <c r="D591" t="s">
        <v>398</v>
      </c>
      <c r="E591" t="s">
        <v>384</v>
      </c>
      <c r="F591">
        <v>0</v>
      </c>
      <c r="G591">
        <v>0</v>
      </c>
      <c r="H591">
        <f>IF(report_B_CategorieBoekjaar[[#This Row],[BedrijfsCode]]="002",IF(report_B_CategorieBoekjaar[[#This Row],[Boekjaar]]=Projectbegroting!$K$1,report_B_CategorieBoekjaar[[#This Row],[CategorieCode]],0),0)</f>
        <v>0</v>
      </c>
      <c r="I591">
        <f>IF(report_B_CategorieBoekjaar[[#This Row],[BedrijfsCode]]="001",IF(report_B_CategorieBoekjaar[[#This Row],[Boekjaar]]=Projectbegroting!$K$1,report_B_CategorieBoekjaar[[#This Row],[CategorieCode]],0),0)</f>
        <v>0</v>
      </c>
    </row>
    <row r="592" spans="1:9" x14ac:dyDescent="0.3">
      <c r="A592" t="s">
        <v>330</v>
      </c>
      <c r="B592" s="20">
        <v>45292</v>
      </c>
      <c r="C592" t="s">
        <v>54</v>
      </c>
      <c r="D592" t="s">
        <v>399</v>
      </c>
      <c r="E592" t="s">
        <v>381</v>
      </c>
      <c r="F592">
        <v>57</v>
      </c>
      <c r="G592">
        <v>79</v>
      </c>
      <c r="H592">
        <f>IF(report_B_CategorieBoekjaar[[#This Row],[BedrijfsCode]]="002",IF(report_B_CategorieBoekjaar[[#This Row],[Boekjaar]]=Projectbegroting!$K$1,report_B_CategorieBoekjaar[[#This Row],[CategorieCode]],0),0)</f>
        <v>0</v>
      </c>
      <c r="I592">
        <f>IF(report_B_CategorieBoekjaar[[#This Row],[BedrijfsCode]]="001",IF(report_B_CategorieBoekjaar[[#This Row],[Boekjaar]]=Projectbegroting!$K$1,report_B_CategorieBoekjaar[[#This Row],[CategorieCode]],0),0)</f>
        <v>0</v>
      </c>
    </row>
    <row r="593" spans="1:9" x14ac:dyDescent="0.3">
      <c r="A593" t="s">
        <v>330</v>
      </c>
      <c r="B593" s="20">
        <v>45292</v>
      </c>
      <c r="C593" t="s">
        <v>400</v>
      </c>
      <c r="D593" t="s">
        <v>401</v>
      </c>
      <c r="E593" t="s">
        <v>384</v>
      </c>
      <c r="F593">
        <v>0</v>
      </c>
      <c r="G593">
        <v>0</v>
      </c>
      <c r="H593">
        <f>IF(report_B_CategorieBoekjaar[[#This Row],[BedrijfsCode]]="002",IF(report_B_CategorieBoekjaar[[#This Row],[Boekjaar]]=Projectbegroting!$K$1,report_B_CategorieBoekjaar[[#This Row],[CategorieCode]],0),0)</f>
        <v>0</v>
      </c>
      <c r="I593">
        <f>IF(report_B_CategorieBoekjaar[[#This Row],[BedrijfsCode]]="001",IF(report_B_CategorieBoekjaar[[#This Row],[Boekjaar]]=Projectbegroting!$K$1,report_B_CategorieBoekjaar[[#This Row],[CategorieCode]],0),0)</f>
        <v>0</v>
      </c>
    </row>
    <row r="594" spans="1:9" x14ac:dyDescent="0.3">
      <c r="A594" t="s">
        <v>330</v>
      </c>
      <c r="B594" s="20">
        <v>45292</v>
      </c>
      <c r="C594" t="s">
        <v>56</v>
      </c>
      <c r="D594" t="s">
        <v>402</v>
      </c>
      <c r="E594" t="s">
        <v>381</v>
      </c>
      <c r="F594">
        <v>65</v>
      </c>
      <c r="G594">
        <v>0</v>
      </c>
      <c r="H594">
        <f>IF(report_B_CategorieBoekjaar[[#This Row],[BedrijfsCode]]="002",IF(report_B_CategorieBoekjaar[[#This Row],[Boekjaar]]=Projectbegroting!$K$1,report_B_CategorieBoekjaar[[#This Row],[CategorieCode]],0),0)</f>
        <v>0</v>
      </c>
      <c r="I594">
        <f>IF(report_B_CategorieBoekjaar[[#This Row],[BedrijfsCode]]="001",IF(report_B_CategorieBoekjaar[[#This Row],[Boekjaar]]=Projectbegroting!$K$1,report_B_CategorieBoekjaar[[#This Row],[CategorieCode]],0),0)</f>
        <v>0</v>
      </c>
    </row>
    <row r="595" spans="1:9" x14ac:dyDescent="0.3">
      <c r="A595" t="s">
        <v>330</v>
      </c>
      <c r="B595" s="20">
        <v>45292</v>
      </c>
      <c r="C595" t="s">
        <v>403</v>
      </c>
      <c r="D595" t="s">
        <v>404</v>
      </c>
      <c r="E595" t="s">
        <v>384</v>
      </c>
      <c r="F595">
        <v>0</v>
      </c>
      <c r="G595">
        <v>0</v>
      </c>
      <c r="H595">
        <f>IF(report_B_CategorieBoekjaar[[#This Row],[BedrijfsCode]]="002",IF(report_B_CategorieBoekjaar[[#This Row],[Boekjaar]]=Projectbegroting!$K$1,report_B_CategorieBoekjaar[[#This Row],[CategorieCode]],0),0)</f>
        <v>0</v>
      </c>
      <c r="I595">
        <f>IF(report_B_CategorieBoekjaar[[#This Row],[BedrijfsCode]]="001",IF(report_B_CategorieBoekjaar[[#This Row],[Boekjaar]]=Projectbegroting!$K$1,report_B_CategorieBoekjaar[[#This Row],[CategorieCode]],0),0)</f>
        <v>0</v>
      </c>
    </row>
    <row r="596" spans="1:9" x14ac:dyDescent="0.3">
      <c r="A596" t="s">
        <v>330</v>
      </c>
      <c r="B596" s="20">
        <v>45292</v>
      </c>
      <c r="C596" t="s">
        <v>405</v>
      </c>
      <c r="D596" t="s">
        <v>16</v>
      </c>
      <c r="E596" t="s">
        <v>381</v>
      </c>
      <c r="F596">
        <v>52</v>
      </c>
      <c r="G596">
        <v>0</v>
      </c>
      <c r="H596">
        <f>IF(report_B_CategorieBoekjaar[[#This Row],[BedrijfsCode]]="002",IF(report_B_CategorieBoekjaar[[#This Row],[Boekjaar]]=Projectbegroting!$K$1,report_B_CategorieBoekjaar[[#This Row],[CategorieCode]],0),0)</f>
        <v>0</v>
      </c>
      <c r="I596">
        <f>IF(report_B_CategorieBoekjaar[[#This Row],[BedrijfsCode]]="001",IF(report_B_CategorieBoekjaar[[#This Row],[Boekjaar]]=Projectbegroting!$K$1,report_B_CategorieBoekjaar[[#This Row],[CategorieCode]],0),0)</f>
        <v>0</v>
      </c>
    </row>
    <row r="597" spans="1:9" x14ac:dyDescent="0.3">
      <c r="A597" t="s">
        <v>330</v>
      </c>
      <c r="B597" s="20">
        <v>45292</v>
      </c>
      <c r="C597" t="s">
        <v>58</v>
      </c>
      <c r="D597" t="s">
        <v>406</v>
      </c>
      <c r="E597" t="s">
        <v>381</v>
      </c>
      <c r="F597">
        <v>58</v>
      </c>
      <c r="G597">
        <v>0</v>
      </c>
      <c r="H597">
        <f>IF(report_B_CategorieBoekjaar[[#This Row],[BedrijfsCode]]="002",IF(report_B_CategorieBoekjaar[[#This Row],[Boekjaar]]=Projectbegroting!$K$1,report_B_CategorieBoekjaar[[#This Row],[CategorieCode]],0),0)</f>
        <v>0</v>
      </c>
      <c r="I597">
        <f>IF(report_B_CategorieBoekjaar[[#This Row],[BedrijfsCode]]="001",IF(report_B_CategorieBoekjaar[[#This Row],[Boekjaar]]=Projectbegroting!$K$1,report_B_CategorieBoekjaar[[#This Row],[CategorieCode]],0),0)</f>
        <v>0</v>
      </c>
    </row>
    <row r="598" spans="1:9" x14ac:dyDescent="0.3">
      <c r="A598" t="s">
        <v>330</v>
      </c>
      <c r="B598" s="20">
        <v>45292</v>
      </c>
      <c r="C598" t="s">
        <v>407</v>
      </c>
      <c r="D598" t="s">
        <v>408</v>
      </c>
      <c r="E598" t="s">
        <v>384</v>
      </c>
      <c r="F598">
        <v>0</v>
      </c>
      <c r="G598">
        <v>0</v>
      </c>
      <c r="H598">
        <f>IF(report_B_CategorieBoekjaar[[#This Row],[BedrijfsCode]]="002",IF(report_B_CategorieBoekjaar[[#This Row],[Boekjaar]]=Projectbegroting!$K$1,report_B_CategorieBoekjaar[[#This Row],[CategorieCode]],0),0)</f>
        <v>0</v>
      </c>
      <c r="I598">
        <f>IF(report_B_CategorieBoekjaar[[#This Row],[BedrijfsCode]]="001",IF(report_B_CategorieBoekjaar[[#This Row],[Boekjaar]]=Projectbegroting!$K$1,report_B_CategorieBoekjaar[[#This Row],[CategorieCode]],0),0)</f>
        <v>0</v>
      </c>
    </row>
    <row r="599" spans="1:9" x14ac:dyDescent="0.3">
      <c r="A599" t="s">
        <v>330</v>
      </c>
      <c r="B599" s="20">
        <v>45292</v>
      </c>
      <c r="C599" t="s">
        <v>60</v>
      </c>
      <c r="D599" t="s">
        <v>61</v>
      </c>
      <c r="E599" t="s">
        <v>381</v>
      </c>
      <c r="F599">
        <v>70</v>
      </c>
      <c r="G599">
        <v>101</v>
      </c>
      <c r="H599">
        <f>IF(report_B_CategorieBoekjaar[[#This Row],[BedrijfsCode]]="002",IF(report_B_CategorieBoekjaar[[#This Row],[Boekjaar]]=Projectbegroting!$K$1,report_B_CategorieBoekjaar[[#This Row],[CategorieCode]],0),0)</f>
        <v>0</v>
      </c>
      <c r="I599">
        <f>IF(report_B_CategorieBoekjaar[[#This Row],[BedrijfsCode]]="001",IF(report_B_CategorieBoekjaar[[#This Row],[Boekjaar]]=Projectbegroting!$K$1,report_B_CategorieBoekjaar[[#This Row],[CategorieCode]],0),0)</f>
        <v>0</v>
      </c>
    </row>
    <row r="600" spans="1:9" x14ac:dyDescent="0.3">
      <c r="A600" t="s">
        <v>330</v>
      </c>
      <c r="B600" s="20">
        <v>45292</v>
      </c>
      <c r="C600" t="s">
        <v>168</v>
      </c>
      <c r="D600" t="s">
        <v>409</v>
      </c>
      <c r="E600" t="s">
        <v>384</v>
      </c>
      <c r="F600">
        <v>0</v>
      </c>
      <c r="G600">
        <v>0</v>
      </c>
      <c r="H600">
        <f>IF(report_B_CategorieBoekjaar[[#This Row],[BedrijfsCode]]="002",IF(report_B_CategorieBoekjaar[[#This Row],[Boekjaar]]=Projectbegroting!$K$1,report_B_CategorieBoekjaar[[#This Row],[CategorieCode]],0),0)</f>
        <v>0</v>
      </c>
      <c r="I600">
        <f>IF(report_B_CategorieBoekjaar[[#This Row],[BedrijfsCode]]="001",IF(report_B_CategorieBoekjaar[[#This Row],[Boekjaar]]=Projectbegroting!$K$1,report_B_CategorieBoekjaar[[#This Row],[CategorieCode]],0),0)</f>
        <v>0</v>
      </c>
    </row>
    <row r="601" spans="1:9" x14ac:dyDescent="0.3">
      <c r="A601" t="s">
        <v>330</v>
      </c>
      <c r="B601" s="20">
        <v>45292</v>
      </c>
      <c r="C601" t="s">
        <v>410</v>
      </c>
      <c r="D601" t="s">
        <v>411</v>
      </c>
      <c r="E601" t="s">
        <v>381</v>
      </c>
      <c r="F601">
        <v>34</v>
      </c>
      <c r="G601">
        <v>0</v>
      </c>
      <c r="H601">
        <f>IF(report_B_CategorieBoekjaar[[#This Row],[BedrijfsCode]]="002",IF(report_B_CategorieBoekjaar[[#This Row],[Boekjaar]]=Projectbegroting!$K$1,report_B_CategorieBoekjaar[[#This Row],[CategorieCode]],0),0)</f>
        <v>0</v>
      </c>
      <c r="I601">
        <f>IF(report_B_CategorieBoekjaar[[#This Row],[BedrijfsCode]]="001",IF(report_B_CategorieBoekjaar[[#This Row],[Boekjaar]]=Projectbegroting!$K$1,report_B_CategorieBoekjaar[[#This Row],[CategorieCode]],0),0)</f>
        <v>0</v>
      </c>
    </row>
    <row r="602" spans="1:9" x14ac:dyDescent="0.3">
      <c r="A602" t="s">
        <v>330</v>
      </c>
      <c r="B602" s="20">
        <v>45292</v>
      </c>
      <c r="C602" t="s">
        <v>412</v>
      </c>
      <c r="D602" t="s">
        <v>413</v>
      </c>
      <c r="E602" t="s">
        <v>381</v>
      </c>
      <c r="F602">
        <v>44</v>
      </c>
      <c r="G602">
        <v>0</v>
      </c>
      <c r="H602">
        <f>IF(report_B_CategorieBoekjaar[[#This Row],[BedrijfsCode]]="002",IF(report_B_CategorieBoekjaar[[#This Row],[Boekjaar]]=Projectbegroting!$K$1,report_B_CategorieBoekjaar[[#This Row],[CategorieCode]],0),0)</f>
        <v>0</v>
      </c>
      <c r="I602">
        <f>IF(report_B_CategorieBoekjaar[[#This Row],[BedrijfsCode]]="001",IF(report_B_CategorieBoekjaar[[#This Row],[Boekjaar]]=Projectbegroting!$K$1,report_B_CategorieBoekjaar[[#This Row],[CategorieCode]],0),0)</f>
        <v>0</v>
      </c>
    </row>
    <row r="603" spans="1:9" x14ac:dyDescent="0.3">
      <c r="A603" t="s">
        <v>330</v>
      </c>
      <c r="B603" s="20">
        <v>45292</v>
      </c>
      <c r="C603" t="s">
        <v>414</v>
      </c>
      <c r="D603" t="s">
        <v>415</v>
      </c>
      <c r="E603" t="s">
        <v>384</v>
      </c>
      <c r="F603">
        <v>0</v>
      </c>
      <c r="G603">
        <v>0</v>
      </c>
      <c r="H603">
        <f>IF(report_B_CategorieBoekjaar[[#This Row],[BedrijfsCode]]="002",IF(report_B_CategorieBoekjaar[[#This Row],[Boekjaar]]=Projectbegroting!$K$1,report_B_CategorieBoekjaar[[#This Row],[CategorieCode]],0),0)</f>
        <v>0</v>
      </c>
      <c r="I603">
        <f>IF(report_B_CategorieBoekjaar[[#This Row],[BedrijfsCode]]="001",IF(report_B_CategorieBoekjaar[[#This Row],[Boekjaar]]=Projectbegroting!$K$1,report_B_CategorieBoekjaar[[#This Row],[CategorieCode]],0),0)</f>
        <v>0</v>
      </c>
    </row>
    <row r="604" spans="1:9" x14ac:dyDescent="0.3">
      <c r="A604" t="s">
        <v>330</v>
      </c>
      <c r="B604" s="20">
        <v>45292</v>
      </c>
      <c r="C604" t="s">
        <v>82</v>
      </c>
      <c r="D604" t="s">
        <v>416</v>
      </c>
      <c r="E604" t="s">
        <v>381</v>
      </c>
      <c r="F604">
        <v>78</v>
      </c>
      <c r="G604">
        <v>121</v>
      </c>
      <c r="H604">
        <f>IF(report_B_CategorieBoekjaar[[#This Row],[BedrijfsCode]]="002",IF(report_B_CategorieBoekjaar[[#This Row],[Boekjaar]]=Projectbegroting!$K$1,report_B_CategorieBoekjaar[[#This Row],[CategorieCode]],0),0)</f>
        <v>0</v>
      </c>
      <c r="I604">
        <f>IF(report_B_CategorieBoekjaar[[#This Row],[BedrijfsCode]]="001",IF(report_B_CategorieBoekjaar[[#This Row],[Boekjaar]]=Projectbegroting!$K$1,report_B_CategorieBoekjaar[[#This Row],[CategorieCode]],0),0)</f>
        <v>0</v>
      </c>
    </row>
    <row r="605" spans="1:9" x14ac:dyDescent="0.3">
      <c r="A605" t="s">
        <v>330</v>
      </c>
      <c r="B605" s="20">
        <v>45292</v>
      </c>
      <c r="C605" t="s">
        <v>169</v>
      </c>
      <c r="D605" t="s">
        <v>417</v>
      </c>
      <c r="E605" t="s">
        <v>384</v>
      </c>
      <c r="F605">
        <v>0</v>
      </c>
      <c r="G605">
        <v>0</v>
      </c>
      <c r="H605">
        <f>IF(report_B_CategorieBoekjaar[[#This Row],[BedrijfsCode]]="002",IF(report_B_CategorieBoekjaar[[#This Row],[Boekjaar]]=Projectbegroting!$K$1,report_B_CategorieBoekjaar[[#This Row],[CategorieCode]],0),0)</f>
        <v>0</v>
      </c>
      <c r="I605">
        <f>IF(report_B_CategorieBoekjaar[[#This Row],[BedrijfsCode]]="001",IF(report_B_CategorieBoekjaar[[#This Row],[Boekjaar]]=Projectbegroting!$K$1,report_B_CategorieBoekjaar[[#This Row],[CategorieCode]],0),0)</f>
        <v>0</v>
      </c>
    </row>
    <row r="606" spans="1:9" x14ac:dyDescent="0.3">
      <c r="A606" t="s">
        <v>330</v>
      </c>
      <c r="B606" s="20">
        <v>45292</v>
      </c>
      <c r="C606" t="s">
        <v>418</v>
      </c>
      <c r="D606" t="s">
        <v>419</v>
      </c>
      <c r="E606" t="s">
        <v>381</v>
      </c>
      <c r="F606">
        <v>66</v>
      </c>
      <c r="G606">
        <v>102</v>
      </c>
      <c r="H606">
        <f>IF(report_B_CategorieBoekjaar[[#This Row],[BedrijfsCode]]="002",IF(report_B_CategorieBoekjaar[[#This Row],[Boekjaar]]=Projectbegroting!$K$1,report_B_CategorieBoekjaar[[#This Row],[CategorieCode]],0),0)</f>
        <v>0</v>
      </c>
      <c r="I606">
        <f>IF(report_B_CategorieBoekjaar[[#This Row],[BedrijfsCode]]="001",IF(report_B_CategorieBoekjaar[[#This Row],[Boekjaar]]=Projectbegroting!$K$1,report_B_CategorieBoekjaar[[#This Row],[CategorieCode]],0),0)</f>
        <v>0</v>
      </c>
    </row>
    <row r="607" spans="1:9" x14ac:dyDescent="0.3">
      <c r="A607" t="s">
        <v>330</v>
      </c>
      <c r="B607" s="20">
        <v>45292</v>
      </c>
      <c r="C607" t="s">
        <v>84</v>
      </c>
      <c r="D607" t="s">
        <v>420</v>
      </c>
      <c r="E607" t="s">
        <v>381</v>
      </c>
      <c r="F607">
        <v>63</v>
      </c>
      <c r="G607">
        <v>94</v>
      </c>
      <c r="H607">
        <f>IF(report_B_CategorieBoekjaar[[#This Row],[BedrijfsCode]]="002",IF(report_B_CategorieBoekjaar[[#This Row],[Boekjaar]]=Projectbegroting!$K$1,report_B_CategorieBoekjaar[[#This Row],[CategorieCode]],0),0)</f>
        <v>0</v>
      </c>
      <c r="I607">
        <f>IF(report_B_CategorieBoekjaar[[#This Row],[BedrijfsCode]]="001",IF(report_B_CategorieBoekjaar[[#This Row],[Boekjaar]]=Projectbegroting!$K$1,report_B_CategorieBoekjaar[[#This Row],[CategorieCode]],0),0)</f>
        <v>0</v>
      </c>
    </row>
    <row r="608" spans="1:9" x14ac:dyDescent="0.3">
      <c r="A608" t="s">
        <v>330</v>
      </c>
      <c r="B608" s="20">
        <v>45292</v>
      </c>
      <c r="C608" t="s">
        <v>170</v>
      </c>
      <c r="D608" t="s">
        <v>421</v>
      </c>
      <c r="E608" t="s">
        <v>384</v>
      </c>
      <c r="F608">
        <v>0</v>
      </c>
      <c r="G608">
        <v>0</v>
      </c>
      <c r="H608">
        <f>IF(report_B_CategorieBoekjaar[[#This Row],[BedrijfsCode]]="002",IF(report_B_CategorieBoekjaar[[#This Row],[Boekjaar]]=Projectbegroting!$K$1,report_B_CategorieBoekjaar[[#This Row],[CategorieCode]],0),0)</f>
        <v>0</v>
      </c>
      <c r="I608">
        <f>IF(report_B_CategorieBoekjaar[[#This Row],[BedrijfsCode]]="001",IF(report_B_CategorieBoekjaar[[#This Row],[Boekjaar]]=Projectbegroting!$K$1,report_B_CategorieBoekjaar[[#This Row],[CategorieCode]],0),0)</f>
        <v>0</v>
      </c>
    </row>
    <row r="609" spans="1:9" x14ac:dyDescent="0.3">
      <c r="A609" t="s">
        <v>330</v>
      </c>
      <c r="B609" s="20">
        <v>45292</v>
      </c>
      <c r="C609" t="s">
        <v>96</v>
      </c>
      <c r="D609" t="s">
        <v>422</v>
      </c>
      <c r="E609" t="s">
        <v>381</v>
      </c>
      <c r="F609">
        <v>65</v>
      </c>
      <c r="G609">
        <v>96</v>
      </c>
      <c r="H609">
        <f>IF(report_B_CategorieBoekjaar[[#This Row],[BedrijfsCode]]="002",IF(report_B_CategorieBoekjaar[[#This Row],[Boekjaar]]=Projectbegroting!$K$1,report_B_CategorieBoekjaar[[#This Row],[CategorieCode]],0),0)</f>
        <v>0</v>
      </c>
      <c r="I609">
        <f>IF(report_B_CategorieBoekjaar[[#This Row],[BedrijfsCode]]="001",IF(report_B_CategorieBoekjaar[[#This Row],[Boekjaar]]=Projectbegroting!$K$1,report_B_CategorieBoekjaar[[#This Row],[CategorieCode]],0),0)</f>
        <v>0</v>
      </c>
    </row>
    <row r="610" spans="1:9" x14ac:dyDescent="0.3">
      <c r="A610" t="s">
        <v>330</v>
      </c>
      <c r="B610" s="20">
        <v>45292</v>
      </c>
      <c r="C610" t="s">
        <v>171</v>
      </c>
      <c r="D610" t="s">
        <v>423</v>
      </c>
      <c r="E610" t="s">
        <v>384</v>
      </c>
      <c r="F610">
        <v>0</v>
      </c>
      <c r="G610">
        <v>0</v>
      </c>
      <c r="H610">
        <f>IF(report_B_CategorieBoekjaar[[#This Row],[BedrijfsCode]]="002",IF(report_B_CategorieBoekjaar[[#This Row],[Boekjaar]]=Projectbegroting!$K$1,report_B_CategorieBoekjaar[[#This Row],[CategorieCode]],0),0)</f>
        <v>0</v>
      </c>
      <c r="I610">
        <f>IF(report_B_CategorieBoekjaar[[#This Row],[BedrijfsCode]]="001",IF(report_B_CategorieBoekjaar[[#This Row],[Boekjaar]]=Projectbegroting!$K$1,report_B_CategorieBoekjaar[[#This Row],[CategorieCode]],0),0)</f>
        <v>0</v>
      </c>
    </row>
    <row r="611" spans="1:9" x14ac:dyDescent="0.3">
      <c r="A611" t="s">
        <v>330</v>
      </c>
      <c r="B611" s="20">
        <v>45292</v>
      </c>
      <c r="C611" t="s">
        <v>86</v>
      </c>
      <c r="D611" t="s">
        <v>424</v>
      </c>
      <c r="E611" t="s">
        <v>381</v>
      </c>
      <c r="F611">
        <v>58</v>
      </c>
      <c r="G611">
        <v>89</v>
      </c>
      <c r="H611">
        <f>IF(report_B_CategorieBoekjaar[[#This Row],[BedrijfsCode]]="002",IF(report_B_CategorieBoekjaar[[#This Row],[Boekjaar]]=Projectbegroting!$K$1,report_B_CategorieBoekjaar[[#This Row],[CategorieCode]],0),0)</f>
        <v>0</v>
      </c>
      <c r="I611">
        <f>IF(report_B_CategorieBoekjaar[[#This Row],[BedrijfsCode]]="001",IF(report_B_CategorieBoekjaar[[#This Row],[Boekjaar]]=Projectbegroting!$K$1,report_B_CategorieBoekjaar[[#This Row],[CategorieCode]],0),0)</f>
        <v>0</v>
      </c>
    </row>
    <row r="612" spans="1:9" x14ac:dyDescent="0.3">
      <c r="A612" t="s">
        <v>330</v>
      </c>
      <c r="B612" s="20">
        <v>45292</v>
      </c>
      <c r="C612" t="s">
        <v>172</v>
      </c>
      <c r="D612" t="s">
        <v>425</v>
      </c>
      <c r="E612" t="s">
        <v>384</v>
      </c>
      <c r="F612">
        <v>0</v>
      </c>
      <c r="G612">
        <v>0</v>
      </c>
      <c r="H612">
        <f>IF(report_B_CategorieBoekjaar[[#This Row],[BedrijfsCode]]="002",IF(report_B_CategorieBoekjaar[[#This Row],[Boekjaar]]=Projectbegroting!$K$1,report_B_CategorieBoekjaar[[#This Row],[CategorieCode]],0),0)</f>
        <v>0</v>
      </c>
      <c r="I612">
        <f>IF(report_B_CategorieBoekjaar[[#This Row],[BedrijfsCode]]="001",IF(report_B_CategorieBoekjaar[[#This Row],[Boekjaar]]=Projectbegroting!$K$1,report_B_CategorieBoekjaar[[#This Row],[CategorieCode]],0),0)</f>
        <v>0</v>
      </c>
    </row>
    <row r="613" spans="1:9" x14ac:dyDescent="0.3">
      <c r="A613" t="s">
        <v>330</v>
      </c>
      <c r="B613" s="20">
        <v>45292</v>
      </c>
      <c r="C613" t="s">
        <v>94</v>
      </c>
      <c r="D613" t="s">
        <v>426</v>
      </c>
      <c r="E613" t="s">
        <v>381</v>
      </c>
      <c r="F613">
        <v>122</v>
      </c>
      <c r="G613">
        <v>122</v>
      </c>
      <c r="H613">
        <f>IF(report_B_CategorieBoekjaar[[#This Row],[BedrijfsCode]]="002",IF(report_B_CategorieBoekjaar[[#This Row],[Boekjaar]]=Projectbegroting!$K$1,report_B_CategorieBoekjaar[[#This Row],[CategorieCode]],0),0)</f>
        <v>0</v>
      </c>
      <c r="I613">
        <f>IF(report_B_CategorieBoekjaar[[#This Row],[BedrijfsCode]]="001",IF(report_B_CategorieBoekjaar[[#This Row],[Boekjaar]]=Projectbegroting!$K$1,report_B_CategorieBoekjaar[[#This Row],[CategorieCode]],0),0)</f>
        <v>0</v>
      </c>
    </row>
    <row r="614" spans="1:9" x14ac:dyDescent="0.3">
      <c r="A614" t="s">
        <v>330</v>
      </c>
      <c r="B614" s="20">
        <v>45292</v>
      </c>
      <c r="C614" t="s">
        <v>173</v>
      </c>
      <c r="D614" t="s">
        <v>427</v>
      </c>
      <c r="E614" t="s">
        <v>384</v>
      </c>
      <c r="F614">
        <v>0</v>
      </c>
      <c r="G614">
        <v>0</v>
      </c>
      <c r="H614">
        <f>IF(report_B_CategorieBoekjaar[[#This Row],[BedrijfsCode]]="002",IF(report_B_CategorieBoekjaar[[#This Row],[Boekjaar]]=Projectbegroting!$K$1,report_B_CategorieBoekjaar[[#This Row],[CategorieCode]],0),0)</f>
        <v>0</v>
      </c>
      <c r="I614">
        <f>IF(report_B_CategorieBoekjaar[[#This Row],[BedrijfsCode]]="001",IF(report_B_CategorieBoekjaar[[#This Row],[Boekjaar]]=Projectbegroting!$K$1,report_B_CategorieBoekjaar[[#This Row],[CategorieCode]],0),0)</f>
        <v>0</v>
      </c>
    </row>
    <row r="615" spans="1:9" x14ac:dyDescent="0.3">
      <c r="A615" t="s">
        <v>330</v>
      </c>
      <c r="B615" s="20">
        <v>45292</v>
      </c>
      <c r="C615" t="s">
        <v>88</v>
      </c>
      <c r="D615" t="s">
        <v>89</v>
      </c>
      <c r="E615" t="s">
        <v>381</v>
      </c>
      <c r="F615">
        <v>67</v>
      </c>
      <c r="G615">
        <v>109</v>
      </c>
      <c r="H615">
        <f>IF(report_B_CategorieBoekjaar[[#This Row],[BedrijfsCode]]="002",IF(report_B_CategorieBoekjaar[[#This Row],[Boekjaar]]=Projectbegroting!$K$1,report_B_CategorieBoekjaar[[#This Row],[CategorieCode]],0),0)</f>
        <v>0</v>
      </c>
      <c r="I615">
        <f>IF(report_B_CategorieBoekjaar[[#This Row],[BedrijfsCode]]="001",IF(report_B_CategorieBoekjaar[[#This Row],[Boekjaar]]=Projectbegroting!$K$1,report_B_CategorieBoekjaar[[#This Row],[CategorieCode]],0),0)</f>
        <v>0</v>
      </c>
    </row>
    <row r="616" spans="1:9" x14ac:dyDescent="0.3">
      <c r="A616" t="s">
        <v>330</v>
      </c>
      <c r="B616" s="20">
        <v>45292</v>
      </c>
      <c r="C616" t="s">
        <v>174</v>
      </c>
      <c r="D616" t="s">
        <v>428</v>
      </c>
      <c r="E616" t="s">
        <v>384</v>
      </c>
      <c r="F616">
        <v>0</v>
      </c>
      <c r="G616">
        <v>0</v>
      </c>
      <c r="H616">
        <f>IF(report_B_CategorieBoekjaar[[#This Row],[BedrijfsCode]]="002",IF(report_B_CategorieBoekjaar[[#This Row],[Boekjaar]]=Projectbegroting!$K$1,report_B_CategorieBoekjaar[[#This Row],[CategorieCode]],0),0)</f>
        <v>0</v>
      </c>
      <c r="I616">
        <f>IF(report_B_CategorieBoekjaar[[#This Row],[BedrijfsCode]]="001",IF(report_B_CategorieBoekjaar[[#This Row],[Boekjaar]]=Projectbegroting!$K$1,report_B_CategorieBoekjaar[[#This Row],[CategorieCode]],0),0)</f>
        <v>0</v>
      </c>
    </row>
    <row r="617" spans="1:9" x14ac:dyDescent="0.3">
      <c r="A617" t="s">
        <v>330</v>
      </c>
      <c r="B617" s="20">
        <v>45292</v>
      </c>
      <c r="C617" t="s">
        <v>90</v>
      </c>
      <c r="D617" t="s">
        <v>91</v>
      </c>
      <c r="E617" t="s">
        <v>381</v>
      </c>
      <c r="F617">
        <v>46</v>
      </c>
      <c r="G617">
        <v>68</v>
      </c>
      <c r="H617">
        <f>IF(report_B_CategorieBoekjaar[[#This Row],[BedrijfsCode]]="002",IF(report_B_CategorieBoekjaar[[#This Row],[Boekjaar]]=Projectbegroting!$K$1,report_B_CategorieBoekjaar[[#This Row],[CategorieCode]],0),0)</f>
        <v>0</v>
      </c>
      <c r="I617">
        <f>IF(report_B_CategorieBoekjaar[[#This Row],[BedrijfsCode]]="001",IF(report_B_CategorieBoekjaar[[#This Row],[Boekjaar]]=Projectbegroting!$K$1,report_B_CategorieBoekjaar[[#This Row],[CategorieCode]],0),0)</f>
        <v>0</v>
      </c>
    </row>
    <row r="618" spans="1:9" x14ac:dyDescent="0.3">
      <c r="A618" t="s">
        <v>330</v>
      </c>
      <c r="B618" s="20">
        <v>45292</v>
      </c>
      <c r="C618" t="s">
        <v>429</v>
      </c>
      <c r="D618" t="s">
        <v>430</v>
      </c>
      <c r="E618" t="s">
        <v>384</v>
      </c>
      <c r="F618">
        <v>0</v>
      </c>
      <c r="G618">
        <v>0</v>
      </c>
      <c r="H618">
        <f>IF(report_B_CategorieBoekjaar[[#This Row],[BedrijfsCode]]="002",IF(report_B_CategorieBoekjaar[[#This Row],[Boekjaar]]=Projectbegroting!$K$1,report_B_CategorieBoekjaar[[#This Row],[CategorieCode]],0),0)</f>
        <v>0</v>
      </c>
      <c r="I618">
        <f>IF(report_B_CategorieBoekjaar[[#This Row],[BedrijfsCode]]="001",IF(report_B_CategorieBoekjaar[[#This Row],[Boekjaar]]=Projectbegroting!$K$1,report_B_CategorieBoekjaar[[#This Row],[CategorieCode]],0),0)</f>
        <v>0</v>
      </c>
    </row>
    <row r="619" spans="1:9" x14ac:dyDescent="0.3">
      <c r="A619" t="s">
        <v>330</v>
      </c>
      <c r="B619" s="20">
        <v>45292</v>
      </c>
      <c r="C619" t="s">
        <v>431</v>
      </c>
      <c r="D619" t="s">
        <v>432</v>
      </c>
      <c r="E619" t="s">
        <v>381</v>
      </c>
      <c r="F619">
        <v>78</v>
      </c>
      <c r="G619">
        <v>109</v>
      </c>
      <c r="H619">
        <f>IF(report_B_CategorieBoekjaar[[#This Row],[BedrijfsCode]]="002",IF(report_B_CategorieBoekjaar[[#This Row],[Boekjaar]]=Projectbegroting!$K$1,report_B_CategorieBoekjaar[[#This Row],[CategorieCode]],0),0)</f>
        <v>0</v>
      </c>
      <c r="I619">
        <f>IF(report_B_CategorieBoekjaar[[#This Row],[BedrijfsCode]]="001",IF(report_B_CategorieBoekjaar[[#This Row],[Boekjaar]]=Projectbegroting!$K$1,report_B_CategorieBoekjaar[[#This Row],[CategorieCode]],0),0)</f>
        <v>0</v>
      </c>
    </row>
    <row r="620" spans="1:9" x14ac:dyDescent="0.3">
      <c r="A620" t="s">
        <v>330</v>
      </c>
      <c r="B620" s="20">
        <v>45292</v>
      </c>
      <c r="C620" t="s">
        <v>433</v>
      </c>
      <c r="D620" t="s">
        <v>434</v>
      </c>
      <c r="E620" t="s">
        <v>384</v>
      </c>
      <c r="F620">
        <v>0</v>
      </c>
      <c r="G620">
        <v>0</v>
      </c>
      <c r="H620">
        <f>IF(report_B_CategorieBoekjaar[[#This Row],[BedrijfsCode]]="002",IF(report_B_CategorieBoekjaar[[#This Row],[Boekjaar]]=Projectbegroting!$K$1,report_B_CategorieBoekjaar[[#This Row],[CategorieCode]],0),0)</f>
        <v>0</v>
      </c>
      <c r="I620">
        <f>IF(report_B_CategorieBoekjaar[[#This Row],[BedrijfsCode]]="001",IF(report_B_CategorieBoekjaar[[#This Row],[Boekjaar]]=Projectbegroting!$K$1,report_B_CategorieBoekjaar[[#This Row],[CategorieCode]],0),0)</f>
        <v>0</v>
      </c>
    </row>
    <row r="621" spans="1:9" x14ac:dyDescent="0.3">
      <c r="A621" t="s">
        <v>330</v>
      </c>
      <c r="B621" s="20">
        <v>45292</v>
      </c>
      <c r="C621" t="s">
        <v>435</v>
      </c>
      <c r="D621" t="s">
        <v>436</v>
      </c>
      <c r="E621" t="s">
        <v>381</v>
      </c>
      <c r="F621">
        <v>58</v>
      </c>
      <c r="G621">
        <v>0</v>
      </c>
      <c r="H621">
        <f>IF(report_B_CategorieBoekjaar[[#This Row],[BedrijfsCode]]="002",IF(report_B_CategorieBoekjaar[[#This Row],[Boekjaar]]=Projectbegroting!$K$1,report_B_CategorieBoekjaar[[#This Row],[CategorieCode]],0),0)</f>
        <v>0</v>
      </c>
      <c r="I621">
        <f>IF(report_B_CategorieBoekjaar[[#This Row],[BedrijfsCode]]="001",IF(report_B_CategorieBoekjaar[[#This Row],[Boekjaar]]=Projectbegroting!$K$1,report_B_CategorieBoekjaar[[#This Row],[CategorieCode]],0),0)</f>
        <v>0</v>
      </c>
    </row>
    <row r="622" spans="1:9" x14ac:dyDescent="0.3">
      <c r="A622" t="s">
        <v>330</v>
      </c>
      <c r="B622" s="20">
        <v>45292</v>
      </c>
      <c r="C622" t="s">
        <v>437</v>
      </c>
      <c r="D622" t="s">
        <v>438</v>
      </c>
      <c r="E622" t="s">
        <v>384</v>
      </c>
      <c r="F622">
        <v>0</v>
      </c>
      <c r="G622">
        <v>0</v>
      </c>
      <c r="H622">
        <f>IF(report_B_CategorieBoekjaar[[#This Row],[BedrijfsCode]]="002",IF(report_B_CategorieBoekjaar[[#This Row],[Boekjaar]]=Projectbegroting!$K$1,report_B_CategorieBoekjaar[[#This Row],[CategorieCode]],0),0)</f>
        <v>0</v>
      </c>
      <c r="I622">
        <f>IF(report_B_CategorieBoekjaar[[#This Row],[BedrijfsCode]]="001",IF(report_B_CategorieBoekjaar[[#This Row],[Boekjaar]]=Projectbegroting!$K$1,report_B_CategorieBoekjaar[[#This Row],[CategorieCode]],0),0)</f>
        <v>0</v>
      </c>
    </row>
    <row r="623" spans="1:9" x14ac:dyDescent="0.3">
      <c r="A623" t="s">
        <v>330</v>
      </c>
      <c r="B623" s="20">
        <v>45292</v>
      </c>
      <c r="C623" t="s">
        <v>439</v>
      </c>
      <c r="D623" t="s">
        <v>440</v>
      </c>
      <c r="E623" t="s">
        <v>381</v>
      </c>
      <c r="F623">
        <v>41</v>
      </c>
      <c r="G623">
        <v>0</v>
      </c>
      <c r="H623">
        <f>IF(report_B_CategorieBoekjaar[[#This Row],[BedrijfsCode]]="002",IF(report_B_CategorieBoekjaar[[#This Row],[Boekjaar]]=Projectbegroting!$K$1,report_B_CategorieBoekjaar[[#This Row],[CategorieCode]],0),0)</f>
        <v>0</v>
      </c>
      <c r="I623">
        <f>IF(report_B_CategorieBoekjaar[[#This Row],[BedrijfsCode]]="001",IF(report_B_CategorieBoekjaar[[#This Row],[Boekjaar]]=Projectbegroting!$K$1,report_B_CategorieBoekjaar[[#This Row],[CategorieCode]],0),0)</f>
        <v>0</v>
      </c>
    </row>
    <row r="624" spans="1:9" x14ac:dyDescent="0.3">
      <c r="A624" t="s">
        <v>330</v>
      </c>
      <c r="B624" s="20">
        <v>45292</v>
      </c>
      <c r="C624" t="s">
        <v>441</v>
      </c>
      <c r="D624" t="s">
        <v>442</v>
      </c>
      <c r="E624" t="s">
        <v>381</v>
      </c>
      <c r="F624">
        <v>52</v>
      </c>
      <c r="G624">
        <v>0</v>
      </c>
      <c r="H624">
        <f>IF(report_B_CategorieBoekjaar[[#This Row],[BedrijfsCode]]="002",IF(report_B_CategorieBoekjaar[[#This Row],[Boekjaar]]=Projectbegroting!$K$1,report_B_CategorieBoekjaar[[#This Row],[CategorieCode]],0),0)</f>
        <v>0</v>
      </c>
      <c r="I624">
        <f>IF(report_B_CategorieBoekjaar[[#This Row],[BedrijfsCode]]="001",IF(report_B_CategorieBoekjaar[[#This Row],[Boekjaar]]=Projectbegroting!$K$1,report_B_CategorieBoekjaar[[#This Row],[CategorieCode]],0),0)</f>
        <v>0</v>
      </c>
    </row>
    <row r="625" spans="1:9" x14ac:dyDescent="0.3">
      <c r="A625" t="s">
        <v>330</v>
      </c>
      <c r="B625" s="20">
        <v>45292</v>
      </c>
      <c r="C625" t="s">
        <v>443</v>
      </c>
      <c r="D625" t="s">
        <v>444</v>
      </c>
      <c r="E625" t="s">
        <v>384</v>
      </c>
      <c r="F625">
        <v>0</v>
      </c>
      <c r="G625">
        <v>0</v>
      </c>
      <c r="H625">
        <f>IF(report_B_CategorieBoekjaar[[#This Row],[BedrijfsCode]]="002",IF(report_B_CategorieBoekjaar[[#This Row],[Boekjaar]]=Projectbegroting!$K$1,report_B_CategorieBoekjaar[[#This Row],[CategorieCode]],0),0)</f>
        <v>0</v>
      </c>
      <c r="I625">
        <f>IF(report_B_CategorieBoekjaar[[#This Row],[BedrijfsCode]]="001",IF(report_B_CategorieBoekjaar[[#This Row],[Boekjaar]]=Projectbegroting!$K$1,report_B_CategorieBoekjaar[[#This Row],[CategorieCode]],0),0)</f>
        <v>0</v>
      </c>
    </row>
    <row r="626" spans="1:9" x14ac:dyDescent="0.3">
      <c r="A626" t="s">
        <v>330</v>
      </c>
      <c r="B626" s="20">
        <v>45292</v>
      </c>
      <c r="C626" t="s">
        <v>445</v>
      </c>
      <c r="D626" t="s">
        <v>446</v>
      </c>
      <c r="E626" t="s">
        <v>381</v>
      </c>
      <c r="F626">
        <v>79</v>
      </c>
      <c r="G626">
        <v>105</v>
      </c>
      <c r="H626">
        <f>IF(report_B_CategorieBoekjaar[[#This Row],[BedrijfsCode]]="002",IF(report_B_CategorieBoekjaar[[#This Row],[Boekjaar]]=Projectbegroting!$K$1,report_B_CategorieBoekjaar[[#This Row],[CategorieCode]],0),0)</f>
        <v>0</v>
      </c>
      <c r="I626">
        <f>IF(report_B_CategorieBoekjaar[[#This Row],[BedrijfsCode]]="001",IF(report_B_CategorieBoekjaar[[#This Row],[Boekjaar]]=Projectbegroting!$K$1,report_B_CategorieBoekjaar[[#This Row],[CategorieCode]],0),0)</f>
        <v>0</v>
      </c>
    </row>
    <row r="627" spans="1:9" x14ac:dyDescent="0.3">
      <c r="A627" t="s">
        <v>330</v>
      </c>
      <c r="B627" s="20">
        <v>45292</v>
      </c>
      <c r="C627" t="s">
        <v>447</v>
      </c>
      <c r="D627" t="s">
        <v>448</v>
      </c>
      <c r="E627" t="s">
        <v>384</v>
      </c>
      <c r="F627">
        <v>0</v>
      </c>
      <c r="G627">
        <v>0</v>
      </c>
      <c r="H627">
        <f>IF(report_B_CategorieBoekjaar[[#This Row],[BedrijfsCode]]="002",IF(report_B_CategorieBoekjaar[[#This Row],[Boekjaar]]=Projectbegroting!$K$1,report_B_CategorieBoekjaar[[#This Row],[CategorieCode]],0),0)</f>
        <v>0</v>
      </c>
      <c r="I627">
        <f>IF(report_B_CategorieBoekjaar[[#This Row],[BedrijfsCode]]="001",IF(report_B_CategorieBoekjaar[[#This Row],[Boekjaar]]=Projectbegroting!$K$1,report_B_CategorieBoekjaar[[#This Row],[CategorieCode]],0),0)</f>
        <v>0</v>
      </c>
    </row>
    <row r="628" spans="1:9" x14ac:dyDescent="0.3">
      <c r="A628" t="s">
        <v>330</v>
      </c>
      <c r="B628" s="20">
        <v>45292</v>
      </c>
      <c r="C628" t="s">
        <v>449</v>
      </c>
      <c r="D628" t="s">
        <v>450</v>
      </c>
      <c r="E628" t="s">
        <v>381</v>
      </c>
      <c r="F628">
        <v>40</v>
      </c>
      <c r="G628">
        <v>0</v>
      </c>
      <c r="H628">
        <f>IF(report_B_CategorieBoekjaar[[#This Row],[BedrijfsCode]]="002",IF(report_B_CategorieBoekjaar[[#This Row],[Boekjaar]]=Projectbegroting!$K$1,report_B_CategorieBoekjaar[[#This Row],[CategorieCode]],0),0)</f>
        <v>0</v>
      </c>
      <c r="I628">
        <f>IF(report_B_CategorieBoekjaar[[#This Row],[BedrijfsCode]]="001",IF(report_B_CategorieBoekjaar[[#This Row],[Boekjaar]]=Projectbegroting!$K$1,report_B_CategorieBoekjaar[[#This Row],[CategorieCode]],0),0)</f>
        <v>0</v>
      </c>
    </row>
    <row r="629" spans="1:9" x14ac:dyDescent="0.3">
      <c r="A629" t="s">
        <v>330</v>
      </c>
      <c r="B629" s="20">
        <v>45292</v>
      </c>
      <c r="C629" t="s">
        <v>451</v>
      </c>
      <c r="D629" t="s">
        <v>452</v>
      </c>
      <c r="E629" t="s">
        <v>384</v>
      </c>
      <c r="F629">
        <v>0</v>
      </c>
      <c r="G629">
        <v>0</v>
      </c>
      <c r="H629">
        <f>IF(report_B_CategorieBoekjaar[[#This Row],[BedrijfsCode]]="002",IF(report_B_CategorieBoekjaar[[#This Row],[Boekjaar]]=Projectbegroting!$K$1,report_B_CategorieBoekjaar[[#This Row],[CategorieCode]],0),0)</f>
        <v>0</v>
      </c>
      <c r="I629">
        <f>IF(report_B_CategorieBoekjaar[[#This Row],[BedrijfsCode]]="001",IF(report_B_CategorieBoekjaar[[#This Row],[Boekjaar]]=Projectbegroting!$K$1,report_B_CategorieBoekjaar[[#This Row],[CategorieCode]],0),0)</f>
        <v>0</v>
      </c>
    </row>
    <row r="630" spans="1:9" x14ac:dyDescent="0.3">
      <c r="A630" t="s">
        <v>330</v>
      </c>
      <c r="B630" s="20">
        <v>45292</v>
      </c>
      <c r="C630" t="s">
        <v>453</v>
      </c>
      <c r="D630" t="s">
        <v>454</v>
      </c>
      <c r="E630" t="s">
        <v>381</v>
      </c>
      <c r="F630">
        <v>61</v>
      </c>
      <c r="G630">
        <v>86</v>
      </c>
      <c r="H630">
        <f>IF(report_B_CategorieBoekjaar[[#This Row],[BedrijfsCode]]="002",IF(report_B_CategorieBoekjaar[[#This Row],[Boekjaar]]=Projectbegroting!$K$1,report_B_CategorieBoekjaar[[#This Row],[CategorieCode]],0),0)</f>
        <v>0</v>
      </c>
      <c r="I630">
        <f>IF(report_B_CategorieBoekjaar[[#This Row],[BedrijfsCode]]="001",IF(report_B_CategorieBoekjaar[[#This Row],[Boekjaar]]=Projectbegroting!$K$1,report_B_CategorieBoekjaar[[#This Row],[CategorieCode]],0),0)</f>
        <v>0</v>
      </c>
    </row>
    <row r="631" spans="1:9" x14ac:dyDescent="0.3">
      <c r="A631" t="s">
        <v>330</v>
      </c>
      <c r="B631" s="20">
        <v>45292</v>
      </c>
      <c r="C631" t="s">
        <v>455</v>
      </c>
      <c r="D631" t="s">
        <v>456</v>
      </c>
      <c r="E631" t="s">
        <v>381</v>
      </c>
      <c r="F631">
        <v>79</v>
      </c>
      <c r="G631">
        <v>122</v>
      </c>
      <c r="H631">
        <f>IF(report_B_CategorieBoekjaar[[#This Row],[BedrijfsCode]]="002",IF(report_B_CategorieBoekjaar[[#This Row],[Boekjaar]]=Projectbegroting!$K$1,report_B_CategorieBoekjaar[[#This Row],[CategorieCode]],0),0)</f>
        <v>0</v>
      </c>
      <c r="I631">
        <f>IF(report_B_CategorieBoekjaar[[#This Row],[BedrijfsCode]]="001",IF(report_B_CategorieBoekjaar[[#This Row],[Boekjaar]]=Projectbegroting!$K$1,report_B_CategorieBoekjaar[[#This Row],[CategorieCode]],0),0)</f>
        <v>0</v>
      </c>
    </row>
    <row r="632" spans="1:9" x14ac:dyDescent="0.3">
      <c r="A632" t="s">
        <v>330</v>
      </c>
      <c r="B632" s="20">
        <v>45292</v>
      </c>
      <c r="C632" t="s">
        <v>457</v>
      </c>
      <c r="D632" t="s">
        <v>458</v>
      </c>
      <c r="E632" t="s">
        <v>384</v>
      </c>
      <c r="F632">
        <v>0</v>
      </c>
      <c r="G632">
        <v>0</v>
      </c>
      <c r="H632">
        <f>IF(report_B_CategorieBoekjaar[[#This Row],[BedrijfsCode]]="002",IF(report_B_CategorieBoekjaar[[#This Row],[Boekjaar]]=Projectbegroting!$K$1,report_B_CategorieBoekjaar[[#This Row],[CategorieCode]],0),0)</f>
        <v>0</v>
      </c>
      <c r="I632">
        <f>IF(report_B_CategorieBoekjaar[[#This Row],[BedrijfsCode]]="001",IF(report_B_CategorieBoekjaar[[#This Row],[Boekjaar]]=Projectbegroting!$K$1,report_B_CategorieBoekjaar[[#This Row],[CategorieCode]],0),0)</f>
        <v>0</v>
      </c>
    </row>
    <row r="633" spans="1:9" x14ac:dyDescent="0.3">
      <c r="A633" t="s">
        <v>330</v>
      </c>
      <c r="B633" s="20">
        <v>45292</v>
      </c>
      <c r="C633" t="s">
        <v>459</v>
      </c>
      <c r="D633" t="s">
        <v>460</v>
      </c>
      <c r="E633" t="s">
        <v>381</v>
      </c>
      <c r="F633">
        <v>101</v>
      </c>
      <c r="G633">
        <v>145</v>
      </c>
      <c r="H633">
        <f>IF(report_B_CategorieBoekjaar[[#This Row],[BedrijfsCode]]="002",IF(report_B_CategorieBoekjaar[[#This Row],[Boekjaar]]=Projectbegroting!$K$1,report_B_CategorieBoekjaar[[#This Row],[CategorieCode]],0),0)</f>
        <v>0</v>
      </c>
      <c r="I633">
        <f>IF(report_B_CategorieBoekjaar[[#This Row],[BedrijfsCode]]="001",IF(report_B_CategorieBoekjaar[[#This Row],[Boekjaar]]=Projectbegroting!$K$1,report_B_CategorieBoekjaar[[#This Row],[CategorieCode]],0),0)</f>
        <v>0</v>
      </c>
    </row>
    <row r="634" spans="1:9" x14ac:dyDescent="0.3">
      <c r="A634" t="s">
        <v>330</v>
      </c>
      <c r="B634" s="20">
        <v>45292</v>
      </c>
      <c r="C634" t="s">
        <v>461</v>
      </c>
      <c r="D634" t="s">
        <v>462</v>
      </c>
      <c r="E634" t="s">
        <v>384</v>
      </c>
      <c r="F634">
        <v>0</v>
      </c>
      <c r="G634">
        <v>0</v>
      </c>
      <c r="H634">
        <f>IF(report_B_CategorieBoekjaar[[#This Row],[BedrijfsCode]]="002",IF(report_B_CategorieBoekjaar[[#This Row],[Boekjaar]]=Projectbegroting!$K$1,report_B_CategorieBoekjaar[[#This Row],[CategorieCode]],0),0)</f>
        <v>0</v>
      </c>
      <c r="I634">
        <f>IF(report_B_CategorieBoekjaar[[#This Row],[BedrijfsCode]]="001",IF(report_B_CategorieBoekjaar[[#This Row],[Boekjaar]]=Projectbegroting!$K$1,report_B_CategorieBoekjaar[[#This Row],[CategorieCode]],0),0)</f>
        <v>0</v>
      </c>
    </row>
    <row r="635" spans="1:9" x14ac:dyDescent="0.3">
      <c r="A635" t="s">
        <v>330</v>
      </c>
      <c r="B635" s="20">
        <v>45292</v>
      </c>
      <c r="C635" t="s">
        <v>463</v>
      </c>
      <c r="D635" t="s">
        <v>464</v>
      </c>
      <c r="E635" t="s">
        <v>384</v>
      </c>
      <c r="F635">
        <v>0</v>
      </c>
      <c r="G635">
        <v>0</v>
      </c>
      <c r="H635">
        <f>IF(report_B_CategorieBoekjaar[[#This Row],[BedrijfsCode]]="002",IF(report_B_CategorieBoekjaar[[#This Row],[Boekjaar]]=Projectbegroting!$K$1,report_B_CategorieBoekjaar[[#This Row],[CategorieCode]],0),0)</f>
        <v>0</v>
      </c>
      <c r="I635">
        <f>IF(report_B_CategorieBoekjaar[[#This Row],[BedrijfsCode]]="001",IF(report_B_CategorieBoekjaar[[#This Row],[Boekjaar]]=Projectbegroting!$K$1,report_B_CategorieBoekjaar[[#This Row],[CategorieCode]],0),0)</f>
        <v>0</v>
      </c>
    </row>
    <row r="636" spans="1:9" x14ac:dyDescent="0.3">
      <c r="A636" t="s">
        <v>330</v>
      </c>
      <c r="B636" s="20">
        <v>45292</v>
      </c>
      <c r="C636" t="s">
        <v>465</v>
      </c>
      <c r="D636" t="s">
        <v>466</v>
      </c>
      <c r="E636" t="s">
        <v>381</v>
      </c>
      <c r="F636">
        <v>27</v>
      </c>
      <c r="G636">
        <v>0</v>
      </c>
      <c r="H636">
        <f>IF(report_B_CategorieBoekjaar[[#This Row],[BedrijfsCode]]="002",IF(report_B_CategorieBoekjaar[[#This Row],[Boekjaar]]=Projectbegroting!$K$1,report_B_CategorieBoekjaar[[#This Row],[CategorieCode]],0),0)</f>
        <v>0</v>
      </c>
      <c r="I636">
        <f>IF(report_B_CategorieBoekjaar[[#This Row],[BedrijfsCode]]="001",IF(report_B_CategorieBoekjaar[[#This Row],[Boekjaar]]=Projectbegroting!$K$1,report_B_CategorieBoekjaar[[#This Row],[CategorieCode]],0),0)</f>
        <v>0</v>
      </c>
    </row>
    <row r="637" spans="1:9" x14ac:dyDescent="0.3">
      <c r="A637" t="s">
        <v>330</v>
      </c>
      <c r="B637" s="20">
        <v>45292</v>
      </c>
      <c r="C637" t="s">
        <v>467</v>
      </c>
      <c r="D637" t="s">
        <v>468</v>
      </c>
      <c r="E637" t="s">
        <v>384</v>
      </c>
      <c r="F637">
        <v>0</v>
      </c>
      <c r="G637">
        <v>0</v>
      </c>
      <c r="H637">
        <f>IF(report_B_CategorieBoekjaar[[#This Row],[BedrijfsCode]]="002",IF(report_B_CategorieBoekjaar[[#This Row],[Boekjaar]]=Projectbegroting!$K$1,report_B_CategorieBoekjaar[[#This Row],[CategorieCode]],0),0)</f>
        <v>0</v>
      </c>
      <c r="I637">
        <f>IF(report_B_CategorieBoekjaar[[#This Row],[BedrijfsCode]]="001",IF(report_B_CategorieBoekjaar[[#This Row],[Boekjaar]]=Projectbegroting!$K$1,report_B_CategorieBoekjaar[[#This Row],[CategorieCode]],0),0)</f>
        <v>0</v>
      </c>
    </row>
    <row r="638" spans="1:9" x14ac:dyDescent="0.3">
      <c r="A638" t="s">
        <v>330</v>
      </c>
      <c r="B638" s="20">
        <v>45292</v>
      </c>
      <c r="C638" t="s">
        <v>469</v>
      </c>
      <c r="D638" t="s">
        <v>470</v>
      </c>
      <c r="E638" t="s">
        <v>381</v>
      </c>
      <c r="F638">
        <v>46</v>
      </c>
      <c r="G638">
        <v>87</v>
      </c>
      <c r="H638">
        <f>IF(report_B_CategorieBoekjaar[[#This Row],[BedrijfsCode]]="002",IF(report_B_CategorieBoekjaar[[#This Row],[Boekjaar]]=Projectbegroting!$K$1,report_B_CategorieBoekjaar[[#This Row],[CategorieCode]],0),0)</f>
        <v>0</v>
      </c>
      <c r="I638">
        <f>IF(report_B_CategorieBoekjaar[[#This Row],[BedrijfsCode]]="001",IF(report_B_CategorieBoekjaar[[#This Row],[Boekjaar]]=Projectbegroting!$K$1,report_B_CategorieBoekjaar[[#This Row],[CategorieCode]],0),0)</f>
        <v>0</v>
      </c>
    </row>
    <row r="639" spans="1:9" x14ac:dyDescent="0.3">
      <c r="A639" t="s">
        <v>330</v>
      </c>
      <c r="B639" s="20">
        <v>45292</v>
      </c>
      <c r="C639" t="s">
        <v>471</v>
      </c>
      <c r="D639" t="s">
        <v>472</v>
      </c>
      <c r="E639" t="s">
        <v>384</v>
      </c>
      <c r="F639">
        <v>0</v>
      </c>
      <c r="G639">
        <v>0</v>
      </c>
      <c r="H639">
        <f>IF(report_B_CategorieBoekjaar[[#This Row],[BedrijfsCode]]="002",IF(report_B_CategorieBoekjaar[[#This Row],[Boekjaar]]=Projectbegroting!$K$1,report_B_CategorieBoekjaar[[#This Row],[CategorieCode]],0),0)</f>
        <v>0</v>
      </c>
      <c r="I639">
        <f>IF(report_B_CategorieBoekjaar[[#This Row],[BedrijfsCode]]="001",IF(report_B_CategorieBoekjaar[[#This Row],[Boekjaar]]=Projectbegroting!$K$1,report_B_CategorieBoekjaar[[#This Row],[CategorieCode]],0),0)</f>
        <v>0</v>
      </c>
    </row>
    <row r="640" spans="1:9" x14ac:dyDescent="0.3">
      <c r="A640" t="s">
        <v>330</v>
      </c>
      <c r="B640" s="20">
        <v>45292</v>
      </c>
      <c r="C640" t="s">
        <v>62</v>
      </c>
      <c r="D640" t="s">
        <v>473</v>
      </c>
      <c r="E640" t="s">
        <v>381</v>
      </c>
      <c r="F640">
        <v>52</v>
      </c>
      <c r="G640">
        <v>0</v>
      </c>
      <c r="H640">
        <f>IF(report_B_CategorieBoekjaar[[#This Row],[BedrijfsCode]]="002",IF(report_B_CategorieBoekjaar[[#This Row],[Boekjaar]]=Projectbegroting!$K$1,report_B_CategorieBoekjaar[[#This Row],[CategorieCode]],0),0)</f>
        <v>0</v>
      </c>
      <c r="I640">
        <f>IF(report_B_CategorieBoekjaar[[#This Row],[BedrijfsCode]]="001",IF(report_B_CategorieBoekjaar[[#This Row],[Boekjaar]]=Projectbegroting!$K$1,report_B_CategorieBoekjaar[[#This Row],[CategorieCode]],0),0)</f>
        <v>0</v>
      </c>
    </row>
    <row r="641" spans="1:9" x14ac:dyDescent="0.3">
      <c r="A641" t="s">
        <v>330</v>
      </c>
      <c r="B641" s="20">
        <v>45292</v>
      </c>
      <c r="C641" t="s">
        <v>474</v>
      </c>
      <c r="D641" t="s">
        <v>475</v>
      </c>
      <c r="E641" t="s">
        <v>384</v>
      </c>
      <c r="F641">
        <v>0</v>
      </c>
      <c r="G641">
        <v>0</v>
      </c>
      <c r="H641">
        <f>IF(report_B_CategorieBoekjaar[[#This Row],[BedrijfsCode]]="002",IF(report_B_CategorieBoekjaar[[#This Row],[Boekjaar]]=Projectbegroting!$K$1,report_B_CategorieBoekjaar[[#This Row],[CategorieCode]],0),0)</f>
        <v>0</v>
      </c>
      <c r="I641">
        <f>IF(report_B_CategorieBoekjaar[[#This Row],[BedrijfsCode]]="001",IF(report_B_CategorieBoekjaar[[#This Row],[Boekjaar]]=Projectbegroting!$K$1,report_B_CategorieBoekjaar[[#This Row],[CategorieCode]],0),0)</f>
        <v>0</v>
      </c>
    </row>
    <row r="642" spans="1:9" x14ac:dyDescent="0.3">
      <c r="A642" t="s">
        <v>330</v>
      </c>
      <c r="B642" s="20">
        <v>45292</v>
      </c>
      <c r="C642" t="s">
        <v>64</v>
      </c>
      <c r="D642" t="s">
        <v>476</v>
      </c>
      <c r="E642" t="s">
        <v>381</v>
      </c>
      <c r="F642">
        <v>43</v>
      </c>
      <c r="G642">
        <v>0</v>
      </c>
      <c r="H642">
        <f>IF(report_B_CategorieBoekjaar[[#This Row],[BedrijfsCode]]="002",IF(report_B_CategorieBoekjaar[[#This Row],[Boekjaar]]=Projectbegroting!$K$1,report_B_CategorieBoekjaar[[#This Row],[CategorieCode]],0),0)</f>
        <v>0</v>
      </c>
      <c r="I642">
        <f>IF(report_B_CategorieBoekjaar[[#This Row],[BedrijfsCode]]="001",IF(report_B_CategorieBoekjaar[[#This Row],[Boekjaar]]=Projectbegroting!$K$1,report_B_CategorieBoekjaar[[#This Row],[CategorieCode]],0),0)</f>
        <v>0</v>
      </c>
    </row>
    <row r="643" spans="1:9" x14ac:dyDescent="0.3">
      <c r="A643" t="s">
        <v>330</v>
      </c>
      <c r="B643" s="20">
        <v>45292</v>
      </c>
      <c r="C643" t="s">
        <v>477</v>
      </c>
      <c r="D643" t="s">
        <v>478</v>
      </c>
      <c r="E643" t="s">
        <v>384</v>
      </c>
      <c r="F643">
        <v>0</v>
      </c>
      <c r="G643">
        <v>0</v>
      </c>
      <c r="H643">
        <f>IF(report_B_CategorieBoekjaar[[#This Row],[BedrijfsCode]]="002",IF(report_B_CategorieBoekjaar[[#This Row],[Boekjaar]]=Projectbegroting!$K$1,report_B_CategorieBoekjaar[[#This Row],[CategorieCode]],0),0)</f>
        <v>0</v>
      </c>
      <c r="I643">
        <f>IF(report_B_CategorieBoekjaar[[#This Row],[BedrijfsCode]]="001",IF(report_B_CategorieBoekjaar[[#This Row],[Boekjaar]]=Projectbegroting!$K$1,report_B_CategorieBoekjaar[[#This Row],[CategorieCode]],0),0)</f>
        <v>0</v>
      </c>
    </row>
    <row r="644" spans="1:9" x14ac:dyDescent="0.3">
      <c r="A644" t="s">
        <v>330</v>
      </c>
      <c r="B644" s="20">
        <v>45292</v>
      </c>
      <c r="C644" t="s">
        <v>80</v>
      </c>
      <c r="D644" t="s">
        <v>81</v>
      </c>
      <c r="E644" t="s">
        <v>381</v>
      </c>
      <c r="F644">
        <v>82</v>
      </c>
      <c r="G644">
        <v>0</v>
      </c>
      <c r="H644">
        <f>IF(report_B_CategorieBoekjaar[[#This Row],[BedrijfsCode]]="002",IF(report_B_CategorieBoekjaar[[#This Row],[Boekjaar]]=Projectbegroting!$K$1,report_B_CategorieBoekjaar[[#This Row],[CategorieCode]],0),0)</f>
        <v>0</v>
      </c>
      <c r="I644">
        <f>IF(report_B_CategorieBoekjaar[[#This Row],[BedrijfsCode]]="001",IF(report_B_CategorieBoekjaar[[#This Row],[Boekjaar]]=Projectbegroting!$K$1,report_B_CategorieBoekjaar[[#This Row],[CategorieCode]],0),0)</f>
        <v>0</v>
      </c>
    </row>
    <row r="645" spans="1:9" x14ac:dyDescent="0.3">
      <c r="A645" t="s">
        <v>330</v>
      </c>
      <c r="B645" s="20">
        <v>45292</v>
      </c>
      <c r="C645" t="s">
        <v>479</v>
      </c>
      <c r="D645" t="s">
        <v>480</v>
      </c>
      <c r="E645" t="s">
        <v>384</v>
      </c>
      <c r="F645">
        <v>0</v>
      </c>
      <c r="G645">
        <v>0</v>
      </c>
      <c r="H645">
        <f>IF(report_B_CategorieBoekjaar[[#This Row],[BedrijfsCode]]="002",IF(report_B_CategorieBoekjaar[[#This Row],[Boekjaar]]=Projectbegroting!$K$1,report_B_CategorieBoekjaar[[#This Row],[CategorieCode]],0),0)</f>
        <v>0</v>
      </c>
      <c r="I645">
        <f>IF(report_B_CategorieBoekjaar[[#This Row],[BedrijfsCode]]="001",IF(report_B_CategorieBoekjaar[[#This Row],[Boekjaar]]=Projectbegroting!$K$1,report_B_CategorieBoekjaar[[#This Row],[CategorieCode]],0),0)</f>
        <v>0</v>
      </c>
    </row>
    <row r="646" spans="1:9" x14ac:dyDescent="0.3">
      <c r="A646" t="s">
        <v>330</v>
      </c>
      <c r="B646" s="20">
        <v>45292</v>
      </c>
      <c r="C646" t="s">
        <v>481</v>
      </c>
      <c r="D646" t="s">
        <v>482</v>
      </c>
      <c r="E646" t="s">
        <v>384</v>
      </c>
      <c r="F646">
        <v>0</v>
      </c>
      <c r="G646">
        <v>0</v>
      </c>
      <c r="H646">
        <f>IF(report_B_CategorieBoekjaar[[#This Row],[BedrijfsCode]]="002",IF(report_B_CategorieBoekjaar[[#This Row],[Boekjaar]]=Projectbegroting!$K$1,report_B_CategorieBoekjaar[[#This Row],[CategorieCode]],0),0)</f>
        <v>0</v>
      </c>
      <c r="I646">
        <f>IF(report_B_CategorieBoekjaar[[#This Row],[BedrijfsCode]]="001",IF(report_B_CategorieBoekjaar[[#This Row],[Boekjaar]]=Projectbegroting!$K$1,report_B_CategorieBoekjaar[[#This Row],[CategorieCode]],0),0)</f>
        <v>0</v>
      </c>
    </row>
    <row r="647" spans="1:9" x14ac:dyDescent="0.3">
      <c r="A647" t="s">
        <v>330</v>
      </c>
      <c r="B647" s="20">
        <v>45292</v>
      </c>
      <c r="C647" t="s">
        <v>98</v>
      </c>
      <c r="D647" t="s">
        <v>99</v>
      </c>
      <c r="E647" t="s">
        <v>381</v>
      </c>
      <c r="F647">
        <v>74</v>
      </c>
      <c r="G647">
        <v>105</v>
      </c>
      <c r="H647">
        <f>IF(report_B_CategorieBoekjaar[[#This Row],[BedrijfsCode]]="002",IF(report_B_CategorieBoekjaar[[#This Row],[Boekjaar]]=Projectbegroting!$K$1,report_B_CategorieBoekjaar[[#This Row],[CategorieCode]],0),0)</f>
        <v>0</v>
      </c>
      <c r="I647">
        <f>IF(report_B_CategorieBoekjaar[[#This Row],[BedrijfsCode]]="001",IF(report_B_CategorieBoekjaar[[#This Row],[Boekjaar]]=Projectbegroting!$K$1,report_B_CategorieBoekjaar[[#This Row],[CategorieCode]],0),0)</f>
        <v>0</v>
      </c>
    </row>
    <row r="648" spans="1:9" x14ac:dyDescent="0.3">
      <c r="A648" t="s">
        <v>330</v>
      </c>
      <c r="B648" s="20">
        <v>45292</v>
      </c>
      <c r="C648" t="s">
        <v>483</v>
      </c>
      <c r="D648" t="s">
        <v>484</v>
      </c>
      <c r="E648" t="s">
        <v>381</v>
      </c>
      <c r="F648">
        <v>153</v>
      </c>
      <c r="G648">
        <v>134</v>
      </c>
      <c r="H648">
        <f>IF(report_B_CategorieBoekjaar[[#This Row],[BedrijfsCode]]="002",IF(report_B_CategorieBoekjaar[[#This Row],[Boekjaar]]=Projectbegroting!$K$1,report_B_CategorieBoekjaar[[#This Row],[CategorieCode]],0),0)</f>
        <v>0</v>
      </c>
      <c r="I648">
        <f>IF(report_B_CategorieBoekjaar[[#This Row],[BedrijfsCode]]="001",IF(report_B_CategorieBoekjaar[[#This Row],[Boekjaar]]=Projectbegroting!$K$1,report_B_CategorieBoekjaar[[#This Row],[CategorieCode]],0),0)</f>
        <v>0</v>
      </c>
    </row>
    <row r="649" spans="1:9" x14ac:dyDescent="0.3">
      <c r="A649" t="s">
        <v>330</v>
      </c>
      <c r="B649" s="20">
        <v>45292</v>
      </c>
      <c r="C649" t="s">
        <v>485</v>
      </c>
      <c r="D649" t="s">
        <v>486</v>
      </c>
      <c r="E649" t="s">
        <v>384</v>
      </c>
      <c r="F649">
        <v>0</v>
      </c>
      <c r="G649">
        <v>0</v>
      </c>
      <c r="H649">
        <f>IF(report_B_CategorieBoekjaar[[#This Row],[BedrijfsCode]]="002",IF(report_B_CategorieBoekjaar[[#This Row],[Boekjaar]]=Projectbegroting!$K$1,report_B_CategorieBoekjaar[[#This Row],[CategorieCode]],0),0)</f>
        <v>0</v>
      </c>
      <c r="I649">
        <f>IF(report_B_CategorieBoekjaar[[#This Row],[BedrijfsCode]]="001",IF(report_B_CategorieBoekjaar[[#This Row],[Boekjaar]]=Projectbegroting!$K$1,report_B_CategorieBoekjaar[[#This Row],[CategorieCode]],0),0)</f>
        <v>0</v>
      </c>
    </row>
    <row r="650" spans="1:9" x14ac:dyDescent="0.3">
      <c r="A650" t="s">
        <v>330</v>
      </c>
      <c r="B650" s="20">
        <v>45292</v>
      </c>
      <c r="C650" t="s">
        <v>175</v>
      </c>
      <c r="D650" t="s">
        <v>487</v>
      </c>
      <c r="E650" t="s">
        <v>384</v>
      </c>
      <c r="F650">
        <v>0</v>
      </c>
      <c r="G650">
        <v>0</v>
      </c>
      <c r="H650">
        <f>IF(report_B_CategorieBoekjaar[[#This Row],[BedrijfsCode]]="002",IF(report_B_CategorieBoekjaar[[#This Row],[Boekjaar]]=Projectbegroting!$K$1,report_B_CategorieBoekjaar[[#This Row],[CategorieCode]],0),0)</f>
        <v>0</v>
      </c>
      <c r="I650">
        <f>IF(report_B_CategorieBoekjaar[[#This Row],[BedrijfsCode]]="001",IF(report_B_CategorieBoekjaar[[#This Row],[Boekjaar]]=Projectbegroting!$K$1,report_B_CategorieBoekjaar[[#This Row],[CategorieCode]],0),0)</f>
        <v>0</v>
      </c>
    </row>
    <row r="651" spans="1:9" x14ac:dyDescent="0.3">
      <c r="A651" t="s">
        <v>330</v>
      </c>
      <c r="B651" s="20">
        <v>45292</v>
      </c>
      <c r="C651" t="s">
        <v>488</v>
      </c>
      <c r="D651" t="s">
        <v>489</v>
      </c>
      <c r="E651" t="s">
        <v>381</v>
      </c>
      <c r="F651">
        <v>74</v>
      </c>
      <c r="G651">
        <v>105</v>
      </c>
      <c r="H651">
        <f>IF(report_B_CategorieBoekjaar[[#This Row],[BedrijfsCode]]="002",IF(report_B_CategorieBoekjaar[[#This Row],[Boekjaar]]=Projectbegroting!$K$1,report_B_CategorieBoekjaar[[#This Row],[CategorieCode]],0),0)</f>
        <v>0</v>
      </c>
      <c r="I651">
        <f>IF(report_B_CategorieBoekjaar[[#This Row],[BedrijfsCode]]="001",IF(report_B_CategorieBoekjaar[[#This Row],[Boekjaar]]=Projectbegroting!$K$1,report_B_CategorieBoekjaar[[#This Row],[CategorieCode]],0),0)</f>
        <v>0</v>
      </c>
    </row>
    <row r="652" spans="1:9" x14ac:dyDescent="0.3">
      <c r="A652" t="s">
        <v>330</v>
      </c>
      <c r="B652" s="20">
        <v>45292</v>
      </c>
      <c r="C652" t="s">
        <v>490</v>
      </c>
      <c r="D652" t="s">
        <v>491</v>
      </c>
      <c r="E652" t="s">
        <v>384</v>
      </c>
      <c r="F652">
        <v>0</v>
      </c>
      <c r="G652">
        <v>0</v>
      </c>
      <c r="H652">
        <f>IF(report_B_CategorieBoekjaar[[#This Row],[BedrijfsCode]]="002",IF(report_B_CategorieBoekjaar[[#This Row],[Boekjaar]]=Projectbegroting!$K$1,report_B_CategorieBoekjaar[[#This Row],[CategorieCode]],0),0)</f>
        <v>0</v>
      </c>
      <c r="I652">
        <f>IF(report_B_CategorieBoekjaar[[#This Row],[BedrijfsCode]]="001",IF(report_B_CategorieBoekjaar[[#This Row],[Boekjaar]]=Projectbegroting!$K$1,report_B_CategorieBoekjaar[[#This Row],[CategorieCode]],0),0)</f>
        <v>0</v>
      </c>
    </row>
    <row r="653" spans="1:9" x14ac:dyDescent="0.3">
      <c r="A653" t="s">
        <v>330</v>
      </c>
      <c r="B653" s="20">
        <v>45292</v>
      </c>
      <c r="C653" t="s">
        <v>68</v>
      </c>
      <c r="D653" t="s">
        <v>492</v>
      </c>
      <c r="E653" t="s">
        <v>381</v>
      </c>
      <c r="F653">
        <v>51</v>
      </c>
      <c r="G653">
        <v>82</v>
      </c>
      <c r="H653">
        <f>IF(report_B_CategorieBoekjaar[[#This Row],[BedrijfsCode]]="002",IF(report_B_CategorieBoekjaar[[#This Row],[Boekjaar]]=Projectbegroting!$K$1,report_B_CategorieBoekjaar[[#This Row],[CategorieCode]],0),0)</f>
        <v>0</v>
      </c>
      <c r="I653">
        <f>IF(report_B_CategorieBoekjaar[[#This Row],[BedrijfsCode]]="001",IF(report_B_CategorieBoekjaar[[#This Row],[Boekjaar]]=Projectbegroting!$K$1,report_B_CategorieBoekjaar[[#This Row],[CategorieCode]],0),0)</f>
        <v>0</v>
      </c>
    </row>
    <row r="654" spans="1:9" x14ac:dyDescent="0.3">
      <c r="A654" t="s">
        <v>330</v>
      </c>
      <c r="B654" s="20">
        <v>45292</v>
      </c>
      <c r="C654" t="s">
        <v>177</v>
      </c>
      <c r="D654" t="s">
        <v>493</v>
      </c>
      <c r="E654" t="s">
        <v>384</v>
      </c>
      <c r="F654">
        <v>0</v>
      </c>
      <c r="G654">
        <v>0</v>
      </c>
      <c r="H654">
        <f>IF(report_B_CategorieBoekjaar[[#This Row],[BedrijfsCode]]="002",IF(report_B_CategorieBoekjaar[[#This Row],[Boekjaar]]=Projectbegroting!$K$1,report_B_CategorieBoekjaar[[#This Row],[CategorieCode]],0),0)</f>
        <v>0</v>
      </c>
      <c r="I654">
        <f>IF(report_B_CategorieBoekjaar[[#This Row],[BedrijfsCode]]="001",IF(report_B_CategorieBoekjaar[[#This Row],[Boekjaar]]=Projectbegroting!$K$1,report_B_CategorieBoekjaar[[#This Row],[CategorieCode]],0),0)</f>
        <v>0</v>
      </c>
    </row>
    <row r="655" spans="1:9" x14ac:dyDescent="0.3">
      <c r="A655" t="s">
        <v>330</v>
      </c>
      <c r="B655" s="20">
        <v>45292</v>
      </c>
      <c r="C655" t="s">
        <v>494</v>
      </c>
      <c r="D655" t="s">
        <v>495</v>
      </c>
      <c r="E655" t="s">
        <v>381</v>
      </c>
      <c r="F655">
        <v>42</v>
      </c>
      <c r="G655">
        <v>83</v>
      </c>
      <c r="H655">
        <f>IF(report_B_CategorieBoekjaar[[#This Row],[BedrijfsCode]]="002",IF(report_B_CategorieBoekjaar[[#This Row],[Boekjaar]]=Projectbegroting!$K$1,report_B_CategorieBoekjaar[[#This Row],[CategorieCode]],0),0)</f>
        <v>0</v>
      </c>
      <c r="I655">
        <f>IF(report_B_CategorieBoekjaar[[#This Row],[BedrijfsCode]]="001",IF(report_B_CategorieBoekjaar[[#This Row],[Boekjaar]]=Projectbegroting!$K$1,report_B_CategorieBoekjaar[[#This Row],[CategorieCode]],0),0)</f>
        <v>0</v>
      </c>
    </row>
    <row r="656" spans="1:9" x14ac:dyDescent="0.3">
      <c r="A656" t="s">
        <v>330</v>
      </c>
      <c r="B656" s="20">
        <v>45292</v>
      </c>
      <c r="C656" t="s">
        <v>496</v>
      </c>
      <c r="D656" t="s">
        <v>497</v>
      </c>
      <c r="E656" t="s">
        <v>384</v>
      </c>
      <c r="F656">
        <v>0</v>
      </c>
      <c r="G656">
        <v>0</v>
      </c>
      <c r="H656">
        <f>IF(report_B_CategorieBoekjaar[[#This Row],[BedrijfsCode]]="002",IF(report_B_CategorieBoekjaar[[#This Row],[Boekjaar]]=Projectbegroting!$K$1,report_B_CategorieBoekjaar[[#This Row],[CategorieCode]],0),0)</f>
        <v>0</v>
      </c>
      <c r="I656">
        <f>IF(report_B_CategorieBoekjaar[[#This Row],[BedrijfsCode]]="001",IF(report_B_CategorieBoekjaar[[#This Row],[Boekjaar]]=Projectbegroting!$K$1,report_B_CategorieBoekjaar[[#This Row],[CategorieCode]],0),0)</f>
        <v>0</v>
      </c>
    </row>
    <row r="657" spans="1:9" x14ac:dyDescent="0.3">
      <c r="A657" t="s">
        <v>330</v>
      </c>
      <c r="B657" s="20">
        <v>45292</v>
      </c>
      <c r="C657" t="s">
        <v>70</v>
      </c>
      <c r="D657" t="s">
        <v>498</v>
      </c>
      <c r="E657" t="s">
        <v>381</v>
      </c>
      <c r="F657">
        <v>41</v>
      </c>
      <c r="G657">
        <v>0</v>
      </c>
      <c r="H657">
        <f>IF(report_B_CategorieBoekjaar[[#This Row],[BedrijfsCode]]="002",IF(report_B_CategorieBoekjaar[[#This Row],[Boekjaar]]=Projectbegroting!$K$1,report_B_CategorieBoekjaar[[#This Row],[CategorieCode]],0),0)</f>
        <v>0</v>
      </c>
      <c r="I657">
        <f>IF(report_B_CategorieBoekjaar[[#This Row],[BedrijfsCode]]="001",IF(report_B_CategorieBoekjaar[[#This Row],[Boekjaar]]=Projectbegroting!$K$1,report_B_CategorieBoekjaar[[#This Row],[CategorieCode]],0),0)</f>
        <v>0</v>
      </c>
    </row>
    <row r="658" spans="1:9" x14ac:dyDescent="0.3">
      <c r="A658" t="s">
        <v>330</v>
      </c>
      <c r="B658" s="20">
        <v>45292</v>
      </c>
      <c r="C658" t="s">
        <v>499</v>
      </c>
      <c r="D658" t="s">
        <v>500</v>
      </c>
      <c r="E658" t="s">
        <v>384</v>
      </c>
      <c r="F658">
        <v>0</v>
      </c>
      <c r="G658">
        <v>0</v>
      </c>
      <c r="H658">
        <f>IF(report_B_CategorieBoekjaar[[#This Row],[BedrijfsCode]]="002",IF(report_B_CategorieBoekjaar[[#This Row],[Boekjaar]]=Projectbegroting!$K$1,report_B_CategorieBoekjaar[[#This Row],[CategorieCode]],0),0)</f>
        <v>0</v>
      </c>
      <c r="I658">
        <f>IF(report_B_CategorieBoekjaar[[#This Row],[BedrijfsCode]]="001",IF(report_B_CategorieBoekjaar[[#This Row],[Boekjaar]]=Projectbegroting!$K$1,report_B_CategorieBoekjaar[[#This Row],[CategorieCode]],0),0)</f>
        <v>0</v>
      </c>
    </row>
    <row r="659" spans="1:9" x14ac:dyDescent="0.3">
      <c r="A659" t="s">
        <v>330</v>
      </c>
      <c r="B659" s="20">
        <v>45292</v>
      </c>
      <c r="C659" t="s">
        <v>501</v>
      </c>
      <c r="D659" t="s">
        <v>502</v>
      </c>
      <c r="E659" t="s">
        <v>381</v>
      </c>
      <c r="F659">
        <v>74</v>
      </c>
      <c r="G659">
        <v>117</v>
      </c>
      <c r="H659">
        <f>IF(report_B_CategorieBoekjaar[[#This Row],[BedrijfsCode]]="002",IF(report_B_CategorieBoekjaar[[#This Row],[Boekjaar]]=Projectbegroting!$K$1,report_B_CategorieBoekjaar[[#This Row],[CategorieCode]],0),0)</f>
        <v>0</v>
      </c>
      <c r="I659">
        <f>IF(report_B_CategorieBoekjaar[[#This Row],[BedrijfsCode]]="001",IF(report_B_CategorieBoekjaar[[#This Row],[Boekjaar]]=Projectbegroting!$K$1,report_B_CategorieBoekjaar[[#This Row],[CategorieCode]],0),0)</f>
        <v>0</v>
      </c>
    </row>
    <row r="660" spans="1:9" x14ac:dyDescent="0.3">
      <c r="A660" t="s">
        <v>330</v>
      </c>
      <c r="B660" s="20">
        <v>45292</v>
      </c>
      <c r="C660" t="s">
        <v>503</v>
      </c>
      <c r="D660" t="s">
        <v>504</v>
      </c>
      <c r="E660" t="s">
        <v>384</v>
      </c>
      <c r="F660">
        <v>0</v>
      </c>
      <c r="G660">
        <v>0</v>
      </c>
      <c r="H660">
        <f>IF(report_B_CategorieBoekjaar[[#This Row],[BedrijfsCode]]="002",IF(report_B_CategorieBoekjaar[[#This Row],[Boekjaar]]=Projectbegroting!$K$1,report_B_CategorieBoekjaar[[#This Row],[CategorieCode]],0),0)</f>
        <v>0</v>
      </c>
      <c r="I660">
        <f>IF(report_B_CategorieBoekjaar[[#This Row],[BedrijfsCode]]="001",IF(report_B_CategorieBoekjaar[[#This Row],[Boekjaar]]=Projectbegroting!$K$1,report_B_CategorieBoekjaar[[#This Row],[CategorieCode]],0),0)</f>
        <v>0</v>
      </c>
    </row>
    <row r="661" spans="1:9" x14ac:dyDescent="0.3">
      <c r="A661" t="s">
        <v>330</v>
      </c>
      <c r="B661" s="20">
        <v>45292</v>
      </c>
      <c r="C661" t="s">
        <v>505</v>
      </c>
      <c r="D661" t="s">
        <v>506</v>
      </c>
      <c r="E661" t="s">
        <v>381</v>
      </c>
      <c r="F661">
        <v>0</v>
      </c>
      <c r="G661">
        <v>0</v>
      </c>
      <c r="H661">
        <f>IF(report_B_CategorieBoekjaar[[#This Row],[BedrijfsCode]]="002",IF(report_B_CategorieBoekjaar[[#This Row],[Boekjaar]]=Projectbegroting!$K$1,report_B_CategorieBoekjaar[[#This Row],[CategorieCode]],0),0)</f>
        <v>0</v>
      </c>
      <c r="I661">
        <f>IF(report_B_CategorieBoekjaar[[#This Row],[BedrijfsCode]]="001",IF(report_B_CategorieBoekjaar[[#This Row],[Boekjaar]]=Projectbegroting!$K$1,report_B_CategorieBoekjaar[[#This Row],[CategorieCode]],0),0)</f>
        <v>0</v>
      </c>
    </row>
    <row r="662" spans="1:9" x14ac:dyDescent="0.3">
      <c r="A662" t="s">
        <v>330</v>
      </c>
      <c r="B662" s="20">
        <v>45292</v>
      </c>
      <c r="C662" t="s">
        <v>507</v>
      </c>
      <c r="D662" t="s">
        <v>508</v>
      </c>
      <c r="E662" t="s">
        <v>384</v>
      </c>
      <c r="F662">
        <v>0</v>
      </c>
      <c r="G662">
        <v>0</v>
      </c>
      <c r="H662">
        <f>IF(report_B_CategorieBoekjaar[[#This Row],[BedrijfsCode]]="002",IF(report_B_CategorieBoekjaar[[#This Row],[Boekjaar]]=Projectbegroting!$K$1,report_B_CategorieBoekjaar[[#This Row],[CategorieCode]],0),0)</f>
        <v>0</v>
      </c>
      <c r="I662">
        <f>IF(report_B_CategorieBoekjaar[[#This Row],[BedrijfsCode]]="001",IF(report_B_CategorieBoekjaar[[#This Row],[Boekjaar]]=Projectbegroting!$K$1,report_B_CategorieBoekjaar[[#This Row],[CategorieCode]],0),0)</f>
        <v>0</v>
      </c>
    </row>
    <row r="663" spans="1:9" x14ac:dyDescent="0.3">
      <c r="A663" t="s">
        <v>330</v>
      </c>
      <c r="B663" s="20">
        <v>45292</v>
      </c>
      <c r="C663" t="s">
        <v>509</v>
      </c>
      <c r="D663" t="s">
        <v>510</v>
      </c>
      <c r="E663" t="s">
        <v>381</v>
      </c>
      <c r="F663">
        <v>154</v>
      </c>
      <c r="G663">
        <v>0</v>
      </c>
      <c r="H663">
        <f>IF(report_B_CategorieBoekjaar[[#This Row],[BedrijfsCode]]="002",IF(report_B_CategorieBoekjaar[[#This Row],[Boekjaar]]=Projectbegroting!$K$1,report_B_CategorieBoekjaar[[#This Row],[CategorieCode]],0),0)</f>
        <v>0</v>
      </c>
      <c r="I663">
        <f>IF(report_B_CategorieBoekjaar[[#This Row],[BedrijfsCode]]="001",IF(report_B_CategorieBoekjaar[[#This Row],[Boekjaar]]=Projectbegroting!$K$1,report_B_CategorieBoekjaar[[#This Row],[CategorieCode]],0),0)</f>
        <v>0</v>
      </c>
    </row>
    <row r="664" spans="1:9" x14ac:dyDescent="0.3">
      <c r="A664" t="s">
        <v>330</v>
      </c>
      <c r="B664" s="20">
        <v>45292</v>
      </c>
      <c r="C664" t="s">
        <v>511</v>
      </c>
      <c r="D664" t="s">
        <v>512</v>
      </c>
      <c r="E664" t="s">
        <v>381</v>
      </c>
      <c r="F664">
        <v>0</v>
      </c>
      <c r="G664">
        <v>0</v>
      </c>
      <c r="H664">
        <f>IF(report_B_CategorieBoekjaar[[#This Row],[BedrijfsCode]]="002",IF(report_B_CategorieBoekjaar[[#This Row],[Boekjaar]]=Projectbegroting!$K$1,report_B_CategorieBoekjaar[[#This Row],[CategorieCode]],0),0)</f>
        <v>0</v>
      </c>
      <c r="I664">
        <f>IF(report_B_CategorieBoekjaar[[#This Row],[BedrijfsCode]]="001",IF(report_B_CategorieBoekjaar[[#This Row],[Boekjaar]]=Projectbegroting!$K$1,report_B_CategorieBoekjaar[[#This Row],[CategorieCode]],0),0)</f>
        <v>0</v>
      </c>
    </row>
    <row r="665" spans="1:9" x14ac:dyDescent="0.3">
      <c r="A665" t="s">
        <v>330</v>
      </c>
      <c r="B665" s="20">
        <v>45292</v>
      </c>
      <c r="C665" t="s">
        <v>92</v>
      </c>
      <c r="D665" t="s">
        <v>513</v>
      </c>
      <c r="E665" t="s">
        <v>381</v>
      </c>
      <c r="F665">
        <v>64</v>
      </c>
      <c r="G665">
        <v>83</v>
      </c>
      <c r="H665">
        <f>IF(report_B_CategorieBoekjaar[[#This Row],[BedrijfsCode]]="002",IF(report_B_CategorieBoekjaar[[#This Row],[Boekjaar]]=Projectbegroting!$K$1,report_B_CategorieBoekjaar[[#This Row],[CategorieCode]],0),0)</f>
        <v>0</v>
      </c>
      <c r="I665">
        <f>IF(report_B_CategorieBoekjaar[[#This Row],[BedrijfsCode]]="001",IF(report_B_CategorieBoekjaar[[#This Row],[Boekjaar]]=Projectbegroting!$K$1,report_B_CategorieBoekjaar[[#This Row],[CategorieCode]],0),0)</f>
        <v>0</v>
      </c>
    </row>
    <row r="666" spans="1:9" x14ac:dyDescent="0.3">
      <c r="A666" t="s">
        <v>330</v>
      </c>
      <c r="B666" s="20">
        <v>45292</v>
      </c>
      <c r="C666" t="s">
        <v>514</v>
      </c>
      <c r="D666" t="s">
        <v>515</v>
      </c>
      <c r="E666" t="s">
        <v>384</v>
      </c>
      <c r="F666">
        <v>0</v>
      </c>
      <c r="G666">
        <v>0</v>
      </c>
      <c r="H666">
        <f>IF(report_B_CategorieBoekjaar[[#This Row],[BedrijfsCode]]="002",IF(report_B_CategorieBoekjaar[[#This Row],[Boekjaar]]=Projectbegroting!$K$1,report_B_CategorieBoekjaar[[#This Row],[CategorieCode]],0),0)</f>
        <v>0</v>
      </c>
      <c r="I666">
        <f>IF(report_B_CategorieBoekjaar[[#This Row],[BedrijfsCode]]="001",IF(report_B_CategorieBoekjaar[[#This Row],[Boekjaar]]=Projectbegroting!$K$1,report_B_CategorieBoekjaar[[#This Row],[CategorieCode]],0),0)</f>
        <v>0</v>
      </c>
    </row>
    <row r="667" spans="1:9" x14ac:dyDescent="0.3">
      <c r="A667" t="s">
        <v>330</v>
      </c>
      <c r="B667" s="20">
        <v>45292</v>
      </c>
      <c r="C667" t="s">
        <v>72</v>
      </c>
      <c r="D667" t="s">
        <v>516</v>
      </c>
      <c r="E667" t="s">
        <v>381</v>
      </c>
      <c r="F667">
        <v>55</v>
      </c>
      <c r="G667">
        <v>70</v>
      </c>
      <c r="H667">
        <f>IF(report_B_CategorieBoekjaar[[#This Row],[BedrijfsCode]]="002",IF(report_B_CategorieBoekjaar[[#This Row],[Boekjaar]]=Projectbegroting!$K$1,report_B_CategorieBoekjaar[[#This Row],[CategorieCode]],0),0)</f>
        <v>0</v>
      </c>
      <c r="I667">
        <f>IF(report_B_CategorieBoekjaar[[#This Row],[BedrijfsCode]]="001",IF(report_B_CategorieBoekjaar[[#This Row],[Boekjaar]]=Projectbegroting!$K$1,report_B_CategorieBoekjaar[[#This Row],[CategorieCode]],0),0)</f>
        <v>0</v>
      </c>
    </row>
    <row r="668" spans="1:9" x14ac:dyDescent="0.3">
      <c r="A668" t="s">
        <v>330</v>
      </c>
      <c r="B668" s="20">
        <v>45292</v>
      </c>
      <c r="C668" t="s">
        <v>517</v>
      </c>
      <c r="D668" t="s">
        <v>518</v>
      </c>
      <c r="E668" t="s">
        <v>384</v>
      </c>
      <c r="F668">
        <v>0</v>
      </c>
      <c r="G668">
        <v>0</v>
      </c>
      <c r="H668">
        <f>IF(report_B_CategorieBoekjaar[[#This Row],[BedrijfsCode]]="002",IF(report_B_CategorieBoekjaar[[#This Row],[Boekjaar]]=Projectbegroting!$K$1,report_B_CategorieBoekjaar[[#This Row],[CategorieCode]],0),0)</f>
        <v>0</v>
      </c>
      <c r="I668">
        <f>IF(report_B_CategorieBoekjaar[[#This Row],[BedrijfsCode]]="001",IF(report_B_CategorieBoekjaar[[#This Row],[Boekjaar]]=Projectbegroting!$K$1,report_B_CategorieBoekjaar[[#This Row],[CategorieCode]],0),0)</f>
        <v>0</v>
      </c>
    </row>
    <row r="669" spans="1:9" x14ac:dyDescent="0.3">
      <c r="A669" t="s">
        <v>330</v>
      </c>
      <c r="B669" s="20">
        <v>45292</v>
      </c>
      <c r="C669" t="s">
        <v>74</v>
      </c>
      <c r="D669" t="s">
        <v>75</v>
      </c>
      <c r="E669" t="s">
        <v>381</v>
      </c>
      <c r="F669">
        <v>41</v>
      </c>
      <c r="G669">
        <v>72</v>
      </c>
      <c r="H669">
        <f>IF(report_B_CategorieBoekjaar[[#This Row],[BedrijfsCode]]="002",IF(report_B_CategorieBoekjaar[[#This Row],[Boekjaar]]=Projectbegroting!$K$1,report_B_CategorieBoekjaar[[#This Row],[CategorieCode]],0),0)</f>
        <v>0</v>
      </c>
      <c r="I669">
        <f>IF(report_B_CategorieBoekjaar[[#This Row],[BedrijfsCode]]="001",IF(report_B_CategorieBoekjaar[[#This Row],[Boekjaar]]=Projectbegroting!$K$1,report_B_CategorieBoekjaar[[#This Row],[CategorieCode]],0),0)</f>
        <v>0</v>
      </c>
    </row>
    <row r="670" spans="1:9" x14ac:dyDescent="0.3">
      <c r="A670" t="s">
        <v>330</v>
      </c>
      <c r="B670" s="20">
        <v>45292</v>
      </c>
      <c r="C670" t="s">
        <v>178</v>
      </c>
      <c r="D670" t="s">
        <v>519</v>
      </c>
      <c r="E670" t="s">
        <v>384</v>
      </c>
      <c r="F670">
        <v>0</v>
      </c>
      <c r="G670">
        <v>0</v>
      </c>
      <c r="H670">
        <f>IF(report_B_CategorieBoekjaar[[#This Row],[BedrijfsCode]]="002",IF(report_B_CategorieBoekjaar[[#This Row],[Boekjaar]]=Projectbegroting!$K$1,report_B_CategorieBoekjaar[[#This Row],[CategorieCode]],0),0)</f>
        <v>0</v>
      </c>
      <c r="I670">
        <f>IF(report_B_CategorieBoekjaar[[#This Row],[BedrijfsCode]]="001",IF(report_B_CategorieBoekjaar[[#This Row],[Boekjaar]]=Projectbegroting!$K$1,report_B_CategorieBoekjaar[[#This Row],[CategorieCode]],0),0)</f>
        <v>0</v>
      </c>
    </row>
    <row r="671" spans="1:9" x14ac:dyDescent="0.3">
      <c r="A671" t="s">
        <v>330</v>
      </c>
      <c r="B671" s="20">
        <v>45292</v>
      </c>
      <c r="C671" t="s">
        <v>520</v>
      </c>
      <c r="D671" t="s">
        <v>521</v>
      </c>
      <c r="E671" t="s">
        <v>384</v>
      </c>
      <c r="F671">
        <v>0</v>
      </c>
      <c r="G671">
        <v>0</v>
      </c>
      <c r="H671">
        <f>IF(report_B_CategorieBoekjaar[[#This Row],[BedrijfsCode]]="002",IF(report_B_CategorieBoekjaar[[#This Row],[Boekjaar]]=Projectbegroting!$K$1,report_B_CategorieBoekjaar[[#This Row],[CategorieCode]],0),0)</f>
        <v>0</v>
      </c>
      <c r="I671">
        <f>IF(report_B_CategorieBoekjaar[[#This Row],[BedrijfsCode]]="001",IF(report_B_CategorieBoekjaar[[#This Row],[Boekjaar]]=Projectbegroting!$K$1,report_B_CategorieBoekjaar[[#This Row],[CategorieCode]],0),0)</f>
        <v>0</v>
      </c>
    </row>
    <row r="672" spans="1:9" x14ac:dyDescent="0.3">
      <c r="A672" t="s">
        <v>330</v>
      </c>
      <c r="B672" s="20">
        <v>45292</v>
      </c>
      <c r="C672" t="s">
        <v>522</v>
      </c>
      <c r="D672" t="s">
        <v>523</v>
      </c>
      <c r="E672" t="s">
        <v>381</v>
      </c>
      <c r="F672">
        <v>75</v>
      </c>
      <c r="G672">
        <v>0</v>
      </c>
      <c r="H672">
        <f>IF(report_B_CategorieBoekjaar[[#This Row],[BedrijfsCode]]="002",IF(report_B_CategorieBoekjaar[[#This Row],[Boekjaar]]=Projectbegroting!$K$1,report_B_CategorieBoekjaar[[#This Row],[CategorieCode]],0),0)</f>
        <v>0</v>
      </c>
      <c r="I672">
        <f>IF(report_B_CategorieBoekjaar[[#This Row],[BedrijfsCode]]="001",IF(report_B_CategorieBoekjaar[[#This Row],[Boekjaar]]=Projectbegroting!$K$1,report_B_CategorieBoekjaar[[#This Row],[CategorieCode]],0),0)</f>
        <v>0</v>
      </c>
    </row>
    <row r="673" spans="1:9" x14ac:dyDescent="0.3">
      <c r="A673" t="s">
        <v>330</v>
      </c>
      <c r="B673" s="20">
        <v>45292</v>
      </c>
      <c r="C673" t="s">
        <v>78</v>
      </c>
      <c r="D673" t="s">
        <v>79</v>
      </c>
      <c r="E673" t="s">
        <v>381</v>
      </c>
      <c r="F673">
        <v>70</v>
      </c>
      <c r="G673">
        <v>112</v>
      </c>
      <c r="H673">
        <f>IF(report_B_CategorieBoekjaar[[#This Row],[BedrijfsCode]]="002",IF(report_B_CategorieBoekjaar[[#This Row],[Boekjaar]]=Projectbegroting!$K$1,report_B_CategorieBoekjaar[[#This Row],[CategorieCode]],0),0)</f>
        <v>0</v>
      </c>
      <c r="I673">
        <f>IF(report_B_CategorieBoekjaar[[#This Row],[BedrijfsCode]]="001",IF(report_B_CategorieBoekjaar[[#This Row],[Boekjaar]]=Projectbegroting!$K$1,report_B_CategorieBoekjaar[[#This Row],[CategorieCode]],0),0)</f>
        <v>0</v>
      </c>
    </row>
    <row r="674" spans="1:9" x14ac:dyDescent="0.3">
      <c r="A674" t="s">
        <v>330</v>
      </c>
      <c r="B674" s="20">
        <v>45292</v>
      </c>
      <c r="C674" t="s">
        <v>176</v>
      </c>
      <c r="D674" t="s">
        <v>524</v>
      </c>
      <c r="E674" t="s">
        <v>384</v>
      </c>
      <c r="F674">
        <v>0</v>
      </c>
      <c r="G674">
        <v>0</v>
      </c>
      <c r="H674">
        <f>IF(report_B_CategorieBoekjaar[[#This Row],[BedrijfsCode]]="002",IF(report_B_CategorieBoekjaar[[#This Row],[Boekjaar]]=Projectbegroting!$K$1,report_B_CategorieBoekjaar[[#This Row],[CategorieCode]],0),0)</f>
        <v>0</v>
      </c>
      <c r="I674">
        <f>IF(report_B_CategorieBoekjaar[[#This Row],[BedrijfsCode]]="001",IF(report_B_CategorieBoekjaar[[#This Row],[Boekjaar]]=Projectbegroting!$K$1,report_B_CategorieBoekjaar[[#This Row],[CategorieCode]],0),0)</f>
        <v>0</v>
      </c>
    </row>
    <row r="675" spans="1:9" hidden="1" x14ac:dyDescent="0.3">
      <c r="A675" t="s">
        <v>525</v>
      </c>
      <c r="B675" s="20">
        <v>45292</v>
      </c>
      <c r="C675" t="s">
        <v>179</v>
      </c>
      <c r="D675" t="s">
        <v>331</v>
      </c>
      <c r="E675" t="s">
        <v>217</v>
      </c>
      <c r="F675">
        <v>0</v>
      </c>
      <c r="G675">
        <v>0</v>
      </c>
      <c r="H675">
        <f>IF(report_B_CategorieBoekjaar[[#This Row],[BedrijfsCode]]="002",IF(report_B_CategorieBoekjaar[[#This Row],[Boekjaar]]=Projectbegroting!$K$1,report_B_CategorieBoekjaar[[#This Row],[CategorieCode]],0),0)</f>
        <v>0</v>
      </c>
      <c r="I675">
        <f>IF(report_B_CategorieBoekjaar[[#This Row],[BedrijfsCode]]="001",IF(report_B_CategorieBoekjaar[[#This Row],[Boekjaar]]=Projectbegroting!$K$1,report_B_CategorieBoekjaar[[#This Row],[CategorieCode]],0),0)</f>
        <v>0</v>
      </c>
    </row>
    <row r="676" spans="1:9" hidden="1" x14ac:dyDescent="0.3">
      <c r="A676" t="s">
        <v>525</v>
      </c>
      <c r="B676" s="20">
        <v>45292</v>
      </c>
      <c r="C676" t="s">
        <v>180</v>
      </c>
      <c r="D676" t="s">
        <v>332</v>
      </c>
      <c r="E676" t="s">
        <v>217</v>
      </c>
      <c r="F676">
        <v>0</v>
      </c>
      <c r="G676">
        <v>0</v>
      </c>
      <c r="H676">
        <f>IF(report_B_CategorieBoekjaar[[#This Row],[BedrijfsCode]]="002",IF(report_B_CategorieBoekjaar[[#This Row],[Boekjaar]]=Projectbegroting!$K$1,report_B_CategorieBoekjaar[[#This Row],[CategorieCode]],0),0)</f>
        <v>0</v>
      </c>
      <c r="I676">
        <f>IF(report_B_CategorieBoekjaar[[#This Row],[BedrijfsCode]]="001",IF(report_B_CategorieBoekjaar[[#This Row],[Boekjaar]]=Projectbegroting!$K$1,report_B_CategorieBoekjaar[[#This Row],[CategorieCode]],0),0)</f>
        <v>0</v>
      </c>
    </row>
    <row r="677" spans="1:9" hidden="1" x14ac:dyDescent="0.3">
      <c r="A677" t="s">
        <v>525</v>
      </c>
      <c r="B677" s="20">
        <v>45292</v>
      </c>
      <c r="C677" t="s">
        <v>181</v>
      </c>
      <c r="D677" t="s">
        <v>333</v>
      </c>
      <c r="E677" t="s">
        <v>217</v>
      </c>
      <c r="F677">
        <v>0</v>
      </c>
      <c r="G677">
        <v>0</v>
      </c>
      <c r="H677">
        <f>IF(report_B_CategorieBoekjaar[[#This Row],[BedrijfsCode]]="002",IF(report_B_CategorieBoekjaar[[#This Row],[Boekjaar]]=Projectbegroting!$K$1,report_B_CategorieBoekjaar[[#This Row],[CategorieCode]],0),0)</f>
        <v>0</v>
      </c>
      <c r="I677">
        <f>IF(report_B_CategorieBoekjaar[[#This Row],[BedrijfsCode]]="001",IF(report_B_CategorieBoekjaar[[#This Row],[Boekjaar]]=Projectbegroting!$K$1,report_B_CategorieBoekjaar[[#This Row],[CategorieCode]],0),0)</f>
        <v>0</v>
      </c>
    </row>
    <row r="678" spans="1:9" hidden="1" x14ac:dyDescent="0.3">
      <c r="A678" t="s">
        <v>525</v>
      </c>
      <c r="B678" s="20">
        <v>45292</v>
      </c>
      <c r="C678" t="s">
        <v>182</v>
      </c>
      <c r="D678" t="s">
        <v>334</v>
      </c>
      <c r="E678" t="s">
        <v>217</v>
      </c>
      <c r="F678">
        <v>0</v>
      </c>
      <c r="G678">
        <v>0</v>
      </c>
      <c r="H678">
        <f>IF(report_B_CategorieBoekjaar[[#This Row],[BedrijfsCode]]="002",IF(report_B_CategorieBoekjaar[[#This Row],[Boekjaar]]=Projectbegroting!$K$1,report_B_CategorieBoekjaar[[#This Row],[CategorieCode]],0),0)</f>
        <v>0</v>
      </c>
      <c r="I678">
        <f>IF(report_B_CategorieBoekjaar[[#This Row],[BedrijfsCode]]="001",IF(report_B_CategorieBoekjaar[[#This Row],[Boekjaar]]=Projectbegroting!$K$1,report_B_CategorieBoekjaar[[#This Row],[CategorieCode]],0),0)</f>
        <v>0</v>
      </c>
    </row>
    <row r="679" spans="1:9" hidden="1" x14ac:dyDescent="0.3">
      <c r="A679" t="s">
        <v>525</v>
      </c>
      <c r="B679" s="20">
        <v>45292</v>
      </c>
      <c r="C679" t="s">
        <v>183</v>
      </c>
      <c r="D679" t="s">
        <v>335</v>
      </c>
      <c r="E679" t="s">
        <v>217</v>
      </c>
      <c r="F679">
        <v>0</v>
      </c>
      <c r="G679">
        <v>0</v>
      </c>
      <c r="H679">
        <f>IF(report_B_CategorieBoekjaar[[#This Row],[BedrijfsCode]]="002",IF(report_B_CategorieBoekjaar[[#This Row],[Boekjaar]]=Projectbegroting!$K$1,report_B_CategorieBoekjaar[[#This Row],[CategorieCode]],0),0)</f>
        <v>0</v>
      </c>
      <c r="I679">
        <f>IF(report_B_CategorieBoekjaar[[#This Row],[BedrijfsCode]]="001",IF(report_B_CategorieBoekjaar[[#This Row],[Boekjaar]]=Projectbegroting!$K$1,report_B_CategorieBoekjaar[[#This Row],[CategorieCode]],0),0)</f>
        <v>0</v>
      </c>
    </row>
    <row r="680" spans="1:9" hidden="1" x14ac:dyDescent="0.3">
      <c r="A680" t="s">
        <v>525</v>
      </c>
      <c r="B680" s="20">
        <v>45292</v>
      </c>
      <c r="C680" t="s">
        <v>184</v>
      </c>
      <c r="D680" t="s">
        <v>336</v>
      </c>
      <c r="E680" t="s">
        <v>217</v>
      </c>
      <c r="F680">
        <v>0</v>
      </c>
      <c r="G680">
        <v>0</v>
      </c>
      <c r="H680">
        <f>IF(report_B_CategorieBoekjaar[[#This Row],[BedrijfsCode]]="002",IF(report_B_CategorieBoekjaar[[#This Row],[Boekjaar]]=Projectbegroting!$K$1,report_B_CategorieBoekjaar[[#This Row],[CategorieCode]],0),0)</f>
        <v>0</v>
      </c>
      <c r="I680">
        <f>IF(report_B_CategorieBoekjaar[[#This Row],[BedrijfsCode]]="001",IF(report_B_CategorieBoekjaar[[#This Row],[Boekjaar]]=Projectbegroting!$K$1,report_B_CategorieBoekjaar[[#This Row],[CategorieCode]],0),0)</f>
        <v>0</v>
      </c>
    </row>
    <row r="681" spans="1:9" hidden="1" x14ac:dyDescent="0.3">
      <c r="A681" t="s">
        <v>525</v>
      </c>
      <c r="B681" s="20">
        <v>45292</v>
      </c>
      <c r="C681" t="s">
        <v>185</v>
      </c>
      <c r="D681" t="s">
        <v>337</v>
      </c>
      <c r="E681" t="s">
        <v>217</v>
      </c>
      <c r="F681">
        <v>0</v>
      </c>
      <c r="G681">
        <v>0</v>
      </c>
      <c r="H681">
        <f>IF(report_B_CategorieBoekjaar[[#This Row],[BedrijfsCode]]="002",IF(report_B_CategorieBoekjaar[[#This Row],[Boekjaar]]=Projectbegroting!$K$1,report_B_CategorieBoekjaar[[#This Row],[CategorieCode]],0),0)</f>
        <v>0</v>
      </c>
      <c r="I681">
        <f>IF(report_B_CategorieBoekjaar[[#This Row],[BedrijfsCode]]="001",IF(report_B_CategorieBoekjaar[[#This Row],[Boekjaar]]=Projectbegroting!$K$1,report_B_CategorieBoekjaar[[#This Row],[CategorieCode]],0),0)</f>
        <v>0</v>
      </c>
    </row>
    <row r="682" spans="1:9" hidden="1" x14ac:dyDescent="0.3">
      <c r="A682" t="s">
        <v>525</v>
      </c>
      <c r="B682" s="20">
        <v>45292</v>
      </c>
      <c r="C682" t="s">
        <v>186</v>
      </c>
      <c r="D682" t="s">
        <v>338</v>
      </c>
      <c r="E682" t="s">
        <v>217</v>
      </c>
      <c r="F682">
        <v>0</v>
      </c>
      <c r="G682">
        <v>0</v>
      </c>
      <c r="H682">
        <f>IF(report_B_CategorieBoekjaar[[#This Row],[BedrijfsCode]]="002",IF(report_B_CategorieBoekjaar[[#This Row],[Boekjaar]]=Projectbegroting!$K$1,report_B_CategorieBoekjaar[[#This Row],[CategorieCode]],0),0)</f>
        <v>0</v>
      </c>
      <c r="I682">
        <f>IF(report_B_CategorieBoekjaar[[#This Row],[BedrijfsCode]]="001",IF(report_B_CategorieBoekjaar[[#This Row],[Boekjaar]]=Projectbegroting!$K$1,report_B_CategorieBoekjaar[[#This Row],[CategorieCode]],0),0)</f>
        <v>0</v>
      </c>
    </row>
    <row r="683" spans="1:9" hidden="1" x14ac:dyDescent="0.3">
      <c r="A683" t="s">
        <v>525</v>
      </c>
      <c r="B683" s="20">
        <v>45292</v>
      </c>
      <c r="C683" t="s">
        <v>187</v>
      </c>
      <c r="D683" t="s">
        <v>339</v>
      </c>
      <c r="E683" t="s">
        <v>217</v>
      </c>
      <c r="F683">
        <v>0</v>
      </c>
      <c r="G683">
        <v>0</v>
      </c>
      <c r="H683">
        <f>IF(report_B_CategorieBoekjaar[[#This Row],[BedrijfsCode]]="002",IF(report_B_CategorieBoekjaar[[#This Row],[Boekjaar]]=Projectbegroting!$K$1,report_B_CategorieBoekjaar[[#This Row],[CategorieCode]],0),0)</f>
        <v>0</v>
      </c>
      <c r="I683">
        <f>IF(report_B_CategorieBoekjaar[[#This Row],[BedrijfsCode]]="001",IF(report_B_CategorieBoekjaar[[#This Row],[Boekjaar]]=Projectbegroting!$K$1,report_B_CategorieBoekjaar[[#This Row],[CategorieCode]],0),0)</f>
        <v>0</v>
      </c>
    </row>
    <row r="684" spans="1:9" hidden="1" x14ac:dyDescent="0.3">
      <c r="A684" t="s">
        <v>525</v>
      </c>
      <c r="B684" s="20">
        <v>45292</v>
      </c>
      <c r="C684" t="s">
        <v>188</v>
      </c>
      <c r="D684" t="s">
        <v>340</v>
      </c>
      <c r="E684" t="s">
        <v>217</v>
      </c>
      <c r="F684">
        <v>0</v>
      </c>
      <c r="G684">
        <v>0</v>
      </c>
      <c r="H684">
        <f>IF(report_B_CategorieBoekjaar[[#This Row],[BedrijfsCode]]="002",IF(report_B_CategorieBoekjaar[[#This Row],[Boekjaar]]=Projectbegroting!$K$1,report_B_CategorieBoekjaar[[#This Row],[CategorieCode]],0),0)</f>
        <v>0</v>
      </c>
      <c r="I684">
        <f>IF(report_B_CategorieBoekjaar[[#This Row],[BedrijfsCode]]="001",IF(report_B_CategorieBoekjaar[[#This Row],[Boekjaar]]=Projectbegroting!$K$1,report_B_CategorieBoekjaar[[#This Row],[CategorieCode]],0),0)</f>
        <v>0</v>
      </c>
    </row>
    <row r="685" spans="1:9" hidden="1" x14ac:dyDescent="0.3">
      <c r="A685" t="s">
        <v>525</v>
      </c>
      <c r="B685" s="20">
        <v>45292</v>
      </c>
      <c r="C685" t="s">
        <v>189</v>
      </c>
      <c r="D685" t="s">
        <v>341</v>
      </c>
      <c r="E685" t="s">
        <v>217</v>
      </c>
      <c r="F685">
        <v>0</v>
      </c>
      <c r="G685">
        <v>0</v>
      </c>
      <c r="H685">
        <f>IF(report_B_CategorieBoekjaar[[#This Row],[BedrijfsCode]]="002",IF(report_B_CategorieBoekjaar[[#This Row],[Boekjaar]]=Projectbegroting!$K$1,report_B_CategorieBoekjaar[[#This Row],[CategorieCode]],0),0)</f>
        <v>0</v>
      </c>
      <c r="I685">
        <f>IF(report_B_CategorieBoekjaar[[#This Row],[BedrijfsCode]]="001",IF(report_B_CategorieBoekjaar[[#This Row],[Boekjaar]]=Projectbegroting!$K$1,report_B_CategorieBoekjaar[[#This Row],[CategorieCode]],0),0)</f>
        <v>0</v>
      </c>
    </row>
    <row r="686" spans="1:9" hidden="1" x14ac:dyDescent="0.3">
      <c r="A686" t="s">
        <v>525</v>
      </c>
      <c r="B686" s="20">
        <v>45292</v>
      </c>
      <c r="C686" t="s">
        <v>190</v>
      </c>
      <c r="D686" t="s">
        <v>342</v>
      </c>
      <c r="E686" t="s">
        <v>217</v>
      </c>
      <c r="F686">
        <v>0</v>
      </c>
      <c r="G686">
        <v>0</v>
      </c>
      <c r="H686">
        <f>IF(report_B_CategorieBoekjaar[[#This Row],[BedrijfsCode]]="002",IF(report_B_CategorieBoekjaar[[#This Row],[Boekjaar]]=Projectbegroting!$K$1,report_B_CategorieBoekjaar[[#This Row],[CategorieCode]],0),0)</f>
        <v>0</v>
      </c>
      <c r="I686">
        <f>IF(report_B_CategorieBoekjaar[[#This Row],[BedrijfsCode]]="001",IF(report_B_CategorieBoekjaar[[#This Row],[Boekjaar]]=Projectbegroting!$K$1,report_B_CategorieBoekjaar[[#This Row],[CategorieCode]],0),0)</f>
        <v>0</v>
      </c>
    </row>
    <row r="687" spans="1:9" hidden="1" x14ac:dyDescent="0.3">
      <c r="A687" t="s">
        <v>525</v>
      </c>
      <c r="B687" s="20">
        <v>45292</v>
      </c>
      <c r="C687" t="s">
        <v>191</v>
      </c>
      <c r="D687" t="s">
        <v>343</v>
      </c>
      <c r="E687" t="s">
        <v>217</v>
      </c>
      <c r="F687">
        <v>0</v>
      </c>
      <c r="G687">
        <v>0</v>
      </c>
      <c r="H687">
        <f>IF(report_B_CategorieBoekjaar[[#This Row],[BedrijfsCode]]="002",IF(report_B_CategorieBoekjaar[[#This Row],[Boekjaar]]=Projectbegroting!$K$1,report_B_CategorieBoekjaar[[#This Row],[CategorieCode]],0),0)</f>
        <v>0</v>
      </c>
      <c r="I687">
        <f>IF(report_B_CategorieBoekjaar[[#This Row],[BedrijfsCode]]="001",IF(report_B_CategorieBoekjaar[[#This Row],[Boekjaar]]=Projectbegroting!$K$1,report_B_CategorieBoekjaar[[#This Row],[CategorieCode]],0),0)</f>
        <v>0</v>
      </c>
    </row>
    <row r="688" spans="1:9" hidden="1" x14ac:dyDescent="0.3">
      <c r="A688" t="s">
        <v>525</v>
      </c>
      <c r="B688" s="20">
        <v>45292</v>
      </c>
      <c r="C688" t="s">
        <v>192</v>
      </c>
      <c r="D688" t="s">
        <v>344</v>
      </c>
      <c r="E688" t="s">
        <v>217</v>
      </c>
      <c r="F688">
        <v>0</v>
      </c>
      <c r="G688">
        <v>0</v>
      </c>
      <c r="H688">
        <f>IF(report_B_CategorieBoekjaar[[#This Row],[BedrijfsCode]]="002",IF(report_B_CategorieBoekjaar[[#This Row],[Boekjaar]]=Projectbegroting!$K$1,report_B_CategorieBoekjaar[[#This Row],[CategorieCode]],0),0)</f>
        <v>0</v>
      </c>
      <c r="I688">
        <f>IF(report_B_CategorieBoekjaar[[#This Row],[BedrijfsCode]]="001",IF(report_B_CategorieBoekjaar[[#This Row],[Boekjaar]]=Projectbegroting!$K$1,report_B_CategorieBoekjaar[[#This Row],[CategorieCode]],0),0)</f>
        <v>0</v>
      </c>
    </row>
    <row r="689" spans="1:9" hidden="1" x14ac:dyDescent="0.3">
      <c r="A689" t="s">
        <v>525</v>
      </c>
      <c r="B689" s="20">
        <v>45292</v>
      </c>
      <c r="C689" t="s">
        <v>193</v>
      </c>
      <c r="D689" t="s">
        <v>345</v>
      </c>
      <c r="E689" t="s">
        <v>217</v>
      </c>
      <c r="F689">
        <v>0</v>
      </c>
      <c r="G689">
        <v>0</v>
      </c>
      <c r="H689">
        <f>IF(report_B_CategorieBoekjaar[[#This Row],[BedrijfsCode]]="002",IF(report_B_CategorieBoekjaar[[#This Row],[Boekjaar]]=Projectbegroting!$K$1,report_B_CategorieBoekjaar[[#This Row],[CategorieCode]],0),0)</f>
        <v>0</v>
      </c>
      <c r="I689">
        <f>IF(report_B_CategorieBoekjaar[[#This Row],[BedrijfsCode]]="001",IF(report_B_CategorieBoekjaar[[#This Row],[Boekjaar]]=Projectbegroting!$K$1,report_B_CategorieBoekjaar[[#This Row],[CategorieCode]],0),0)</f>
        <v>0</v>
      </c>
    </row>
    <row r="690" spans="1:9" hidden="1" x14ac:dyDescent="0.3">
      <c r="A690" t="s">
        <v>525</v>
      </c>
      <c r="B690" s="20">
        <v>45292</v>
      </c>
      <c r="C690" t="s">
        <v>194</v>
      </c>
      <c r="D690" t="s">
        <v>346</v>
      </c>
      <c r="E690" t="s">
        <v>217</v>
      </c>
      <c r="F690">
        <v>0</v>
      </c>
      <c r="G690">
        <v>0</v>
      </c>
      <c r="H690">
        <f>IF(report_B_CategorieBoekjaar[[#This Row],[BedrijfsCode]]="002",IF(report_B_CategorieBoekjaar[[#This Row],[Boekjaar]]=Projectbegroting!$K$1,report_B_CategorieBoekjaar[[#This Row],[CategorieCode]],0),0)</f>
        <v>0</v>
      </c>
      <c r="I690">
        <f>IF(report_B_CategorieBoekjaar[[#This Row],[BedrijfsCode]]="001",IF(report_B_CategorieBoekjaar[[#This Row],[Boekjaar]]=Projectbegroting!$K$1,report_B_CategorieBoekjaar[[#This Row],[CategorieCode]],0),0)</f>
        <v>0</v>
      </c>
    </row>
    <row r="691" spans="1:9" hidden="1" x14ac:dyDescent="0.3">
      <c r="A691" t="s">
        <v>525</v>
      </c>
      <c r="B691" s="20">
        <v>45292</v>
      </c>
      <c r="C691" t="s">
        <v>195</v>
      </c>
      <c r="D691" t="s">
        <v>347</v>
      </c>
      <c r="E691" t="s">
        <v>217</v>
      </c>
      <c r="F691">
        <v>0</v>
      </c>
      <c r="G691">
        <v>0</v>
      </c>
      <c r="H691">
        <f>IF(report_B_CategorieBoekjaar[[#This Row],[BedrijfsCode]]="002",IF(report_B_CategorieBoekjaar[[#This Row],[Boekjaar]]=Projectbegroting!$K$1,report_B_CategorieBoekjaar[[#This Row],[CategorieCode]],0),0)</f>
        <v>0</v>
      </c>
      <c r="I691">
        <f>IF(report_B_CategorieBoekjaar[[#This Row],[BedrijfsCode]]="001",IF(report_B_CategorieBoekjaar[[#This Row],[Boekjaar]]=Projectbegroting!$K$1,report_B_CategorieBoekjaar[[#This Row],[CategorieCode]],0),0)</f>
        <v>0</v>
      </c>
    </row>
    <row r="692" spans="1:9" hidden="1" x14ac:dyDescent="0.3">
      <c r="A692" t="s">
        <v>525</v>
      </c>
      <c r="B692" s="20">
        <v>45292</v>
      </c>
      <c r="C692" t="s">
        <v>196</v>
      </c>
      <c r="D692" t="s">
        <v>348</v>
      </c>
      <c r="E692" t="s">
        <v>217</v>
      </c>
      <c r="F692">
        <v>0</v>
      </c>
      <c r="G692">
        <v>0</v>
      </c>
      <c r="H692">
        <f>IF(report_B_CategorieBoekjaar[[#This Row],[BedrijfsCode]]="002",IF(report_B_CategorieBoekjaar[[#This Row],[Boekjaar]]=Projectbegroting!$K$1,report_B_CategorieBoekjaar[[#This Row],[CategorieCode]],0),0)</f>
        <v>0</v>
      </c>
      <c r="I692">
        <f>IF(report_B_CategorieBoekjaar[[#This Row],[BedrijfsCode]]="001",IF(report_B_CategorieBoekjaar[[#This Row],[Boekjaar]]=Projectbegroting!$K$1,report_B_CategorieBoekjaar[[#This Row],[CategorieCode]],0),0)</f>
        <v>0</v>
      </c>
    </row>
    <row r="693" spans="1:9" hidden="1" x14ac:dyDescent="0.3">
      <c r="A693" t="s">
        <v>525</v>
      </c>
      <c r="B693" s="20">
        <v>45292</v>
      </c>
      <c r="C693" t="s">
        <v>349</v>
      </c>
      <c r="D693" t="s">
        <v>350</v>
      </c>
      <c r="E693" t="s">
        <v>217</v>
      </c>
      <c r="F693">
        <v>0</v>
      </c>
      <c r="G693">
        <v>0</v>
      </c>
      <c r="H693">
        <f>IF(report_B_CategorieBoekjaar[[#This Row],[BedrijfsCode]]="002",IF(report_B_CategorieBoekjaar[[#This Row],[Boekjaar]]=Projectbegroting!$K$1,report_B_CategorieBoekjaar[[#This Row],[CategorieCode]],0),0)</f>
        <v>0</v>
      </c>
      <c r="I693">
        <f>IF(report_B_CategorieBoekjaar[[#This Row],[BedrijfsCode]]="001",IF(report_B_CategorieBoekjaar[[#This Row],[Boekjaar]]=Projectbegroting!$K$1,report_B_CategorieBoekjaar[[#This Row],[CategorieCode]],0),0)</f>
        <v>0</v>
      </c>
    </row>
    <row r="694" spans="1:9" hidden="1" x14ac:dyDescent="0.3">
      <c r="A694" t="s">
        <v>525</v>
      </c>
      <c r="B694" s="20">
        <v>45292</v>
      </c>
      <c r="C694" t="s">
        <v>197</v>
      </c>
      <c r="D694" t="s">
        <v>351</v>
      </c>
      <c r="E694" t="s">
        <v>217</v>
      </c>
      <c r="F694">
        <v>0</v>
      </c>
      <c r="G694">
        <v>0</v>
      </c>
      <c r="H694">
        <f>IF(report_B_CategorieBoekjaar[[#This Row],[BedrijfsCode]]="002",IF(report_B_CategorieBoekjaar[[#This Row],[Boekjaar]]=Projectbegroting!$K$1,report_B_CategorieBoekjaar[[#This Row],[CategorieCode]],0),0)</f>
        <v>0</v>
      </c>
      <c r="I694">
        <f>IF(report_B_CategorieBoekjaar[[#This Row],[BedrijfsCode]]="001",IF(report_B_CategorieBoekjaar[[#This Row],[Boekjaar]]=Projectbegroting!$K$1,report_B_CategorieBoekjaar[[#This Row],[CategorieCode]],0),0)</f>
        <v>0</v>
      </c>
    </row>
    <row r="695" spans="1:9" hidden="1" x14ac:dyDescent="0.3">
      <c r="A695" t="s">
        <v>525</v>
      </c>
      <c r="B695" s="20">
        <v>45292</v>
      </c>
      <c r="C695" t="s">
        <v>198</v>
      </c>
      <c r="D695" t="s">
        <v>352</v>
      </c>
      <c r="E695" t="s">
        <v>217</v>
      </c>
      <c r="F695">
        <v>0</v>
      </c>
      <c r="G695">
        <v>0</v>
      </c>
      <c r="H695">
        <f>IF(report_B_CategorieBoekjaar[[#This Row],[BedrijfsCode]]="002",IF(report_B_CategorieBoekjaar[[#This Row],[Boekjaar]]=Projectbegroting!$K$1,report_B_CategorieBoekjaar[[#This Row],[CategorieCode]],0),0)</f>
        <v>0</v>
      </c>
      <c r="I695">
        <f>IF(report_B_CategorieBoekjaar[[#This Row],[BedrijfsCode]]="001",IF(report_B_CategorieBoekjaar[[#This Row],[Boekjaar]]=Projectbegroting!$K$1,report_B_CategorieBoekjaar[[#This Row],[CategorieCode]],0),0)</f>
        <v>0</v>
      </c>
    </row>
    <row r="696" spans="1:9" hidden="1" x14ac:dyDescent="0.3">
      <c r="A696" t="s">
        <v>525</v>
      </c>
      <c r="B696" s="20">
        <v>45292</v>
      </c>
      <c r="C696" t="s">
        <v>353</v>
      </c>
      <c r="D696" t="s">
        <v>354</v>
      </c>
      <c r="E696" t="s">
        <v>217</v>
      </c>
      <c r="F696">
        <v>0</v>
      </c>
      <c r="G696">
        <v>0</v>
      </c>
      <c r="H696">
        <f>IF(report_B_CategorieBoekjaar[[#This Row],[BedrijfsCode]]="002",IF(report_B_CategorieBoekjaar[[#This Row],[Boekjaar]]=Projectbegroting!$K$1,report_B_CategorieBoekjaar[[#This Row],[CategorieCode]],0),0)</f>
        <v>0</v>
      </c>
      <c r="I696">
        <f>IF(report_B_CategorieBoekjaar[[#This Row],[BedrijfsCode]]="001",IF(report_B_CategorieBoekjaar[[#This Row],[Boekjaar]]=Projectbegroting!$K$1,report_B_CategorieBoekjaar[[#This Row],[CategorieCode]],0),0)</f>
        <v>0</v>
      </c>
    </row>
    <row r="697" spans="1:9" hidden="1" x14ac:dyDescent="0.3">
      <c r="A697" t="s">
        <v>525</v>
      </c>
      <c r="B697" s="20">
        <v>45292</v>
      </c>
      <c r="C697" t="s">
        <v>199</v>
      </c>
      <c r="D697" t="s">
        <v>355</v>
      </c>
      <c r="E697" t="s">
        <v>217</v>
      </c>
      <c r="F697">
        <v>0</v>
      </c>
      <c r="G697">
        <v>0</v>
      </c>
      <c r="H697">
        <f>IF(report_B_CategorieBoekjaar[[#This Row],[BedrijfsCode]]="002",IF(report_B_CategorieBoekjaar[[#This Row],[Boekjaar]]=Projectbegroting!$K$1,report_B_CategorieBoekjaar[[#This Row],[CategorieCode]],0),0)</f>
        <v>0</v>
      </c>
      <c r="I697">
        <f>IF(report_B_CategorieBoekjaar[[#This Row],[BedrijfsCode]]="001",IF(report_B_CategorieBoekjaar[[#This Row],[Boekjaar]]=Projectbegroting!$K$1,report_B_CategorieBoekjaar[[#This Row],[CategorieCode]],0),0)</f>
        <v>0</v>
      </c>
    </row>
    <row r="698" spans="1:9" hidden="1" x14ac:dyDescent="0.3">
      <c r="A698" t="s">
        <v>525</v>
      </c>
      <c r="B698" s="20">
        <v>45292</v>
      </c>
      <c r="C698" t="s">
        <v>200</v>
      </c>
      <c r="D698" t="s">
        <v>356</v>
      </c>
      <c r="E698" t="s">
        <v>217</v>
      </c>
      <c r="F698">
        <v>0</v>
      </c>
      <c r="G698">
        <v>0</v>
      </c>
      <c r="H698">
        <f>IF(report_B_CategorieBoekjaar[[#This Row],[BedrijfsCode]]="002",IF(report_B_CategorieBoekjaar[[#This Row],[Boekjaar]]=Projectbegroting!$K$1,report_B_CategorieBoekjaar[[#This Row],[CategorieCode]],0),0)</f>
        <v>0</v>
      </c>
      <c r="I698">
        <f>IF(report_B_CategorieBoekjaar[[#This Row],[BedrijfsCode]]="001",IF(report_B_CategorieBoekjaar[[#This Row],[Boekjaar]]=Projectbegroting!$K$1,report_B_CategorieBoekjaar[[#This Row],[CategorieCode]],0),0)</f>
        <v>0</v>
      </c>
    </row>
    <row r="699" spans="1:9" hidden="1" x14ac:dyDescent="0.3">
      <c r="A699" t="s">
        <v>525</v>
      </c>
      <c r="B699" s="20">
        <v>45292</v>
      </c>
      <c r="C699" t="s">
        <v>201</v>
      </c>
      <c r="D699" t="s">
        <v>357</v>
      </c>
      <c r="E699" t="s">
        <v>217</v>
      </c>
      <c r="F699">
        <v>0</v>
      </c>
      <c r="G699">
        <v>0</v>
      </c>
      <c r="H699">
        <f>IF(report_B_CategorieBoekjaar[[#This Row],[BedrijfsCode]]="002",IF(report_B_CategorieBoekjaar[[#This Row],[Boekjaar]]=Projectbegroting!$K$1,report_B_CategorieBoekjaar[[#This Row],[CategorieCode]],0),0)</f>
        <v>0</v>
      </c>
      <c r="I699">
        <f>IF(report_B_CategorieBoekjaar[[#This Row],[BedrijfsCode]]="001",IF(report_B_CategorieBoekjaar[[#This Row],[Boekjaar]]=Projectbegroting!$K$1,report_B_CategorieBoekjaar[[#This Row],[CategorieCode]],0),0)</f>
        <v>0</v>
      </c>
    </row>
    <row r="700" spans="1:9" hidden="1" x14ac:dyDescent="0.3">
      <c r="A700" t="s">
        <v>525</v>
      </c>
      <c r="B700" s="20">
        <v>45292</v>
      </c>
      <c r="C700" t="s">
        <v>202</v>
      </c>
      <c r="D700" t="s">
        <v>358</v>
      </c>
      <c r="E700" t="s">
        <v>217</v>
      </c>
      <c r="F700">
        <v>0</v>
      </c>
      <c r="G700">
        <v>0</v>
      </c>
      <c r="H700">
        <f>IF(report_B_CategorieBoekjaar[[#This Row],[BedrijfsCode]]="002",IF(report_B_CategorieBoekjaar[[#This Row],[Boekjaar]]=Projectbegroting!$K$1,report_B_CategorieBoekjaar[[#This Row],[CategorieCode]],0),0)</f>
        <v>0</v>
      </c>
      <c r="I700">
        <f>IF(report_B_CategorieBoekjaar[[#This Row],[BedrijfsCode]]="001",IF(report_B_CategorieBoekjaar[[#This Row],[Boekjaar]]=Projectbegroting!$K$1,report_B_CategorieBoekjaar[[#This Row],[CategorieCode]],0),0)</f>
        <v>0</v>
      </c>
    </row>
    <row r="701" spans="1:9" hidden="1" x14ac:dyDescent="0.3">
      <c r="A701" t="s">
        <v>525</v>
      </c>
      <c r="B701" s="20">
        <v>45292</v>
      </c>
      <c r="C701" t="s">
        <v>203</v>
      </c>
      <c r="D701" t="s">
        <v>359</v>
      </c>
      <c r="E701" t="s">
        <v>217</v>
      </c>
      <c r="F701">
        <v>0</v>
      </c>
      <c r="G701">
        <v>0</v>
      </c>
      <c r="H701">
        <f>IF(report_B_CategorieBoekjaar[[#This Row],[BedrijfsCode]]="002",IF(report_B_CategorieBoekjaar[[#This Row],[Boekjaar]]=Projectbegroting!$K$1,report_B_CategorieBoekjaar[[#This Row],[CategorieCode]],0),0)</f>
        <v>0</v>
      </c>
      <c r="I701">
        <f>IF(report_B_CategorieBoekjaar[[#This Row],[BedrijfsCode]]="001",IF(report_B_CategorieBoekjaar[[#This Row],[Boekjaar]]=Projectbegroting!$K$1,report_B_CategorieBoekjaar[[#This Row],[CategorieCode]],0),0)</f>
        <v>0</v>
      </c>
    </row>
    <row r="702" spans="1:9" hidden="1" x14ac:dyDescent="0.3">
      <c r="A702" t="s">
        <v>525</v>
      </c>
      <c r="B702" s="20">
        <v>45292</v>
      </c>
      <c r="C702" t="s">
        <v>204</v>
      </c>
      <c r="D702" t="s">
        <v>360</v>
      </c>
      <c r="E702" t="s">
        <v>217</v>
      </c>
      <c r="F702">
        <v>0</v>
      </c>
      <c r="G702">
        <v>0</v>
      </c>
      <c r="H702">
        <f>IF(report_B_CategorieBoekjaar[[#This Row],[BedrijfsCode]]="002",IF(report_B_CategorieBoekjaar[[#This Row],[Boekjaar]]=Projectbegroting!$K$1,report_B_CategorieBoekjaar[[#This Row],[CategorieCode]],0),0)</f>
        <v>0</v>
      </c>
      <c r="I702">
        <f>IF(report_B_CategorieBoekjaar[[#This Row],[BedrijfsCode]]="001",IF(report_B_CategorieBoekjaar[[#This Row],[Boekjaar]]=Projectbegroting!$K$1,report_B_CategorieBoekjaar[[#This Row],[CategorieCode]],0),0)</f>
        <v>0</v>
      </c>
    </row>
    <row r="703" spans="1:9" hidden="1" x14ac:dyDescent="0.3">
      <c r="A703" t="s">
        <v>525</v>
      </c>
      <c r="B703" s="20">
        <v>45292</v>
      </c>
      <c r="C703" t="s">
        <v>205</v>
      </c>
      <c r="D703" t="s">
        <v>361</v>
      </c>
      <c r="E703" t="s">
        <v>217</v>
      </c>
      <c r="F703">
        <v>0</v>
      </c>
      <c r="G703">
        <v>0</v>
      </c>
      <c r="H703">
        <f>IF(report_B_CategorieBoekjaar[[#This Row],[BedrijfsCode]]="002",IF(report_B_CategorieBoekjaar[[#This Row],[Boekjaar]]=Projectbegroting!$K$1,report_B_CategorieBoekjaar[[#This Row],[CategorieCode]],0),0)</f>
        <v>0</v>
      </c>
      <c r="I703">
        <f>IF(report_B_CategorieBoekjaar[[#This Row],[BedrijfsCode]]="001",IF(report_B_CategorieBoekjaar[[#This Row],[Boekjaar]]=Projectbegroting!$K$1,report_B_CategorieBoekjaar[[#This Row],[CategorieCode]],0),0)</f>
        <v>0</v>
      </c>
    </row>
    <row r="704" spans="1:9" hidden="1" x14ac:dyDescent="0.3">
      <c r="A704" t="s">
        <v>525</v>
      </c>
      <c r="B704" s="20">
        <v>45292</v>
      </c>
      <c r="C704" t="s">
        <v>206</v>
      </c>
      <c r="D704" t="s">
        <v>362</v>
      </c>
      <c r="E704" t="s">
        <v>217</v>
      </c>
      <c r="F704">
        <v>0</v>
      </c>
      <c r="G704">
        <v>0</v>
      </c>
      <c r="H704">
        <f>IF(report_B_CategorieBoekjaar[[#This Row],[BedrijfsCode]]="002",IF(report_B_CategorieBoekjaar[[#This Row],[Boekjaar]]=Projectbegroting!$K$1,report_B_CategorieBoekjaar[[#This Row],[CategorieCode]],0),0)</f>
        <v>0</v>
      </c>
      <c r="I704">
        <f>IF(report_B_CategorieBoekjaar[[#This Row],[BedrijfsCode]]="001",IF(report_B_CategorieBoekjaar[[#This Row],[Boekjaar]]=Projectbegroting!$K$1,report_B_CategorieBoekjaar[[#This Row],[CategorieCode]],0),0)</f>
        <v>0</v>
      </c>
    </row>
    <row r="705" spans="1:9" hidden="1" x14ac:dyDescent="0.3">
      <c r="A705" t="s">
        <v>525</v>
      </c>
      <c r="B705" s="20">
        <v>45292</v>
      </c>
      <c r="C705" t="s">
        <v>363</v>
      </c>
      <c r="D705" t="s">
        <v>364</v>
      </c>
      <c r="E705" t="s">
        <v>217</v>
      </c>
      <c r="F705">
        <v>0</v>
      </c>
      <c r="G705">
        <v>0</v>
      </c>
      <c r="H705">
        <f>IF(report_B_CategorieBoekjaar[[#This Row],[BedrijfsCode]]="002",IF(report_B_CategorieBoekjaar[[#This Row],[Boekjaar]]=Projectbegroting!$K$1,report_B_CategorieBoekjaar[[#This Row],[CategorieCode]],0),0)</f>
        <v>0</v>
      </c>
      <c r="I705">
        <f>IF(report_B_CategorieBoekjaar[[#This Row],[BedrijfsCode]]="001",IF(report_B_CategorieBoekjaar[[#This Row],[Boekjaar]]=Projectbegroting!$K$1,report_B_CategorieBoekjaar[[#This Row],[CategorieCode]],0),0)</f>
        <v>0</v>
      </c>
    </row>
    <row r="706" spans="1:9" hidden="1" x14ac:dyDescent="0.3">
      <c r="A706" t="s">
        <v>525</v>
      </c>
      <c r="B706" s="20">
        <v>45292</v>
      </c>
      <c r="C706" t="s">
        <v>207</v>
      </c>
      <c r="D706" t="s">
        <v>365</v>
      </c>
      <c r="E706" t="s">
        <v>217</v>
      </c>
      <c r="F706">
        <v>0</v>
      </c>
      <c r="G706">
        <v>0</v>
      </c>
      <c r="H706">
        <f>IF(report_B_CategorieBoekjaar[[#This Row],[BedrijfsCode]]="002",IF(report_B_CategorieBoekjaar[[#This Row],[Boekjaar]]=Projectbegroting!$K$1,report_B_CategorieBoekjaar[[#This Row],[CategorieCode]],0),0)</f>
        <v>0</v>
      </c>
      <c r="I706">
        <f>IF(report_B_CategorieBoekjaar[[#This Row],[BedrijfsCode]]="001",IF(report_B_CategorieBoekjaar[[#This Row],[Boekjaar]]=Projectbegroting!$K$1,report_B_CategorieBoekjaar[[#This Row],[CategorieCode]],0),0)</f>
        <v>0</v>
      </c>
    </row>
    <row r="707" spans="1:9" hidden="1" x14ac:dyDescent="0.3">
      <c r="A707" t="s">
        <v>525</v>
      </c>
      <c r="B707" s="20">
        <v>45292</v>
      </c>
      <c r="C707" t="s">
        <v>208</v>
      </c>
      <c r="D707" t="s">
        <v>366</v>
      </c>
      <c r="E707" t="s">
        <v>217</v>
      </c>
      <c r="F707">
        <v>0</v>
      </c>
      <c r="G707">
        <v>0</v>
      </c>
      <c r="H707">
        <f>IF(report_B_CategorieBoekjaar[[#This Row],[BedrijfsCode]]="002",IF(report_B_CategorieBoekjaar[[#This Row],[Boekjaar]]=Projectbegroting!$K$1,report_B_CategorieBoekjaar[[#This Row],[CategorieCode]],0),0)</f>
        <v>0</v>
      </c>
      <c r="I707">
        <f>IF(report_B_CategorieBoekjaar[[#This Row],[BedrijfsCode]]="001",IF(report_B_CategorieBoekjaar[[#This Row],[Boekjaar]]=Projectbegroting!$K$1,report_B_CategorieBoekjaar[[#This Row],[CategorieCode]],0),0)</f>
        <v>0</v>
      </c>
    </row>
    <row r="708" spans="1:9" hidden="1" x14ac:dyDescent="0.3">
      <c r="A708" t="s">
        <v>525</v>
      </c>
      <c r="B708" s="20">
        <v>45292</v>
      </c>
      <c r="C708" t="s">
        <v>209</v>
      </c>
      <c r="D708" t="s">
        <v>367</v>
      </c>
      <c r="E708" t="s">
        <v>217</v>
      </c>
      <c r="F708">
        <v>0</v>
      </c>
      <c r="G708">
        <v>0</v>
      </c>
      <c r="H708">
        <f>IF(report_B_CategorieBoekjaar[[#This Row],[BedrijfsCode]]="002",IF(report_B_CategorieBoekjaar[[#This Row],[Boekjaar]]=Projectbegroting!$K$1,report_B_CategorieBoekjaar[[#This Row],[CategorieCode]],0),0)</f>
        <v>0</v>
      </c>
      <c r="I708">
        <f>IF(report_B_CategorieBoekjaar[[#This Row],[BedrijfsCode]]="001",IF(report_B_CategorieBoekjaar[[#This Row],[Boekjaar]]=Projectbegroting!$K$1,report_B_CategorieBoekjaar[[#This Row],[CategorieCode]],0),0)</f>
        <v>0</v>
      </c>
    </row>
    <row r="709" spans="1:9" hidden="1" x14ac:dyDescent="0.3">
      <c r="A709" t="s">
        <v>525</v>
      </c>
      <c r="B709" s="20">
        <v>45292</v>
      </c>
      <c r="C709" t="s">
        <v>210</v>
      </c>
      <c r="D709" t="s">
        <v>368</v>
      </c>
      <c r="E709" t="s">
        <v>217</v>
      </c>
      <c r="F709">
        <v>0</v>
      </c>
      <c r="G709">
        <v>0</v>
      </c>
      <c r="H709">
        <f>IF(report_B_CategorieBoekjaar[[#This Row],[BedrijfsCode]]="002",IF(report_B_CategorieBoekjaar[[#This Row],[Boekjaar]]=Projectbegroting!$K$1,report_B_CategorieBoekjaar[[#This Row],[CategorieCode]],0),0)</f>
        <v>0</v>
      </c>
      <c r="I709">
        <f>IF(report_B_CategorieBoekjaar[[#This Row],[BedrijfsCode]]="001",IF(report_B_CategorieBoekjaar[[#This Row],[Boekjaar]]=Projectbegroting!$K$1,report_B_CategorieBoekjaar[[#This Row],[CategorieCode]],0),0)</f>
        <v>0</v>
      </c>
    </row>
    <row r="710" spans="1:9" hidden="1" x14ac:dyDescent="0.3">
      <c r="A710" t="s">
        <v>525</v>
      </c>
      <c r="B710" s="20">
        <v>45292</v>
      </c>
      <c r="C710" t="s">
        <v>369</v>
      </c>
      <c r="D710" t="s">
        <v>370</v>
      </c>
      <c r="E710" t="s">
        <v>217</v>
      </c>
      <c r="F710">
        <v>0</v>
      </c>
      <c r="G710">
        <v>0</v>
      </c>
      <c r="H710">
        <f>IF(report_B_CategorieBoekjaar[[#This Row],[BedrijfsCode]]="002",IF(report_B_CategorieBoekjaar[[#This Row],[Boekjaar]]=Projectbegroting!$K$1,report_B_CategorieBoekjaar[[#This Row],[CategorieCode]],0),0)</f>
        <v>0</v>
      </c>
      <c r="I710">
        <f>IF(report_B_CategorieBoekjaar[[#This Row],[BedrijfsCode]]="001",IF(report_B_CategorieBoekjaar[[#This Row],[Boekjaar]]=Projectbegroting!$K$1,report_B_CategorieBoekjaar[[#This Row],[CategorieCode]],0),0)</f>
        <v>0</v>
      </c>
    </row>
    <row r="711" spans="1:9" hidden="1" x14ac:dyDescent="0.3">
      <c r="A711" t="s">
        <v>525</v>
      </c>
      <c r="B711" s="20">
        <v>45292</v>
      </c>
      <c r="C711" t="s">
        <v>371</v>
      </c>
      <c r="D711" t="s">
        <v>372</v>
      </c>
      <c r="E711" t="s">
        <v>217</v>
      </c>
      <c r="F711">
        <v>0</v>
      </c>
      <c r="G711">
        <v>0</v>
      </c>
      <c r="H711">
        <f>IF(report_B_CategorieBoekjaar[[#This Row],[BedrijfsCode]]="002",IF(report_B_CategorieBoekjaar[[#This Row],[Boekjaar]]=Projectbegroting!$K$1,report_B_CategorieBoekjaar[[#This Row],[CategorieCode]],0),0)</f>
        <v>0</v>
      </c>
      <c r="I711">
        <f>IF(report_B_CategorieBoekjaar[[#This Row],[BedrijfsCode]]="001",IF(report_B_CategorieBoekjaar[[#This Row],[Boekjaar]]=Projectbegroting!$K$1,report_B_CategorieBoekjaar[[#This Row],[CategorieCode]],0),0)</f>
        <v>0</v>
      </c>
    </row>
    <row r="712" spans="1:9" hidden="1" x14ac:dyDescent="0.3">
      <c r="A712" t="s">
        <v>525</v>
      </c>
      <c r="B712" s="20">
        <v>45292</v>
      </c>
      <c r="C712" t="s">
        <v>373</v>
      </c>
      <c r="D712" t="s">
        <v>374</v>
      </c>
      <c r="E712" t="s">
        <v>217</v>
      </c>
      <c r="F712">
        <v>0</v>
      </c>
      <c r="G712">
        <v>0</v>
      </c>
      <c r="H712">
        <f>IF(report_B_CategorieBoekjaar[[#This Row],[BedrijfsCode]]="002",IF(report_B_CategorieBoekjaar[[#This Row],[Boekjaar]]=Projectbegroting!$K$1,report_B_CategorieBoekjaar[[#This Row],[CategorieCode]],0),0)</f>
        <v>0</v>
      </c>
      <c r="I712">
        <f>IF(report_B_CategorieBoekjaar[[#This Row],[BedrijfsCode]]="001",IF(report_B_CategorieBoekjaar[[#This Row],[Boekjaar]]=Projectbegroting!$K$1,report_B_CategorieBoekjaar[[#This Row],[CategorieCode]],0),0)</f>
        <v>0</v>
      </c>
    </row>
    <row r="713" spans="1:9" hidden="1" x14ac:dyDescent="0.3">
      <c r="A713" t="s">
        <v>525</v>
      </c>
      <c r="B713" s="20">
        <v>45292</v>
      </c>
      <c r="C713" t="s">
        <v>375</v>
      </c>
      <c r="D713" t="s">
        <v>376</v>
      </c>
      <c r="E713" t="s">
        <v>217</v>
      </c>
      <c r="F713">
        <v>0</v>
      </c>
      <c r="G713">
        <v>0</v>
      </c>
      <c r="H713">
        <f>IF(report_B_CategorieBoekjaar[[#This Row],[BedrijfsCode]]="002",IF(report_B_CategorieBoekjaar[[#This Row],[Boekjaar]]=Projectbegroting!$K$1,report_B_CategorieBoekjaar[[#This Row],[CategorieCode]],0),0)</f>
        <v>0</v>
      </c>
      <c r="I713">
        <f>IF(report_B_CategorieBoekjaar[[#This Row],[BedrijfsCode]]="001",IF(report_B_CategorieBoekjaar[[#This Row],[Boekjaar]]=Projectbegroting!$K$1,report_B_CategorieBoekjaar[[#This Row],[CategorieCode]],0),0)</f>
        <v>0</v>
      </c>
    </row>
    <row r="714" spans="1:9" hidden="1" x14ac:dyDescent="0.3">
      <c r="A714" t="s">
        <v>525</v>
      </c>
      <c r="B714" s="20">
        <v>45292</v>
      </c>
      <c r="C714" t="s">
        <v>377</v>
      </c>
      <c r="D714" t="s">
        <v>378</v>
      </c>
      <c r="E714" t="s">
        <v>217</v>
      </c>
      <c r="F714">
        <v>0</v>
      </c>
      <c r="G714">
        <v>0</v>
      </c>
      <c r="H714">
        <f>IF(report_B_CategorieBoekjaar[[#This Row],[BedrijfsCode]]="002",IF(report_B_CategorieBoekjaar[[#This Row],[Boekjaar]]=Projectbegroting!$K$1,report_B_CategorieBoekjaar[[#This Row],[CategorieCode]],0),0)</f>
        <v>0</v>
      </c>
      <c r="I714">
        <f>IF(report_B_CategorieBoekjaar[[#This Row],[BedrijfsCode]]="001",IF(report_B_CategorieBoekjaar[[#This Row],[Boekjaar]]=Projectbegroting!$K$1,report_B_CategorieBoekjaar[[#This Row],[CategorieCode]],0),0)</f>
        <v>0</v>
      </c>
    </row>
    <row r="715" spans="1:9" hidden="1" x14ac:dyDescent="0.3">
      <c r="A715" t="s">
        <v>525</v>
      </c>
      <c r="B715" s="20">
        <v>45292</v>
      </c>
      <c r="C715" t="s">
        <v>379</v>
      </c>
      <c r="D715" t="s">
        <v>380</v>
      </c>
      <c r="E715" t="s">
        <v>381</v>
      </c>
      <c r="F715">
        <v>49</v>
      </c>
      <c r="G715">
        <v>104</v>
      </c>
      <c r="H715">
        <f>IF(report_B_CategorieBoekjaar[[#This Row],[BedrijfsCode]]="002",IF(report_B_CategorieBoekjaar[[#This Row],[Boekjaar]]=Projectbegroting!$K$1,report_B_CategorieBoekjaar[[#This Row],[CategorieCode]],0),0)</f>
        <v>0</v>
      </c>
      <c r="I715">
        <f>IF(report_B_CategorieBoekjaar[[#This Row],[BedrijfsCode]]="001",IF(report_B_CategorieBoekjaar[[#This Row],[Boekjaar]]=Projectbegroting!$K$1,report_B_CategorieBoekjaar[[#This Row],[CategorieCode]],0),0)</f>
        <v>0</v>
      </c>
    </row>
    <row r="716" spans="1:9" hidden="1" x14ac:dyDescent="0.3">
      <c r="A716" t="s">
        <v>525</v>
      </c>
      <c r="B716" s="20">
        <v>45292</v>
      </c>
      <c r="C716" t="s">
        <v>382</v>
      </c>
      <c r="D716" t="s">
        <v>383</v>
      </c>
      <c r="E716" t="s">
        <v>384</v>
      </c>
      <c r="F716">
        <v>0</v>
      </c>
      <c r="G716">
        <v>0</v>
      </c>
      <c r="H716">
        <f>IF(report_B_CategorieBoekjaar[[#This Row],[BedrijfsCode]]="002",IF(report_B_CategorieBoekjaar[[#This Row],[Boekjaar]]=Projectbegroting!$K$1,report_B_CategorieBoekjaar[[#This Row],[CategorieCode]],0),0)</f>
        <v>0</v>
      </c>
      <c r="I716">
        <f>IF(report_B_CategorieBoekjaar[[#This Row],[BedrijfsCode]]="001",IF(report_B_CategorieBoekjaar[[#This Row],[Boekjaar]]=Projectbegroting!$K$1,report_B_CategorieBoekjaar[[#This Row],[CategorieCode]],0),0)</f>
        <v>0</v>
      </c>
    </row>
    <row r="717" spans="1:9" hidden="1" x14ac:dyDescent="0.3">
      <c r="A717" t="s">
        <v>525</v>
      </c>
      <c r="B717" s="20">
        <v>45292</v>
      </c>
      <c r="C717" t="s">
        <v>385</v>
      </c>
      <c r="D717" t="s">
        <v>386</v>
      </c>
      <c r="E717" t="s">
        <v>381</v>
      </c>
      <c r="F717">
        <v>73</v>
      </c>
      <c r="G717">
        <v>127</v>
      </c>
      <c r="H717">
        <f>IF(report_B_CategorieBoekjaar[[#This Row],[BedrijfsCode]]="002",IF(report_B_CategorieBoekjaar[[#This Row],[Boekjaar]]=Projectbegroting!$K$1,report_B_CategorieBoekjaar[[#This Row],[CategorieCode]],0),0)</f>
        <v>0</v>
      </c>
      <c r="I717">
        <f>IF(report_B_CategorieBoekjaar[[#This Row],[BedrijfsCode]]="001",IF(report_B_CategorieBoekjaar[[#This Row],[Boekjaar]]=Projectbegroting!$K$1,report_B_CategorieBoekjaar[[#This Row],[CategorieCode]],0),0)</f>
        <v>0</v>
      </c>
    </row>
    <row r="718" spans="1:9" hidden="1" x14ac:dyDescent="0.3">
      <c r="A718" t="s">
        <v>525</v>
      </c>
      <c r="B718" s="20">
        <v>45292</v>
      </c>
      <c r="C718" t="s">
        <v>387</v>
      </c>
      <c r="D718" t="s">
        <v>388</v>
      </c>
      <c r="E718" t="s">
        <v>384</v>
      </c>
      <c r="F718">
        <v>0</v>
      </c>
      <c r="G718">
        <v>0</v>
      </c>
      <c r="H718">
        <f>IF(report_B_CategorieBoekjaar[[#This Row],[BedrijfsCode]]="002",IF(report_B_CategorieBoekjaar[[#This Row],[Boekjaar]]=Projectbegroting!$K$1,report_B_CategorieBoekjaar[[#This Row],[CategorieCode]],0),0)</f>
        <v>0</v>
      </c>
      <c r="I718">
        <f>IF(report_B_CategorieBoekjaar[[#This Row],[BedrijfsCode]]="001",IF(report_B_CategorieBoekjaar[[#This Row],[Boekjaar]]=Projectbegroting!$K$1,report_B_CategorieBoekjaar[[#This Row],[CategorieCode]],0),0)</f>
        <v>0</v>
      </c>
    </row>
    <row r="719" spans="1:9" hidden="1" x14ac:dyDescent="0.3">
      <c r="A719" t="s">
        <v>525</v>
      </c>
      <c r="B719" s="20">
        <v>45292</v>
      </c>
      <c r="C719" t="s">
        <v>52</v>
      </c>
      <c r="D719" t="s">
        <v>53</v>
      </c>
      <c r="E719" t="s">
        <v>381</v>
      </c>
      <c r="F719">
        <v>73</v>
      </c>
      <c r="G719">
        <v>115</v>
      </c>
      <c r="H719">
        <f>IF(report_B_CategorieBoekjaar[[#This Row],[BedrijfsCode]]="002",IF(report_B_CategorieBoekjaar[[#This Row],[Boekjaar]]=Projectbegroting!$K$1,report_B_CategorieBoekjaar[[#This Row],[CategorieCode]],0),0)</f>
        <v>0</v>
      </c>
      <c r="I719">
        <f>IF(report_B_CategorieBoekjaar[[#This Row],[BedrijfsCode]]="001",IF(report_B_CategorieBoekjaar[[#This Row],[Boekjaar]]=Projectbegroting!$K$1,report_B_CategorieBoekjaar[[#This Row],[CategorieCode]],0),0)</f>
        <v>0</v>
      </c>
    </row>
    <row r="720" spans="1:9" hidden="1" x14ac:dyDescent="0.3">
      <c r="A720" t="s">
        <v>525</v>
      </c>
      <c r="B720" s="20">
        <v>45292</v>
      </c>
      <c r="C720" t="s">
        <v>389</v>
      </c>
      <c r="D720" t="s">
        <v>390</v>
      </c>
      <c r="E720" t="s">
        <v>384</v>
      </c>
      <c r="F720">
        <v>0</v>
      </c>
      <c r="G720">
        <v>0</v>
      </c>
      <c r="H720">
        <f>IF(report_B_CategorieBoekjaar[[#This Row],[BedrijfsCode]]="002",IF(report_B_CategorieBoekjaar[[#This Row],[Boekjaar]]=Projectbegroting!$K$1,report_B_CategorieBoekjaar[[#This Row],[CategorieCode]],0),0)</f>
        <v>0</v>
      </c>
      <c r="I720">
        <f>IF(report_B_CategorieBoekjaar[[#This Row],[BedrijfsCode]]="001",IF(report_B_CategorieBoekjaar[[#This Row],[Boekjaar]]=Projectbegroting!$K$1,report_B_CategorieBoekjaar[[#This Row],[CategorieCode]],0),0)</f>
        <v>0</v>
      </c>
    </row>
    <row r="721" spans="1:9" hidden="1" x14ac:dyDescent="0.3">
      <c r="A721" t="s">
        <v>525</v>
      </c>
      <c r="B721" s="20">
        <v>45292</v>
      </c>
      <c r="C721" t="s">
        <v>391</v>
      </c>
      <c r="D721" t="s">
        <v>392</v>
      </c>
      <c r="E721" t="s">
        <v>381</v>
      </c>
      <c r="F721">
        <v>57</v>
      </c>
      <c r="G721">
        <v>0</v>
      </c>
      <c r="H721">
        <f>IF(report_B_CategorieBoekjaar[[#This Row],[BedrijfsCode]]="002",IF(report_B_CategorieBoekjaar[[#This Row],[Boekjaar]]=Projectbegroting!$K$1,report_B_CategorieBoekjaar[[#This Row],[CategorieCode]],0),0)</f>
        <v>0</v>
      </c>
      <c r="I721">
        <f>IF(report_B_CategorieBoekjaar[[#This Row],[BedrijfsCode]]="001",IF(report_B_CategorieBoekjaar[[#This Row],[Boekjaar]]=Projectbegroting!$K$1,report_B_CategorieBoekjaar[[#This Row],[CategorieCode]],0),0)</f>
        <v>0</v>
      </c>
    </row>
    <row r="722" spans="1:9" hidden="1" x14ac:dyDescent="0.3">
      <c r="A722" t="s">
        <v>525</v>
      </c>
      <c r="B722" s="20">
        <v>45292</v>
      </c>
      <c r="C722" t="s">
        <v>393</v>
      </c>
      <c r="D722" t="s">
        <v>394</v>
      </c>
      <c r="E722" t="s">
        <v>384</v>
      </c>
      <c r="F722">
        <v>0</v>
      </c>
      <c r="G722">
        <v>0</v>
      </c>
      <c r="H722">
        <f>IF(report_B_CategorieBoekjaar[[#This Row],[BedrijfsCode]]="002",IF(report_B_CategorieBoekjaar[[#This Row],[Boekjaar]]=Projectbegroting!$K$1,report_B_CategorieBoekjaar[[#This Row],[CategorieCode]],0),0)</f>
        <v>0</v>
      </c>
      <c r="I722">
        <f>IF(report_B_CategorieBoekjaar[[#This Row],[BedrijfsCode]]="001",IF(report_B_CategorieBoekjaar[[#This Row],[Boekjaar]]=Projectbegroting!$K$1,report_B_CategorieBoekjaar[[#This Row],[CategorieCode]],0),0)</f>
        <v>0</v>
      </c>
    </row>
    <row r="723" spans="1:9" hidden="1" x14ac:dyDescent="0.3">
      <c r="A723" t="s">
        <v>525</v>
      </c>
      <c r="B723" s="20">
        <v>45292</v>
      </c>
      <c r="C723" t="s">
        <v>395</v>
      </c>
      <c r="D723" t="s">
        <v>396</v>
      </c>
      <c r="E723" t="s">
        <v>381</v>
      </c>
      <c r="F723">
        <v>54</v>
      </c>
      <c r="G723">
        <v>0</v>
      </c>
      <c r="H723">
        <f>IF(report_B_CategorieBoekjaar[[#This Row],[BedrijfsCode]]="002",IF(report_B_CategorieBoekjaar[[#This Row],[Boekjaar]]=Projectbegroting!$K$1,report_B_CategorieBoekjaar[[#This Row],[CategorieCode]],0),0)</f>
        <v>0</v>
      </c>
      <c r="I723">
        <f>IF(report_B_CategorieBoekjaar[[#This Row],[BedrijfsCode]]="001",IF(report_B_CategorieBoekjaar[[#This Row],[Boekjaar]]=Projectbegroting!$K$1,report_B_CategorieBoekjaar[[#This Row],[CategorieCode]],0),0)</f>
        <v>0</v>
      </c>
    </row>
    <row r="724" spans="1:9" hidden="1" x14ac:dyDescent="0.3">
      <c r="A724" t="s">
        <v>525</v>
      </c>
      <c r="B724" s="20">
        <v>45292</v>
      </c>
      <c r="C724" t="s">
        <v>397</v>
      </c>
      <c r="D724" t="s">
        <v>398</v>
      </c>
      <c r="E724" t="s">
        <v>384</v>
      </c>
      <c r="F724">
        <v>0</v>
      </c>
      <c r="G724">
        <v>0</v>
      </c>
      <c r="H724">
        <f>IF(report_B_CategorieBoekjaar[[#This Row],[BedrijfsCode]]="002",IF(report_B_CategorieBoekjaar[[#This Row],[Boekjaar]]=Projectbegroting!$K$1,report_B_CategorieBoekjaar[[#This Row],[CategorieCode]],0),0)</f>
        <v>0</v>
      </c>
      <c r="I724">
        <f>IF(report_B_CategorieBoekjaar[[#This Row],[BedrijfsCode]]="001",IF(report_B_CategorieBoekjaar[[#This Row],[Boekjaar]]=Projectbegroting!$K$1,report_B_CategorieBoekjaar[[#This Row],[CategorieCode]],0),0)</f>
        <v>0</v>
      </c>
    </row>
    <row r="725" spans="1:9" hidden="1" x14ac:dyDescent="0.3">
      <c r="A725" t="s">
        <v>525</v>
      </c>
      <c r="B725" s="20">
        <v>45292</v>
      </c>
      <c r="C725" t="s">
        <v>54</v>
      </c>
      <c r="D725" t="s">
        <v>399</v>
      </c>
      <c r="E725" t="s">
        <v>381</v>
      </c>
      <c r="F725">
        <v>57</v>
      </c>
      <c r="G725">
        <v>112</v>
      </c>
      <c r="H725">
        <f>IF(report_B_CategorieBoekjaar[[#This Row],[BedrijfsCode]]="002",IF(report_B_CategorieBoekjaar[[#This Row],[Boekjaar]]=Projectbegroting!$K$1,report_B_CategorieBoekjaar[[#This Row],[CategorieCode]],0),0)</f>
        <v>0</v>
      </c>
      <c r="I725">
        <f>IF(report_B_CategorieBoekjaar[[#This Row],[BedrijfsCode]]="001",IF(report_B_CategorieBoekjaar[[#This Row],[Boekjaar]]=Projectbegroting!$K$1,report_B_CategorieBoekjaar[[#This Row],[CategorieCode]],0),0)</f>
        <v>0</v>
      </c>
    </row>
    <row r="726" spans="1:9" hidden="1" x14ac:dyDescent="0.3">
      <c r="A726" t="s">
        <v>525</v>
      </c>
      <c r="B726" s="20">
        <v>45292</v>
      </c>
      <c r="C726" t="s">
        <v>400</v>
      </c>
      <c r="D726" t="s">
        <v>401</v>
      </c>
      <c r="E726" t="s">
        <v>384</v>
      </c>
      <c r="F726">
        <v>0</v>
      </c>
      <c r="G726">
        <v>0</v>
      </c>
      <c r="H726">
        <f>IF(report_B_CategorieBoekjaar[[#This Row],[BedrijfsCode]]="002",IF(report_B_CategorieBoekjaar[[#This Row],[Boekjaar]]=Projectbegroting!$K$1,report_B_CategorieBoekjaar[[#This Row],[CategorieCode]],0),0)</f>
        <v>0</v>
      </c>
      <c r="I726">
        <f>IF(report_B_CategorieBoekjaar[[#This Row],[BedrijfsCode]]="001",IF(report_B_CategorieBoekjaar[[#This Row],[Boekjaar]]=Projectbegroting!$K$1,report_B_CategorieBoekjaar[[#This Row],[CategorieCode]],0),0)</f>
        <v>0</v>
      </c>
    </row>
    <row r="727" spans="1:9" hidden="1" x14ac:dyDescent="0.3">
      <c r="A727" t="s">
        <v>525</v>
      </c>
      <c r="B727" s="20">
        <v>45292</v>
      </c>
      <c r="C727" t="s">
        <v>56</v>
      </c>
      <c r="D727" t="s">
        <v>402</v>
      </c>
      <c r="E727" t="s">
        <v>381</v>
      </c>
      <c r="F727">
        <v>65</v>
      </c>
      <c r="G727">
        <v>0</v>
      </c>
      <c r="H727">
        <f>IF(report_B_CategorieBoekjaar[[#This Row],[BedrijfsCode]]="002",IF(report_B_CategorieBoekjaar[[#This Row],[Boekjaar]]=Projectbegroting!$K$1,report_B_CategorieBoekjaar[[#This Row],[CategorieCode]],0),0)</f>
        <v>0</v>
      </c>
      <c r="I727">
        <f>IF(report_B_CategorieBoekjaar[[#This Row],[BedrijfsCode]]="001",IF(report_B_CategorieBoekjaar[[#This Row],[Boekjaar]]=Projectbegroting!$K$1,report_B_CategorieBoekjaar[[#This Row],[CategorieCode]],0),0)</f>
        <v>0</v>
      </c>
    </row>
    <row r="728" spans="1:9" hidden="1" x14ac:dyDescent="0.3">
      <c r="A728" t="s">
        <v>525</v>
      </c>
      <c r="B728" s="20">
        <v>45292</v>
      </c>
      <c r="C728" t="s">
        <v>403</v>
      </c>
      <c r="D728" t="s">
        <v>404</v>
      </c>
      <c r="E728" t="s">
        <v>384</v>
      </c>
      <c r="F728">
        <v>0</v>
      </c>
      <c r="G728">
        <v>0</v>
      </c>
      <c r="H728">
        <f>IF(report_B_CategorieBoekjaar[[#This Row],[BedrijfsCode]]="002",IF(report_B_CategorieBoekjaar[[#This Row],[Boekjaar]]=Projectbegroting!$K$1,report_B_CategorieBoekjaar[[#This Row],[CategorieCode]],0),0)</f>
        <v>0</v>
      </c>
      <c r="I728">
        <f>IF(report_B_CategorieBoekjaar[[#This Row],[BedrijfsCode]]="001",IF(report_B_CategorieBoekjaar[[#This Row],[Boekjaar]]=Projectbegroting!$K$1,report_B_CategorieBoekjaar[[#This Row],[CategorieCode]],0),0)</f>
        <v>0</v>
      </c>
    </row>
    <row r="729" spans="1:9" hidden="1" x14ac:dyDescent="0.3">
      <c r="A729" t="s">
        <v>525</v>
      </c>
      <c r="B729" s="20">
        <v>45292</v>
      </c>
      <c r="C729" t="s">
        <v>405</v>
      </c>
      <c r="D729" t="s">
        <v>16</v>
      </c>
      <c r="E729" t="s">
        <v>381</v>
      </c>
      <c r="F729">
        <v>52</v>
      </c>
      <c r="G729">
        <v>0</v>
      </c>
      <c r="H729">
        <f>IF(report_B_CategorieBoekjaar[[#This Row],[BedrijfsCode]]="002",IF(report_B_CategorieBoekjaar[[#This Row],[Boekjaar]]=Projectbegroting!$K$1,report_B_CategorieBoekjaar[[#This Row],[CategorieCode]],0),0)</f>
        <v>0</v>
      </c>
      <c r="I729">
        <f>IF(report_B_CategorieBoekjaar[[#This Row],[BedrijfsCode]]="001",IF(report_B_CategorieBoekjaar[[#This Row],[Boekjaar]]=Projectbegroting!$K$1,report_B_CategorieBoekjaar[[#This Row],[CategorieCode]],0),0)</f>
        <v>0</v>
      </c>
    </row>
    <row r="730" spans="1:9" hidden="1" x14ac:dyDescent="0.3">
      <c r="A730" t="s">
        <v>525</v>
      </c>
      <c r="B730" s="20">
        <v>45292</v>
      </c>
      <c r="C730" t="s">
        <v>58</v>
      </c>
      <c r="D730" t="s">
        <v>406</v>
      </c>
      <c r="E730" t="s">
        <v>381</v>
      </c>
      <c r="F730">
        <v>58</v>
      </c>
      <c r="G730">
        <v>0</v>
      </c>
      <c r="H730">
        <f>IF(report_B_CategorieBoekjaar[[#This Row],[BedrijfsCode]]="002",IF(report_B_CategorieBoekjaar[[#This Row],[Boekjaar]]=Projectbegroting!$K$1,report_B_CategorieBoekjaar[[#This Row],[CategorieCode]],0),0)</f>
        <v>0</v>
      </c>
      <c r="I730">
        <f>IF(report_B_CategorieBoekjaar[[#This Row],[BedrijfsCode]]="001",IF(report_B_CategorieBoekjaar[[#This Row],[Boekjaar]]=Projectbegroting!$K$1,report_B_CategorieBoekjaar[[#This Row],[CategorieCode]],0),0)</f>
        <v>0</v>
      </c>
    </row>
    <row r="731" spans="1:9" hidden="1" x14ac:dyDescent="0.3">
      <c r="A731" t="s">
        <v>525</v>
      </c>
      <c r="B731" s="20">
        <v>45292</v>
      </c>
      <c r="C731" t="s">
        <v>407</v>
      </c>
      <c r="D731" t="s">
        <v>408</v>
      </c>
      <c r="E731" t="s">
        <v>384</v>
      </c>
      <c r="F731">
        <v>0</v>
      </c>
      <c r="G731">
        <v>0</v>
      </c>
      <c r="H731">
        <f>IF(report_B_CategorieBoekjaar[[#This Row],[BedrijfsCode]]="002",IF(report_B_CategorieBoekjaar[[#This Row],[Boekjaar]]=Projectbegroting!$K$1,report_B_CategorieBoekjaar[[#This Row],[CategorieCode]],0),0)</f>
        <v>0</v>
      </c>
      <c r="I731">
        <f>IF(report_B_CategorieBoekjaar[[#This Row],[BedrijfsCode]]="001",IF(report_B_CategorieBoekjaar[[#This Row],[Boekjaar]]=Projectbegroting!$K$1,report_B_CategorieBoekjaar[[#This Row],[CategorieCode]],0),0)</f>
        <v>0</v>
      </c>
    </row>
    <row r="732" spans="1:9" hidden="1" x14ac:dyDescent="0.3">
      <c r="A732" t="s">
        <v>525</v>
      </c>
      <c r="B732" s="20">
        <v>45292</v>
      </c>
      <c r="C732" t="s">
        <v>60</v>
      </c>
      <c r="D732" t="s">
        <v>61</v>
      </c>
      <c r="E732" t="s">
        <v>381</v>
      </c>
      <c r="F732">
        <v>70</v>
      </c>
      <c r="G732">
        <v>125</v>
      </c>
      <c r="H732">
        <f>IF(report_B_CategorieBoekjaar[[#This Row],[BedrijfsCode]]="002",IF(report_B_CategorieBoekjaar[[#This Row],[Boekjaar]]=Projectbegroting!$K$1,report_B_CategorieBoekjaar[[#This Row],[CategorieCode]],0),0)</f>
        <v>0</v>
      </c>
      <c r="I732">
        <f>IF(report_B_CategorieBoekjaar[[#This Row],[BedrijfsCode]]="001",IF(report_B_CategorieBoekjaar[[#This Row],[Boekjaar]]=Projectbegroting!$K$1,report_B_CategorieBoekjaar[[#This Row],[CategorieCode]],0),0)</f>
        <v>0</v>
      </c>
    </row>
    <row r="733" spans="1:9" hidden="1" x14ac:dyDescent="0.3">
      <c r="A733" t="s">
        <v>525</v>
      </c>
      <c r="B733" s="20">
        <v>45292</v>
      </c>
      <c r="C733" t="s">
        <v>168</v>
      </c>
      <c r="D733" t="s">
        <v>409</v>
      </c>
      <c r="E733" t="s">
        <v>384</v>
      </c>
      <c r="F733">
        <v>0</v>
      </c>
      <c r="G733">
        <v>0</v>
      </c>
      <c r="H733">
        <f>IF(report_B_CategorieBoekjaar[[#This Row],[BedrijfsCode]]="002",IF(report_B_CategorieBoekjaar[[#This Row],[Boekjaar]]=Projectbegroting!$K$1,report_B_CategorieBoekjaar[[#This Row],[CategorieCode]],0),0)</f>
        <v>0</v>
      </c>
      <c r="I733">
        <f>IF(report_B_CategorieBoekjaar[[#This Row],[BedrijfsCode]]="001",IF(report_B_CategorieBoekjaar[[#This Row],[Boekjaar]]=Projectbegroting!$K$1,report_B_CategorieBoekjaar[[#This Row],[CategorieCode]],0),0)</f>
        <v>0</v>
      </c>
    </row>
    <row r="734" spans="1:9" hidden="1" x14ac:dyDescent="0.3">
      <c r="A734" t="s">
        <v>525</v>
      </c>
      <c r="B734" s="20">
        <v>45292</v>
      </c>
      <c r="C734" t="s">
        <v>410</v>
      </c>
      <c r="D734" t="s">
        <v>411</v>
      </c>
      <c r="E734" t="s">
        <v>381</v>
      </c>
      <c r="F734">
        <v>34</v>
      </c>
      <c r="G734">
        <v>0</v>
      </c>
      <c r="H734">
        <f>IF(report_B_CategorieBoekjaar[[#This Row],[BedrijfsCode]]="002",IF(report_B_CategorieBoekjaar[[#This Row],[Boekjaar]]=Projectbegroting!$K$1,report_B_CategorieBoekjaar[[#This Row],[CategorieCode]],0),0)</f>
        <v>0</v>
      </c>
      <c r="I734">
        <f>IF(report_B_CategorieBoekjaar[[#This Row],[BedrijfsCode]]="001",IF(report_B_CategorieBoekjaar[[#This Row],[Boekjaar]]=Projectbegroting!$K$1,report_B_CategorieBoekjaar[[#This Row],[CategorieCode]],0),0)</f>
        <v>0</v>
      </c>
    </row>
    <row r="735" spans="1:9" hidden="1" x14ac:dyDescent="0.3">
      <c r="A735" t="s">
        <v>525</v>
      </c>
      <c r="B735" s="20">
        <v>45292</v>
      </c>
      <c r="C735" t="s">
        <v>412</v>
      </c>
      <c r="D735" t="s">
        <v>413</v>
      </c>
      <c r="E735" t="s">
        <v>381</v>
      </c>
      <c r="F735">
        <v>44</v>
      </c>
      <c r="G735">
        <v>99</v>
      </c>
      <c r="H735">
        <f>IF(report_B_CategorieBoekjaar[[#This Row],[BedrijfsCode]]="002",IF(report_B_CategorieBoekjaar[[#This Row],[Boekjaar]]=Projectbegroting!$K$1,report_B_CategorieBoekjaar[[#This Row],[CategorieCode]],0),0)</f>
        <v>0</v>
      </c>
      <c r="I735">
        <f>IF(report_B_CategorieBoekjaar[[#This Row],[BedrijfsCode]]="001",IF(report_B_CategorieBoekjaar[[#This Row],[Boekjaar]]=Projectbegroting!$K$1,report_B_CategorieBoekjaar[[#This Row],[CategorieCode]],0),0)</f>
        <v>0</v>
      </c>
    </row>
    <row r="736" spans="1:9" hidden="1" x14ac:dyDescent="0.3">
      <c r="A736" t="s">
        <v>525</v>
      </c>
      <c r="B736" s="20">
        <v>45292</v>
      </c>
      <c r="C736" t="s">
        <v>414</v>
      </c>
      <c r="D736" t="s">
        <v>415</v>
      </c>
      <c r="E736" t="s">
        <v>384</v>
      </c>
      <c r="F736">
        <v>0</v>
      </c>
      <c r="G736">
        <v>0</v>
      </c>
      <c r="H736">
        <f>IF(report_B_CategorieBoekjaar[[#This Row],[BedrijfsCode]]="002",IF(report_B_CategorieBoekjaar[[#This Row],[Boekjaar]]=Projectbegroting!$K$1,report_B_CategorieBoekjaar[[#This Row],[CategorieCode]],0),0)</f>
        <v>0</v>
      </c>
      <c r="I736">
        <f>IF(report_B_CategorieBoekjaar[[#This Row],[BedrijfsCode]]="001",IF(report_B_CategorieBoekjaar[[#This Row],[Boekjaar]]=Projectbegroting!$K$1,report_B_CategorieBoekjaar[[#This Row],[CategorieCode]],0),0)</f>
        <v>0</v>
      </c>
    </row>
    <row r="737" spans="1:9" hidden="1" x14ac:dyDescent="0.3">
      <c r="A737" t="s">
        <v>525</v>
      </c>
      <c r="B737" s="20">
        <v>45292</v>
      </c>
      <c r="C737" t="s">
        <v>82</v>
      </c>
      <c r="D737" t="s">
        <v>416</v>
      </c>
      <c r="E737" t="s">
        <v>381</v>
      </c>
      <c r="F737">
        <v>78</v>
      </c>
      <c r="G737">
        <v>128</v>
      </c>
      <c r="H737">
        <f>IF(report_B_CategorieBoekjaar[[#This Row],[BedrijfsCode]]="002",IF(report_B_CategorieBoekjaar[[#This Row],[Boekjaar]]=Projectbegroting!$K$1,report_B_CategorieBoekjaar[[#This Row],[CategorieCode]],0),0)</f>
        <v>0</v>
      </c>
      <c r="I737">
        <f>IF(report_B_CategorieBoekjaar[[#This Row],[BedrijfsCode]]="001",IF(report_B_CategorieBoekjaar[[#This Row],[Boekjaar]]=Projectbegroting!$K$1,report_B_CategorieBoekjaar[[#This Row],[CategorieCode]],0),0)</f>
        <v>0</v>
      </c>
    </row>
    <row r="738" spans="1:9" hidden="1" x14ac:dyDescent="0.3">
      <c r="A738" t="s">
        <v>525</v>
      </c>
      <c r="B738" s="20">
        <v>45292</v>
      </c>
      <c r="C738" t="s">
        <v>169</v>
      </c>
      <c r="D738" t="s">
        <v>417</v>
      </c>
      <c r="E738" t="s">
        <v>384</v>
      </c>
      <c r="F738">
        <v>0</v>
      </c>
      <c r="G738">
        <v>0</v>
      </c>
      <c r="H738">
        <f>IF(report_B_CategorieBoekjaar[[#This Row],[BedrijfsCode]]="002",IF(report_B_CategorieBoekjaar[[#This Row],[Boekjaar]]=Projectbegroting!$K$1,report_B_CategorieBoekjaar[[#This Row],[CategorieCode]],0),0)</f>
        <v>0</v>
      </c>
      <c r="I738">
        <f>IF(report_B_CategorieBoekjaar[[#This Row],[BedrijfsCode]]="001",IF(report_B_CategorieBoekjaar[[#This Row],[Boekjaar]]=Projectbegroting!$K$1,report_B_CategorieBoekjaar[[#This Row],[CategorieCode]],0),0)</f>
        <v>0</v>
      </c>
    </row>
    <row r="739" spans="1:9" hidden="1" x14ac:dyDescent="0.3">
      <c r="A739" t="s">
        <v>525</v>
      </c>
      <c r="B739" s="20">
        <v>45292</v>
      </c>
      <c r="C739" t="s">
        <v>418</v>
      </c>
      <c r="D739" t="s">
        <v>419</v>
      </c>
      <c r="E739" t="s">
        <v>381</v>
      </c>
      <c r="F739">
        <v>66</v>
      </c>
      <c r="G739">
        <v>0</v>
      </c>
      <c r="H739">
        <f>IF(report_B_CategorieBoekjaar[[#This Row],[BedrijfsCode]]="002",IF(report_B_CategorieBoekjaar[[#This Row],[Boekjaar]]=Projectbegroting!$K$1,report_B_CategorieBoekjaar[[#This Row],[CategorieCode]],0),0)</f>
        <v>0</v>
      </c>
      <c r="I739">
        <f>IF(report_B_CategorieBoekjaar[[#This Row],[BedrijfsCode]]="001",IF(report_B_CategorieBoekjaar[[#This Row],[Boekjaar]]=Projectbegroting!$K$1,report_B_CategorieBoekjaar[[#This Row],[CategorieCode]],0),0)</f>
        <v>0</v>
      </c>
    </row>
    <row r="740" spans="1:9" hidden="1" x14ac:dyDescent="0.3">
      <c r="A740" t="s">
        <v>525</v>
      </c>
      <c r="B740" s="20">
        <v>45292</v>
      </c>
      <c r="C740" t="s">
        <v>84</v>
      </c>
      <c r="D740" t="s">
        <v>420</v>
      </c>
      <c r="E740" t="s">
        <v>381</v>
      </c>
      <c r="F740">
        <v>63</v>
      </c>
      <c r="G740">
        <v>111</v>
      </c>
      <c r="H740">
        <f>IF(report_B_CategorieBoekjaar[[#This Row],[BedrijfsCode]]="002",IF(report_B_CategorieBoekjaar[[#This Row],[Boekjaar]]=Projectbegroting!$K$1,report_B_CategorieBoekjaar[[#This Row],[CategorieCode]],0),0)</f>
        <v>0</v>
      </c>
      <c r="I740">
        <f>IF(report_B_CategorieBoekjaar[[#This Row],[BedrijfsCode]]="001",IF(report_B_CategorieBoekjaar[[#This Row],[Boekjaar]]=Projectbegroting!$K$1,report_B_CategorieBoekjaar[[#This Row],[CategorieCode]],0),0)</f>
        <v>0</v>
      </c>
    </row>
    <row r="741" spans="1:9" hidden="1" x14ac:dyDescent="0.3">
      <c r="A741" t="s">
        <v>525</v>
      </c>
      <c r="B741" s="20">
        <v>45292</v>
      </c>
      <c r="C741" t="s">
        <v>170</v>
      </c>
      <c r="D741" t="s">
        <v>421</v>
      </c>
      <c r="E741" t="s">
        <v>384</v>
      </c>
      <c r="F741">
        <v>0</v>
      </c>
      <c r="G741">
        <v>0</v>
      </c>
      <c r="H741">
        <f>IF(report_B_CategorieBoekjaar[[#This Row],[BedrijfsCode]]="002",IF(report_B_CategorieBoekjaar[[#This Row],[Boekjaar]]=Projectbegroting!$K$1,report_B_CategorieBoekjaar[[#This Row],[CategorieCode]],0),0)</f>
        <v>0</v>
      </c>
      <c r="I741">
        <f>IF(report_B_CategorieBoekjaar[[#This Row],[BedrijfsCode]]="001",IF(report_B_CategorieBoekjaar[[#This Row],[Boekjaar]]=Projectbegroting!$K$1,report_B_CategorieBoekjaar[[#This Row],[CategorieCode]],0),0)</f>
        <v>0</v>
      </c>
    </row>
    <row r="742" spans="1:9" hidden="1" x14ac:dyDescent="0.3">
      <c r="A742" t="s">
        <v>525</v>
      </c>
      <c r="B742" s="20">
        <v>45292</v>
      </c>
      <c r="C742" t="s">
        <v>96</v>
      </c>
      <c r="D742" t="s">
        <v>422</v>
      </c>
      <c r="E742" t="s">
        <v>381</v>
      </c>
      <c r="F742">
        <v>65</v>
      </c>
      <c r="G742">
        <v>120</v>
      </c>
      <c r="H742">
        <f>IF(report_B_CategorieBoekjaar[[#This Row],[BedrijfsCode]]="002",IF(report_B_CategorieBoekjaar[[#This Row],[Boekjaar]]=Projectbegroting!$K$1,report_B_CategorieBoekjaar[[#This Row],[CategorieCode]],0),0)</f>
        <v>0</v>
      </c>
      <c r="I742">
        <f>IF(report_B_CategorieBoekjaar[[#This Row],[BedrijfsCode]]="001",IF(report_B_CategorieBoekjaar[[#This Row],[Boekjaar]]=Projectbegroting!$K$1,report_B_CategorieBoekjaar[[#This Row],[CategorieCode]],0),0)</f>
        <v>0</v>
      </c>
    </row>
    <row r="743" spans="1:9" hidden="1" x14ac:dyDescent="0.3">
      <c r="A743" t="s">
        <v>525</v>
      </c>
      <c r="B743" s="20">
        <v>45292</v>
      </c>
      <c r="C743" t="s">
        <v>171</v>
      </c>
      <c r="D743" t="s">
        <v>423</v>
      </c>
      <c r="E743" t="s">
        <v>384</v>
      </c>
      <c r="F743">
        <v>0</v>
      </c>
      <c r="G743">
        <v>0</v>
      </c>
      <c r="H743">
        <f>IF(report_B_CategorieBoekjaar[[#This Row],[BedrijfsCode]]="002",IF(report_B_CategorieBoekjaar[[#This Row],[Boekjaar]]=Projectbegroting!$K$1,report_B_CategorieBoekjaar[[#This Row],[CategorieCode]],0),0)</f>
        <v>0</v>
      </c>
      <c r="I743">
        <f>IF(report_B_CategorieBoekjaar[[#This Row],[BedrijfsCode]]="001",IF(report_B_CategorieBoekjaar[[#This Row],[Boekjaar]]=Projectbegroting!$K$1,report_B_CategorieBoekjaar[[#This Row],[CategorieCode]],0),0)</f>
        <v>0</v>
      </c>
    </row>
    <row r="744" spans="1:9" hidden="1" x14ac:dyDescent="0.3">
      <c r="A744" t="s">
        <v>525</v>
      </c>
      <c r="B744" s="20">
        <v>45292</v>
      </c>
      <c r="C744" t="s">
        <v>86</v>
      </c>
      <c r="D744" t="s">
        <v>424</v>
      </c>
      <c r="E744" t="s">
        <v>381</v>
      </c>
      <c r="F744">
        <v>58</v>
      </c>
      <c r="G744">
        <v>113</v>
      </c>
      <c r="H744">
        <f>IF(report_B_CategorieBoekjaar[[#This Row],[BedrijfsCode]]="002",IF(report_B_CategorieBoekjaar[[#This Row],[Boekjaar]]=Projectbegroting!$K$1,report_B_CategorieBoekjaar[[#This Row],[CategorieCode]],0),0)</f>
        <v>0</v>
      </c>
      <c r="I744">
        <f>IF(report_B_CategorieBoekjaar[[#This Row],[BedrijfsCode]]="001",IF(report_B_CategorieBoekjaar[[#This Row],[Boekjaar]]=Projectbegroting!$K$1,report_B_CategorieBoekjaar[[#This Row],[CategorieCode]],0),0)</f>
        <v>0</v>
      </c>
    </row>
    <row r="745" spans="1:9" hidden="1" x14ac:dyDescent="0.3">
      <c r="A745" t="s">
        <v>525</v>
      </c>
      <c r="B745" s="20">
        <v>45292</v>
      </c>
      <c r="C745" t="s">
        <v>172</v>
      </c>
      <c r="D745" t="s">
        <v>425</v>
      </c>
      <c r="E745" t="s">
        <v>384</v>
      </c>
      <c r="F745">
        <v>0</v>
      </c>
      <c r="G745">
        <v>0</v>
      </c>
      <c r="H745">
        <f>IF(report_B_CategorieBoekjaar[[#This Row],[BedrijfsCode]]="002",IF(report_B_CategorieBoekjaar[[#This Row],[Boekjaar]]=Projectbegroting!$K$1,report_B_CategorieBoekjaar[[#This Row],[CategorieCode]],0),0)</f>
        <v>0</v>
      </c>
      <c r="I745">
        <f>IF(report_B_CategorieBoekjaar[[#This Row],[BedrijfsCode]]="001",IF(report_B_CategorieBoekjaar[[#This Row],[Boekjaar]]=Projectbegroting!$K$1,report_B_CategorieBoekjaar[[#This Row],[CategorieCode]],0),0)</f>
        <v>0</v>
      </c>
    </row>
    <row r="746" spans="1:9" hidden="1" x14ac:dyDescent="0.3">
      <c r="A746" t="s">
        <v>525</v>
      </c>
      <c r="B746" s="20">
        <v>45292</v>
      </c>
      <c r="C746" t="s">
        <v>94</v>
      </c>
      <c r="D746" t="s">
        <v>426</v>
      </c>
      <c r="E746" t="s">
        <v>381</v>
      </c>
      <c r="F746">
        <v>122</v>
      </c>
      <c r="G746">
        <v>122</v>
      </c>
      <c r="H746">
        <f>IF(report_B_CategorieBoekjaar[[#This Row],[BedrijfsCode]]="002",IF(report_B_CategorieBoekjaar[[#This Row],[Boekjaar]]=Projectbegroting!$K$1,report_B_CategorieBoekjaar[[#This Row],[CategorieCode]],0),0)</f>
        <v>0</v>
      </c>
      <c r="I746">
        <f>IF(report_B_CategorieBoekjaar[[#This Row],[BedrijfsCode]]="001",IF(report_B_CategorieBoekjaar[[#This Row],[Boekjaar]]=Projectbegroting!$K$1,report_B_CategorieBoekjaar[[#This Row],[CategorieCode]],0),0)</f>
        <v>0</v>
      </c>
    </row>
    <row r="747" spans="1:9" hidden="1" x14ac:dyDescent="0.3">
      <c r="A747" t="s">
        <v>525</v>
      </c>
      <c r="B747" s="20">
        <v>45292</v>
      </c>
      <c r="C747" t="s">
        <v>173</v>
      </c>
      <c r="D747" t="s">
        <v>427</v>
      </c>
      <c r="E747" t="s">
        <v>384</v>
      </c>
      <c r="F747">
        <v>0</v>
      </c>
      <c r="G747">
        <v>0</v>
      </c>
      <c r="H747">
        <f>IF(report_B_CategorieBoekjaar[[#This Row],[BedrijfsCode]]="002",IF(report_B_CategorieBoekjaar[[#This Row],[Boekjaar]]=Projectbegroting!$K$1,report_B_CategorieBoekjaar[[#This Row],[CategorieCode]],0),0)</f>
        <v>0</v>
      </c>
      <c r="I747">
        <f>IF(report_B_CategorieBoekjaar[[#This Row],[BedrijfsCode]]="001",IF(report_B_CategorieBoekjaar[[#This Row],[Boekjaar]]=Projectbegroting!$K$1,report_B_CategorieBoekjaar[[#This Row],[CategorieCode]],0),0)</f>
        <v>0</v>
      </c>
    </row>
    <row r="748" spans="1:9" hidden="1" x14ac:dyDescent="0.3">
      <c r="A748" t="s">
        <v>525</v>
      </c>
      <c r="B748" s="20">
        <v>45292</v>
      </c>
      <c r="C748" t="s">
        <v>88</v>
      </c>
      <c r="D748" t="s">
        <v>89</v>
      </c>
      <c r="E748" t="s">
        <v>381</v>
      </c>
      <c r="F748">
        <v>67</v>
      </c>
      <c r="G748">
        <v>122</v>
      </c>
      <c r="H748">
        <f>IF(report_B_CategorieBoekjaar[[#This Row],[BedrijfsCode]]="002",IF(report_B_CategorieBoekjaar[[#This Row],[Boekjaar]]=Projectbegroting!$K$1,report_B_CategorieBoekjaar[[#This Row],[CategorieCode]],0),0)</f>
        <v>0</v>
      </c>
      <c r="I748">
        <f>IF(report_B_CategorieBoekjaar[[#This Row],[BedrijfsCode]]="001",IF(report_B_CategorieBoekjaar[[#This Row],[Boekjaar]]=Projectbegroting!$K$1,report_B_CategorieBoekjaar[[#This Row],[CategorieCode]],0),0)</f>
        <v>0</v>
      </c>
    </row>
    <row r="749" spans="1:9" hidden="1" x14ac:dyDescent="0.3">
      <c r="A749" t="s">
        <v>525</v>
      </c>
      <c r="B749" s="20">
        <v>45292</v>
      </c>
      <c r="C749" t="s">
        <v>174</v>
      </c>
      <c r="D749" t="s">
        <v>428</v>
      </c>
      <c r="E749" t="s">
        <v>384</v>
      </c>
      <c r="F749">
        <v>0</v>
      </c>
      <c r="G749">
        <v>0</v>
      </c>
      <c r="H749">
        <f>IF(report_B_CategorieBoekjaar[[#This Row],[BedrijfsCode]]="002",IF(report_B_CategorieBoekjaar[[#This Row],[Boekjaar]]=Projectbegroting!$K$1,report_B_CategorieBoekjaar[[#This Row],[CategorieCode]],0),0)</f>
        <v>0</v>
      </c>
      <c r="I749">
        <f>IF(report_B_CategorieBoekjaar[[#This Row],[BedrijfsCode]]="001",IF(report_B_CategorieBoekjaar[[#This Row],[Boekjaar]]=Projectbegroting!$K$1,report_B_CategorieBoekjaar[[#This Row],[CategorieCode]],0),0)</f>
        <v>0</v>
      </c>
    </row>
    <row r="750" spans="1:9" hidden="1" x14ac:dyDescent="0.3">
      <c r="A750" t="s">
        <v>525</v>
      </c>
      <c r="B750" s="20">
        <v>45292</v>
      </c>
      <c r="C750" t="s">
        <v>90</v>
      </c>
      <c r="D750" t="s">
        <v>91</v>
      </c>
      <c r="E750" t="s">
        <v>381</v>
      </c>
      <c r="F750">
        <v>46</v>
      </c>
      <c r="G750">
        <v>123</v>
      </c>
      <c r="H750">
        <f>IF(report_B_CategorieBoekjaar[[#This Row],[BedrijfsCode]]="002",IF(report_B_CategorieBoekjaar[[#This Row],[Boekjaar]]=Projectbegroting!$K$1,report_B_CategorieBoekjaar[[#This Row],[CategorieCode]],0),0)</f>
        <v>0</v>
      </c>
      <c r="I750">
        <f>IF(report_B_CategorieBoekjaar[[#This Row],[BedrijfsCode]]="001",IF(report_B_CategorieBoekjaar[[#This Row],[Boekjaar]]=Projectbegroting!$K$1,report_B_CategorieBoekjaar[[#This Row],[CategorieCode]],0),0)</f>
        <v>0</v>
      </c>
    </row>
    <row r="751" spans="1:9" hidden="1" x14ac:dyDescent="0.3">
      <c r="A751" t="s">
        <v>525</v>
      </c>
      <c r="B751" s="20">
        <v>45292</v>
      </c>
      <c r="C751" t="s">
        <v>429</v>
      </c>
      <c r="D751" t="s">
        <v>430</v>
      </c>
      <c r="E751" t="s">
        <v>384</v>
      </c>
      <c r="F751">
        <v>0</v>
      </c>
      <c r="G751">
        <v>0</v>
      </c>
      <c r="H751">
        <f>IF(report_B_CategorieBoekjaar[[#This Row],[BedrijfsCode]]="002",IF(report_B_CategorieBoekjaar[[#This Row],[Boekjaar]]=Projectbegroting!$K$1,report_B_CategorieBoekjaar[[#This Row],[CategorieCode]],0),0)</f>
        <v>0</v>
      </c>
      <c r="I751">
        <f>IF(report_B_CategorieBoekjaar[[#This Row],[BedrijfsCode]]="001",IF(report_B_CategorieBoekjaar[[#This Row],[Boekjaar]]=Projectbegroting!$K$1,report_B_CategorieBoekjaar[[#This Row],[CategorieCode]],0),0)</f>
        <v>0</v>
      </c>
    </row>
    <row r="752" spans="1:9" hidden="1" x14ac:dyDescent="0.3">
      <c r="A752" t="s">
        <v>525</v>
      </c>
      <c r="B752" s="20">
        <v>45292</v>
      </c>
      <c r="C752" t="s">
        <v>431</v>
      </c>
      <c r="D752" t="s">
        <v>432</v>
      </c>
      <c r="E752" t="s">
        <v>381</v>
      </c>
      <c r="F752">
        <v>78</v>
      </c>
      <c r="G752">
        <v>127</v>
      </c>
      <c r="H752">
        <f>IF(report_B_CategorieBoekjaar[[#This Row],[BedrijfsCode]]="002",IF(report_B_CategorieBoekjaar[[#This Row],[Boekjaar]]=Projectbegroting!$K$1,report_B_CategorieBoekjaar[[#This Row],[CategorieCode]],0),0)</f>
        <v>0</v>
      </c>
      <c r="I752">
        <f>IF(report_B_CategorieBoekjaar[[#This Row],[BedrijfsCode]]="001",IF(report_B_CategorieBoekjaar[[#This Row],[Boekjaar]]=Projectbegroting!$K$1,report_B_CategorieBoekjaar[[#This Row],[CategorieCode]],0),0)</f>
        <v>0</v>
      </c>
    </row>
    <row r="753" spans="1:9" hidden="1" x14ac:dyDescent="0.3">
      <c r="A753" t="s">
        <v>525</v>
      </c>
      <c r="B753" s="20">
        <v>45292</v>
      </c>
      <c r="C753" t="s">
        <v>433</v>
      </c>
      <c r="D753" t="s">
        <v>434</v>
      </c>
      <c r="E753" t="s">
        <v>384</v>
      </c>
      <c r="F753">
        <v>0</v>
      </c>
      <c r="G753">
        <v>0</v>
      </c>
      <c r="H753">
        <f>IF(report_B_CategorieBoekjaar[[#This Row],[BedrijfsCode]]="002",IF(report_B_CategorieBoekjaar[[#This Row],[Boekjaar]]=Projectbegroting!$K$1,report_B_CategorieBoekjaar[[#This Row],[CategorieCode]],0),0)</f>
        <v>0</v>
      </c>
      <c r="I753">
        <f>IF(report_B_CategorieBoekjaar[[#This Row],[BedrijfsCode]]="001",IF(report_B_CategorieBoekjaar[[#This Row],[Boekjaar]]=Projectbegroting!$K$1,report_B_CategorieBoekjaar[[#This Row],[CategorieCode]],0),0)</f>
        <v>0</v>
      </c>
    </row>
    <row r="754" spans="1:9" hidden="1" x14ac:dyDescent="0.3">
      <c r="A754" t="s">
        <v>525</v>
      </c>
      <c r="B754" s="20">
        <v>45292</v>
      </c>
      <c r="C754" t="s">
        <v>435</v>
      </c>
      <c r="D754" t="s">
        <v>436</v>
      </c>
      <c r="E754" t="s">
        <v>381</v>
      </c>
      <c r="F754">
        <v>58</v>
      </c>
      <c r="G754">
        <v>113</v>
      </c>
      <c r="H754">
        <f>IF(report_B_CategorieBoekjaar[[#This Row],[BedrijfsCode]]="002",IF(report_B_CategorieBoekjaar[[#This Row],[Boekjaar]]=Projectbegroting!$K$1,report_B_CategorieBoekjaar[[#This Row],[CategorieCode]],0),0)</f>
        <v>0</v>
      </c>
      <c r="I754">
        <f>IF(report_B_CategorieBoekjaar[[#This Row],[BedrijfsCode]]="001",IF(report_B_CategorieBoekjaar[[#This Row],[Boekjaar]]=Projectbegroting!$K$1,report_B_CategorieBoekjaar[[#This Row],[CategorieCode]],0),0)</f>
        <v>0</v>
      </c>
    </row>
    <row r="755" spans="1:9" hidden="1" x14ac:dyDescent="0.3">
      <c r="A755" t="s">
        <v>525</v>
      </c>
      <c r="B755" s="20">
        <v>45292</v>
      </c>
      <c r="C755" t="s">
        <v>437</v>
      </c>
      <c r="D755" t="s">
        <v>438</v>
      </c>
      <c r="E755" t="s">
        <v>384</v>
      </c>
      <c r="F755">
        <v>0</v>
      </c>
      <c r="G755">
        <v>0</v>
      </c>
      <c r="H755">
        <f>IF(report_B_CategorieBoekjaar[[#This Row],[BedrijfsCode]]="002",IF(report_B_CategorieBoekjaar[[#This Row],[Boekjaar]]=Projectbegroting!$K$1,report_B_CategorieBoekjaar[[#This Row],[CategorieCode]],0),0)</f>
        <v>0</v>
      </c>
      <c r="I755">
        <f>IF(report_B_CategorieBoekjaar[[#This Row],[BedrijfsCode]]="001",IF(report_B_CategorieBoekjaar[[#This Row],[Boekjaar]]=Projectbegroting!$K$1,report_B_CategorieBoekjaar[[#This Row],[CategorieCode]],0),0)</f>
        <v>0</v>
      </c>
    </row>
    <row r="756" spans="1:9" hidden="1" x14ac:dyDescent="0.3">
      <c r="A756" t="s">
        <v>525</v>
      </c>
      <c r="B756" s="20">
        <v>45292</v>
      </c>
      <c r="C756" t="s">
        <v>439</v>
      </c>
      <c r="D756" t="s">
        <v>440</v>
      </c>
      <c r="E756" t="s">
        <v>381</v>
      </c>
      <c r="F756">
        <v>41</v>
      </c>
      <c r="G756">
        <v>0</v>
      </c>
      <c r="H756">
        <f>IF(report_B_CategorieBoekjaar[[#This Row],[BedrijfsCode]]="002",IF(report_B_CategorieBoekjaar[[#This Row],[Boekjaar]]=Projectbegroting!$K$1,report_B_CategorieBoekjaar[[#This Row],[CategorieCode]],0),0)</f>
        <v>0</v>
      </c>
      <c r="I756">
        <f>IF(report_B_CategorieBoekjaar[[#This Row],[BedrijfsCode]]="001",IF(report_B_CategorieBoekjaar[[#This Row],[Boekjaar]]=Projectbegroting!$K$1,report_B_CategorieBoekjaar[[#This Row],[CategorieCode]],0),0)</f>
        <v>0</v>
      </c>
    </row>
    <row r="757" spans="1:9" hidden="1" x14ac:dyDescent="0.3">
      <c r="A757" t="s">
        <v>525</v>
      </c>
      <c r="B757" s="20">
        <v>45292</v>
      </c>
      <c r="C757" t="s">
        <v>441</v>
      </c>
      <c r="D757" t="s">
        <v>442</v>
      </c>
      <c r="E757" t="s">
        <v>381</v>
      </c>
      <c r="F757">
        <v>52</v>
      </c>
      <c r="G757">
        <v>107</v>
      </c>
      <c r="H757">
        <f>IF(report_B_CategorieBoekjaar[[#This Row],[BedrijfsCode]]="002",IF(report_B_CategorieBoekjaar[[#This Row],[Boekjaar]]=Projectbegroting!$K$1,report_B_CategorieBoekjaar[[#This Row],[CategorieCode]],0),0)</f>
        <v>0</v>
      </c>
      <c r="I757">
        <f>IF(report_B_CategorieBoekjaar[[#This Row],[BedrijfsCode]]="001",IF(report_B_CategorieBoekjaar[[#This Row],[Boekjaar]]=Projectbegroting!$K$1,report_B_CategorieBoekjaar[[#This Row],[CategorieCode]],0),0)</f>
        <v>0</v>
      </c>
    </row>
    <row r="758" spans="1:9" hidden="1" x14ac:dyDescent="0.3">
      <c r="A758" t="s">
        <v>525</v>
      </c>
      <c r="B758" s="20">
        <v>45292</v>
      </c>
      <c r="C758" t="s">
        <v>443</v>
      </c>
      <c r="D758" t="s">
        <v>444</v>
      </c>
      <c r="E758" t="s">
        <v>384</v>
      </c>
      <c r="F758">
        <v>0</v>
      </c>
      <c r="G758">
        <v>0</v>
      </c>
      <c r="H758">
        <f>IF(report_B_CategorieBoekjaar[[#This Row],[BedrijfsCode]]="002",IF(report_B_CategorieBoekjaar[[#This Row],[Boekjaar]]=Projectbegroting!$K$1,report_B_CategorieBoekjaar[[#This Row],[CategorieCode]],0),0)</f>
        <v>0</v>
      </c>
      <c r="I758">
        <f>IF(report_B_CategorieBoekjaar[[#This Row],[BedrijfsCode]]="001",IF(report_B_CategorieBoekjaar[[#This Row],[Boekjaar]]=Projectbegroting!$K$1,report_B_CategorieBoekjaar[[#This Row],[CategorieCode]],0),0)</f>
        <v>0</v>
      </c>
    </row>
    <row r="759" spans="1:9" hidden="1" x14ac:dyDescent="0.3">
      <c r="A759" t="s">
        <v>525</v>
      </c>
      <c r="B759" s="20">
        <v>45292</v>
      </c>
      <c r="C759" t="s">
        <v>445</v>
      </c>
      <c r="D759" t="s">
        <v>446</v>
      </c>
      <c r="E759" t="s">
        <v>381</v>
      </c>
      <c r="F759">
        <v>79</v>
      </c>
      <c r="G759">
        <v>134</v>
      </c>
      <c r="H759">
        <f>IF(report_B_CategorieBoekjaar[[#This Row],[BedrijfsCode]]="002",IF(report_B_CategorieBoekjaar[[#This Row],[Boekjaar]]=Projectbegroting!$K$1,report_B_CategorieBoekjaar[[#This Row],[CategorieCode]],0),0)</f>
        <v>0</v>
      </c>
      <c r="I759">
        <f>IF(report_B_CategorieBoekjaar[[#This Row],[BedrijfsCode]]="001",IF(report_B_CategorieBoekjaar[[#This Row],[Boekjaar]]=Projectbegroting!$K$1,report_B_CategorieBoekjaar[[#This Row],[CategorieCode]],0),0)</f>
        <v>0</v>
      </c>
    </row>
    <row r="760" spans="1:9" hidden="1" x14ac:dyDescent="0.3">
      <c r="A760" t="s">
        <v>525</v>
      </c>
      <c r="B760" s="20">
        <v>45292</v>
      </c>
      <c r="C760" t="s">
        <v>447</v>
      </c>
      <c r="D760" t="s">
        <v>448</v>
      </c>
      <c r="E760" t="s">
        <v>384</v>
      </c>
      <c r="F760">
        <v>0</v>
      </c>
      <c r="G760">
        <v>0</v>
      </c>
      <c r="H760">
        <f>IF(report_B_CategorieBoekjaar[[#This Row],[BedrijfsCode]]="002",IF(report_B_CategorieBoekjaar[[#This Row],[Boekjaar]]=Projectbegroting!$K$1,report_B_CategorieBoekjaar[[#This Row],[CategorieCode]],0),0)</f>
        <v>0</v>
      </c>
      <c r="I760">
        <f>IF(report_B_CategorieBoekjaar[[#This Row],[BedrijfsCode]]="001",IF(report_B_CategorieBoekjaar[[#This Row],[Boekjaar]]=Projectbegroting!$K$1,report_B_CategorieBoekjaar[[#This Row],[CategorieCode]],0),0)</f>
        <v>0</v>
      </c>
    </row>
    <row r="761" spans="1:9" hidden="1" x14ac:dyDescent="0.3">
      <c r="A761" t="s">
        <v>525</v>
      </c>
      <c r="B761" s="20">
        <v>45292</v>
      </c>
      <c r="C761" t="s">
        <v>449</v>
      </c>
      <c r="D761" t="s">
        <v>450</v>
      </c>
      <c r="E761" t="s">
        <v>381</v>
      </c>
      <c r="F761">
        <v>40</v>
      </c>
      <c r="G761">
        <v>95</v>
      </c>
      <c r="H761">
        <f>IF(report_B_CategorieBoekjaar[[#This Row],[BedrijfsCode]]="002",IF(report_B_CategorieBoekjaar[[#This Row],[Boekjaar]]=Projectbegroting!$K$1,report_B_CategorieBoekjaar[[#This Row],[CategorieCode]],0),0)</f>
        <v>0</v>
      </c>
      <c r="I761">
        <f>IF(report_B_CategorieBoekjaar[[#This Row],[BedrijfsCode]]="001",IF(report_B_CategorieBoekjaar[[#This Row],[Boekjaar]]=Projectbegroting!$K$1,report_B_CategorieBoekjaar[[#This Row],[CategorieCode]],0),0)</f>
        <v>0</v>
      </c>
    </row>
    <row r="762" spans="1:9" hidden="1" x14ac:dyDescent="0.3">
      <c r="A762" t="s">
        <v>525</v>
      </c>
      <c r="B762" s="20">
        <v>45292</v>
      </c>
      <c r="C762" t="s">
        <v>451</v>
      </c>
      <c r="D762" t="s">
        <v>452</v>
      </c>
      <c r="E762" t="s">
        <v>384</v>
      </c>
      <c r="F762">
        <v>0</v>
      </c>
      <c r="G762">
        <v>0</v>
      </c>
      <c r="H762">
        <f>IF(report_B_CategorieBoekjaar[[#This Row],[BedrijfsCode]]="002",IF(report_B_CategorieBoekjaar[[#This Row],[Boekjaar]]=Projectbegroting!$K$1,report_B_CategorieBoekjaar[[#This Row],[CategorieCode]],0),0)</f>
        <v>0</v>
      </c>
      <c r="I762">
        <f>IF(report_B_CategorieBoekjaar[[#This Row],[BedrijfsCode]]="001",IF(report_B_CategorieBoekjaar[[#This Row],[Boekjaar]]=Projectbegroting!$K$1,report_B_CategorieBoekjaar[[#This Row],[CategorieCode]],0),0)</f>
        <v>0</v>
      </c>
    </row>
    <row r="763" spans="1:9" hidden="1" x14ac:dyDescent="0.3">
      <c r="A763" t="s">
        <v>525</v>
      </c>
      <c r="B763" s="20">
        <v>45292</v>
      </c>
      <c r="C763" t="s">
        <v>453</v>
      </c>
      <c r="D763" t="s">
        <v>454</v>
      </c>
      <c r="E763" t="s">
        <v>381</v>
      </c>
      <c r="F763">
        <v>61</v>
      </c>
      <c r="G763">
        <v>0</v>
      </c>
      <c r="H763">
        <f>IF(report_B_CategorieBoekjaar[[#This Row],[BedrijfsCode]]="002",IF(report_B_CategorieBoekjaar[[#This Row],[Boekjaar]]=Projectbegroting!$K$1,report_B_CategorieBoekjaar[[#This Row],[CategorieCode]],0),0)</f>
        <v>0</v>
      </c>
      <c r="I763">
        <f>IF(report_B_CategorieBoekjaar[[#This Row],[BedrijfsCode]]="001",IF(report_B_CategorieBoekjaar[[#This Row],[Boekjaar]]=Projectbegroting!$K$1,report_B_CategorieBoekjaar[[#This Row],[CategorieCode]],0),0)</f>
        <v>0</v>
      </c>
    </row>
    <row r="764" spans="1:9" hidden="1" x14ac:dyDescent="0.3">
      <c r="A764" t="s">
        <v>525</v>
      </c>
      <c r="B764" s="20">
        <v>45292</v>
      </c>
      <c r="C764" t="s">
        <v>455</v>
      </c>
      <c r="D764" t="s">
        <v>456</v>
      </c>
      <c r="E764" t="s">
        <v>381</v>
      </c>
      <c r="F764">
        <v>79</v>
      </c>
      <c r="G764">
        <v>0</v>
      </c>
      <c r="H764">
        <f>IF(report_B_CategorieBoekjaar[[#This Row],[BedrijfsCode]]="002",IF(report_B_CategorieBoekjaar[[#This Row],[Boekjaar]]=Projectbegroting!$K$1,report_B_CategorieBoekjaar[[#This Row],[CategorieCode]],0),0)</f>
        <v>0</v>
      </c>
      <c r="I764">
        <f>IF(report_B_CategorieBoekjaar[[#This Row],[BedrijfsCode]]="001",IF(report_B_CategorieBoekjaar[[#This Row],[Boekjaar]]=Projectbegroting!$K$1,report_B_CategorieBoekjaar[[#This Row],[CategorieCode]],0),0)</f>
        <v>0</v>
      </c>
    </row>
    <row r="765" spans="1:9" hidden="1" x14ac:dyDescent="0.3">
      <c r="A765" t="s">
        <v>525</v>
      </c>
      <c r="B765" s="20">
        <v>45292</v>
      </c>
      <c r="C765" t="s">
        <v>457</v>
      </c>
      <c r="D765" t="s">
        <v>458</v>
      </c>
      <c r="E765" t="s">
        <v>384</v>
      </c>
      <c r="F765">
        <v>0</v>
      </c>
      <c r="G765">
        <v>0</v>
      </c>
      <c r="H765">
        <f>IF(report_B_CategorieBoekjaar[[#This Row],[BedrijfsCode]]="002",IF(report_B_CategorieBoekjaar[[#This Row],[Boekjaar]]=Projectbegroting!$K$1,report_B_CategorieBoekjaar[[#This Row],[CategorieCode]],0),0)</f>
        <v>0</v>
      </c>
      <c r="I765">
        <f>IF(report_B_CategorieBoekjaar[[#This Row],[BedrijfsCode]]="001",IF(report_B_CategorieBoekjaar[[#This Row],[Boekjaar]]=Projectbegroting!$K$1,report_B_CategorieBoekjaar[[#This Row],[CategorieCode]],0),0)</f>
        <v>0</v>
      </c>
    </row>
    <row r="766" spans="1:9" hidden="1" x14ac:dyDescent="0.3">
      <c r="A766" t="s">
        <v>525</v>
      </c>
      <c r="B766" s="20">
        <v>45292</v>
      </c>
      <c r="C766" t="s">
        <v>459</v>
      </c>
      <c r="D766" t="s">
        <v>460</v>
      </c>
      <c r="E766" t="s">
        <v>381</v>
      </c>
      <c r="F766">
        <v>101</v>
      </c>
      <c r="G766">
        <v>152</v>
      </c>
      <c r="H766">
        <f>IF(report_B_CategorieBoekjaar[[#This Row],[BedrijfsCode]]="002",IF(report_B_CategorieBoekjaar[[#This Row],[Boekjaar]]=Projectbegroting!$K$1,report_B_CategorieBoekjaar[[#This Row],[CategorieCode]],0),0)</f>
        <v>0</v>
      </c>
      <c r="I766">
        <f>IF(report_B_CategorieBoekjaar[[#This Row],[BedrijfsCode]]="001",IF(report_B_CategorieBoekjaar[[#This Row],[Boekjaar]]=Projectbegroting!$K$1,report_B_CategorieBoekjaar[[#This Row],[CategorieCode]],0),0)</f>
        <v>0</v>
      </c>
    </row>
    <row r="767" spans="1:9" hidden="1" x14ac:dyDescent="0.3">
      <c r="A767" t="s">
        <v>525</v>
      </c>
      <c r="B767" s="20">
        <v>45292</v>
      </c>
      <c r="C767" t="s">
        <v>461</v>
      </c>
      <c r="D767" t="s">
        <v>462</v>
      </c>
      <c r="E767" t="s">
        <v>384</v>
      </c>
      <c r="F767">
        <v>0</v>
      </c>
      <c r="G767">
        <v>0</v>
      </c>
      <c r="H767">
        <f>IF(report_B_CategorieBoekjaar[[#This Row],[BedrijfsCode]]="002",IF(report_B_CategorieBoekjaar[[#This Row],[Boekjaar]]=Projectbegroting!$K$1,report_B_CategorieBoekjaar[[#This Row],[CategorieCode]],0),0)</f>
        <v>0</v>
      </c>
      <c r="I767">
        <f>IF(report_B_CategorieBoekjaar[[#This Row],[BedrijfsCode]]="001",IF(report_B_CategorieBoekjaar[[#This Row],[Boekjaar]]=Projectbegroting!$K$1,report_B_CategorieBoekjaar[[#This Row],[CategorieCode]],0),0)</f>
        <v>0</v>
      </c>
    </row>
    <row r="768" spans="1:9" hidden="1" x14ac:dyDescent="0.3">
      <c r="A768" t="s">
        <v>525</v>
      </c>
      <c r="B768" s="20">
        <v>45292</v>
      </c>
      <c r="C768" t="s">
        <v>463</v>
      </c>
      <c r="D768" t="s">
        <v>464</v>
      </c>
      <c r="E768" t="s">
        <v>384</v>
      </c>
      <c r="F768">
        <v>0</v>
      </c>
      <c r="G768">
        <v>0</v>
      </c>
      <c r="H768">
        <f>IF(report_B_CategorieBoekjaar[[#This Row],[BedrijfsCode]]="002",IF(report_B_CategorieBoekjaar[[#This Row],[Boekjaar]]=Projectbegroting!$K$1,report_B_CategorieBoekjaar[[#This Row],[CategorieCode]],0),0)</f>
        <v>0</v>
      </c>
      <c r="I768">
        <f>IF(report_B_CategorieBoekjaar[[#This Row],[BedrijfsCode]]="001",IF(report_B_CategorieBoekjaar[[#This Row],[Boekjaar]]=Projectbegroting!$K$1,report_B_CategorieBoekjaar[[#This Row],[CategorieCode]],0),0)</f>
        <v>0</v>
      </c>
    </row>
    <row r="769" spans="1:9" hidden="1" x14ac:dyDescent="0.3">
      <c r="A769" t="s">
        <v>525</v>
      </c>
      <c r="B769" s="20">
        <v>45292</v>
      </c>
      <c r="C769" t="s">
        <v>465</v>
      </c>
      <c r="D769" t="s">
        <v>466</v>
      </c>
      <c r="E769" t="s">
        <v>381</v>
      </c>
      <c r="F769">
        <v>27</v>
      </c>
      <c r="G769">
        <v>82</v>
      </c>
      <c r="H769">
        <f>IF(report_B_CategorieBoekjaar[[#This Row],[BedrijfsCode]]="002",IF(report_B_CategorieBoekjaar[[#This Row],[Boekjaar]]=Projectbegroting!$K$1,report_B_CategorieBoekjaar[[#This Row],[CategorieCode]],0),0)</f>
        <v>0</v>
      </c>
      <c r="I769">
        <f>IF(report_B_CategorieBoekjaar[[#This Row],[BedrijfsCode]]="001",IF(report_B_CategorieBoekjaar[[#This Row],[Boekjaar]]=Projectbegroting!$K$1,report_B_CategorieBoekjaar[[#This Row],[CategorieCode]],0),0)</f>
        <v>0</v>
      </c>
    </row>
    <row r="770" spans="1:9" hidden="1" x14ac:dyDescent="0.3">
      <c r="A770" t="s">
        <v>525</v>
      </c>
      <c r="B770" s="20">
        <v>45292</v>
      </c>
      <c r="C770" t="s">
        <v>467</v>
      </c>
      <c r="D770" t="s">
        <v>468</v>
      </c>
      <c r="E770" t="s">
        <v>384</v>
      </c>
      <c r="F770">
        <v>0</v>
      </c>
      <c r="G770">
        <v>0</v>
      </c>
      <c r="H770">
        <f>IF(report_B_CategorieBoekjaar[[#This Row],[BedrijfsCode]]="002",IF(report_B_CategorieBoekjaar[[#This Row],[Boekjaar]]=Projectbegroting!$K$1,report_B_CategorieBoekjaar[[#This Row],[CategorieCode]],0),0)</f>
        <v>0</v>
      </c>
      <c r="I770">
        <f>IF(report_B_CategorieBoekjaar[[#This Row],[BedrijfsCode]]="001",IF(report_B_CategorieBoekjaar[[#This Row],[Boekjaar]]=Projectbegroting!$K$1,report_B_CategorieBoekjaar[[#This Row],[CategorieCode]],0),0)</f>
        <v>0</v>
      </c>
    </row>
    <row r="771" spans="1:9" hidden="1" x14ac:dyDescent="0.3">
      <c r="A771" t="s">
        <v>525</v>
      </c>
      <c r="B771" s="20">
        <v>45292</v>
      </c>
      <c r="C771" t="s">
        <v>469</v>
      </c>
      <c r="D771" t="s">
        <v>470</v>
      </c>
      <c r="E771" t="s">
        <v>381</v>
      </c>
      <c r="F771">
        <v>46</v>
      </c>
      <c r="G771">
        <v>102</v>
      </c>
      <c r="H771">
        <f>IF(report_B_CategorieBoekjaar[[#This Row],[BedrijfsCode]]="002",IF(report_B_CategorieBoekjaar[[#This Row],[Boekjaar]]=Projectbegroting!$K$1,report_B_CategorieBoekjaar[[#This Row],[CategorieCode]],0),0)</f>
        <v>0</v>
      </c>
      <c r="I771">
        <f>IF(report_B_CategorieBoekjaar[[#This Row],[BedrijfsCode]]="001",IF(report_B_CategorieBoekjaar[[#This Row],[Boekjaar]]=Projectbegroting!$K$1,report_B_CategorieBoekjaar[[#This Row],[CategorieCode]],0),0)</f>
        <v>0</v>
      </c>
    </row>
    <row r="772" spans="1:9" hidden="1" x14ac:dyDescent="0.3">
      <c r="A772" t="s">
        <v>525</v>
      </c>
      <c r="B772" s="20">
        <v>45292</v>
      </c>
      <c r="C772" t="s">
        <v>471</v>
      </c>
      <c r="D772" t="s">
        <v>472</v>
      </c>
      <c r="E772" t="s">
        <v>384</v>
      </c>
      <c r="F772">
        <v>0</v>
      </c>
      <c r="G772">
        <v>0</v>
      </c>
      <c r="H772">
        <f>IF(report_B_CategorieBoekjaar[[#This Row],[BedrijfsCode]]="002",IF(report_B_CategorieBoekjaar[[#This Row],[Boekjaar]]=Projectbegroting!$K$1,report_B_CategorieBoekjaar[[#This Row],[CategorieCode]],0),0)</f>
        <v>0</v>
      </c>
      <c r="I772">
        <f>IF(report_B_CategorieBoekjaar[[#This Row],[BedrijfsCode]]="001",IF(report_B_CategorieBoekjaar[[#This Row],[Boekjaar]]=Projectbegroting!$K$1,report_B_CategorieBoekjaar[[#This Row],[CategorieCode]],0),0)</f>
        <v>0</v>
      </c>
    </row>
    <row r="773" spans="1:9" hidden="1" x14ac:dyDescent="0.3">
      <c r="A773" t="s">
        <v>525</v>
      </c>
      <c r="B773" s="20">
        <v>45292</v>
      </c>
      <c r="C773" t="s">
        <v>62</v>
      </c>
      <c r="D773" t="s">
        <v>473</v>
      </c>
      <c r="E773" t="s">
        <v>381</v>
      </c>
      <c r="F773">
        <v>52</v>
      </c>
      <c r="G773">
        <v>0</v>
      </c>
      <c r="H773">
        <f>IF(report_B_CategorieBoekjaar[[#This Row],[BedrijfsCode]]="002",IF(report_B_CategorieBoekjaar[[#This Row],[Boekjaar]]=Projectbegroting!$K$1,report_B_CategorieBoekjaar[[#This Row],[CategorieCode]],0),0)</f>
        <v>0</v>
      </c>
      <c r="I773">
        <f>IF(report_B_CategorieBoekjaar[[#This Row],[BedrijfsCode]]="001",IF(report_B_CategorieBoekjaar[[#This Row],[Boekjaar]]=Projectbegroting!$K$1,report_B_CategorieBoekjaar[[#This Row],[CategorieCode]],0),0)</f>
        <v>0</v>
      </c>
    </row>
    <row r="774" spans="1:9" hidden="1" x14ac:dyDescent="0.3">
      <c r="A774" t="s">
        <v>525</v>
      </c>
      <c r="B774" s="20">
        <v>45292</v>
      </c>
      <c r="C774" t="s">
        <v>474</v>
      </c>
      <c r="D774" t="s">
        <v>475</v>
      </c>
      <c r="E774" t="s">
        <v>384</v>
      </c>
      <c r="F774">
        <v>0</v>
      </c>
      <c r="G774">
        <v>0</v>
      </c>
      <c r="H774">
        <f>IF(report_B_CategorieBoekjaar[[#This Row],[BedrijfsCode]]="002",IF(report_B_CategorieBoekjaar[[#This Row],[Boekjaar]]=Projectbegroting!$K$1,report_B_CategorieBoekjaar[[#This Row],[CategorieCode]],0),0)</f>
        <v>0</v>
      </c>
      <c r="I774">
        <f>IF(report_B_CategorieBoekjaar[[#This Row],[BedrijfsCode]]="001",IF(report_B_CategorieBoekjaar[[#This Row],[Boekjaar]]=Projectbegroting!$K$1,report_B_CategorieBoekjaar[[#This Row],[CategorieCode]],0),0)</f>
        <v>0</v>
      </c>
    </row>
    <row r="775" spans="1:9" hidden="1" x14ac:dyDescent="0.3">
      <c r="A775" t="s">
        <v>525</v>
      </c>
      <c r="B775" s="20">
        <v>45292</v>
      </c>
      <c r="C775" t="s">
        <v>64</v>
      </c>
      <c r="D775" t="s">
        <v>476</v>
      </c>
      <c r="E775" t="s">
        <v>381</v>
      </c>
      <c r="F775">
        <v>43</v>
      </c>
      <c r="G775">
        <v>98</v>
      </c>
      <c r="H775">
        <f>IF(report_B_CategorieBoekjaar[[#This Row],[BedrijfsCode]]="002",IF(report_B_CategorieBoekjaar[[#This Row],[Boekjaar]]=Projectbegroting!$K$1,report_B_CategorieBoekjaar[[#This Row],[CategorieCode]],0),0)</f>
        <v>0</v>
      </c>
      <c r="I775">
        <f>IF(report_B_CategorieBoekjaar[[#This Row],[BedrijfsCode]]="001",IF(report_B_CategorieBoekjaar[[#This Row],[Boekjaar]]=Projectbegroting!$K$1,report_B_CategorieBoekjaar[[#This Row],[CategorieCode]],0),0)</f>
        <v>0</v>
      </c>
    </row>
    <row r="776" spans="1:9" hidden="1" x14ac:dyDescent="0.3">
      <c r="A776" t="s">
        <v>525</v>
      </c>
      <c r="B776" s="20">
        <v>45292</v>
      </c>
      <c r="C776" t="s">
        <v>477</v>
      </c>
      <c r="D776" t="s">
        <v>478</v>
      </c>
      <c r="E776" t="s">
        <v>384</v>
      </c>
      <c r="F776">
        <v>0</v>
      </c>
      <c r="G776">
        <v>0</v>
      </c>
      <c r="H776">
        <f>IF(report_B_CategorieBoekjaar[[#This Row],[BedrijfsCode]]="002",IF(report_B_CategorieBoekjaar[[#This Row],[Boekjaar]]=Projectbegroting!$K$1,report_B_CategorieBoekjaar[[#This Row],[CategorieCode]],0),0)</f>
        <v>0</v>
      </c>
      <c r="I776">
        <f>IF(report_B_CategorieBoekjaar[[#This Row],[BedrijfsCode]]="001",IF(report_B_CategorieBoekjaar[[#This Row],[Boekjaar]]=Projectbegroting!$K$1,report_B_CategorieBoekjaar[[#This Row],[CategorieCode]],0),0)</f>
        <v>0</v>
      </c>
    </row>
    <row r="777" spans="1:9" hidden="1" x14ac:dyDescent="0.3">
      <c r="A777" t="s">
        <v>525</v>
      </c>
      <c r="B777" s="20">
        <v>45292</v>
      </c>
      <c r="C777" t="s">
        <v>80</v>
      </c>
      <c r="D777" t="s">
        <v>81</v>
      </c>
      <c r="E777" t="s">
        <v>381</v>
      </c>
      <c r="F777">
        <v>82</v>
      </c>
      <c r="G777">
        <v>121</v>
      </c>
      <c r="H777">
        <f>IF(report_B_CategorieBoekjaar[[#This Row],[BedrijfsCode]]="002",IF(report_B_CategorieBoekjaar[[#This Row],[Boekjaar]]=Projectbegroting!$K$1,report_B_CategorieBoekjaar[[#This Row],[CategorieCode]],0),0)</f>
        <v>0</v>
      </c>
      <c r="I777">
        <f>IF(report_B_CategorieBoekjaar[[#This Row],[BedrijfsCode]]="001",IF(report_B_CategorieBoekjaar[[#This Row],[Boekjaar]]=Projectbegroting!$K$1,report_B_CategorieBoekjaar[[#This Row],[CategorieCode]],0),0)</f>
        <v>0</v>
      </c>
    </row>
    <row r="778" spans="1:9" hidden="1" x14ac:dyDescent="0.3">
      <c r="A778" t="s">
        <v>525</v>
      </c>
      <c r="B778" s="20">
        <v>45292</v>
      </c>
      <c r="C778" t="s">
        <v>479</v>
      </c>
      <c r="D778" t="s">
        <v>480</v>
      </c>
      <c r="E778" t="s">
        <v>384</v>
      </c>
      <c r="F778">
        <v>0</v>
      </c>
      <c r="G778">
        <v>0</v>
      </c>
      <c r="H778">
        <f>IF(report_B_CategorieBoekjaar[[#This Row],[BedrijfsCode]]="002",IF(report_B_CategorieBoekjaar[[#This Row],[Boekjaar]]=Projectbegroting!$K$1,report_B_CategorieBoekjaar[[#This Row],[CategorieCode]],0),0)</f>
        <v>0</v>
      </c>
      <c r="I778">
        <f>IF(report_B_CategorieBoekjaar[[#This Row],[BedrijfsCode]]="001",IF(report_B_CategorieBoekjaar[[#This Row],[Boekjaar]]=Projectbegroting!$K$1,report_B_CategorieBoekjaar[[#This Row],[CategorieCode]],0),0)</f>
        <v>0</v>
      </c>
    </row>
    <row r="779" spans="1:9" hidden="1" x14ac:dyDescent="0.3">
      <c r="A779" t="s">
        <v>525</v>
      </c>
      <c r="B779" s="20">
        <v>45292</v>
      </c>
      <c r="C779" t="s">
        <v>481</v>
      </c>
      <c r="D779" t="s">
        <v>482</v>
      </c>
      <c r="E779" t="s">
        <v>384</v>
      </c>
      <c r="F779">
        <v>0</v>
      </c>
      <c r="G779">
        <v>0</v>
      </c>
      <c r="H779">
        <f>IF(report_B_CategorieBoekjaar[[#This Row],[BedrijfsCode]]="002",IF(report_B_CategorieBoekjaar[[#This Row],[Boekjaar]]=Projectbegroting!$K$1,report_B_CategorieBoekjaar[[#This Row],[CategorieCode]],0),0)</f>
        <v>0</v>
      </c>
      <c r="I779">
        <f>IF(report_B_CategorieBoekjaar[[#This Row],[BedrijfsCode]]="001",IF(report_B_CategorieBoekjaar[[#This Row],[Boekjaar]]=Projectbegroting!$K$1,report_B_CategorieBoekjaar[[#This Row],[CategorieCode]],0),0)</f>
        <v>0</v>
      </c>
    </row>
    <row r="780" spans="1:9" hidden="1" x14ac:dyDescent="0.3">
      <c r="A780" t="s">
        <v>525</v>
      </c>
      <c r="B780" s="20">
        <v>45292</v>
      </c>
      <c r="C780" t="s">
        <v>98</v>
      </c>
      <c r="D780" t="s">
        <v>99</v>
      </c>
      <c r="E780" t="s">
        <v>381</v>
      </c>
      <c r="F780">
        <v>74</v>
      </c>
      <c r="G780">
        <v>130</v>
      </c>
      <c r="H780">
        <f>IF(report_B_CategorieBoekjaar[[#This Row],[BedrijfsCode]]="002",IF(report_B_CategorieBoekjaar[[#This Row],[Boekjaar]]=Projectbegroting!$K$1,report_B_CategorieBoekjaar[[#This Row],[CategorieCode]],0),0)</f>
        <v>0</v>
      </c>
      <c r="I780">
        <f>IF(report_B_CategorieBoekjaar[[#This Row],[BedrijfsCode]]="001",IF(report_B_CategorieBoekjaar[[#This Row],[Boekjaar]]=Projectbegroting!$K$1,report_B_CategorieBoekjaar[[#This Row],[CategorieCode]],0),0)</f>
        <v>0</v>
      </c>
    </row>
    <row r="781" spans="1:9" hidden="1" x14ac:dyDescent="0.3">
      <c r="A781" t="s">
        <v>525</v>
      </c>
      <c r="B781" s="20">
        <v>45292</v>
      </c>
      <c r="C781" t="s">
        <v>483</v>
      </c>
      <c r="D781" t="s">
        <v>484</v>
      </c>
      <c r="E781" t="s">
        <v>381</v>
      </c>
      <c r="F781">
        <v>153</v>
      </c>
      <c r="G781">
        <v>134</v>
      </c>
      <c r="H781">
        <f>IF(report_B_CategorieBoekjaar[[#This Row],[BedrijfsCode]]="002",IF(report_B_CategorieBoekjaar[[#This Row],[Boekjaar]]=Projectbegroting!$K$1,report_B_CategorieBoekjaar[[#This Row],[CategorieCode]],0),0)</f>
        <v>0</v>
      </c>
      <c r="I781">
        <f>IF(report_B_CategorieBoekjaar[[#This Row],[BedrijfsCode]]="001",IF(report_B_CategorieBoekjaar[[#This Row],[Boekjaar]]=Projectbegroting!$K$1,report_B_CategorieBoekjaar[[#This Row],[CategorieCode]],0),0)</f>
        <v>0</v>
      </c>
    </row>
    <row r="782" spans="1:9" hidden="1" x14ac:dyDescent="0.3">
      <c r="A782" t="s">
        <v>525</v>
      </c>
      <c r="B782" s="20">
        <v>45292</v>
      </c>
      <c r="C782" t="s">
        <v>485</v>
      </c>
      <c r="D782" t="s">
        <v>486</v>
      </c>
      <c r="E782" t="s">
        <v>384</v>
      </c>
      <c r="F782">
        <v>0</v>
      </c>
      <c r="G782">
        <v>0</v>
      </c>
      <c r="H782">
        <f>IF(report_B_CategorieBoekjaar[[#This Row],[BedrijfsCode]]="002",IF(report_B_CategorieBoekjaar[[#This Row],[Boekjaar]]=Projectbegroting!$K$1,report_B_CategorieBoekjaar[[#This Row],[CategorieCode]],0),0)</f>
        <v>0</v>
      </c>
      <c r="I782">
        <f>IF(report_B_CategorieBoekjaar[[#This Row],[BedrijfsCode]]="001",IF(report_B_CategorieBoekjaar[[#This Row],[Boekjaar]]=Projectbegroting!$K$1,report_B_CategorieBoekjaar[[#This Row],[CategorieCode]],0),0)</f>
        <v>0</v>
      </c>
    </row>
    <row r="783" spans="1:9" hidden="1" x14ac:dyDescent="0.3">
      <c r="A783" t="s">
        <v>525</v>
      </c>
      <c r="B783" s="20">
        <v>45292</v>
      </c>
      <c r="C783" t="s">
        <v>175</v>
      </c>
      <c r="D783" t="s">
        <v>487</v>
      </c>
      <c r="E783" t="s">
        <v>384</v>
      </c>
      <c r="F783">
        <v>0</v>
      </c>
      <c r="G783">
        <v>0</v>
      </c>
      <c r="H783">
        <f>IF(report_B_CategorieBoekjaar[[#This Row],[BedrijfsCode]]="002",IF(report_B_CategorieBoekjaar[[#This Row],[Boekjaar]]=Projectbegroting!$K$1,report_B_CategorieBoekjaar[[#This Row],[CategorieCode]],0),0)</f>
        <v>0</v>
      </c>
      <c r="I783">
        <f>IF(report_B_CategorieBoekjaar[[#This Row],[BedrijfsCode]]="001",IF(report_B_CategorieBoekjaar[[#This Row],[Boekjaar]]=Projectbegroting!$K$1,report_B_CategorieBoekjaar[[#This Row],[CategorieCode]],0),0)</f>
        <v>0</v>
      </c>
    </row>
    <row r="784" spans="1:9" hidden="1" x14ac:dyDescent="0.3">
      <c r="A784" t="s">
        <v>525</v>
      </c>
      <c r="B784" s="20">
        <v>45292</v>
      </c>
      <c r="C784" t="s">
        <v>488</v>
      </c>
      <c r="D784" t="s">
        <v>489</v>
      </c>
      <c r="E784" t="s">
        <v>381</v>
      </c>
      <c r="F784">
        <v>74</v>
      </c>
      <c r="G784">
        <v>124</v>
      </c>
      <c r="H784">
        <f>IF(report_B_CategorieBoekjaar[[#This Row],[BedrijfsCode]]="002",IF(report_B_CategorieBoekjaar[[#This Row],[Boekjaar]]=Projectbegroting!$K$1,report_B_CategorieBoekjaar[[#This Row],[CategorieCode]],0),0)</f>
        <v>0</v>
      </c>
      <c r="I784">
        <f>IF(report_B_CategorieBoekjaar[[#This Row],[BedrijfsCode]]="001",IF(report_B_CategorieBoekjaar[[#This Row],[Boekjaar]]=Projectbegroting!$K$1,report_B_CategorieBoekjaar[[#This Row],[CategorieCode]],0),0)</f>
        <v>0</v>
      </c>
    </row>
    <row r="785" spans="1:9" hidden="1" x14ac:dyDescent="0.3">
      <c r="A785" t="s">
        <v>525</v>
      </c>
      <c r="B785" s="20">
        <v>45292</v>
      </c>
      <c r="C785" t="s">
        <v>490</v>
      </c>
      <c r="D785" t="s">
        <v>491</v>
      </c>
      <c r="E785" t="s">
        <v>384</v>
      </c>
      <c r="F785">
        <v>0</v>
      </c>
      <c r="G785">
        <v>0</v>
      </c>
      <c r="H785">
        <f>IF(report_B_CategorieBoekjaar[[#This Row],[BedrijfsCode]]="002",IF(report_B_CategorieBoekjaar[[#This Row],[Boekjaar]]=Projectbegroting!$K$1,report_B_CategorieBoekjaar[[#This Row],[CategorieCode]],0),0)</f>
        <v>0</v>
      </c>
      <c r="I785">
        <f>IF(report_B_CategorieBoekjaar[[#This Row],[BedrijfsCode]]="001",IF(report_B_CategorieBoekjaar[[#This Row],[Boekjaar]]=Projectbegroting!$K$1,report_B_CategorieBoekjaar[[#This Row],[CategorieCode]],0),0)</f>
        <v>0</v>
      </c>
    </row>
    <row r="786" spans="1:9" hidden="1" x14ac:dyDescent="0.3">
      <c r="A786" t="s">
        <v>525</v>
      </c>
      <c r="B786" s="20">
        <v>45292</v>
      </c>
      <c r="C786" t="s">
        <v>68</v>
      </c>
      <c r="D786" t="s">
        <v>492</v>
      </c>
      <c r="E786" t="s">
        <v>381</v>
      </c>
      <c r="F786">
        <v>51</v>
      </c>
      <c r="G786">
        <v>106</v>
      </c>
      <c r="H786">
        <f>IF(report_B_CategorieBoekjaar[[#This Row],[BedrijfsCode]]="002",IF(report_B_CategorieBoekjaar[[#This Row],[Boekjaar]]=Projectbegroting!$K$1,report_B_CategorieBoekjaar[[#This Row],[CategorieCode]],0),0)</f>
        <v>0</v>
      </c>
      <c r="I786">
        <f>IF(report_B_CategorieBoekjaar[[#This Row],[BedrijfsCode]]="001",IF(report_B_CategorieBoekjaar[[#This Row],[Boekjaar]]=Projectbegroting!$K$1,report_B_CategorieBoekjaar[[#This Row],[CategorieCode]],0),0)</f>
        <v>0</v>
      </c>
    </row>
    <row r="787" spans="1:9" hidden="1" x14ac:dyDescent="0.3">
      <c r="A787" t="s">
        <v>525</v>
      </c>
      <c r="B787" s="20">
        <v>45292</v>
      </c>
      <c r="C787" t="s">
        <v>177</v>
      </c>
      <c r="D787" t="s">
        <v>493</v>
      </c>
      <c r="E787" t="s">
        <v>384</v>
      </c>
      <c r="F787">
        <v>0</v>
      </c>
      <c r="G787">
        <v>0</v>
      </c>
      <c r="H787">
        <f>IF(report_B_CategorieBoekjaar[[#This Row],[BedrijfsCode]]="002",IF(report_B_CategorieBoekjaar[[#This Row],[Boekjaar]]=Projectbegroting!$K$1,report_B_CategorieBoekjaar[[#This Row],[CategorieCode]],0),0)</f>
        <v>0</v>
      </c>
      <c r="I787">
        <f>IF(report_B_CategorieBoekjaar[[#This Row],[BedrijfsCode]]="001",IF(report_B_CategorieBoekjaar[[#This Row],[Boekjaar]]=Projectbegroting!$K$1,report_B_CategorieBoekjaar[[#This Row],[CategorieCode]],0),0)</f>
        <v>0</v>
      </c>
    </row>
    <row r="788" spans="1:9" hidden="1" x14ac:dyDescent="0.3">
      <c r="A788" t="s">
        <v>525</v>
      </c>
      <c r="B788" s="20">
        <v>45292</v>
      </c>
      <c r="C788" t="s">
        <v>494</v>
      </c>
      <c r="D788" t="s">
        <v>495</v>
      </c>
      <c r="E788" t="s">
        <v>381</v>
      </c>
      <c r="F788">
        <v>42</v>
      </c>
      <c r="G788">
        <v>0</v>
      </c>
      <c r="H788">
        <f>IF(report_B_CategorieBoekjaar[[#This Row],[BedrijfsCode]]="002",IF(report_B_CategorieBoekjaar[[#This Row],[Boekjaar]]=Projectbegroting!$K$1,report_B_CategorieBoekjaar[[#This Row],[CategorieCode]],0),0)</f>
        <v>0</v>
      </c>
      <c r="I788">
        <f>IF(report_B_CategorieBoekjaar[[#This Row],[BedrijfsCode]]="001",IF(report_B_CategorieBoekjaar[[#This Row],[Boekjaar]]=Projectbegroting!$K$1,report_B_CategorieBoekjaar[[#This Row],[CategorieCode]],0),0)</f>
        <v>0</v>
      </c>
    </row>
    <row r="789" spans="1:9" hidden="1" x14ac:dyDescent="0.3">
      <c r="A789" t="s">
        <v>525</v>
      </c>
      <c r="B789" s="20">
        <v>45292</v>
      </c>
      <c r="C789" t="s">
        <v>496</v>
      </c>
      <c r="D789" t="s">
        <v>497</v>
      </c>
      <c r="E789" t="s">
        <v>384</v>
      </c>
      <c r="F789">
        <v>0</v>
      </c>
      <c r="G789">
        <v>0</v>
      </c>
      <c r="H789">
        <f>IF(report_B_CategorieBoekjaar[[#This Row],[BedrijfsCode]]="002",IF(report_B_CategorieBoekjaar[[#This Row],[Boekjaar]]=Projectbegroting!$K$1,report_B_CategorieBoekjaar[[#This Row],[CategorieCode]],0),0)</f>
        <v>0</v>
      </c>
      <c r="I789">
        <f>IF(report_B_CategorieBoekjaar[[#This Row],[BedrijfsCode]]="001",IF(report_B_CategorieBoekjaar[[#This Row],[Boekjaar]]=Projectbegroting!$K$1,report_B_CategorieBoekjaar[[#This Row],[CategorieCode]],0),0)</f>
        <v>0</v>
      </c>
    </row>
    <row r="790" spans="1:9" hidden="1" x14ac:dyDescent="0.3">
      <c r="A790" t="s">
        <v>525</v>
      </c>
      <c r="B790" s="20">
        <v>45292</v>
      </c>
      <c r="C790" t="s">
        <v>70</v>
      </c>
      <c r="D790" t="s">
        <v>498</v>
      </c>
      <c r="E790" t="s">
        <v>381</v>
      </c>
      <c r="F790">
        <v>41</v>
      </c>
      <c r="G790">
        <v>96</v>
      </c>
      <c r="H790">
        <f>IF(report_B_CategorieBoekjaar[[#This Row],[BedrijfsCode]]="002",IF(report_B_CategorieBoekjaar[[#This Row],[Boekjaar]]=Projectbegroting!$K$1,report_B_CategorieBoekjaar[[#This Row],[CategorieCode]],0),0)</f>
        <v>0</v>
      </c>
      <c r="I790">
        <f>IF(report_B_CategorieBoekjaar[[#This Row],[BedrijfsCode]]="001",IF(report_B_CategorieBoekjaar[[#This Row],[Boekjaar]]=Projectbegroting!$K$1,report_B_CategorieBoekjaar[[#This Row],[CategorieCode]],0),0)</f>
        <v>0</v>
      </c>
    </row>
    <row r="791" spans="1:9" hidden="1" x14ac:dyDescent="0.3">
      <c r="A791" t="s">
        <v>525</v>
      </c>
      <c r="B791" s="20">
        <v>45292</v>
      </c>
      <c r="C791" t="s">
        <v>499</v>
      </c>
      <c r="D791" t="s">
        <v>500</v>
      </c>
      <c r="E791" t="s">
        <v>384</v>
      </c>
      <c r="F791">
        <v>0</v>
      </c>
      <c r="G791">
        <v>0</v>
      </c>
      <c r="H791">
        <f>IF(report_B_CategorieBoekjaar[[#This Row],[BedrijfsCode]]="002",IF(report_B_CategorieBoekjaar[[#This Row],[Boekjaar]]=Projectbegroting!$K$1,report_B_CategorieBoekjaar[[#This Row],[CategorieCode]],0),0)</f>
        <v>0</v>
      </c>
      <c r="I791">
        <f>IF(report_B_CategorieBoekjaar[[#This Row],[BedrijfsCode]]="001",IF(report_B_CategorieBoekjaar[[#This Row],[Boekjaar]]=Projectbegroting!$K$1,report_B_CategorieBoekjaar[[#This Row],[CategorieCode]],0),0)</f>
        <v>0</v>
      </c>
    </row>
    <row r="792" spans="1:9" hidden="1" x14ac:dyDescent="0.3">
      <c r="A792" t="s">
        <v>525</v>
      </c>
      <c r="B792" s="20">
        <v>45292</v>
      </c>
      <c r="C792" t="s">
        <v>501</v>
      </c>
      <c r="D792" t="s">
        <v>502</v>
      </c>
      <c r="E792" t="s">
        <v>381</v>
      </c>
      <c r="F792">
        <v>74</v>
      </c>
      <c r="G792">
        <v>0</v>
      </c>
      <c r="H792">
        <f>IF(report_B_CategorieBoekjaar[[#This Row],[BedrijfsCode]]="002",IF(report_B_CategorieBoekjaar[[#This Row],[Boekjaar]]=Projectbegroting!$K$1,report_B_CategorieBoekjaar[[#This Row],[CategorieCode]],0),0)</f>
        <v>0</v>
      </c>
      <c r="I792">
        <f>IF(report_B_CategorieBoekjaar[[#This Row],[BedrijfsCode]]="001",IF(report_B_CategorieBoekjaar[[#This Row],[Boekjaar]]=Projectbegroting!$K$1,report_B_CategorieBoekjaar[[#This Row],[CategorieCode]],0),0)</f>
        <v>0</v>
      </c>
    </row>
    <row r="793" spans="1:9" hidden="1" x14ac:dyDescent="0.3">
      <c r="A793" t="s">
        <v>525</v>
      </c>
      <c r="B793" s="20">
        <v>45292</v>
      </c>
      <c r="C793" t="s">
        <v>503</v>
      </c>
      <c r="D793" t="s">
        <v>504</v>
      </c>
      <c r="E793" t="s">
        <v>384</v>
      </c>
      <c r="F793">
        <v>0</v>
      </c>
      <c r="G793">
        <v>0</v>
      </c>
      <c r="H793">
        <f>IF(report_B_CategorieBoekjaar[[#This Row],[BedrijfsCode]]="002",IF(report_B_CategorieBoekjaar[[#This Row],[Boekjaar]]=Projectbegroting!$K$1,report_B_CategorieBoekjaar[[#This Row],[CategorieCode]],0),0)</f>
        <v>0</v>
      </c>
      <c r="I793">
        <f>IF(report_B_CategorieBoekjaar[[#This Row],[BedrijfsCode]]="001",IF(report_B_CategorieBoekjaar[[#This Row],[Boekjaar]]=Projectbegroting!$K$1,report_B_CategorieBoekjaar[[#This Row],[CategorieCode]],0),0)</f>
        <v>0</v>
      </c>
    </row>
    <row r="794" spans="1:9" hidden="1" x14ac:dyDescent="0.3">
      <c r="A794" t="s">
        <v>525</v>
      </c>
      <c r="B794" s="20">
        <v>45292</v>
      </c>
      <c r="C794" t="s">
        <v>505</v>
      </c>
      <c r="D794" t="s">
        <v>506</v>
      </c>
      <c r="E794" t="s">
        <v>381</v>
      </c>
      <c r="F794">
        <v>0</v>
      </c>
      <c r="G794">
        <v>0</v>
      </c>
      <c r="H794">
        <f>IF(report_B_CategorieBoekjaar[[#This Row],[BedrijfsCode]]="002",IF(report_B_CategorieBoekjaar[[#This Row],[Boekjaar]]=Projectbegroting!$K$1,report_B_CategorieBoekjaar[[#This Row],[CategorieCode]],0),0)</f>
        <v>0</v>
      </c>
      <c r="I794">
        <f>IF(report_B_CategorieBoekjaar[[#This Row],[BedrijfsCode]]="001",IF(report_B_CategorieBoekjaar[[#This Row],[Boekjaar]]=Projectbegroting!$K$1,report_B_CategorieBoekjaar[[#This Row],[CategorieCode]],0),0)</f>
        <v>0</v>
      </c>
    </row>
    <row r="795" spans="1:9" hidden="1" x14ac:dyDescent="0.3">
      <c r="A795" t="s">
        <v>525</v>
      </c>
      <c r="B795" s="20">
        <v>45292</v>
      </c>
      <c r="C795" t="s">
        <v>507</v>
      </c>
      <c r="D795" t="s">
        <v>508</v>
      </c>
      <c r="E795" t="s">
        <v>384</v>
      </c>
      <c r="F795">
        <v>0</v>
      </c>
      <c r="G795">
        <v>0</v>
      </c>
      <c r="H795">
        <f>IF(report_B_CategorieBoekjaar[[#This Row],[BedrijfsCode]]="002",IF(report_B_CategorieBoekjaar[[#This Row],[Boekjaar]]=Projectbegroting!$K$1,report_B_CategorieBoekjaar[[#This Row],[CategorieCode]],0),0)</f>
        <v>0</v>
      </c>
      <c r="I795">
        <f>IF(report_B_CategorieBoekjaar[[#This Row],[BedrijfsCode]]="001",IF(report_B_CategorieBoekjaar[[#This Row],[Boekjaar]]=Projectbegroting!$K$1,report_B_CategorieBoekjaar[[#This Row],[CategorieCode]],0),0)</f>
        <v>0</v>
      </c>
    </row>
    <row r="796" spans="1:9" hidden="1" x14ac:dyDescent="0.3">
      <c r="A796" t="s">
        <v>525</v>
      </c>
      <c r="B796" s="20">
        <v>45292</v>
      </c>
      <c r="C796" t="s">
        <v>509</v>
      </c>
      <c r="D796" t="s">
        <v>510</v>
      </c>
      <c r="E796" t="s">
        <v>381</v>
      </c>
      <c r="F796">
        <v>135</v>
      </c>
      <c r="G796">
        <v>0</v>
      </c>
      <c r="H796">
        <f>IF(report_B_CategorieBoekjaar[[#This Row],[BedrijfsCode]]="002",IF(report_B_CategorieBoekjaar[[#This Row],[Boekjaar]]=Projectbegroting!$K$1,report_B_CategorieBoekjaar[[#This Row],[CategorieCode]],0),0)</f>
        <v>0</v>
      </c>
      <c r="I796">
        <f>IF(report_B_CategorieBoekjaar[[#This Row],[BedrijfsCode]]="001",IF(report_B_CategorieBoekjaar[[#This Row],[Boekjaar]]=Projectbegroting!$K$1,report_B_CategorieBoekjaar[[#This Row],[CategorieCode]],0),0)</f>
        <v>0</v>
      </c>
    </row>
    <row r="797" spans="1:9" hidden="1" x14ac:dyDescent="0.3">
      <c r="A797" t="s">
        <v>525</v>
      </c>
      <c r="B797" s="20">
        <v>45292</v>
      </c>
      <c r="C797" t="s">
        <v>511</v>
      </c>
      <c r="D797" t="s">
        <v>512</v>
      </c>
      <c r="E797" t="s">
        <v>381</v>
      </c>
      <c r="F797">
        <v>0</v>
      </c>
      <c r="G797">
        <v>0</v>
      </c>
      <c r="H797">
        <f>IF(report_B_CategorieBoekjaar[[#This Row],[BedrijfsCode]]="002",IF(report_B_CategorieBoekjaar[[#This Row],[Boekjaar]]=Projectbegroting!$K$1,report_B_CategorieBoekjaar[[#This Row],[CategorieCode]],0),0)</f>
        <v>0</v>
      </c>
      <c r="I797">
        <f>IF(report_B_CategorieBoekjaar[[#This Row],[BedrijfsCode]]="001",IF(report_B_CategorieBoekjaar[[#This Row],[Boekjaar]]=Projectbegroting!$K$1,report_B_CategorieBoekjaar[[#This Row],[CategorieCode]],0),0)</f>
        <v>0</v>
      </c>
    </row>
    <row r="798" spans="1:9" hidden="1" x14ac:dyDescent="0.3">
      <c r="A798" t="s">
        <v>525</v>
      </c>
      <c r="B798" s="20">
        <v>45292</v>
      </c>
      <c r="C798" t="s">
        <v>92</v>
      </c>
      <c r="D798" t="s">
        <v>513</v>
      </c>
      <c r="E798" t="s">
        <v>381</v>
      </c>
      <c r="F798">
        <v>64</v>
      </c>
      <c r="G798">
        <v>119</v>
      </c>
      <c r="H798">
        <f>IF(report_B_CategorieBoekjaar[[#This Row],[BedrijfsCode]]="002",IF(report_B_CategorieBoekjaar[[#This Row],[Boekjaar]]=Projectbegroting!$K$1,report_B_CategorieBoekjaar[[#This Row],[CategorieCode]],0),0)</f>
        <v>0</v>
      </c>
      <c r="I798">
        <f>IF(report_B_CategorieBoekjaar[[#This Row],[BedrijfsCode]]="001",IF(report_B_CategorieBoekjaar[[#This Row],[Boekjaar]]=Projectbegroting!$K$1,report_B_CategorieBoekjaar[[#This Row],[CategorieCode]],0),0)</f>
        <v>0</v>
      </c>
    </row>
    <row r="799" spans="1:9" hidden="1" x14ac:dyDescent="0.3">
      <c r="A799" t="s">
        <v>525</v>
      </c>
      <c r="B799" s="20">
        <v>45292</v>
      </c>
      <c r="C799" t="s">
        <v>514</v>
      </c>
      <c r="D799" t="s">
        <v>515</v>
      </c>
      <c r="E799" t="s">
        <v>384</v>
      </c>
      <c r="F799">
        <v>0</v>
      </c>
      <c r="G799">
        <v>0</v>
      </c>
      <c r="H799">
        <f>IF(report_B_CategorieBoekjaar[[#This Row],[BedrijfsCode]]="002",IF(report_B_CategorieBoekjaar[[#This Row],[Boekjaar]]=Projectbegroting!$K$1,report_B_CategorieBoekjaar[[#This Row],[CategorieCode]],0),0)</f>
        <v>0</v>
      </c>
      <c r="I799">
        <f>IF(report_B_CategorieBoekjaar[[#This Row],[BedrijfsCode]]="001",IF(report_B_CategorieBoekjaar[[#This Row],[Boekjaar]]=Projectbegroting!$K$1,report_B_CategorieBoekjaar[[#This Row],[CategorieCode]],0),0)</f>
        <v>0</v>
      </c>
    </row>
    <row r="800" spans="1:9" hidden="1" x14ac:dyDescent="0.3">
      <c r="A800" t="s">
        <v>525</v>
      </c>
      <c r="B800" s="20">
        <v>45292</v>
      </c>
      <c r="C800" t="s">
        <v>72</v>
      </c>
      <c r="D800" t="s">
        <v>516</v>
      </c>
      <c r="E800" t="s">
        <v>381</v>
      </c>
      <c r="F800">
        <v>55</v>
      </c>
      <c r="G800">
        <v>110</v>
      </c>
      <c r="H800">
        <f>IF(report_B_CategorieBoekjaar[[#This Row],[BedrijfsCode]]="002",IF(report_B_CategorieBoekjaar[[#This Row],[Boekjaar]]=Projectbegroting!$K$1,report_B_CategorieBoekjaar[[#This Row],[CategorieCode]],0),0)</f>
        <v>0</v>
      </c>
      <c r="I800">
        <f>IF(report_B_CategorieBoekjaar[[#This Row],[BedrijfsCode]]="001",IF(report_B_CategorieBoekjaar[[#This Row],[Boekjaar]]=Projectbegroting!$K$1,report_B_CategorieBoekjaar[[#This Row],[CategorieCode]],0),0)</f>
        <v>0</v>
      </c>
    </row>
    <row r="801" spans="1:9" hidden="1" x14ac:dyDescent="0.3">
      <c r="A801" t="s">
        <v>525</v>
      </c>
      <c r="B801" s="20">
        <v>45292</v>
      </c>
      <c r="C801" t="s">
        <v>517</v>
      </c>
      <c r="D801" t="s">
        <v>518</v>
      </c>
      <c r="E801" t="s">
        <v>384</v>
      </c>
      <c r="F801">
        <v>0</v>
      </c>
      <c r="G801">
        <v>0</v>
      </c>
      <c r="H801">
        <f>IF(report_B_CategorieBoekjaar[[#This Row],[BedrijfsCode]]="002",IF(report_B_CategorieBoekjaar[[#This Row],[Boekjaar]]=Projectbegroting!$K$1,report_B_CategorieBoekjaar[[#This Row],[CategorieCode]],0),0)</f>
        <v>0</v>
      </c>
      <c r="I801">
        <f>IF(report_B_CategorieBoekjaar[[#This Row],[BedrijfsCode]]="001",IF(report_B_CategorieBoekjaar[[#This Row],[Boekjaar]]=Projectbegroting!$K$1,report_B_CategorieBoekjaar[[#This Row],[CategorieCode]],0),0)</f>
        <v>0</v>
      </c>
    </row>
    <row r="802" spans="1:9" hidden="1" x14ac:dyDescent="0.3">
      <c r="A802" t="s">
        <v>525</v>
      </c>
      <c r="B802" s="20">
        <v>45292</v>
      </c>
      <c r="C802" t="s">
        <v>74</v>
      </c>
      <c r="D802" t="s">
        <v>75</v>
      </c>
      <c r="E802" t="s">
        <v>381</v>
      </c>
      <c r="F802">
        <v>41</v>
      </c>
      <c r="G802">
        <v>96</v>
      </c>
      <c r="H802">
        <f>IF(report_B_CategorieBoekjaar[[#This Row],[BedrijfsCode]]="002",IF(report_B_CategorieBoekjaar[[#This Row],[Boekjaar]]=Projectbegroting!$K$1,report_B_CategorieBoekjaar[[#This Row],[CategorieCode]],0),0)</f>
        <v>0</v>
      </c>
      <c r="I802">
        <f>IF(report_B_CategorieBoekjaar[[#This Row],[BedrijfsCode]]="001",IF(report_B_CategorieBoekjaar[[#This Row],[Boekjaar]]=Projectbegroting!$K$1,report_B_CategorieBoekjaar[[#This Row],[CategorieCode]],0),0)</f>
        <v>0</v>
      </c>
    </row>
    <row r="803" spans="1:9" hidden="1" x14ac:dyDescent="0.3">
      <c r="A803" t="s">
        <v>525</v>
      </c>
      <c r="B803" s="20">
        <v>45292</v>
      </c>
      <c r="C803" t="s">
        <v>178</v>
      </c>
      <c r="D803" t="s">
        <v>519</v>
      </c>
      <c r="E803" t="s">
        <v>384</v>
      </c>
      <c r="F803">
        <v>0</v>
      </c>
      <c r="G803">
        <v>0</v>
      </c>
      <c r="H803">
        <f>IF(report_B_CategorieBoekjaar[[#This Row],[BedrijfsCode]]="002",IF(report_B_CategorieBoekjaar[[#This Row],[Boekjaar]]=Projectbegroting!$K$1,report_B_CategorieBoekjaar[[#This Row],[CategorieCode]],0),0)</f>
        <v>0</v>
      </c>
      <c r="I803">
        <f>IF(report_B_CategorieBoekjaar[[#This Row],[BedrijfsCode]]="001",IF(report_B_CategorieBoekjaar[[#This Row],[Boekjaar]]=Projectbegroting!$K$1,report_B_CategorieBoekjaar[[#This Row],[CategorieCode]],0),0)</f>
        <v>0</v>
      </c>
    </row>
    <row r="804" spans="1:9" hidden="1" x14ac:dyDescent="0.3">
      <c r="A804" t="s">
        <v>525</v>
      </c>
      <c r="B804" s="20">
        <v>45292</v>
      </c>
      <c r="C804" t="s">
        <v>520</v>
      </c>
      <c r="D804" t="s">
        <v>521</v>
      </c>
      <c r="E804" t="s">
        <v>384</v>
      </c>
      <c r="F804">
        <v>0</v>
      </c>
      <c r="G804">
        <v>0</v>
      </c>
      <c r="H804">
        <f>IF(report_B_CategorieBoekjaar[[#This Row],[BedrijfsCode]]="002",IF(report_B_CategorieBoekjaar[[#This Row],[Boekjaar]]=Projectbegroting!$K$1,report_B_CategorieBoekjaar[[#This Row],[CategorieCode]],0),0)</f>
        <v>0</v>
      </c>
      <c r="I804">
        <f>IF(report_B_CategorieBoekjaar[[#This Row],[BedrijfsCode]]="001",IF(report_B_CategorieBoekjaar[[#This Row],[Boekjaar]]=Projectbegroting!$K$1,report_B_CategorieBoekjaar[[#This Row],[CategorieCode]],0),0)</f>
        <v>0</v>
      </c>
    </row>
    <row r="805" spans="1:9" hidden="1" x14ac:dyDescent="0.3">
      <c r="A805" t="s">
        <v>525</v>
      </c>
      <c r="B805" s="20">
        <v>45292</v>
      </c>
      <c r="C805" t="s">
        <v>522</v>
      </c>
      <c r="D805" t="s">
        <v>523</v>
      </c>
      <c r="E805" t="s">
        <v>381</v>
      </c>
      <c r="F805">
        <v>75</v>
      </c>
      <c r="G805">
        <v>0</v>
      </c>
      <c r="H805">
        <f>IF(report_B_CategorieBoekjaar[[#This Row],[BedrijfsCode]]="002",IF(report_B_CategorieBoekjaar[[#This Row],[Boekjaar]]=Projectbegroting!$K$1,report_B_CategorieBoekjaar[[#This Row],[CategorieCode]],0),0)</f>
        <v>0</v>
      </c>
      <c r="I805">
        <f>IF(report_B_CategorieBoekjaar[[#This Row],[BedrijfsCode]]="001",IF(report_B_CategorieBoekjaar[[#This Row],[Boekjaar]]=Projectbegroting!$K$1,report_B_CategorieBoekjaar[[#This Row],[CategorieCode]],0),0)</f>
        <v>0</v>
      </c>
    </row>
    <row r="806" spans="1:9" hidden="1" x14ac:dyDescent="0.3">
      <c r="A806" t="s">
        <v>525</v>
      </c>
      <c r="B806" s="20">
        <v>45292</v>
      </c>
      <c r="C806" t="s">
        <v>78</v>
      </c>
      <c r="D806" t="s">
        <v>79</v>
      </c>
      <c r="E806" t="s">
        <v>381</v>
      </c>
      <c r="F806">
        <v>70</v>
      </c>
      <c r="G806">
        <v>125</v>
      </c>
      <c r="H806">
        <f>IF(report_B_CategorieBoekjaar[[#This Row],[BedrijfsCode]]="002",IF(report_B_CategorieBoekjaar[[#This Row],[Boekjaar]]=Projectbegroting!$K$1,report_B_CategorieBoekjaar[[#This Row],[CategorieCode]],0),0)</f>
        <v>0</v>
      </c>
      <c r="I806">
        <f>IF(report_B_CategorieBoekjaar[[#This Row],[BedrijfsCode]]="001",IF(report_B_CategorieBoekjaar[[#This Row],[Boekjaar]]=Projectbegroting!$K$1,report_B_CategorieBoekjaar[[#This Row],[CategorieCode]],0),0)</f>
        <v>0</v>
      </c>
    </row>
    <row r="807" spans="1:9" hidden="1" x14ac:dyDescent="0.3">
      <c r="A807" t="s">
        <v>525</v>
      </c>
      <c r="B807" s="20">
        <v>45292</v>
      </c>
      <c r="C807" t="s">
        <v>176</v>
      </c>
      <c r="D807" t="s">
        <v>524</v>
      </c>
      <c r="E807" t="s">
        <v>384</v>
      </c>
      <c r="F807">
        <v>0</v>
      </c>
      <c r="G807">
        <v>0</v>
      </c>
      <c r="H807">
        <f>IF(report_B_CategorieBoekjaar[[#This Row],[BedrijfsCode]]="002",IF(report_B_CategorieBoekjaar[[#This Row],[Boekjaar]]=Projectbegroting!$K$1,report_B_CategorieBoekjaar[[#This Row],[CategorieCode]],0),0)</f>
        <v>0</v>
      </c>
      <c r="I807">
        <f>IF(report_B_CategorieBoekjaar[[#This Row],[BedrijfsCode]]="001",IF(report_B_CategorieBoekjaar[[#This Row],[Boekjaar]]=Projectbegroting!$K$1,report_B_CategorieBoekjaar[[#This Row],[CategorieCode]],0),0)</f>
        <v>0</v>
      </c>
    </row>
    <row r="808" spans="1:9" x14ac:dyDescent="0.3">
      <c r="A808" t="s">
        <v>330</v>
      </c>
      <c r="B808" s="20">
        <v>44927</v>
      </c>
      <c r="C808" t="s">
        <v>179</v>
      </c>
      <c r="D808" t="s">
        <v>331</v>
      </c>
      <c r="E808" t="s">
        <v>217</v>
      </c>
      <c r="F808">
        <v>0</v>
      </c>
      <c r="G808">
        <v>0</v>
      </c>
      <c r="H808">
        <f>IF(report_B_CategorieBoekjaar[[#This Row],[BedrijfsCode]]="002",IF(report_B_CategorieBoekjaar[[#This Row],[Boekjaar]]=Projectbegroting!$K$1,report_B_CategorieBoekjaar[[#This Row],[CategorieCode]],0),0)</f>
        <v>0</v>
      </c>
      <c r="I808">
        <f>IF(report_B_CategorieBoekjaar[[#This Row],[BedrijfsCode]]="001",IF(report_B_CategorieBoekjaar[[#This Row],[Boekjaar]]=Projectbegroting!$K$1,report_B_CategorieBoekjaar[[#This Row],[CategorieCode]],0),0)</f>
        <v>0</v>
      </c>
    </row>
    <row r="809" spans="1:9" x14ac:dyDescent="0.3">
      <c r="A809" t="s">
        <v>330</v>
      </c>
      <c r="B809" s="20">
        <v>44927</v>
      </c>
      <c r="C809" t="s">
        <v>180</v>
      </c>
      <c r="D809" t="s">
        <v>332</v>
      </c>
      <c r="E809" t="s">
        <v>217</v>
      </c>
      <c r="F809">
        <v>0</v>
      </c>
      <c r="G809">
        <v>0</v>
      </c>
      <c r="H809">
        <f>IF(report_B_CategorieBoekjaar[[#This Row],[BedrijfsCode]]="002",IF(report_B_CategorieBoekjaar[[#This Row],[Boekjaar]]=Projectbegroting!$K$1,report_B_CategorieBoekjaar[[#This Row],[CategorieCode]],0),0)</f>
        <v>0</v>
      </c>
      <c r="I809">
        <f>IF(report_B_CategorieBoekjaar[[#This Row],[BedrijfsCode]]="001",IF(report_B_CategorieBoekjaar[[#This Row],[Boekjaar]]=Projectbegroting!$K$1,report_B_CategorieBoekjaar[[#This Row],[CategorieCode]],0),0)</f>
        <v>0</v>
      </c>
    </row>
    <row r="810" spans="1:9" x14ac:dyDescent="0.3">
      <c r="A810" t="s">
        <v>330</v>
      </c>
      <c r="B810" s="20">
        <v>44927</v>
      </c>
      <c r="C810" t="s">
        <v>181</v>
      </c>
      <c r="D810" t="s">
        <v>333</v>
      </c>
      <c r="E810" t="s">
        <v>217</v>
      </c>
      <c r="F810">
        <v>0</v>
      </c>
      <c r="G810">
        <v>0</v>
      </c>
      <c r="H810">
        <f>IF(report_B_CategorieBoekjaar[[#This Row],[BedrijfsCode]]="002",IF(report_B_CategorieBoekjaar[[#This Row],[Boekjaar]]=Projectbegroting!$K$1,report_B_CategorieBoekjaar[[#This Row],[CategorieCode]],0),0)</f>
        <v>0</v>
      </c>
      <c r="I810">
        <f>IF(report_B_CategorieBoekjaar[[#This Row],[BedrijfsCode]]="001",IF(report_B_CategorieBoekjaar[[#This Row],[Boekjaar]]=Projectbegroting!$K$1,report_B_CategorieBoekjaar[[#This Row],[CategorieCode]],0),0)</f>
        <v>0</v>
      </c>
    </row>
    <row r="811" spans="1:9" x14ac:dyDescent="0.3">
      <c r="A811" t="s">
        <v>330</v>
      </c>
      <c r="B811" s="20">
        <v>44927</v>
      </c>
      <c r="C811" t="s">
        <v>182</v>
      </c>
      <c r="D811" t="s">
        <v>334</v>
      </c>
      <c r="E811" t="s">
        <v>217</v>
      </c>
      <c r="F811">
        <v>0</v>
      </c>
      <c r="G811">
        <v>0</v>
      </c>
      <c r="H811">
        <f>IF(report_B_CategorieBoekjaar[[#This Row],[BedrijfsCode]]="002",IF(report_B_CategorieBoekjaar[[#This Row],[Boekjaar]]=Projectbegroting!$K$1,report_B_CategorieBoekjaar[[#This Row],[CategorieCode]],0),0)</f>
        <v>0</v>
      </c>
      <c r="I811">
        <f>IF(report_B_CategorieBoekjaar[[#This Row],[BedrijfsCode]]="001",IF(report_B_CategorieBoekjaar[[#This Row],[Boekjaar]]=Projectbegroting!$K$1,report_B_CategorieBoekjaar[[#This Row],[CategorieCode]],0),0)</f>
        <v>0</v>
      </c>
    </row>
    <row r="812" spans="1:9" x14ac:dyDescent="0.3">
      <c r="A812" t="s">
        <v>330</v>
      </c>
      <c r="B812" s="20">
        <v>44927</v>
      </c>
      <c r="C812" t="s">
        <v>183</v>
      </c>
      <c r="D812" t="s">
        <v>335</v>
      </c>
      <c r="E812" t="s">
        <v>217</v>
      </c>
      <c r="F812">
        <v>0</v>
      </c>
      <c r="G812">
        <v>0</v>
      </c>
      <c r="H812">
        <f>IF(report_B_CategorieBoekjaar[[#This Row],[BedrijfsCode]]="002",IF(report_B_CategorieBoekjaar[[#This Row],[Boekjaar]]=Projectbegroting!$K$1,report_B_CategorieBoekjaar[[#This Row],[CategorieCode]],0),0)</f>
        <v>0</v>
      </c>
      <c r="I812">
        <f>IF(report_B_CategorieBoekjaar[[#This Row],[BedrijfsCode]]="001",IF(report_B_CategorieBoekjaar[[#This Row],[Boekjaar]]=Projectbegroting!$K$1,report_B_CategorieBoekjaar[[#This Row],[CategorieCode]],0),0)</f>
        <v>0</v>
      </c>
    </row>
    <row r="813" spans="1:9" x14ac:dyDescent="0.3">
      <c r="A813" t="s">
        <v>330</v>
      </c>
      <c r="B813" s="20">
        <v>44927</v>
      </c>
      <c r="C813" t="s">
        <v>184</v>
      </c>
      <c r="D813" t="s">
        <v>336</v>
      </c>
      <c r="E813" t="s">
        <v>217</v>
      </c>
      <c r="F813">
        <v>0</v>
      </c>
      <c r="G813">
        <v>0</v>
      </c>
      <c r="H813">
        <f>IF(report_B_CategorieBoekjaar[[#This Row],[BedrijfsCode]]="002",IF(report_B_CategorieBoekjaar[[#This Row],[Boekjaar]]=Projectbegroting!$K$1,report_B_CategorieBoekjaar[[#This Row],[CategorieCode]],0),0)</f>
        <v>0</v>
      </c>
      <c r="I813">
        <f>IF(report_B_CategorieBoekjaar[[#This Row],[BedrijfsCode]]="001",IF(report_B_CategorieBoekjaar[[#This Row],[Boekjaar]]=Projectbegroting!$K$1,report_B_CategorieBoekjaar[[#This Row],[CategorieCode]],0),0)</f>
        <v>0</v>
      </c>
    </row>
    <row r="814" spans="1:9" x14ac:dyDescent="0.3">
      <c r="A814" t="s">
        <v>330</v>
      </c>
      <c r="B814" s="20">
        <v>44927</v>
      </c>
      <c r="C814" t="s">
        <v>185</v>
      </c>
      <c r="D814" t="s">
        <v>337</v>
      </c>
      <c r="E814" t="s">
        <v>217</v>
      </c>
      <c r="F814">
        <v>0</v>
      </c>
      <c r="G814">
        <v>0</v>
      </c>
      <c r="H814">
        <f>IF(report_B_CategorieBoekjaar[[#This Row],[BedrijfsCode]]="002",IF(report_B_CategorieBoekjaar[[#This Row],[Boekjaar]]=Projectbegroting!$K$1,report_B_CategorieBoekjaar[[#This Row],[CategorieCode]],0),0)</f>
        <v>0</v>
      </c>
      <c r="I814">
        <f>IF(report_B_CategorieBoekjaar[[#This Row],[BedrijfsCode]]="001",IF(report_B_CategorieBoekjaar[[#This Row],[Boekjaar]]=Projectbegroting!$K$1,report_B_CategorieBoekjaar[[#This Row],[CategorieCode]],0),0)</f>
        <v>0</v>
      </c>
    </row>
    <row r="815" spans="1:9" x14ac:dyDescent="0.3">
      <c r="A815" t="s">
        <v>330</v>
      </c>
      <c r="B815" s="20">
        <v>44927</v>
      </c>
      <c r="C815" t="s">
        <v>186</v>
      </c>
      <c r="D815" t="s">
        <v>338</v>
      </c>
      <c r="E815" t="s">
        <v>217</v>
      </c>
      <c r="F815">
        <v>0</v>
      </c>
      <c r="G815">
        <v>0</v>
      </c>
      <c r="H815">
        <f>IF(report_B_CategorieBoekjaar[[#This Row],[BedrijfsCode]]="002",IF(report_B_CategorieBoekjaar[[#This Row],[Boekjaar]]=Projectbegroting!$K$1,report_B_CategorieBoekjaar[[#This Row],[CategorieCode]],0),0)</f>
        <v>0</v>
      </c>
      <c r="I815">
        <f>IF(report_B_CategorieBoekjaar[[#This Row],[BedrijfsCode]]="001",IF(report_B_CategorieBoekjaar[[#This Row],[Boekjaar]]=Projectbegroting!$K$1,report_B_CategorieBoekjaar[[#This Row],[CategorieCode]],0),0)</f>
        <v>0</v>
      </c>
    </row>
    <row r="816" spans="1:9" x14ac:dyDescent="0.3">
      <c r="A816" t="s">
        <v>330</v>
      </c>
      <c r="B816" s="20">
        <v>44927</v>
      </c>
      <c r="C816" t="s">
        <v>187</v>
      </c>
      <c r="D816" t="s">
        <v>339</v>
      </c>
      <c r="E816" t="s">
        <v>217</v>
      </c>
      <c r="F816">
        <v>0</v>
      </c>
      <c r="G816">
        <v>0</v>
      </c>
      <c r="H816">
        <f>IF(report_B_CategorieBoekjaar[[#This Row],[BedrijfsCode]]="002",IF(report_B_CategorieBoekjaar[[#This Row],[Boekjaar]]=Projectbegroting!$K$1,report_B_CategorieBoekjaar[[#This Row],[CategorieCode]],0),0)</f>
        <v>0</v>
      </c>
      <c r="I816">
        <f>IF(report_B_CategorieBoekjaar[[#This Row],[BedrijfsCode]]="001",IF(report_B_CategorieBoekjaar[[#This Row],[Boekjaar]]=Projectbegroting!$K$1,report_B_CategorieBoekjaar[[#This Row],[CategorieCode]],0),0)</f>
        <v>0</v>
      </c>
    </row>
    <row r="817" spans="1:9" x14ac:dyDescent="0.3">
      <c r="A817" t="s">
        <v>330</v>
      </c>
      <c r="B817" s="20">
        <v>44927</v>
      </c>
      <c r="C817" t="s">
        <v>188</v>
      </c>
      <c r="D817" t="s">
        <v>340</v>
      </c>
      <c r="E817" t="s">
        <v>217</v>
      </c>
      <c r="F817">
        <v>0</v>
      </c>
      <c r="G817">
        <v>0</v>
      </c>
      <c r="H817">
        <f>IF(report_B_CategorieBoekjaar[[#This Row],[BedrijfsCode]]="002",IF(report_B_CategorieBoekjaar[[#This Row],[Boekjaar]]=Projectbegroting!$K$1,report_B_CategorieBoekjaar[[#This Row],[CategorieCode]],0),0)</f>
        <v>0</v>
      </c>
      <c r="I817">
        <f>IF(report_B_CategorieBoekjaar[[#This Row],[BedrijfsCode]]="001",IF(report_B_CategorieBoekjaar[[#This Row],[Boekjaar]]=Projectbegroting!$K$1,report_B_CategorieBoekjaar[[#This Row],[CategorieCode]],0),0)</f>
        <v>0</v>
      </c>
    </row>
    <row r="818" spans="1:9" x14ac:dyDescent="0.3">
      <c r="A818" t="s">
        <v>330</v>
      </c>
      <c r="B818" s="20">
        <v>44927</v>
      </c>
      <c r="C818" t="s">
        <v>189</v>
      </c>
      <c r="D818" t="s">
        <v>341</v>
      </c>
      <c r="E818" t="s">
        <v>217</v>
      </c>
      <c r="F818">
        <v>0</v>
      </c>
      <c r="G818">
        <v>0</v>
      </c>
      <c r="H818">
        <f>IF(report_B_CategorieBoekjaar[[#This Row],[BedrijfsCode]]="002",IF(report_B_CategorieBoekjaar[[#This Row],[Boekjaar]]=Projectbegroting!$K$1,report_B_CategorieBoekjaar[[#This Row],[CategorieCode]],0),0)</f>
        <v>0</v>
      </c>
      <c r="I818">
        <f>IF(report_B_CategorieBoekjaar[[#This Row],[BedrijfsCode]]="001",IF(report_B_CategorieBoekjaar[[#This Row],[Boekjaar]]=Projectbegroting!$K$1,report_B_CategorieBoekjaar[[#This Row],[CategorieCode]],0),0)</f>
        <v>0</v>
      </c>
    </row>
    <row r="819" spans="1:9" x14ac:dyDescent="0.3">
      <c r="A819" t="s">
        <v>330</v>
      </c>
      <c r="B819" s="20">
        <v>44927</v>
      </c>
      <c r="C819" t="s">
        <v>190</v>
      </c>
      <c r="D819" t="s">
        <v>342</v>
      </c>
      <c r="E819" t="s">
        <v>217</v>
      </c>
      <c r="F819">
        <v>0</v>
      </c>
      <c r="G819">
        <v>0</v>
      </c>
      <c r="H819">
        <f>IF(report_B_CategorieBoekjaar[[#This Row],[BedrijfsCode]]="002",IF(report_B_CategorieBoekjaar[[#This Row],[Boekjaar]]=Projectbegroting!$K$1,report_B_CategorieBoekjaar[[#This Row],[CategorieCode]],0),0)</f>
        <v>0</v>
      </c>
      <c r="I819">
        <f>IF(report_B_CategorieBoekjaar[[#This Row],[BedrijfsCode]]="001",IF(report_B_CategorieBoekjaar[[#This Row],[Boekjaar]]=Projectbegroting!$K$1,report_B_CategorieBoekjaar[[#This Row],[CategorieCode]],0),0)</f>
        <v>0</v>
      </c>
    </row>
    <row r="820" spans="1:9" x14ac:dyDescent="0.3">
      <c r="A820" t="s">
        <v>330</v>
      </c>
      <c r="B820" s="20">
        <v>44927</v>
      </c>
      <c r="C820" t="s">
        <v>191</v>
      </c>
      <c r="D820" t="s">
        <v>343</v>
      </c>
      <c r="E820" t="s">
        <v>217</v>
      </c>
      <c r="F820">
        <v>0</v>
      </c>
      <c r="G820">
        <v>0</v>
      </c>
      <c r="H820">
        <f>IF(report_B_CategorieBoekjaar[[#This Row],[BedrijfsCode]]="002",IF(report_B_CategorieBoekjaar[[#This Row],[Boekjaar]]=Projectbegroting!$K$1,report_B_CategorieBoekjaar[[#This Row],[CategorieCode]],0),0)</f>
        <v>0</v>
      </c>
      <c r="I820">
        <f>IF(report_B_CategorieBoekjaar[[#This Row],[BedrijfsCode]]="001",IF(report_B_CategorieBoekjaar[[#This Row],[Boekjaar]]=Projectbegroting!$K$1,report_B_CategorieBoekjaar[[#This Row],[CategorieCode]],0),0)</f>
        <v>0</v>
      </c>
    </row>
    <row r="821" spans="1:9" x14ac:dyDescent="0.3">
      <c r="A821" t="s">
        <v>330</v>
      </c>
      <c r="B821" s="20">
        <v>44927</v>
      </c>
      <c r="C821" t="s">
        <v>192</v>
      </c>
      <c r="D821" t="s">
        <v>344</v>
      </c>
      <c r="E821" t="s">
        <v>217</v>
      </c>
      <c r="F821">
        <v>0</v>
      </c>
      <c r="G821">
        <v>0</v>
      </c>
      <c r="H821">
        <f>IF(report_B_CategorieBoekjaar[[#This Row],[BedrijfsCode]]="002",IF(report_B_CategorieBoekjaar[[#This Row],[Boekjaar]]=Projectbegroting!$K$1,report_B_CategorieBoekjaar[[#This Row],[CategorieCode]],0),0)</f>
        <v>0</v>
      </c>
      <c r="I821">
        <f>IF(report_B_CategorieBoekjaar[[#This Row],[BedrijfsCode]]="001",IF(report_B_CategorieBoekjaar[[#This Row],[Boekjaar]]=Projectbegroting!$K$1,report_B_CategorieBoekjaar[[#This Row],[CategorieCode]],0),0)</f>
        <v>0</v>
      </c>
    </row>
    <row r="822" spans="1:9" x14ac:dyDescent="0.3">
      <c r="A822" t="s">
        <v>330</v>
      </c>
      <c r="B822" s="20">
        <v>44927</v>
      </c>
      <c r="C822" t="s">
        <v>193</v>
      </c>
      <c r="D822" t="s">
        <v>345</v>
      </c>
      <c r="E822" t="s">
        <v>217</v>
      </c>
      <c r="F822">
        <v>0</v>
      </c>
      <c r="G822">
        <v>0</v>
      </c>
      <c r="H822">
        <f>IF(report_B_CategorieBoekjaar[[#This Row],[BedrijfsCode]]="002",IF(report_B_CategorieBoekjaar[[#This Row],[Boekjaar]]=Projectbegroting!$K$1,report_B_CategorieBoekjaar[[#This Row],[CategorieCode]],0),0)</f>
        <v>0</v>
      </c>
      <c r="I822">
        <f>IF(report_B_CategorieBoekjaar[[#This Row],[BedrijfsCode]]="001",IF(report_B_CategorieBoekjaar[[#This Row],[Boekjaar]]=Projectbegroting!$K$1,report_B_CategorieBoekjaar[[#This Row],[CategorieCode]],0),0)</f>
        <v>0</v>
      </c>
    </row>
    <row r="823" spans="1:9" x14ac:dyDescent="0.3">
      <c r="A823" t="s">
        <v>330</v>
      </c>
      <c r="B823" s="20">
        <v>44927</v>
      </c>
      <c r="C823" t="s">
        <v>194</v>
      </c>
      <c r="D823" t="s">
        <v>346</v>
      </c>
      <c r="E823" t="s">
        <v>217</v>
      </c>
      <c r="F823">
        <v>0</v>
      </c>
      <c r="G823">
        <v>0</v>
      </c>
      <c r="H823">
        <f>IF(report_B_CategorieBoekjaar[[#This Row],[BedrijfsCode]]="002",IF(report_B_CategorieBoekjaar[[#This Row],[Boekjaar]]=Projectbegroting!$K$1,report_B_CategorieBoekjaar[[#This Row],[CategorieCode]],0),0)</f>
        <v>0</v>
      </c>
      <c r="I823">
        <f>IF(report_B_CategorieBoekjaar[[#This Row],[BedrijfsCode]]="001",IF(report_B_CategorieBoekjaar[[#This Row],[Boekjaar]]=Projectbegroting!$K$1,report_B_CategorieBoekjaar[[#This Row],[CategorieCode]],0),0)</f>
        <v>0</v>
      </c>
    </row>
    <row r="824" spans="1:9" x14ac:dyDescent="0.3">
      <c r="A824" t="s">
        <v>330</v>
      </c>
      <c r="B824" s="20">
        <v>44927</v>
      </c>
      <c r="C824" t="s">
        <v>195</v>
      </c>
      <c r="D824" t="s">
        <v>347</v>
      </c>
      <c r="E824" t="s">
        <v>217</v>
      </c>
      <c r="F824">
        <v>0</v>
      </c>
      <c r="G824">
        <v>0</v>
      </c>
      <c r="H824">
        <f>IF(report_B_CategorieBoekjaar[[#This Row],[BedrijfsCode]]="002",IF(report_B_CategorieBoekjaar[[#This Row],[Boekjaar]]=Projectbegroting!$K$1,report_B_CategorieBoekjaar[[#This Row],[CategorieCode]],0),0)</f>
        <v>0</v>
      </c>
      <c r="I824">
        <f>IF(report_B_CategorieBoekjaar[[#This Row],[BedrijfsCode]]="001",IF(report_B_CategorieBoekjaar[[#This Row],[Boekjaar]]=Projectbegroting!$K$1,report_B_CategorieBoekjaar[[#This Row],[CategorieCode]],0),0)</f>
        <v>0</v>
      </c>
    </row>
    <row r="825" spans="1:9" x14ac:dyDescent="0.3">
      <c r="A825" t="s">
        <v>330</v>
      </c>
      <c r="B825" s="20">
        <v>44927</v>
      </c>
      <c r="C825" t="s">
        <v>196</v>
      </c>
      <c r="D825" t="s">
        <v>348</v>
      </c>
      <c r="E825" t="s">
        <v>217</v>
      </c>
      <c r="F825">
        <v>0</v>
      </c>
      <c r="G825">
        <v>0</v>
      </c>
      <c r="H825">
        <f>IF(report_B_CategorieBoekjaar[[#This Row],[BedrijfsCode]]="002",IF(report_B_CategorieBoekjaar[[#This Row],[Boekjaar]]=Projectbegroting!$K$1,report_B_CategorieBoekjaar[[#This Row],[CategorieCode]],0),0)</f>
        <v>0</v>
      </c>
      <c r="I825">
        <f>IF(report_B_CategorieBoekjaar[[#This Row],[BedrijfsCode]]="001",IF(report_B_CategorieBoekjaar[[#This Row],[Boekjaar]]=Projectbegroting!$K$1,report_B_CategorieBoekjaar[[#This Row],[CategorieCode]],0),0)</f>
        <v>0</v>
      </c>
    </row>
    <row r="826" spans="1:9" x14ac:dyDescent="0.3">
      <c r="A826" t="s">
        <v>330</v>
      </c>
      <c r="B826" s="20">
        <v>44927</v>
      </c>
      <c r="C826" t="s">
        <v>349</v>
      </c>
      <c r="D826" t="s">
        <v>350</v>
      </c>
      <c r="E826" t="s">
        <v>217</v>
      </c>
      <c r="F826">
        <v>0</v>
      </c>
      <c r="G826">
        <v>0</v>
      </c>
      <c r="H826">
        <f>IF(report_B_CategorieBoekjaar[[#This Row],[BedrijfsCode]]="002",IF(report_B_CategorieBoekjaar[[#This Row],[Boekjaar]]=Projectbegroting!$K$1,report_B_CategorieBoekjaar[[#This Row],[CategorieCode]],0),0)</f>
        <v>0</v>
      </c>
      <c r="I826">
        <f>IF(report_B_CategorieBoekjaar[[#This Row],[BedrijfsCode]]="001",IF(report_B_CategorieBoekjaar[[#This Row],[Boekjaar]]=Projectbegroting!$K$1,report_B_CategorieBoekjaar[[#This Row],[CategorieCode]],0),0)</f>
        <v>0</v>
      </c>
    </row>
    <row r="827" spans="1:9" x14ac:dyDescent="0.3">
      <c r="A827" t="s">
        <v>330</v>
      </c>
      <c r="B827" s="20">
        <v>44927</v>
      </c>
      <c r="C827" t="s">
        <v>197</v>
      </c>
      <c r="D827" t="s">
        <v>351</v>
      </c>
      <c r="E827" t="s">
        <v>217</v>
      </c>
      <c r="F827">
        <v>0</v>
      </c>
      <c r="G827">
        <v>0</v>
      </c>
      <c r="H827">
        <f>IF(report_B_CategorieBoekjaar[[#This Row],[BedrijfsCode]]="002",IF(report_B_CategorieBoekjaar[[#This Row],[Boekjaar]]=Projectbegroting!$K$1,report_B_CategorieBoekjaar[[#This Row],[CategorieCode]],0),0)</f>
        <v>0</v>
      </c>
      <c r="I827">
        <f>IF(report_B_CategorieBoekjaar[[#This Row],[BedrijfsCode]]="001",IF(report_B_CategorieBoekjaar[[#This Row],[Boekjaar]]=Projectbegroting!$K$1,report_B_CategorieBoekjaar[[#This Row],[CategorieCode]],0),0)</f>
        <v>0</v>
      </c>
    </row>
    <row r="828" spans="1:9" x14ac:dyDescent="0.3">
      <c r="A828" t="s">
        <v>330</v>
      </c>
      <c r="B828" s="20">
        <v>44927</v>
      </c>
      <c r="C828" t="s">
        <v>198</v>
      </c>
      <c r="D828" t="s">
        <v>352</v>
      </c>
      <c r="E828" t="s">
        <v>217</v>
      </c>
      <c r="F828">
        <v>0</v>
      </c>
      <c r="G828">
        <v>0</v>
      </c>
      <c r="H828">
        <f>IF(report_B_CategorieBoekjaar[[#This Row],[BedrijfsCode]]="002",IF(report_B_CategorieBoekjaar[[#This Row],[Boekjaar]]=Projectbegroting!$K$1,report_B_CategorieBoekjaar[[#This Row],[CategorieCode]],0),0)</f>
        <v>0</v>
      </c>
      <c r="I828">
        <f>IF(report_B_CategorieBoekjaar[[#This Row],[BedrijfsCode]]="001",IF(report_B_CategorieBoekjaar[[#This Row],[Boekjaar]]=Projectbegroting!$K$1,report_B_CategorieBoekjaar[[#This Row],[CategorieCode]],0),0)</f>
        <v>0</v>
      </c>
    </row>
    <row r="829" spans="1:9" x14ac:dyDescent="0.3">
      <c r="A829" t="s">
        <v>330</v>
      </c>
      <c r="B829" s="20">
        <v>44927</v>
      </c>
      <c r="C829" t="s">
        <v>353</v>
      </c>
      <c r="D829" t="s">
        <v>354</v>
      </c>
      <c r="E829" t="s">
        <v>217</v>
      </c>
      <c r="F829">
        <v>0</v>
      </c>
      <c r="G829">
        <v>0</v>
      </c>
      <c r="H829">
        <f>IF(report_B_CategorieBoekjaar[[#This Row],[BedrijfsCode]]="002",IF(report_B_CategorieBoekjaar[[#This Row],[Boekjaar]]=Projectbegroting!$K$1,report_B_CategorieBoekjaar[[#This Row],[CategorieCode]],0),0)</f>
        <v>0</v>
      </c>
      <c r="I829">
        <f>IF(report_B_CategorieBoekjaar[[#This Row],[BedrijfsCode]]="001",IF(report_B_CategorieBoekjaar[[#This Row],[Boekjaar]]=Projectbegroting!$K$1,report_B_CategorieBoekjaar[[#This Row],[CategorieCode]],0),0)</f>
        <v>0</v>
      </c>
    </row>
    <row r="830" spans="1:9" x14ac:dyDescent="0.3">
      <c r="A830" t="s">
        <v>330</v>
      </c>
      <c r="B830" s="20">
        <v>44927</v>
      </c>
      <c r="C830" t="s">
        <v>199</v>
      </c>
      <c r="D830" t="s">
        <v>355</v>
      </c>
      <c r="E830" t="s">
        <v>217</v>
      </c>
      <c r="F830">
        <v>0</v>
      </c>
      <c r="G830">
        <v>0</v>
      </c>
      <c r="H830">
        <f>IF(report_B_CategorieBoekjaar[[#This Row],[BedrijfsCode]]="002",IF(report_B_CategorieBoekjaar[[#This Row],[Boekjaar]]=Projectbegroting!$K$1,report_B_CategorieBoekjaar[[#This Row],[CategorieCode]],0),0)</f>
        <v>0</v>
      </c>
      <c r="I830">
        <f>IF(report_B_CategorieBoekjaar[[#This Row],[BedrijfsCode]]="001",IF(report_B_CategorieBoekjaar[[#This Row],[Boekjaar]]=Projectbegroting!$K$1,report_B_CategorieBoekjaar[[#This Row],[CategorieCode]],0),0)</f>
        <v>0</v>
      </c>
    </row>
    <row r="831" spans="1:9" x14ac:dyDescent="0.3">
      <c r="A831" t="s">
        <v>330</v>
      </c>
      <c r="B831" s="20">
        <v>44927</v>
      </c>
      <c r="C831" t="s">
        <v>200</v>
      </c>
      <c r="D831" t="s">
        <v>356</v>
      </c>
      <c r="E831" t="s">
        <v>217</v>
      </c>
      <c r="F831">
        <v>0</v>
      </c>
      <c r="G831">
        <v>0</v>
      </c>
      <c r="H831">
        <f>IF(report_B_CategorieBoekjaar[[#This Row],[BedrijfsCode]]="002",IF(report_B_CategorieBoekjaar[[#This Row],[Boekjaar]]=Projectbegroting!$K$1,report_B_CategorieBoekjaar[[#This Row],[CategorieCode]],0),0)</f>
        <v>0</v>
      </c>
      <c r="I831">
        <f>IF(report_B_CategorieBoekjaar[[#This Row],[BedrijfsCode]]="001",IF(report_B_CategorieBoekjaar[[#This Row],[Boekjaar]]=Projectbegroting!$K$1,report_B_CategorieBoekjaar[[#This Row],[CategorieCode]],0),0)</f>
        <v>0</v>
      </c>
    </row>
    <row r="832" spans="1:9" x14ac:dyDescent="0.3">
      <c r="A832" t="s">
        <v>330</v>
      </c>
      <c r="B832" s="20">
        <v>44927</v>
      </c>
      <c r="C832" t="s">
        <v>201</v>
      </c>
      <c r="D832" t="s">
        <v>357</v>
      </c>
      <c r="E832" t="s">
        <v>217</v>
      </c>
      <c r="F832">
        <v>0</v>
      </c>
      <c r="G832">
        <v>0</v>
      </c>
      <c r="H832">
        <f>IF(report_B_CategorieBoekjaar[[#This Row],[BedrijfsCode]]="002",IF(report_B_CategorieBoekjaar[[#This Row],[Boekjaar]]=Projectbegroting!$K$1,report_B_CategorieBoekjaar[[#This Row],[CategorieCode]],0),0)</f>
        <v>0</v>
      </c>
      <c r="I832">
        <f>IF(report_B_CategorieBoekjaar[[#This Row],[BedrijfsCode]]="001",IF(report_B_CategorieBoekjaar[[#This Row],[Boekjaar]]=Projectbegroting!$K$1,report_B_CategorieBoekjaar[[#This Row],[CategorieCode]],0),0)</f>
        <v>0</v>
      </c>
    </row>
    <row r="833" spans="1:9" x14ac:dyDescent="0.3">
      <c r="A833" t="s">
        <v>330</v>
      </c>
      <c r="B833" s="20">
        <v>44927</v>
      </c>
      <c r="C833" t="s">
        <v>202</v>
      </c>
      <c r="D833" t="s">
        <v>358</v>
      </c>
      <c r="E833" t="s">
        <v>217</v>
      </c>
      <c r="F833">
        <v>0</v>
      </c>
      <c r="G833">
        <v>0</v>
      </c>
      <c r="H833">
        <f>IF(report_B_CategorieBoekjaar[[#This Row],[BedrijfsCode]]="002",IF(report_B_CategorieBoekjaar[[#This Row],[Boekjaar]]=Projectbegroting!$K$1,report_B_CategorieBoekjaar[[#This Row],[CategorieCode]],0),0)</f>
        <v>0</v>
      </c>
      <c r="I833">
        <f>IF(report_B_CategorieBoekjaar[[#This Row],[BedrijfsCode]]="001",IF(report_B_CategorieBoekjaar[[#This Row],[Boekjaar]]=Projectbegroting!$K$1,report_B_CategorieBoekjaar[[#This Row],[CategorieCode]],0),0)</f>
        <v>0</v>
      </c>
    </row>
    <row r="834" spans="1:9" x14ac:dyDescent="0.3">
      <c r="A834" t="s">
        <v>330</v>
      </c>
      <c r="B834" s="20">
        <v>44927</v>
      </c>
      <c r="C834" t="s">
        <v>203</v>
      </c>
      <c r="D834" t="s">
        <v>359</v>
      </c>
      <c r="E834" t="s">
        <v>217</v>
      </c>
      <c r="F834">
        <v>0</v>
      </c>
      <c r="G834">
        <v>0</v>
      </c>
      <c r="H834">
        <f>IF(report_B_CategorieBoekjaar[[#This Row],[BedrijfsCode]]="002",IF(report_B_CategorieBoekjaar[[#This Row],[Boekjaar]]=Projectbegroting!$K$1,report_B_CategorieBoekjaar[[#This Row],[CategorieCode]],0),0)</f>
        <v>0</v>
      </c>
      <c r="I834">
        <f>IF(report_B_CategorieBoekjaar[[#This Row],[BedrijfsCode]]="001",IF(report_B_CategorieBoekjaar[[#This Row],[Boekjaar]]=Projectbegroting!$K$1,report_B_CategorieBoekjaar[[#This Row],[CategorieCode]],0),0)</f>
        <v>0</v>
      </c>
    </row>
    <row r="835" spans="1:9" x14ac:dyDescent="0.3">
      <c r="A835" t="s">
        <v>330</v>
      </c>
      <c r="B835" s="20">
        <v>44927</v>
      </c>
      <c r="C835" t="s">
        <v>204</v>
      </c>
      <c r="D835" t="s">
        <v>360</v>
      </c>
      <c r="E835" t="s">
        <v>217</v>
      </c>
      <c r="F835">
        <v>0</v>
      </c>
      <c r="G835">
        <v>0</v>
      </c>
      <c r="H835">
        <f>IF(report_B_CategorieBoekjaar[[#This Row],[BedrijfsCode]]="002",IF(report_B_CategorieBoekjaar[[#This Row],[Boekjaar]]=Projectbegroting!$K$1,report_B_CategorieBoekjaar[[#This Row],[CategorieCode]],0),0)</f>
        <v>0</v>
      </c>
      <c r="I835">
        <f>IF(report_B_CategorieBoekjaar[[#This Row],[BedrijfsCode]]="001",IF(report_B_CategorieBoekjaar[[#This Row],[Boekjaar]]=Projectbegroting!$K$1,report_B_CategorieBoekjaar[[#This Row],[CategorieCode]],0),0)</f>
        <v>0</v>
      </c>
    </row>
    <row r="836" spans="1:9" x14ac:dyDescent="0.3">
      <c r="A836" t="s">
        <v>330</v>
      </c>
      <c r="B836" s="20">
        <v>44927</v>
      </c>
      <c r="C836" t="s">
        <v>205</v>
      </c>
      <c r="D836" t="s">
        <v>361</v>
      </c>
      <c r="E836" t="s">
        <v>217</v>
      </c>
      <c r="F836">
        <v>0</v>
      </c>
      <c r="G836">
        <v>0</v>
      </c>
      <c r="H836">
        <f>IF(report_B_CategorieBoekjaar[[#This Row],[BedrijfsCode]]="002",IF(report_B_CategorieBoekjaar[[#This Row],[Boekjaar]]=Projectbegroting!$K$1,report_B_CategorieBoekjaar[[#This Row],[CategorieCode]],0),0)</f>
        <v>0</v>
      </c>
      <c r="I836">
        <f>IF(report_B_CategorieBoekjaar[[#This Row],[BedrijfsCode]]="001",IF(report_B_CategorieBoekjaar[[#This Row],[Boekjaar]]=Projectbegroting!$K$1,report_B_CategorieBoekjaar[[#This Row],[CategorieCode]],0),0)</f>
        <v>0</v>
      </c>
    </row>
    <row r="837" spans="1:9" x14ac:dyDescent="0.3">
      <c r="A837" t="s">
        <v>330</v>
      </c>
      <c r="B837" s="20">
        <v>44927</v>
      </c>
      <c r="C837" t="s">
        <v>206</v>
      </c>
      <c r="D837" t="s">
        <v>362</v>
      </c>
      <c r="E837" t="s">
        <v>217</v>
      </c>
      <c r="F837">
        <v>0</v>
      </c>
      <c r="G837">
        <v>0</v>
      </c>
      <c r="H837">
        <f>IF(report_B_CategorieBoekjaar[[#This Row],[BedrijfsCode]]="002",IF(report_B_CategorieBoekjaar[[#This Row],[Boekjaar]]=Projectbegroting!$K$1,report_B_CategorieBoekjaar[[#This Row],[CategorieCode]],0),0)</f>
        <v>0</v>
      </c>
      <c r="I837">
        <f>IF(report_B_CategorieBoekjaar[[#This Row],[BedrijfsCode]]="001",IF(report_B_CategorieBoekjaar[[#This Row],[Boekjaar]]=Projectbegroting!$K$1,report_B_CategorieBoekjaar[[#This Row],[CategorieCode]],0),0)</f>
        <v>0</v>
      </c>
    </row>
    <row r="838" spans="1:9" x14ac:dyDescent="0.3">
      <c r="A838" t="s">
        <v>330</v>
      </c>
      <c r="B838" s="20">
        <v>44927</v>
      </c>
      <c r="C838" t="s">
        <v>363</v>
      </c>
      <c r="D838" t="s">
        <v>364</v>
      </c>
      <c r="E838" t="s">
        <v>217</v>
      </c>
      <c r="F838">
        <v>0</v>
      </c>
      <c r="G838">
        <v>0</v>
      </c>
      <c r="H838">
        <f>IF(report_B_CategorieBoekjaar[[#This Row],[BedrijfsCode]]="002",IF(report_B_CategorieBoekjaar[[#This Row],[Boekjaar]]=Projectbegroting!$K$1,report_B_CategorieBoekjaar[[#This Row],[CategorieCode]],0),0)</f>
        <v>0</v>
      </c>
      <c r="I838">
        <f>IF(report_B_CategorieBoekjaar[[#This Row],[BedrijfsCode]]="001",IF(report_B_CategorieBoekjaar[[#This Row],[Boekjaar]]=Projectbegroting!$K$1,report_B_CategorieBoekjaar[[#This Row],[CategorieCode]],0),0)</f>
        <v>0</v>
      </c>
    </row>
    <row r="839" spans="1:9" x14ac:dyDescent="0.3">
      <c r="A839" t="s">
        <v>330</v>
      </c>
      <c r="B839" s="20">
        <v>44927</v>
      </c>
      <c r="C839" t="s">
        <v>207</v>
      </c>
      <c r="D839" t="s">
        <v>365</v>
      </c>
      <c r="E839" t="s">
        <v>217</v>
      </c>
      <c r="F839">
        <v>0</v>
      </c>
      <c r="G839">
        <v>0</v>
      </c>
      <c r="H839">
        <f>IF(report_B_CategorieBoekjaar[[#This Row],[BedrijfsCode]]="002",IF(report_B_CategorieBoekjaar[[#This Row],[Boekjaar]]=Projectbegroting!$K$1,report_B_CategorieBoekjaar[[#This Row],[CategorieCode]],0),0)</f>
        <v>0</v>
      </c>
      <c r="I839">
        <f>IF(report_B_CategorieBoekjaar[[#This Row],[BedrijfsCode]]="001",IF(report_B_CategorieBoekjaar[[#This Row],[Boekjaar]]=Projectbegroting!$K$1,report_B_CategorieBoekjaar[[#This Row],[CategorieCode]],0),0)</f>
        <v>0</v>
      </c>
    </row>
    <row r="840" spans="1:9" x14ac:dyDescent="0.3">
      <c r="A840" t="s">
        <v>330</v>
      </c>
      <c r="B840" s="20">
        <v>44927</v>
      </c>
      <c r="C840" t="s">
        <v>208</v>
      </c>
      <c r="D840" t="s">
        <v>366</v>
      </c>
      <c r="E840" t="s">
        <v>217</v>
      </c>
      <c r="F840">
        <v>0</v>
      </c>
      <c r="G840">
        <v>0</v>
      </c>
      <c r="H840">
        <f>IF(report_B_CategorieBoekjaar[[#This Row],[BedrijfsCode]]="002",IF(report_B_CategorieBoekjaar[[#This Row],[Boekjaar]]=Projectbegroting!$K$1,report_B_CategorieBoekjaar[[#This Row],[CategorieCode]],0),0)</f>
        <v>0</v>
      </c>
      <c r="I840">
        <f>IF(report_B_CategorieBoekjaar[[#This Row],[BedrijfsCode]]="001",IF(report_B_CategorieBoekjaar[[#This Row],[Boekjaar]]=Projectbegroting!$K$1,report_B_CategorieBoekjaar[[#This Row],[CategorieCode]],0),0)</f>
        <v>0</v>
      </c>
    </row>
    <row r="841" spans="1:9" x14ac:dyDescent="0.3">
      <c r="A841" t="s">
        <v>330</v>
      </c>
      <c r="B841" s="20">
        <v>44927</v>
      </c>
      <c r="C841" t="s">
        <v>209</v>
      </c>
      <c r="D841" t="s">
        <v>367</v>
      </c>
      <c r="E841" t="s">
        <v>217</v>
      </c>
      <c r="F841">
        <v>0</v>
      </c>
      <c r="G841">
        <v>0</v>
      </c>
      <c r="H841">
        <f>IF(report_B_CategorieBoekjaar[[#This Row],[BedrijfsCode]]="002",IF(report_B_CategorieBoekjaar[[#This Row],[Boekjaar]]=Projectbegroting!$K$1,report_B_CategorieBoekjaar[[#This Row],[CategorieCode]],0),0)</f>
        <v>0</v>
      </c>
      <c r="I841">
        <f>IF(report_B_CategorieBoekjaar[[#This Row],[BedrijfsCode]]="001",IF(report_B_CategorieBoekjaar[[#This Row],[Boekjaar]]=Projectbegroting!$K$1,report_B_CategorieBoekjaar[[#This Row],[CategorieCode]],0),0)</f>
        <v>0</v>
      </c>
    </row>
    <row r="842" spans="1:9" x14ac:dyDescent="0.3">
      <c r="A842" t="s">
        <v>330</v>
      </c>
      <c r="B842" s="20">
        <v>44927</v>
      </c>
      <c r="C842" t="s">
        <v>210</v>
      </c>
      <c r="D842" t="s">
        <v>368</v>
      </c>
      <c r="E842" t="s">
        <v>217</v>
      </c>
      <c r="F842">
        <v>0</v>
      </c>
      <c r="G842">
        <v>0</v>
      </c>
      <c r="H842">
        <f>IF(report_B_CategorieBoekjaar[[#This Row],[BedrijfsCode]]="002",IF(report_B_CategorieBoekjaar[[#This Row],[Boekjaar]]=Projectbegroting!$K$1,report_B_CategorieBoekjaar[[#This Row],[CategorieCode]],0),0)</f>
        <v>0</v>
      </c>
      <c r="I842">
        <f>IF(report_B_CategorieBoekjaar[[#This Row],[BedrijfsCode]]="001",IF(report_B_CategorieBoekjaar[[#This Row],[Boekjaar]]=Projectbegroting!$K$1,report_B_CategorieBoekjaar[[#This Row],[CategorieCode]],0),0)</f>
        <v>0</v>
      </c>
    </row>
    <row r="843" spans="1:9" x14ac:dyDescent="0.3">
      <c r="A843" t="s">
        <v>330</v>
      </c>
      <c r="B843" s="20">
        <v>44927</v>
      </c>
      <c r="C843" t="s">
        <v>369</v>
      </c>
      <c r="D843" t="s">
        <v>370</v>
      </c>
      <c r="E843" t="s">
        <v>217</v>
      </c>
      <c r="F843">
        <v>0</v>
      </c>
      <c r="G843">
        <v>0</v>
      </c>
      <c r="H843">
        <f>IF(report_B_CategorieBoekjaar[[#This Row],[BedrijfsCode]]="002",IF(report_B_CategorieBoekjaar[[#This Row],[Boekjaar]]=Projectbegroting!$K$1,report_B_CategorieBoekjaar[[#This Row],[CategorieCode]],0),0)</f>
        <v>0</v>
      </c>
      <c r="I843">
        <f>IF(report_B_CategorieBoekjaar[[#This Row],[BedrijfsCode]]="001",IF(report_B_CategorieBoekjaar[[#This Row],[Boekjaar]]=Projectbegroting!$K$1,report_B_CategorieBoekjaar[[#This Row],[CategorieCode]],0),0)</f>
        <v>0</v>
      </c>
    </row>
    <row r="844" spans="1:9" x14ac:dyDescent="0.3">
      <c r="A844" t="s">
        <v>330</v>
      </c>
      <c r="B844" s="20">
        <v>44927</v>
      </c>
      <c r="C844" t="s">
        <v>371</v>
      </c>
      <c r="D844" t="s">
        <v>372</v>
      </c>
      <c r="E844" t="s">
        <v>217</v>
      </c>
      <c r="F844">
        <v>0</v>
      </c>
      <c r="G844">
        <v>0</v>
      </c>
      <c r="H844">
        <f>IF(report_B_CategorieBoekjaar[[#This Row],[BedrijfsCode]]="002",IF(report_B_CategorieBoekjaar[[#This Row],[Boekjaar]]=Projectbegroting!$K$1,report_B_CategorieBoekjaar[[#This Row],[CategorieCode]],0),0)</f>
        <v>0</v>
      </c>
      <c r="I844">
        <f>IF(report_B_CategorieBoekjaar[[#This Row],[BedrijfsCode]]="001",IF(report_B_CategorieBoekjaar[[#This Row],[Boekjaar]]=Projectbegroting!$K$1,report_B_CategorieBoekjaar[[#This Row],[CategorieCode]],0),0)</f>
        <v>0</v>
      </c>
    </row>
    <row r="845" spans="1:9" x14ac:dyDescent="0.3">
      <c r="A845" t="s">
        <v>330</v>
      </c>
      <c r="B845" s="20">
        <v>44927</v>
      </c>
      <c r="C845" t="s">
        <v>373</v>
      </c>
      <c r="D845" t="s">
        <v>374</v>
      </c>
      <c r="E845" t="s">
        <v>217</v>
      </c>
      <c r="F845">
        <v>0</v>
      </c>
      <c r="G845">
        <v>0</v>
      </c>
      <c r="H845">
        <f>IF(report_B_CategorieBoekjaar[[#This Row],[BedrijfsCode]]="002",IF(report_B_CategorieBoekjaar[[#This Row],[Boekjaar]]=Projectbegroting!$K$1,report_B_CategorieBoekjaar[[#This Row],[CategorieCode]],0),0)</f>
        <v>0</v>
      </c>
      <c r="I845">
        <f>IF(report_B_CategorieBoekjaar[[#This Row],[BedrijfsCode]]="001",IF(report_B_CategorieBoekjaar[[#This Row],[Boekjaar]]=Projectbegroting!$K$1,report_B_CategorieBoekjaar[[#This Row],[CategorieCode]],0),0)</f>
        <v>0</v>
      </c>
    </row>
    <row r="846" spans="1:9" x14ac:dyDescent="0.3">
      <c r="A846" t="s">
        <v>330</v>
      </c>
      <c r="B846" s="20">
        <v>44927</v>
      </c>
      <c r="C846" t="s">
        <v>375</v>
      </c>
      <c r="D846" t="s">
        <v>376</v>
      </c>
      <c r="E846" t="s">
        <v>217</v>
      </c>
      <c r="F846">
        <v>0</v>
      </c>
      <c r="G846">
        <v>0</v>
      </c>
      <c r="H846">
        <f>IF(report_B_CategorieBoekjaar[[#This Row],[BedrijfsCode]]="002",IF(report_B_CategorieBoekjaar[[#This Row],[Boekjaar]]=Projectbegroting!$K$1,report_B_CategorieBoekjaar[[#This Row],[CategorieCode]],0),0)</f>
        <v>0</v>
      </c>
      <c r="I846">
        <f>IF(report_B_CategorieBoekjaar[[#This Row],[BedrijfsCode]]="001",IF(report_B_CategorieBoekjaar[[#This Row],[Boekjaar]]=Projectbegroting!$K$1,report_B_CategorieBoekjaar[[#This Row],[CategorieCode]],0),0)</f>
        <v>0</v>
      </c>
    </row>
    <row r="847" spans="1:9" x14ac:dyDescent="0.3">
      <c r="A847" t="s">
        <v>330</v>
      </c>
      <c r="B847" s="20">
        <v>44927</v>
      </c>
      <c r="C847" t="s">
        <v>377</v>
      </c>
      <c r="D847" t="s">
        <v>378</v>
      </c>
      <c r="E847" t="s">
        <v>217</v>
      </c>
      <c r="F847">
        <v>0</v>
      </c>
      <c r="G847">
        <v>0</v>
      </c>
      <c r="H847">
        <f>IF(report_B_CategorieBoekjaar[[#This Row],[BedrijfsCode]]="002",IF(report_B_CategorieBoekjaar[[#This Row],[Boekjaar]]=Projectbegroting!$K$1,report_B_CategorieBoekjaar[[#This Row],[CategorieCode]],0),0)</f>
        <v>0</v>
      </c>
      <c r="I847">
        <f>IF(report_B_CategorieBoekjaar[[#This Row],[BedrijfsCode]]="001",IF(report_B_CategorieBoekjaar[[#This Row],[Boekjaar]]=Projectbegroting!$K$1,report_B_CategorieBoekjaar[[#This Row],[CategorieCode]],0),0)</f>
        <v>0</v>
      </c>
    </row>
    <row r="848" spans="1:9" x14ac:dyDescent="0.3">
      <c r="A848" t="s">
        <v>330</v>
      </c>
      <c r="B848" s="20">
        <v>44927</v>
      </c>
      <c r="C848" t="s">
        <v>379</v>
      </c>
      <c r="D848" t="s">
        <v>380</v>
      </c>
      <c r="E848" t="s">
        <v>381</v>
      </c>
      <c r="F848">
        <v>47</v>
      </c>
      <c r="G848">
        <v>70</v>
      </c>
      <c r="H848">
        <f>IF(report_B_CategorieBoekjaar[[#This Row],[BedrijfsCode]]="002",IF(report_B_CategorieBoekjaar[[#This Row],[Boekjaar]]=Projectbegroting!$K$1,report_B_CategorieBoekjaar[[#This Row],[CategorieCode]],0),0)</f>
        <v>0</v>
      </c>
      <c r="I848">
        <f>IF(report_B_CategorieBoekjaar[[#This Row],[BedrijfsCode]]="001",IF(report_B_CategorieBoekjaar[[#This Row],[Boekjaar]]=Projectbegroting!$K$1,report_B_CategorieBoekjaar[[#This Row],[CategorieCode]],0),0)</f>
        <v>0</v>
      </c>
    </row>
    <row r="849" spans="1:9" x14ac:dyDescent="0.3">
      <c r="A849" t="s">
        <v>330</v>
      </c>
      <c r="B849" s="20">
        <v>44927</v>
      </c>
      <c r="C849" t="s">
        <v>382</v>
      </c>
      <c r="D849" t="s">
        <v>383</v>
      </c>
      <c r="E849" t="s">
        <v>384</v>
      </c>
      <c r="F849">
        <v>0</v>
      </c>
      <c r="G849">
        <v>0</v>
      </c>
      <c r="H849">
        <f>IF(report_B_CategorieBoekjaar[[#This Row],[BedrijfsCode]]="002",IF(report_B_CategorieBoekjaar[[#This Row],[Boekjaar]]=Projectbegroting!$K$1,report_B_CategorieBoekjaar[[#This Row],[CategorieCode]],0),0)</f>
        <v>0</v>
      </c>
      <c r="I849">
        <f>IF(report_B_CategorieBoekjaar[[#This Row],[BedrijfsCode]]="001",IF(report_B_CategorieBoekjaar[[#This Row],[Boekjaar]]=Projectbegroting!$K$1,report_B_CategorieBoekjaar[[#This Row],[CategorieCode]],0),0)</f>
        <v>0</v>
      </c>
    </row>
    <row r="850" spans="1:9" x14ac:dyDescent="0.3">
      <c r="A850" t="s">
        <v>330</v>
      </c>
      <c r="B850" s="20">
        <v>44927</v>
      </c>
      <c r="C850" t="s">
        <v>385</v>
      </c>
      <c r="D850" t="s">
        <v>386</v>
      </c>
      <c r="E850" t="s">
        <v>381</v>
      </c>
      <c r="F850">
        <v>72</v>
      </c>
      <c r="G850">
        <v>111</v>
      </c>
      <c r="H850">
        <f>IF(report_B_CategorieBoekjaar[[#This Row],[BedrijfsCode]]="002",IF(report_B_CategorieBoekjaar[[#This Row],[Boekjaar]]=Projectbegroting!$K$1,report_B_CategorieBoekjaar[[#This Row],[CategorieCode]],0),0)</f>
        <v>0</v>
      </c>
      <c r="I850">
        <f>IF(report_B_CategorieBoekjaar[[#This Row],[BedrijfsCode]]="001",IF(report_B_CategorieBoekjaar[[#This Row],[Boekjaar]]=Projectbegroting!$K$1,report_B_CategorieBoekjaar[[#This Row],[CategorieCode]],0),0)</f>
        <v>0</v>
      </c>
    </row>
    <row r="851" spans="1:9" x14ac:dyDescent="0.3">
      <c r="A851" t="s">
        <v>330</v>
      </c>
      <c r="B851" s="20">
        <v>44927</v>
      </c>
      <c r="C851" t="s">
        <v>387</v>
      </c>
      <c r="D851" t="s">
        <v>388</v>
      </c>
      <c r="E851" t="s">
        <v>384</v>
      </c>
      <c r="F851">
        <v>0</v>
      </c>
      <c r="G851">
        <v>0</v>
      </c>
      <c r="H851">
        <f>IF(report_B_CategorieBoekjaar[[#This Row],[BedrijfsCode]]="002",IF(report_B_CategorieBoekjaar[[#This Row],[Boekjaar]]=Projectbegroting!$K$1,report_B_CategorieBoekjaar[[#This Row],[CategorieCode]],0),0)</f>
        <v>0</v>
      </c>
      <c r="I851">
        <f>IF(report_B_CategorieBoekjaar[[#This Row],[BedrijfsCode]]="001",IF(report_B_CategorieBoekjaar[[#This Row],[Boekjaar]]=Projectbegroting!$K$1,report_B_CategorieBoekjaar[[#This Row],[CategorieCode]],0),0)</f>
        <v>0</v>
      </c>
    </row>
    <row r="852" spans="1:9" x14ac:dyDescent="0.3">
      <c r="A852" t="s">
        <v>330</v>
      </c>
      <c r="B852" s="20">
        <v>44927</v>
      </c>
      <c r="C852" t="s">
        <v>52</v>
      </c>
      <c r="D852" t="s">
        <v>53</v>
      </c>
      <c r="E852" t="s">
        <v>381</v>
      </c>
      <c r="F852">
        <v>70</v>
      </c>
      <c r="G852">
        <v>0</v>
      </c>
      <c r="H852">
        <f>IF(report_B_CategorieBoekjaar[[#This Row],[BedrijfsCode]]="002",IF(report_B_CategorieBoekjaar[[#This Row],[Boekjaar]]=Projectbegroting!$K$1,report_B_CategorieBoekjaar[[#This Row],[CategorieCode]],0),0)</f>
        <v>0</v>
      </c>
      <c r="I852">
        <f>IF(report_B_CategorieBoekjaar[[#This Row],[BedrijfsCode]]="001",IF(report_B_CategorieBoekjaar[[#This Row],[Boekjaar]]=Projectbegroting!$K$1,report_B_CategorieBoekjaar[[#This Row],[CategorieCode]],0),0)</f>
        <v>0</v>
      </c>
    </row>
    <row r="853" spans="1:9" x14ac:dyDescent="0.3">
      <c r="A853" t="s">
        <v>330</v>
      </c>
      <c r="B853" s="20">
        <v>44927</v>
      </c>
      <c r="C853" t="s">
        <v>389</v>
      </c>
      <c r="D853" t="s">
        <v>390</v>
      </c>
      <c r="E853" t="s">
        <v>384</v>
      </c>
      <c r="F853">
        <v>0</v>
      </c>
      <c r="G853">
        <v>0</v>
      </c>
      <c r="H853">
        <f>IF(report_B_CategorieBoekjaar[[#This Row],[BedrijfsCode]]="002",IF(report_B_CategorieBoekjaar[[#This Row],[Boekjaar]]=Projectbegroting!$K$1,report_B_CategorieBoekjaar[[#This Row],[CategorieCode]],0),0)</f>
        <v>0</v>
      </c>
      <c r="I853">
        <f>IF(report_B_CategorieBoekjaar[[#This Row],[BedrijfsCode]]="001",IF(report_B_CategorieBoekjaar[[#This Row],[Boekjaar]]=Projectbegroting!$K$1,report_B_CategorieBoekjaar[[#This Row],[CategorieCode]],0),0)</f>
        <v>0</v>
      </c>
    </row>
    <row r="854" spans="1:9" x14ac:dyDescent="0.3">
      <c r="A854" t="s">
        <v>330</v>
      </c>
      <c r="B854" s="20">
        <v>44927</v>
      </c>
      <c r="C854" t="s">
        <v>391</v>
      </c>
      <c r="D854" t="s">
        <v>392</v>
      </c>
      <c r="E854" t="s">
        <v>381</v>
      </c>
      <c r="F854">
        <v>55</v>
      </c>
      <c r="G854">
        <v>0</v>
      </c>
      <c r="H854">
        <f>IF(report_B_CategorieBoekjaar[[#This Row],[BedrijfsCode]]="002",IF(report_B_CategorieBoekjaar[[#This Row],[Boekjaar]]=Projectbegroting!$K$1,report_B_CategorieBoekjaar[[#This Row],[CategorieCode]],0),0)</f>
        <v>0</v>
      </c>
      <c r="I854">
        <f>IF(report_B_CategorieBoekjaar[[#This Row],[BedrijfsCode]]="001",IF(report_B_CategorieBoekjaar[[#This Row],[Boekjaar]]=Projectbegroting!$K$1,report_B_CategorieBoekjaar[[#This Row],[CategorieCode]],0),0)</f>
        <v>0</v>
      </c>
    </row>
    <row r="855" spans="1:9" x14ac:dyDescent="0.3">
      <c r="A855" t="s">
        <v>330</v>
      </c>
      <c r="B855" s="20">
        <v>44927</v>
      </c>
      <c r="C855" t="s">
        <v>393</v>
      </c>
      <c r="D855" t="s">
        <v>394</v>
      </c>
      <c r="E855" t="s">
        <v>384</v>
      </c>
      <c r="F855">
        <v>0</v>
      </c>
      <c r="G855">
        <v>0</v>
      </c>
      <c r="H855">
        <f>IF(report_B_CategorieBoekjaar[[#This Row],[BedrijfsCode]]="002",IF(report_B_CategorieBoekjaar[[#This Row],[Boekjaar]]=Projectbegroting!$K$1,report_B_CategorieBoekjaar[[#This Row],[CategorieCode]],0),0)</f>
        <v>0</v>
      </c>
      <c r="I855">
        <f>IF(report_B_CategorieBoekjaar[[#This Row],[BedrijfsCode]]="001",IF(report_B_CategorieBoekjaar[[#This Row],[Boekjaar]]=Projectbegroting!$K$1,report_B_CategorieBoekjaar[[#This Row],[CategorieCode]],0),0)</f>
        <v>0</v>
      </c>
    </row>
    <row r="856" spans="1:9" x14ac:dyDescent="0.3">
      <c r="A856" t="s">
        <v>330</v>
      </c>
      <c r="B856" s="20">
        <v>44927</v>
      </c>
      <c r="C856" t="s">
        <v>395</v>
      </c>
      <c r="D856" t="s">
        <v>396</v>
      </c>
      <c r="E856" t="s">
        <v>381</v>
      </c>
      <c r="F856">
        <v>54</v>
      </c>
      <c r="G856">
        <v>0</v>
      </c>
      <c r="H856">
        <f>IF(report_B_CategorieBoekjaar[[#This Row],[BedrijfsCode]]="002",IF(report_B_CategorieBoekjaar[[#This Row],[Boekjaar]]=Projectbegroting!$K$1,report_B_CategorieBoekjaar[[#This Row],[CategorieCode]],0),0)</f>
        <v>0</v>
      </c>
      <c r="I856">
        <f>IF(report_B_CategorieBoekjaar[[#This Row],[BedrijfsCode]]="001",IF(report_B_CategorieBoekjaar[[#This Row],[Boekjaar]]=Projectbegroting!$K$1,report_B_CategorieBoekjaar[[#This Row],[CategorieCode]],0),0)</f>
        <v>0</v>
      </c>
    </row>
    <row r="857" spans="1:9" x14ac:dyDescent="0.3">
      <c r="A857" t="s">
        <v>330</v>
      </c>
      <c r="B857" s="20">
        <v>44927</v>
      </c>
      <c r="C857" t="s">
        <v>397</v>
      </c>
      <c r="D857" t="s">
        <v>398</v>
      </c>
      <c r="E857" t="s">
        <v>384</v>
      </c>
      <c r="F857">
        <v>0</v>
      </c>
      <c r="G857">
        <v>0</v>
      </c>
      <c r="H857">
        <f>IF(report_B_CategorieBoekjaar[[#This Row],[BedrijfsCode]]="002",IF(report_B_CategorieBoekjaar[[#This Row],[Boekjaar]]=Projectbegroting!$K$1,report_B_CategorieBoekjaar[[#This Row],[CategorieCode]],0),0)</f>
        <v>0</v>
      </c>
      <c r="I857">
        <f>IF(report_B_CategorieBoekjaar[[#This Row],[BedrijfsCode]]="001",IF(report_B_CategorieBoekjaar[[#This Row],[Boekjaar]]=Projectbegroting!$K$1,report_B_CategorieBoekjaar[[#This Row],[CategorieCode]],0),0)</f>
        <v>0</v>
      </c>
    </row>
    <row r="858" spans="1:9" x14ac:dyDescent="0.3">
      <c r="A858" t="s">
        <v>330</v>
      </c>
      <c r="B858" s="20">
        <v>44927</v>
      </c>
      <c r="C858" t="s">
        <v>54</v>
      </c>
      <c r="D858" t="s">
        <v>399</v>
      </c>
      <c r="E858" t="s">
        <v>381</v>
      </c>
      <c r="F858">
        <v>55</v>
      </c>
      <c r="G858">
        <v>79</v>
      </c>
      <c r="H858">
        <f>IF(report_B_CategorieBoekjaar[[#This Row],[BedrijfsCode]]="002",IF(report_B_CategorieBoekjaar[[#This Row],[Boekjaar]]=Projectbegroting!$K$1,report_B_CategorieBoekjaar[[#This Row],[CategorieCode]],0),0)</f>
        <v>0</v>
      </c>
      <c r="I858">
        <f>IF(report_B_CategorieBoekjaar[[#This Row],[BedrijfsCode]]="001",IF(report_B_CategorieBoekjaar[[#This Row],[Boekjaar]]=Projectbegroting!$K$1,report_B_CategorieBoekjaar[[#This Row],[CategorieCode]],0),0)</f>
        <v>0</v>
      </c>
    </row>
    <row r="859" spans="1:9" x14ac:dyDescent="0.3">
      <c r="A859" t="s">
        <v>330</v>
      </c>
      <c r="B859" s="20">
        <v>44927</v>
      </c>
      <c r="C859" t="s">
        <v>400</v>
      </c>
      <c r="D859" t="s">
        <v>401</v>
      </c>
      <c r="E859" t="s">
        <v>384</v>
      </c>
      <c r="F859">
        <v>0</v>
      </c>
      <c r="G859">
        <v>0</v>
      </c>
      <c r="H859">
        <f>IF(report_B_CategorieBoekjaar[[#This Row],[BedrijfsCode]]="002",IF(report_B_CategorieBoekjaar[[#This Row],[Boekjaar]]=Projectbegroting!$K$1,report_B_CategorieBoekjaar[[#This Row],[CategorieCode]],0),0)</f>
        <v>0</v>
      </c>
      <c r="I859">
        <f>IF(report_B_CategorieBoekjaar[[#This Row],[BedrijfsCode]]="001",IF(report_B_CategorieBoekjaar[[#This Row],[Boekjaar]]=Projectbegroting!$K$1,report_B_CategorieBoekjaar[[#This Row],[CategorieCode]],0),0)</f>
        <v>0</v>
      </c>
    </row>
    <row r="860" spans="1:9" x14ac:dyDescent="0.3">
      <c r="A860" t="s">
        <v>330</v>
      </c>
      <c r="B860" s="20">
        <v>44927</v>
      </c>
      <c r="C860" t="s">
        <v>56</v>
      </c>
      <c r="D860" t="s">
        <v>402</v>
      </c>
      <c r="E860" t="s">
        <v>381</v>
      </c>
      <c r="F860">
        <v>63</v>
      </c>
      <c r="G860">
        <v>0</v>
      </c>
      <c r="H860">
        <f>IF(report_B_CategorieBoekjaar[[#This Row],[BedrijfsCode]]="002",IF(report_B_CategorieBoekjaar[[#This Row],[Boekjaar]]=Projectbegroting!$K$1,report_B_CategorieBoekjaar[[#This Row],[CategorieCode]],0),0)</f>
        <v>0</v>
      </c>
      <c r="I860">
        <f>IF(report_B_CategorieBoekjaar[[#This Row],[BedrijfsCode]]="001",IF(report_B_CategorieBoekjaar[[#This Row],[Boekjaar]]=Projectbegroting!$K$1,report_B_CategorieBoekjaar[[#This Row],[CategorieCode]],0),0)</f>
        <v>0</v>
      </c>
    </row>
    <row r="861" spans="1:9" x14ac:dyDescent="0.3">
      <c r="A861" t="s">
        <v>330</v>
      </c>
      <c r="B861" s="20">
        <v>44927</v>
      </c>
      <c r="C861" t="s">
        <v>403</v>
      </c>
      <c r="D861" t="s">
        <v>404</v>
      </c>
      <c r="E861" t="s">
        <v>384</v>
      </c>
      <c r="F861">
        <v>0</v>
      </c>
      <c r="G861">
        <v>0</v>
      </c>
      <c r="H861">
        <f>IF(report_B_CategorieBoekjaar[[#This Row],[BedrijfsCode]]="002",IF(report_B_CategorieBoekjaar[[#This Row],[Boekjaar]]=Projectbegroting!$K$1,report_B_CategorieBoekjaar[[#This Row],[CategorieCode]],0),0)</f>
        <v>0</v>
      </c>
      <c r="I861">
        <f>IF(report_B_CategorieBoekjaar[[#This Row],[BedrijfsCode]]="001",IF(report_B_CategorieBoekjaar[[#This Row],[Boekjaar]]=Projectbegroting!$K$1,report_B_CategorieBoekjaar[[#This Row],[CategorieCode]],0),0)</f>
        <v>0</v>
      </c>
    </row>
    <row r="862" spans="1:9" x14ac:dyDescent="0.3">
      <c r="A862" t="s">
        <v>330</v>
      </c>
      <c r="B862" s="20">
        <v>44927</v>
      </c>
      <c r="C862" t="s">
        <v>405</v>
      </c>
      <c r="D862" t="s">
        <v>16</v>
      </c>
      <c r="E862" t="s">
        <v>381</v>
      </c>
      <c r="F862">
        <v>52</v>
      </c>
      <c r="G862">
        <v>0</v>
      </c>
      <c r="H862">
        <f>IF(report_B_CategorieBoekjaar[[#This Row],[BedrijfsCode]]="002",IF(report_B_CategorieBoekjaar[[#This Row],[Boekjaar]]=Projectbegroting!$K$1,report_B_CategorieBoekjaar[[#This Row],[CategorieCode]],0),0)</f>
        <v>0</v>
      </c>
      <c r="I862">
        <f>IF(report_B_CategorieBoekjaar[[#This Row],[BedrijfsCode]]="001",IF(report_B_CategorieBoekjaar[[#This Row],[Boekjaar]]=Projectbegroting!$K$1,report_B_CategorieBoekjaar[[#This Row],[CategorieCode]],0),0)</f>
        <v>0</v>
      </c>
    </row>
    <row r="863" spans="1:9" x14ac:dyDescent="0.3">
      <c r="A863" t="s">
        <v>330</v>
      </c>
      <c r="B863" s="20">
        <v>44927</v>
      </c>
      <c r="C863" t="s">
        <v>58</v>
      </c>
      <c r="D863" t="s">
        <v>406</v>
      </c>
      <c r="E863" t="s">
        <v>381</v>
      </c>
      <c r="F863">
        <v>56</v>
      </c>
      <c r="G863">
        <v>0</v>
      </c>
      <c r="H863">
        <f>IF(report_B_CategorieBoekjaar[[#This Row],[BedrijfsCode]]="002",IF(report_B_CategorieBoekjaar[[#This Row],[Boekjaar]]=Projectbegroting!$K$1,report_B_CategorieBoekjaar[[#This Row],[CategorieCode]],0),0)</f>
        <v>0</v>
      </c>
      <c r="I863">
        <f>IF(report_B_CategorieBoekjaar[[#This Row],[BedrijfsCode]]="001",IF(report_B_CategorieBoekjaar[[#This Row],[Boekjaar]]=Projectbegroting!$K$1,report_B_CategorieBoekjaar[[#This Row],[CategorieCode]],0),0)</f>
        <v>0</v>
      </c>
    </row>
    <row r="864" spans="1:9" x14ac:dyDescent="0.3">
      <c r="A864" t="s">
        <v>330</v>
      </c>
      <c r="B864" s="20">
        <v>44927</v>
      </c>
      <c r="C864" t="s">
        <v>407</v>
      </c>
      <c r="D864" t="s">
        <v>408</v>
      </c>
      <c r="E864" t="s">
        <v>384</v>
      </c>
      <c r="F864">
        <v>0</v>
      </c>
      <c r="G864">
        <v>0</v>
      </c>
      <c r="H864">
        <f>IF(report_B_CategorieBoekjaar[[#This Row],[BedrijfsCode]]="002",IF(report_B_CategorieBoekjaar[[#This Row],[Boekjaar]]=Projectbegroting!$K$1,report_B_CategorieBoekjaar[[#This Row],[CategorieCode]],0),0)</f>
        <v>0</v>
      </c>
      <c r="I864">
        <f>IF(report_B_CategorieBoekjaar[[#This Row],[BedrijfsCode]]="001",IF(report_B_CategorieBoekjaar[[#This Row],[Boekjaar]]=Projectbegroting!$K$1,report_B_CategorieBoekjaar[[#This Row],[CategorieCode]],0),0)</f>
        <v>0</v>
      </c>
    </row>
    <row r="865" spans="1:9" x14ac:dyDescent="0.3">
      <c r="A865" t="s">
        <v>330</v>
      </c>
      <c r="B865" s="20">
        <v>44927</v>
      </c>
      <c r="C865" t="s">
        <v>60</v>
      </c>
      <c r="D865" t="s">
        <v>61</v>
      </c>
      <c r="E865" t="s">
        <v>381</v>
      </c>
      <c r="F865">
        <v>66</v>
      </c>
      <c r="G865">
        <v>94</v>
      </c>
      <c r="H865">
        <f>IF(report_B_CategorieBoekjaar[[#This Row],[BedrijfsCode]]="002",IF(report_B_CategorieBoekjaar[[#This Row],[Boekjaar]]=Projectbegroting!$K$1,report_B_CategorieBoekjaar[[#This Row],[CategorieCode]],0),0)</f>
        <v>0</v>
      </c>
      <c r="I865">
        <f>IF(report_B_CategorieBoekjaar[[#This Row],[BedrijfsCode]]="001",IF(report_B_CategorieBoekjaar[[#This Row],[Boekjaar]]=Projectbegroting!$K$1,report_B_CategorieBoekjaar[[#This Row],[CategorieCode]],0),0)</f>
        <v>0</v>
      </c>
    </row>
    <row r="866" spans="1:9" x14ac:dyDescent="0.3">
      <c r="A866" t="s">
        <v>330</v>
      </c>
      <c r="B866" s="20">
        <v>44927</v>
      </c>
      <c r="C866" t="s">
        <v>168</v>
      </c>
      <c r="D866" t="s">
        <v>409</v>
      </c>
      <c r="E866" t="s">
        <v>384</v>
      </c>
      <c r="F866">
        <v>0</v>
      </c>
      <c r="G866">
        <v>0</v>
      </c>
      <c r="H866">
        <f>IF(report_B_CategorieBoekjaar[[#This Row],[BedrijfsCode]]="002",IF(report_B_CategorieBoekjaar[[#This Row],[Boekjaar]]=Projectbegroting!$K$1,report_B_CategorieBoekjaar[[#This Row],[CategorieCode]],0),0)</f>
        <v>0</v>
      </c>
      <c r="I866">
        <f>IF(report_B_CategorieBoekjaar[[#This Row],[BedrijfsCode]]="001",IF(report_B_CategorieBoekjaar[[#This Row],[Boekjaar]]=Projectbegroting!$K$1,report_B_CategorieBoekjaar[[#This Row],[CategorieCode]],0),0)</f>
        <v>0</v>
      </c>
    </row>
    <row r="867" spans="1:9" x14ac:dyDescent="0.3">
      <c r="A867" t="s">
        <v>330</v>
      </c>
      <c r="B867" s="20">
        <v>44927</v>
      </c>
      <c r="C867" t="s">
        <v>410</v>
      </c>
      <c r="D867" t="s">
        <v>411</v>
      </c>
      <c r="E867" t="s">
        <v>381</v>
      </c>
      <c r="F867">
        <v>34</v>
      </c>
      <c r="G867">
        <v>0</v>
      </c>
      <c r="H867">
        <f>IF(report_B_CategorieBoekjaar[[#This Row],[BedrijfsCode]]="002",IF(report_B_CategorieBoekjaar[[#This Row],[Boekjaar]]=Projectbegroting!$K$1,report_B_CategorieBoekjaar[[#This Row],[CategorieCode]],0),0)</f>
        <v>0</v>
      </c>
      <c r="I867">
        <f>IF(report_B_CategorieBoekjaar[[#This Row],[BedrijfsCode]]="001",IF(report_B_CategorieBoekjaar[[#This Row],[Boekjaar]]=Projectbegroting!$K$1,report_B_CategorieBoekjaar[[#This Row],[CategorieCode]],0),0)</f>
        <v>0</v>
      </c>
    </row>
    <row r="868" spans="1:9" x14ac:dyDescent="0.3">
      <c r="A868" t="s">
        <v>330</v>
      </c>
      <c r="B868" s="20">
        <v>44927</v>
      </c>
      <c r="C868" t="s">
        <v>412</v>
      </c>
      <c r="D868" t="s">
        <v>413</v>
      </c>
      <c r="E868" t="s">
        <v>381</v>
      </c>
      <c r="F868">
        <v>41</v>
      </c>
      <c r="G868">
        <v>0</v>
      </c>
      <c r="H868">
        <f>IF(report_B_CategorieBoekjaar[[#This Row],[BedrijfsCode]]="002",IF(report_B_CategorieBoekjaar[[#This Row],[Boekjaar]]=Projectbegroting!$K$1,report_B_CategorieBoekjaar[[#This Row],[CategorieCode]],0),0)</f>
        <v>0</v>
      </c>
      <c r="I868">
        <f>IF(report_B_CategorieBoekjaar[[#This Row],[BedrijfsCode]]="001",IF(report_B_CategorieBoekjaar[[#This Row],[Boekjaar]]=Projectbegroting!$K$1,report_B_CategorieBoekjaar[[#This Row],[CategorieCode]],0),0)</f>
        <v>0</v>
      </c>
    </row>
    <row r="869" spans="1:9" x14ac:dyDescent="0.3">
      <c r="A869" t="s">
        <v>330</v>
      </c>
      <c r="B869" s="20">
        <v>44927</v>
      </c>
      <c r="C869" t="s">
        <v>414</v>
      </c>
      <c r="D869" t="s">
        <v>415</v>
      </c>
      <c r="E869" t="s">
        <v>384</v>
      </c>
      <c r="F869">
        <v>0</v>
      </c>
      <c r="G869">
        <v>0</v>
      </c>
      <c r="H869">
        <f>IF(report_B_CategorieBoekjaar[[#This Row],[BedrijfsCode]]="002",IF(report_B_CategorieBoekjaar[[#This Row],[Boekjaar]]=Projectbegroting!$K$1,report_B_CategorieBoekjaar[[#This Row],[CategorieCode]],0),0)</f>
        <v>0</v>
      </c>
      <c r="I869">
        <f>IF(report_B_CategorieBoekjaar[[#This Row],[BedrijfsCode]]="001",IF(report_B_CategorieBoekjaar[[#This Row],[Boekjaar]]=Projectbegroting!$K$1,report_B_CategorieBoekjaar[[#This Row],[CategorieCode]],0),0)</f>
        <v>0</v>
      </c>
    </row>
    <row r="870" spans="1:9" x14ac:dyDescent="0.3">
      <c r="A870" t="s">
        <v>330</v>
      </c>
      <c r="B870" s="20">
        <v>44927</v>
      </c>
      <c r="C870" t="s">
        <v>82</v>
      </c>
      <c r="D870" t="s">
        <v>416</v>
      </c>
      <c r="E870" t="s">
        <v>381</v>
      </c>
      <c r="F870">
        <v>73</v>
      </c>
      <c r="G870">
        <v>112</v>
      </c>
      <c r="H870">
        <f>IF(report_B_CategorieBoekjaar[[#This Row],[BedrijfsCode]]="002",IF(report_B_CategorieBoekjaar[[#This Row],[Boekjaar]]=Projectbegroting!$K$1,report_B_CategorieBoekjaar[[#This Row],[CategorieCode]],0),0)</f>
        <v>0</v>
      </c>
      <c r="I870">
        <f>IF(report_B_CategorieBoekjaar[[#This Row],[BedrijfsCode]]="001",IF(report_B_CategorieBoekjaar[[#This Row],[Boekjaar]]=Projectbegroting!$K$1,report_B_CategorieBoekjaar[[#This Row],[CategorieCode]],0),0)</f>
        <v>0</v>
      </c>
    </row>
    <row r="871" spans="1:9" x14ac:dyDescent="0.3">
      <c r="A871" t="s">
        <v>330</v>
      </c>
      <c r="B871" s="20">
        <v>44927</v>
      </c>
      <c r="C871" t="s">
        <v>169</v>
      </c>
      <c r="D871" t="s">
        <v>417</v>
      </c>
      <c r="E871" t="s">
        <v>384</v>
      </c>
      <c r="F871">
        <v>0</v>
      </c>
      <c r="G871">
        <v>0</v>
      </c>
      <c r="H871">
        <f>IF(report_B_CategorieBoekjaar[[#This Row],[BedrijfsCode]]="002",IF(report_B_CategorieBoekjaar[[#This Row],[Boekjaar]]=Projectbegroting!$K$1,report_B_CategorieBoekjaar[[#This Row],[CategorieCode]],0),0)</f>
        <v>0</v>
      </c>
      <c r="I871">
        <f>IF(report_B_CategorieBoekjaar[[#This Row],[BedrijfsCode]]="001",IF(report_B_CategorieBoekjaar[[#This Row],[Boekjaar]]=Projectbegroting!$K$1,report_B_CategorieBoekjaar[[#This Row],[CategorieCode]],0),0)</f>
        <v>0</v>
      </c>
    </row>
    <row r="872" spans="1:9" x14ac:dyDescent="0.3">
      <c r="A872" t="s">
        <v>330</v>
      </c>
      <c r="B872" s="20">
        <v>44927</v>
      </c>
      <c r="C872" t="s">
        <v>418</v>
      </c>
      <c r="D872" t="s">
        <v>419</v>
      </c>
      <c r="E872" t="s">
        <v>381</v>
      </c>
      <c r="F872">
        <v>66</v>
      </c>
      <c r="G872">
        <v>102</v>
      </c>
      <c r="H872">
        <f>IF(report_B_CategorieBoekjaar[[#This Row],[BedrijfsCode]]="002",IF(report_B_CategorieBoekjaar[[#This Row],[Boekjaar]]=Projectbegroting!$K$1,report_B_CategorieBoekjaar[[#This Row],[CategorieCode]],0),0)</f>
        <v>0</v>
      </c>
      <c r="I872">
        <f>IF(report_B_CategorieBoekjaar[[#This Row],[BedrijfsCode]]="001",IF(report_B_CategorieBoekjaar[[#This Row],[Boekjaar]]=Projectbegroting!$K$1,report_B_CategorieBoekjaar[[#This Row],[CategorieCode]],0),0)</f>
        <v>0</v>
      </c>
    </row>
    <row r="873" spans="1:9" x14ac:dyDescent="0.3">
      <c r="A873" t="s">
        <v>330</v>
      </c>
      <c r="B873" s="20">
        <v>44927</v>
      </c>
      <c r="C873" t="s">
        <v>84</v>
      </c>
      <c r="D873" t="s">
        <v>420</v>
      </c>
      <c r="E873" t="s">
        <v>381</v>
      </c>
      <c r="F873">
        <v>60</v>
      </c>
      <c r="G873">
        <v>88</v>
      </c>
      <c r="H873">
        <f>IF(report_B_CategorieBoekjaar[[#This Row],[BedrijfsCode]]="002",IF(report_B_CategorieBoekjaar[[#This Row],[Boekjaar]]=Projectbegroting!$K$1,report_B_CategorieBoekjaar[[#This Row],[CategorieCode]],0),0)</f>
        <v>0</v>
      </c>
      <c r="I873">
        <f>IF(report_B_CategorieBoekjaar[[#This Row],[BedrijfsCode]]="001",IF(report_B_CategorieBoekjaar[[#This Row],[Boekjaar]]=Projectbegroting!$K$1,report_B_CategorieBoekjaar[[#This Row],[CategorieCode]],0),0)</f>
        <v>0</v>
      </c>
    </row>
    <row r="874" spans="1:9" x14ac:dyDescent="0.3">
      <c r="A874" t="s">
        <v>330</v>
      </c>
      <c r="B874" s="20">
        <v>44927</v>
      </c>
      <c r="C874" t="s">
        <v>170</v>
      </c>
      <c r="D874" t="s">
        <v>421</v>
      </c>
      <c r="E874" t="s">
        <v>384</v>
      </c>
      <c r="F874">
        <v>0</v>
      </c>
      <c r="G874">
        <v>0</v>
      </c>
      <c r="H874">
        <f>IF(report_B_CategorieBoekjaar[[#This Row],[BedrijfsCode]]="002",IF(report_B_CategorieBoekjaar[[#This Row],[Boekjaar]]=Projectbegroting!$K$1,report_B_CategorieBoekjaar[[#This Row],[CategorieCode]],0),0)</f>
        <v>0</v>
      </c>
      <c r="I874">
        <f>IF(report_B_CategorieBoekjaar[[#This Row],[BedrijfsCode]]="001",IF(report_B_CategorieBoekjaar[[#This Row],[Boekjaar]]=Projectbegroting!$K$1,report_B_CategorieBoekjaar[[#This Row],[CategorieCode]],0),0)</f>
        <v>0</v>
      </c>
    </row>
    <row r="875" spans="1:9" x14ac:dyDescent="0.3">
      <c r="A875" t="s">
        <v>330</v>
      </c>
      <c r="B875" s="20">
        <v>44927</v>
      </c>
      <c r="C875" t="s">
        <v>96</v>
      </c>
      <c r="D875" t="s">
        <v>422</v>
      </c>
      <c r="E875" t="s">
        <v>381</v>
      </c>
      <c r="F875">
        <v>60</v>
      </c>
      <c r="G875">
        <v>88</v>
      </c>
      <c r="H875">
        <f>IF(report_B_CategorieBoekjaar[[#This Row],[BedrijfsCode]]="002",IF(report_B_CategorieBoekjaar[[#This Row],[Boekjaar]]=Projectbegroting!$K$1,report_B_CategorieBoekjaar[[#This Row],[CategorieCode]],0),0)</f>
        <v>0</v>
      </c>
      <c r="I875">
        <f>IF(report_B_CategorieBoekjaar[[#This Row],[BedrijfsCode]]="001",IF(report_B_CategorieBoekjaar[[#This Row],[Boekjaar]]=Projectbegroting!$K$1,report_B_CategorieBoekjaar[[#This Row],[CategorieCode]],0),0)</f>
        <v>0</v>
      </c>
    </row>
    <row r="876" spans="1:9" x14ac:dyDescent="0.3">
      <c r="A876" t="s">
        <v>330</v>
      </c>
      <c r="B876" s="20">
        <v>44927</v>
      </c>
      <c r="C876" t="s">
        <v>171</v>
      </c>
      <c r="D876" t="s">
        <v>423</v>
      </c>
      <c r="E876" t="s">
        <v>384</v>
      </c>
      <c r="F876">
        <v>0</v>
      </c>
      <c r="G876">
        <v>0</v>
      </c>
      <c r="H876">
        <f>IF(report_B_CategorieBoekjaar[[#This Row],[BedrijfsCode]]="002",IF(report_B_CategorieBoekjaar[[#This Row],[Boekjaar]]=Projectbegroting!$K$1,report_B_CategorieBoekjaar[[#This Row],[CategorieCode]],0),0)</f>
        <v>0</v>
      </c>
      <c r="I876">
        <f>IF(report_B_CategorieBoekjaar[[#This Row],[BedrijfsCode]]="001",IF(report_B_CategorieBoekjaar[[#This Row],[Boekjaar]]=Projectbegroting!$K$1,report_B_CategorieBoekjaar[[#This Row],[CategorieCode]],0),0)</f>
        <v>0</v>
      </c>
    </row>
    <row r="877" spans="1:9" x14ac:dyDescent="0.3">
      <c r="A877" t="s">
        <v>330</v>
      </c>
      <c r="B877" s="20">
        <v>44927</v>
      </c>
      <c r="C877" t="s">
        <v>86</v>
      </c>
      <c r="D877" t="s">
        <v>424</v>
      </c>
      <c r="E877" t="s">
        <v>381</v>
      </c>
      <c r="F877">
        <v>54</v>
      </c>
      <c r="G877">
        <v>82</v>
      </c>
      <c r="H877">
        <f>IF(report_B_CategorieBoekjaar[[#This Row],[BedrijfsCode]]="002",IF(report_B_CategorieBoekjaar[[#This Row],[Boekjaar]]=Projectbegroting!$K$1,report_B_CategorieBoekjaar[[#This Row],[CategorieCode]],0),0)</f>
        <v>0</v>
      </c>
      <c r="I877">
        <f>IF(report_B_CategorieBoekjaar[[#This Row],[BedrijfsCode]]="001",IF(report_B_CategorieBoekjaar[[#This Row],[Boekjaar]]=Projectbegroting!$K$1,report_B_CategorieBoekjaar[[#This Row],[CategorieCode]],0),0)</f>
        <v>0</v>
      </c>
    </row>
    <row r="878" spans="1:9" x14ac:dyDescent="0.3">
      <c r="A878" t="s">
        <v>330</v>
      </c>
      <c r="B878" s="20">
        <v>44927</v>
      </c>
      <c r="C878" t="s">
        <v>172</v>
      </c>
      <c r="D878" t="s">
        <v>425</v>
      </c>
      <c r="E878" t="s">
        <v>384</v>
      </c>
      <c r="F878">
        <v>0</v>
      </c>
      <c r="G878">
        <v>0</v>
      </c>
      <c r="H878">
        <f>IF(report_B_CategorieBoekjaar[[#This Row],[BedrijfsCode]]="002",IF(report_B_CategorieBoekjaar[[#This Row],[Boekjaar]]=Projectbegroting!$K$1,report_B_CategorieBoekjaar[[#This Row],[CategorieCode]],0),0)</f>
        <v>0</v>
      </c>
      <c r="I878">
        <f>IF(report_B_CategorieBoekjaar[[#This Row],[BedrijfsCode]]="001",IF(report_B_CategorieBoekjaar[[#This Row],[Boekjaar]]=Projectbegroting!$K$1,report_B_CategorieBoekjaar[[#This Row],[CategorieCode]],0),0)</f>
        <v>0</v>
      </c>
    </row>
    <row r="879" spans="1:9" x14ac:dyDescent="0.3">
      <c r="A879" t="s">
        <v>330</v>
      </c>
      <c r="B879" s="20">
        <v>44927</v>
      </c>
      <c r="C879" t="s">
        <v>94</v>
      </c>
      <c r="D879" t="s">
        <v>426</v>
      </c>
      <c r="E879" t="s">
        <v>381</v>
      </c>
      <c r="F879">
        <v>110</v>
      </c>
      <c r="G879">
        <v>110</v>
      </c>
      <c r="H879">
        <f>IF(report_B_CategorieBoekjaar[[#This Row],[BedrijfsCode]]="002",IF(report_B_CategorieBoekjaar[[#This Row],[Boekjaar]]=Projectbegroting!$K$1,report_B_CategorieBoekjaar[[#This Row],[CategorieCode]],0),0)</f>
        <v>0</v>
      </c>
      <c r="I879">
        <f>IF(report_B_CategorieBoekjaar[[#This Row],[BedrijfsCode]]="001",IF(report_B_CategorieBoekjaar[[#This Row],[Boekjaar]]=Projectbegroting!$K$1,report_B_CategorieBoekjaar[[#This Row],[CategorieCode]],0),0)</f>
        <v>0</v>
      </c>
    </row>
    <row r="880" spans="1:9" x14ac:dyDescent="0.3">
      <c r="A880" t="s">
        <v>330</v>
      </c>
      <c r="B880" s="20">
        <v>44927</v>
      </c>
      <c r="C880" t="s">
        <v>173</v>
      </c>
      <c r="D880" t="s">
        <v>427</v>
      </c>
      <c r="E880" t="s">
        <v>384</v>
      </c>
      <c r="F880">
        <v>0</v>
      </c>
      <c r="G880">
        <v>0</v>
      </c>
      <c r="H880">
        <f>IF(report_B_CategorieBoekjaar[[#This Row],[BedrijfsCode]]="002",IF(report_B_CategorieBoekjaar[[#This Row],[Boekjaar]]=Projectbegroting!$K$1,report_B_CategorieBoekjaar[[#This Row],[CategorieCode]],0),0)</f>
        <v>0</v>
      </c>
      <c r="I880">
        <f>IF(report_B_CategorieBoekjaar[[#This Row],[BedrijfsCode]]="001",IF(report_B_CategorieBoekjaar[[#This Row],[Boekjaar]]=Projectbegroting!$K$1,report_B_CategorieBoekjaar[[#This Row],[CategorieCode]],0),0)</f>
        <v>0</v>
      </c>
    </row>
    <row r="881" spans="1:9" x14ac:dyDescent="0.3">
      <c r="A881" t="s">
        <v>330</v>
      </c>
      <c r="B881" s="20">
        <v>44927</v>
      </c>
      <c r="C881" t="s">
        <v>88</v>
      </c>
      <c r="D881" t="s">
        <v>89</v>
      </c>
      <c r="E881" t="s">
        <v>381</v>
      </c>
      <c r="F881">
        <v>63</v>
      </c>
      <c r="G881">
        <v>91</v>
      </c>
      <c r="H881">
        <f>IF(report_B_CategorieBoekjaar[[#This Row],[BedrijfsCode]]="002",IF(report_B_CategorieBoekjaar[[#This Row],[Boekjaar]]=Projectbegroting!$K$1,report_B_CategorieBoekjaar[[#This Row],[CategorieCode]],0),0)</f>
        <v>0</v>
      </c>
      <c r="I881">
        <f>IF(report_B_CategorieBoekjaar[[#This Row],[BedrijfsCode]]="001",IF(report_B_CategorieBoekjaar[[#This Row],[Boekjaar]]=Projectbegroting!$K$1,report_B_CategorieBoekjaar[[#This Row],[CategorieCode]],0),0)</f>
        <v>0</v>
      </c>
    </row>
    <row r="882" spans="1:9" x14ac:dyDescent="0.3">
      <c r="A882" t="s">
        <v>330</v>
      </c>
      <c r="B882" s="20">
        <v>44927</v>
      </c>
      <c r="C882" t="s">
        <v>174</v>
      </c>
      <c r="D882" t="s">
        <v>428</v>
      </c>
      <c r="E882" t="s">
        <v>384</v>
      </c>
      <c r="F882">
        <v>0</v>
      </c>
      <c r="G882">
        <v>0</v>
      </c>
      <c r="H882">
        <f>IF(report_B_CategorieBoekjaar[[#This Row],[BedrijfsCode]]="002",IF(report_B_CategorieBoekjaar[[#This Row],[Boekjaar]]=Projectbegroting!$K$1,report_B_CategorieBoekjaar[[#This Row],[CategorieCode]],0),0)</f>
        <v>0</v>
      </c>
      <c r="I882">
        <f>IF(report_B_CategorieBoekjaar[[#This Row],[BedrijfsCode]]="001",IF(report_B_CategorieBoekjaar[[#This Row],[Boekjaar]]=Projectbegroting!$K$1,report_B_CategorieBoekjaar[[#This Row],[CategorieCode]],0),0)</f>
        <v>0</v>
      </c>
    </row>
    <row r="883" spans="1:9" x14ac:dyDescent="0.3">
      <c r="A883" t="s">
        <v>330</v>
      </c>
      <c r="B883" s="20">
        <v>44927</v>
      </c>
      <c r="C883" t="s">
        <v>90</v>
      </c>
      <c r="D883" t="s">
        <v>91</v>
      </c>
      <c r="E883" t="s">
        <v>381</v>
      </c>
      <c r="F883">
        <v>39</v>
      </c>
      <c r="G883">
        <v>68</v>
      </c>
      <c r="H883">
        <f>IF(report_B_CategorieBoekjaar[[#This Row],[BedrijfsCode]]="002",IF(report_B_CategorieBoekjaar[[#This Row],[Boekjaar]]=Projectbegroting!$K$1,report_B_CategorieBoekjaar[[#This Row],[CategorieCode]],0),0)</f>
        <v>0</v>
      </c>
      <c r="I883">
        <f>IF(report_B_CategorieBoekjaar[[#This Row],[BedrijfsCode]]="001",IF(report_B_CategorieBoekjaar[[#This Row],[Boekjaar]]=Projectbegroting!$K$1,report_B_CategorieBoekjaar[[#This Row],[CategorieCode]],0),0)</f>
        <v>0</v>
      </c>
    </row>
    <row r="884" spans="1:9" x14ac:dyDescent="0.3">
      <c r="A884" t="s">
        <v>330</v>
      </c>
      <c r="B884" s="20">
        <v>44927</v>
      </c>
      <c r="C884" t="s">
        <v>429</v>
      </c>
      <c r="D884" t="s">
        <v>430</v>
      </c>
      <c r="E884" t="s">
        <v>384</v>
      </c>
      <c r="F884">
        <v>0</v>
      </c>
      <c r="G884">
        <v>0</v>
      </c>
      <c r="H884">
        <f>IF(report_B_CategorieBoekjaar[[#This Row],[BedrijfsCode]]="002",IF(report_B_CategorieBoekjaar[[#This Row],[Boekjaar]]=Projectbegroting!$K$1,report_B_CategorieBoekjaar[[#This Row],[CategorieCode]],0),0)</f>
        <v>0</v>
      </c>
      <c r="I884">
        <f>IF(report_B_CategorieBoekjaar[[#This Row],[BedrijfsCode]]="001",IF(report_B_CategorieBoekjaar[[#This Row],[Boekjaar]]=Projectbegroting!$K$1,report_B_CategorieBoekjaar[[#This Row],[CategorieCode]],0),0)</f>
        <v>0</v>
      </c>
    </row>
    <row r="885" spans="1:9" x14ac:dyDescent="0.3">
      <c r="A885" t="s">
        <v>330</v>
      </c>
      <c r="B885" s="20">
        <v>44927</v>
      </c>
      <c r="C885" t="s">
        <v>431</v>
      </c>
      <c r="D885" t="s">
        <v>432</v>
      </c>
      <c r="E885" t="s">
        <v>381</v>
      </c>
      <c r="F885">
        <v>75</v>
      </c>
      <c r="G885">
        <v>98</v>
      </c>
      <c r="H885">
        <f>IF(report_B_CategorieBoekjaar[[#This Row],[BedrijfsCode]]="002",IF(report_B_CategorieBoekjaar[[#This Row],[Boekjaar]]=Projectbegroting!$K$1,report_B_CategorieBoekjaar[[#This Row],[CategorieCode]],0),0)</f>
        <v>0</v>
      </c>
      <c r="I885">
        <f>IF(report_B_CategorieBoekjaar[[#This Row],[BedrijfsCode]]="001",IF(report_B_CategorieBoekjaar[[#This Row],[Boekjaar]]=Projectbegroting!$K$1,report_B_CategorieBoekjaar[[#This Row],[CategorieCode]],0),0)</f>
        <v>0</v>
      </c>
    </row>
    <row r="886" spans="1:9" x14ac:dyDescent="0.3">
      <c r="A886" t="s">
        <v>330</v>
      </c>
      <c r="B886" s="20">
        <v>44927</v>
      </c>
      <c r="C886" t="s">
        <v>433</v>
      </c>
      <c r="D886" t="s">
        <v>434</v>
      </c>
      <c r="E886" t="s">
        <v>384</v>
      </c>
      <c r="F886">
        <v>0</v>
      </c>
      <c r="G886">
        <v>0</v>
      </c>
      <c r="H886">
        <f>IF(report_B_CategorieBoekjaar[[#This Row],[BedrijfsCode]]="002",IF(report_B_CategorieBoekjaar[[#This Row],[Boekjaar]]=Projectbegroting!$K$1,report_B_CategorieBoekjaar[[#This Row],[CategorieCode]],0),0)</f>
        <v>0</v>
      </c>
      <c r="I886">
        <f>IF(report_B_CategorieBoekjaar[[#This Row],[BedrijfsCode]]="001",IF(report_B_CategorieBoekjaar[[#This Row],[Boekjaar]]=Projectbegroting!$K$1,report_B_CategorieBoekjaar[[#This Row],[CategorieCode]],0),0)</f>
        <v>0</v>
      </c>
    </row>
    <row r="887" spans="1:9" x14ac:dyDescent="0.3">
      <c r="A887" t="s">
        <v>330</v>
      </c>
      <c r="B887" s="20">
        <v>44927</v>
      </c>
      <c r="C887" t="s">
        <v>435</v>
      </c>
      <c r="D887" t="s">
        <v>436</v>
      </c>
      <c r="E887" t="s">
        <v>381</v>
      </c>
      <c r="F887">
        <v>55</v>
      </c>
      <c r="G887">
        <v>0</v>
      </c>
      <c r="H887">
        <f>IF(report_B_CategorieBoekjaar[[#This Row],[BedrijfsCode]]="002",IF(report_B_CategorieBoekjaar[[#This Row],[Boekjaar]]=Projectbegroting!$K$1,report_B_CategorieBoekjaar[[#This Row],[CategorieCode]],0),0)</f>
        <v>0</v>
      </c>
      <c r="I887">
        <f>IF(report_B_CategorieBoekjaar[[#This Row],[BedrijfsCode]]="001",IF(report_B_CategorieBoekjaar[[#This Row],[Boekjaar]]=Projectbegroting!$K$1,report_B_CategorieBoekjaar[[#This Row],[CategorieCode]],0),0)</f>
        <v>0</v>
      </c>
    </row>
    <row r="888" spans="1:9" x14ac:dyDescent="0.3">
      <c r="A888" t="s">
        <v>330</v>
      </c>
      <c r="B888" s="20">
        <v>44927</v>
      </c>
      <c r="C888" t="s">
        <v>437</v>
      </c>
      <c r="D888" t="s">
        <v>438</v>
      </c>
      <c r="E888" t="s">
        <v>384</v>
      </c>
      <c r="F888">
        <v>0</v>
      </c>
      <c r="G888">
        <v>0</v>
      </c>
      <c r="H888">
        <f>IF(report_B_CategorieBoekjaar[[#This Row],[BedrijfsCode]]="002",IF(report_B_CategorieBoekjaar[[#This Row],[Boekjaar]]=Projectbegroting!$K$1,report_B_CategorieBoekjaar[[#This Row],[CategorieCode]],0),0)</f>
        <v>0</v>
      </c>
      <c r="I888">
        <f>IF(report_B_CategorieBoekjaar[[#This Row],[BedrijfsCode]]="001",IF(report_B_CategorieBoekjaar[[#This Row],[Boekjaar]]=Projectbegroting!$K$1,report_B_CategorieBoekjaar[[#This Row],[CategorieCode]],0),0)</f>
        <v>0</v>
      </c>
    </row>
    <row r="889" spans="1:9" x14ac:dyDescent="0.3">
      <c r="A889" t="s">
        <v>330</v>
      </c>
      <c r="B889" s="20">
        <v>44927</v>
      </c>
      <c r="C889" t="s">
        <v>439</v>
      </c>
      <c r="D889" t="s">
        <v>440</v>
      </c>
      <c r="E889" t="s">
        <v>381</v>
      </c>
      <c r="F889">
        <v>40</v>
      </c>
      <c r="G889">
        <v>0</v>
      </c>
      <c r="H889">
        <f>IF(report_B_CategorieBoekjaar[[#This Row],[BedrijfsCode]]="002",IF(report_B_CategorieBoekjaar[[#This Row],[Boekjaar]]=Projectbegroting!$K$1,report_B_CategorieBoekjaar[[#This Row],[CategorieCode]],0),0)</f>
        <v>0</v>
      </c>
      <c r="I889">
        <f>IF(report_B_CategorieBoekjaar[[#This Row],[BedrijfsCode]]="001",IF(report_B_CategorieBoekjaar[[#This Row],[Boekjaar]]=Projectbegroting!$K$1,report_B_CategorieBoekjaar[[#This Row],[CategorieCode]],0),0)</f>
        <v>0</v>
      </c>
    </row>
    <row r="890" spans="1:9" x14ac:dyDescent="0.3">
      <c r="A890" t="s">
        <v>330</v>
      </c>
      <c r="B890" s="20">
        <v>44927</v>
      </c>
      <c r="C890" t="s">
        <v>441</v>
      </c>
      <c r="D890" t="s">
        <v>442</v>
      </c>
      <c r="E890" t="s">
        <v>381</v>
      </c>
      <c r="F890">
        <v>52</v>
      </c>
      <c r="G890">
        <v>0</v>
      </c>
      <c r="H890">
        <f>IF(report_B_CategorieBoekjaar[[#This Row],[BedrijfsCode]]="002",IF(report_B_CategorieBoekjaar[[#This Row],[Boekjaar]]=Projectbegroting!$K$1,report_B_CategorieBoekjaar[[#This Row],[CategorieCode]],0),0)</f>
        <v>0</v>
      </c>
      <c r="I890">
        <f>IF(report_B_CategorieBoekjaar[[#This Row],[BedrijfsCode]]="001",IF(report_B_CategorieBoekjaar[[#This Row],[Boekjaar]]=Projectbegroting!$K$1,report_B_CategorieBoekjaar[[#This Row],[CategorieCode]],0),0)</f>
        <v>0</v>
      </c>
    </row>
    <row r="891" spans="1:9" x14ac:dyDescent="0.3">
      <c r="A891" t="s">
        <v>330</v>
      </c>
      <c r="B891" s="20">
        <v>44927</v>
      </c>
      <c r="C891" t="s">
        <v>443</v>
      </c>
      <c r="D891" t="s">
        <v>444</v>
      </c>
      <c r="E891" t="s">
        <v>384</v>
      </c>
      <c r="F891">
        <v>0</v>
      </c>
      <c r="G891">
        <v>0</v>
      </c>
      <c r="H891">
        <f>IF(report_B_CategorieBoekjaar[[#This Row],[BedrijfsCode]]="002",IF(report_B_CategorieBoekjaar[[#This Row],[Boekjaar]]=Projectbegroting!$K$1,report_B_CategorieBoekjaar[[#This Row],[CategorieCode]],0),0)</f>
        <v>0</v>
      </c>
      <c r="I891">
        <f>IF(report_B_CategorieBoekjaar[[#This Row],[BedrijfsCode]]="001",IF(report_B_CategorieBoekjaar[[#This Row],[Boekjaar]]=Projectbegroting!$K$1,report_B_CategorieBoekjaar[[#This Row],[CategorieCode]],0),0)</f>
        <v>0</v>
      </c>
    </row>
    <row r="892" spans="1:9" x14ac:dyDescent="0.3">
      <c r="A892" t="s">
        <v>330</v>
      </c>
      <c r="B892" s="20">
        <v>44927</v>
      </c>
      <c r="C892" t="s">
        <v>445</v>
      </c>
      <c r="D892" t="s">
        <v>446</v>
      </c>
      <c r="E892" t="s">
        <v>381</v>
      </c>
      <c r="F892">
        <v>79</v>
      </c>
      <c r="G892">
        <v>105</v>
      </c>
      <c r="H892">
        <f>IF(report_B_CategorieBoekjaar[[#This Row],[BedrijfsCode]]="002",IF(report_B_CategorieBoekjaar[[#This Row],[Boekjaar]]=Projectbegroting!$K$1,report_B_CategorieBoekjaar[[#This Row],[CategorieCode]],0),0)</f>
        <v>0</v>
      </c>
      <c r="I892">
        <f>IF(report_B_CategorieBoekjaar[[#This Row],[BedrijfsCode]]="001",IF(report_B_CategorieBoekjaar[[#This Row],[Boekjaar]]=Projectbegroting!$K$1,report_B_CategorieBoekjaar[[#This Row],[CategorieCode]],0),0)</f>
        <v>0</v>
      </c>
    </row>
    <row r="893" spans="1:9" x14ac:dyDescent="0.3">
      <c r="A893" t="s">
        <v>330</v>
      </c>
      <c r="B893" s="20">
        <v>44927</v>
      </c>
      <c r="C893" t="s">
        <v>447</v>
      </c>
      <c r="D893" t="s">
        <v>448</v>
      </c>
      <c r="E893" t="s">
        <v>384</v>
      </c>
      <c r="F893">
        <v>0</v>
      </c>
      <c r="G893">
        <v>0</v>
      </c>
      <c r="H893">
        <f>IF(report_B_CategorieBoekjaar[[#This Row],[BedrijfsCode]]="002",IF(report_B_CategorieBoekjaar[[#This Row],[Boekjaar]]=Projectbegroting!$K$1,report_B_CategorieBoekjaar[[#This Row],[CategorieCode]],0),0)</f>
        <v>0</v>
      </c>
      <c r="I893">
        <f>IF(report_B_CategorieBoekjaar[[#This Row],[BedrijfsCode]]="001",IF(report_B_CategorieBoekjaar[[#This Row],[Boekjaar]]=Projectbegroting!$K$1,report_B_CategorieBoekjaar[[#This Row],[CategorieCode]],0),0)</f>
        <v>0</v>
      </c>
    </row>
    <row r="894" spans="1:9" x14ac:dyDescent="0.3">
      <c r="A894" t="s">
        <v>330</v>
      </c>
      <c r="B894" s="20">
        <v>44927</v>
      </c>
      <c r="C894" t="s">
        <v>449</v>
      </c>
      <c r="D894" t="s">
        <v>450</v>
      </c>
      <c r="E894" t="s">
        <v>381</v>
      </c>
      <c r="F894">
        <v>36</v>
      </c>
      <c r="G894">
        <v>0</v>
      </c>
      <c r="H894">
        <f>IF(report_B_CategorieBoekjaar[[#This Row],[BedrijfsCode]]="002",IF(report_B_CategorieBoekjaar[[#This Row],[Boekjaar]]=Projectbegroting!$K$1,report_B_CategorieBoekjaar[[#This Row],[CategorieCode]],0),0)</f>
        <v>0</v>
      </c>
      <c r="I894">
        <f>IF(report_B_CategorieBoekjaar[[#This Row],[BedrijfsCode]]="001",IF(report_B_CategorieBoekjaar[[#This Row],[Boekjaar]]=Projectbegroting!$K$1,report_B_CategorieBoekjaar[[#This Row],[CategorieCode]],0),0)</f>
        <v>0</v>
      </c>
    </row>
    <row r="895" spans="1:9" x14ac:dyDescent="0.3">
      <c r="A895" t="s">
        <v>330</v>
      </c>
      <c r="B895" s="20">
        <v>44927</v>
      </c>
      <c r="C895" t="s">
        <v>451</v>
      </c>
      <c r="D895" t="s">
        <v>452</v>
      </c>
      <c r="E895" t="s">
        <v>384</v>
      </c>
      <c r="F895">
        <v>0</v>
      </c>
      <c r="G895">
        <v>0</v>
      </c>
      <c r="H895">
        <f>IF(report_B_CategorieBoekjaar[[#This Row],[BedrijfsCode]]="002",IF(report_B_CategorieBoekjaar[[#This Row],[Boekjaar]]=Projectbegroting!$K$1,report_B_CategorieBoekjaar[[#This Row],[CategorieCode]],0),0)</f>
        <v>0</v>
      </c>
      <c r="I895">
        <f>IF(report_B_CategorieBoekjaar[[#This Row],[BedrijfsCode]]="001",IF(report_B_CategorieBoekjaar[[#This Row],[Boekjaar]]=Projectbegroting!$K$1,report_B_CategorieBoekjaar[[#This Row],[CategorieCode]],0),0)</f>
        <v>0</v>
      </c>
    </row>
    <row r="896" spans="1:9" x14ac:dyDescent="0.3">
      <c r="A896" t="s">
        <v>330</v>
      </c>
      <c r="B896" s="20">
        <v>44927</v>
      </c>
      <c r="C896" t="s">
        <v>453</v>
      </c>
      <c r="D896" t="s">
        <v>454</v>
      </c>
      <c r="E896" t="s">
        <v>381</v>
      </c>
      <c r="F896">
        <v>63</v>
      </c>
      <c r="G896">
        <v>86</v>
      </c>
      <c r="H896">
        <f>IF(report_B_CategorieBoekjaar[[#This Row],[BedrijfsCode]]="002",IF(report_B_CategorieBoekjaar[[#This Row],[Boekjaar]]=Projectbegroting!$K$1,report_B_CategorieBoekjaar[[#This Row],[CategorieCode]],0),0)</f>
        <v>0</v>
      </c>
      <c r="I896">
        <f>IF(report_B_CategorieBoekjaar[[#This Row],[BedrijfsCode]]="001",IF(report_B_CategorieBoekjaar[[#This Row],[Boekjaar]]=Projectbegroting!$K$1,report_B_CategorieBoekjaar[[#This Row],[CategorieCode]],0),0)</f>
        <v>0</v>
      </c>
    </row>
    <row r="897" spans="1:9" x14ac:dyDescent="0.3">
      <c r="A897" t="s">
        <v>330</v>
      </c>
      <c r="B897" s="20">
        <v>44927</v>
      </c>
      <c r="C897" t="s">
        <v>455</v>
      </c>
      <c r="D897" t="s">
        <v>456</v>
      </c>
      <c r="E897" t="s">
        <v>381</v>
      </c>
      <c r="F897">
        <v>80</v>
      </c>
      <c r="G897">
        <v>120</v>
      </c>
      <c r="H897">
        <f>IF(report_B_CategorieBoekjaar[[#This Row],[BedrijfsCode]]="002",IF(report_B_CategorieBoekjaar[[#This Row],[Boekjaar]]=Projectbegroting!$K$1,report_B_CategorieBoekjaar[[#This Row],[CategorieCode]],0),0)</f>
        <v>0</v>
      </c>
      <c r="I897">
        <f>IF(report_B_CategorieBoekjaar[[#This Row],[BedrijfsCode]]="001",IF(report_B_CategorieBoekjaar[[#This Row],[Boekjaar]]=Projectbegroting!$K$1,report_B_CategorieBoekjaar[[#This Row],[CategorieCode]],0),0)</f>
        <v>0</v>
      </c>
    </row>
    <row r="898" spans="1:9" x14ac:dyDescent="0.3">
      <c r="A898" t="s">
        <v>330</v>
      </c>
      <c r="B898" s="20">
        <v>44927</v>
      </c>
      <c r="C898" t="s">
        <v>457</v>
      </c>
      <c r="D898" t="s">
        <v>458</v>
      </c>
      <c r="E898" t="s">
        <v>384</v>
      </c>
      <c r="F898">
        <v>0</v>
      </c>
      <c r="G898">
        <v>0</v>
      </c>
      <c r="H898">
        <f>IF(report_B_CategorieBoekjaar[[#This Row],[BedrijfsCode]]="002",IF(report_B_CategorieBoekjaar[[#This Row],[Boekjaar]]=Projectbegroting!$K$1,report_B_CategorieBoekjaar[[#This Row],[CategorieCode]],0),0)</f>
        <v>0</v>
      </c>
      <c r="I898">
        <f>IF(report_B_CategorieBoekjaar[[#This Row],[BedrijfsCode]]="001",IF(report_B_CategorieBoekjaar[[#This Row],[Boekjaar]]=Projectbegroting!$K$1,report_B_CategorieBoekjaar[[#This Row],[CategorieCode]],0),0)</f>
        <v>0</v>
      </c>
    </row>
    <row r="899" spans="1:9" x14ac:dyDescent="0.3">
      <c r="A899" t="s">
        <v>330</v>
      </c>
      <c r="B899" s="20">
        <v>44927</v>
      </c>
      <c r="C899" t="s">
        <v>459</v>
      </c>
      <c r="D899" t="s">
        <v>460</v>
      </c>
      <c r="E899" t="s">
        <v>381</v>
      </c>
      <c r="F899">
        <v>100</v>
      </c>
      <c r="G899">
        <v>141</v>
      </c>
      <c r="H899">
        <f>IF(report_B_CategorieBoekjaar[[#This Row],[BedrijfsCode]]="002",IF(report_B_CategorieBoekjaar[[#This Row],[Boekjaar]]=Projectbegroting!$K$1,report_B_CategorieBoekjaar[[#This Row],[CategorieCode]],0),0)</f>
        <v>0</v>
      </c>
      <c r="I899">
        <f>IF(report_B_CategorieBoekjaar[[#This Row],[BedrijfsCode]]="001",IF(report_B_CategorieBoekjaar[[#This Row],[Boekjaar]]=Projectbegroting!$K$1,report_B_CategorieBoekjaar[[#This Row],[CategorieCode]],0),0)</f>
        <v>0</v>
      </c>
    </row>
    <row r="900" spans="1:9" x14ac:dyDescent="0.3">
      <c r="A900" t="s">
        <v>330</v>
      </c>
      <c r="B900" s="20">
        <v>44927</v>
      </c>
      <c r="C900" t="s">
        <v>461</v>
      </c>
      <c r="D900" t="s">
        <v>462</v>
      </c>
      <c r="E900" t="s">
        <v>384</v>
      </c>
      <c r="F900">
        <v>0</v>
      </c>
      <c r="G900">
        <v>0</v>
      </c>
      <c r="H900">
        <f>IF(report_B_CategorieBoekjaar[[#This Row],[BedrijfsCode]]="002",IF(report_B_CategorieBoekjaar[[#This Row],[Boekjaar]]=Projectbegroting!$K$1,report_B_CategorieBoekjaar[[#This Row],[CategorieCode]],0),0)</f>
        <v>0</v>
      </c>
      <c r="I900">
        <f>IF(report_B_CategorieBoekjaar[[#This Row],[BedrijfsCode]]="001",IF(report_B_CategorieBoekjaar[[#This Row],[Boekjaar]]=Projectbegroting!$K$1,report_B_CategorieBoekjaar[[#This Row],[CategorieCode]],0),0)</f>
        <v>0</v>
      </c>
    </row>
    <row r="901" spans="1:9" x14ac:dyDescent="0.3">
      <c r="A901" t="s">
        <v>330</v>
      </c>
      <c r="B901" s="20">
        <v>44927</v>
      </c>
      <c r="C901" t="s">
        <v>463</v>
      </c>
      <c r="D901" t="s">
        <v>464</v>
      </c>
      <c r="E901" t="s">
        <v>384</v>
      </c>
      <c r="F901">
        <v>0</v>
      </c>
      <c r="G901">
        <v>0</v>
      </c>
      <c r="H901">
        <f>IF(report_B_CategorieBoekjaar[[#This Row],[BedrijfsCode]]="002",IF(report_B_CategorieBoekjaar[[#This Row],[Boekjaar]]=Projectbegroting!$K$1,report_B_CategorieBoekjaar[[#This Row],[CategorieCode]],0),0)</f>
        <v>0</v>
      </c>
      <c r="I901">
        <f>IF(report_B_CategorieBoekjaar[[#This Row],[BedrijfsCode]]="001",IF(report_B_CategorieBoekjaar[[#This Row],[Boekjaar]]=Projectbegroting!$K$1,report_B_CategorieBoekjaar[[#This Row],[CategorieCode]],0),0)</f>
        <v>0</v>
      </c>
    </row>
    <row r="902" spans="1:9" x14ac:dyDescent="0.3">
      <c r="A902" t="s">
        <v>330</v>
      </c>
      <c r="B902" s="20">
        <v>44927</v>
      </c>
      <c r="C902" t="s">
        <v>465</v>
      </c>
      <c r="D902" t="s">
        <v>466</v>
      </c>
      <c r="E902" t="s">
        <v>381</v>
      </c>
      <c r="F902">
        <v>27</v>
      </c>
      <c r="G902">
        <v>0</v>
      </c>
      <c r="H902">
        <f>IF(report_B_CategorieBoekjaar[[#This Row],[BedrijfsCode]]="002",IF(report_B_CategorieBoekjaar[[#This Row],[Boekjaar]]=Projectbegroting!$K$1,report_B_CategorieBoekjaar[[#This Row],[CategorieCode]],0),0)</f>
        <v>0</v>
      </c>
      <c r="I902">
        <f>IF(report_B_CategorieBoekjaar[[#This Row],[BedrijfsCode]]="001",IF(report_B_CategorieBoekjaar[[#This Row],[Boekjaar]]=Projectbegroting!$K$1,report_B_CategorieBoekjaar[[#This Row],[CategorieCode]],0),0)</f>
        <v>0</v>
      </c>
    </row>
    <row r="903" spans="1:9" x14ac:dyDescent="0.3">
      <c r="A903" t="s">
        <v>330</v>
      </c>
      <c r="B903" s="20">
        <v>44927</v>
      </c>
      <c r="C903" t="s">
        <v>467</v>
      </c>
      <c r="D903" t="s">
        <v>468</v>
      </c>
      <c r="E903" t="s">
        <v>384</v>
      </c>
      <c r="F903">
        <v>0</v>
      </c>
      <c r="G903">
        <v>0</v>
      </c>
      <c r="H903">
        <f>IF(report_B_CategorieBoekjaar[[#This Row],[BedrijfsCode]]="002",IF(report_B_CategorieBoekjaar[[#This Row],[Boekjaar]]=Projectbegroting!$K$1,report_B_CategorieBoekjaar[[#This Row],[CategorieCode]],0),0)</f>
        <v>0</v>
      </c>
      <c r="I903">
        <f>IF(report_B_CategorieBoekjaar[[#This Row],[BedrijfsCode]]="001",IF(report_B_CategorieBoekjaar[[#This Row],[Boekjaar]]=Projectbegroting!$K$1,report_B_CategorieBoekjaar[[#This Row],[CategorieCode]],0),0)</f>
        <v>0</v>
      </c>
    </row>
    <row r="904" spans="1:9" x14ac:dyDescent="0.3">
      <c r="A904" t="s">
        <v>330</v>
      </c>
      <c r="B904" s="20">
        <v>44927</v>
      </c>
      <c r="C904" t="s">
        <v>469</v>
      </c>
      <c r="D904" t="s">
        <v>470</v>
      </c>
      <c r="E904" t="s">
        <v>381</v>
      </c>
      <c r="F904">
        <v>47</v>
      </c>
      <c r="G904">
        <v>85</v>
      </c>
      <c r="H904">
        <f>IF(report_B_CategorieBoekjaar[[#This Row],[BedrijfsCode]]="002",IF(report_B_CategorieBoekjaar[[#This Row],[Boekjaar]]=Projectbegroting!$K$1,report_B_CategorieBoekjaar[[#This Row],[CategorieCode]],0),0)</f>
        <v>0</v>
      </c>
      <c r="I904">
        <f>IF(report_B_CategorieBoekjaar[[#This Row],[BedrijfsCode]]="001",IF(report_B_CategorieBoekjaar[[#This Row],[Boekjaar]]=Projectbegroting!$K$1,report_B_CategorieBoekjaar[[#This Row],[CategorieCode]],0),0)</f>
        <v>0</v>
      </c>
    </row>
    <row r="905" spans="1:9" x14ac:dyDescent="0.3">
      <c r="A905" t="s">
        <v>330</v>
      </c>
      <c r="B905" s="20">
        <v>44927</v>
      </c>
      <c r="C905" t="s">
        <v>471</v>
      </c>
      <c r="D905" t="s">
        <v>472</v>
      </c>
      <c r="E905" t="s">
        <v>384</v>
      </c>
      <c r="F905">
        <v>0</v>
      </c>
      <c r="G905">
        <v>0</v>
      </c>
      <c r="H905">
        <f>IF(report_B_CategorieBoekjaar[[#This Row],[BedrijfsCode]]="002",IF(report_B_CategorieBoekjaar[[#This Row],[Boekjaar]]=Projectbegroting!$K$1,report_B_CategorieBoekjaar[[#This Row],[CategorieCode]],0),0)</f>
        <v>0</v>
      </c>
      <c r="I905">
        <f>IF(report_B_CategorieBoekjaar[[#This Row],[BedrijfsCode]]="001",IF(report_B_CategorieBoekjaar[[#This Row],[Boekjaar]]=Projectbegroting!$K$1,report_B_CategorieBoekjaar[[#This Row],[CategorieCode]],0),0)</f>
        <v>0</v>
      </c>
    </row>
    <row r="906" spans="1:9" x14ac:dyDescent="0.3">
      <c r="A906" t="s">
        <v>330</v>
      </c>
      <c r="B906" s="20">
        <v>44927</v>
      </c>
      <c r="C906" t="s">
        <v>62</v>
      </c>
      <c r="D906" t="s">
        <v>473</v>
      </c>
      <c r="E906" t="s">
        <v>381</v>
      </c>
      <c r="F906">
        <v>52</v>
      </c>
      <c r="G906">
        <v>0</v>
      </c>
      <c r="H906">
        <f>IF(report_B_CategorieBoekjaar[[#This Row],[BedrijfsCode]]="002",IF(report_B_CategorieBoekjaar[[#This Row],[Boekjaar]]=Projectbegroting!$K$1,report_B_CategorieBoekjaar[[#This Row],[CategorieCode]],0),0)</f>
        <v>0</v>
      </c>
      <c r="I906">
        <f>IF(report_B_CategorieBoekjaar[[#This Row],[BedrijfsCode]]="001",IF(report_B_CategorieBoekjaar[[#This Row],[Boekjaar]]=Projectbegroting!$K$1,report_B_CategorieBoekjaar[[#This Row],[CategorieCode]],0),0)</f>
        <v>0</v>
      </c>
    </row>
    <row r="907" spans="1:9" x14ac:dyDescent="0.3">
      <c r="A907" t="s">
        <v>330</v>
      </c>
      <c r="B907" s="20">
        <v>44927</v>
      </c>
      <c r="C907" t="s">
        <v>474</v>
      </c>
      <c r="D907" t="s">
        <v>475</v>
      </c>
      <c r="E907" t="s">
        <v>384</v>
      </c>
      <c r="F907">
        <v>0</v>
      </c>
      <c r="G907">
        <v>0</v>
      </c>
      <c r="H907">
        <f>IF(report_B_CategorieBoekjaar[[#This Row],[BedrijfsCode]]="002",IF(report_B_CategorieBoekjaar[[#This Row],[Boekjaar]]=Projectbegroting!$K$1,report_B_CategorieBoekjaar[[#This Row],[CategorieCode]],0),0)</f>
        <v>0</v>
      </c>
      <c r="I907">
        <f>IF(report_B_CategorieBoekjaar[[#This Row],[BedrijfsCode]]="001",IF(report_B_CategorieBoekjaar[[#This Row],[Boekjaar]]=Projectbegroting!$K$1,report_B_CategorieBoekjaar[[#This Row],[CategorieCode]],0),0)</f>
        <v>0</v>
      </c>
    </row>
    <row r="908" spans="1:9" x14ac:dyDescent="0.3">
      <c r="A908" t="s">
        <v>330</v>
      </c>
      <c r="B908" s="20">
        <v>44927</v>
      </c>
      <c r="C908" t="s">
        <v>64</v>
      </c>
      <c r="D908" t="s">
        <v>476</v>
      </c>
      <c r="E908" t="s">
        <v>381</v>
      </c>
      <c r="F908">
        <v>41</v>
      </c>
      <c r="G908">
        <v>0</v>
      </c>
      <c r="H908">
        <f>IF(report_B_CategorieBoekjaar[[#This Row],[BedrijfsCode]]="002",IF(report_B_CategorieBoekjaar[[#This Row],[Boekjaar]]=Projectbegroting!$K$1,report_B_CategorieBoekjaar[[#This Row],[CategorieCode]],0),0)</f>
        <v>0</v>
      </c>
      <c r="I908">
        <f>IF(report_B_CategorieBoekjaar[[#This Row],[BedrijfsCode]]="001",IF(report_B_CategorieBoekjaar[[#This Row],[Boekjaar]]=Projectbegroting!$K$1,report_B_CategorieBoekjaar[[#This Row],[CategorieCode]],0),0)</f>
        <v>0</v>
      </c>
    </row>
    <row r="909" spans="1:9" x14ac:dyDescent="0.3">
      <c r="A909" t="s">
        <v>330</v>
      </c>
      <c r="B909" s="20">
        <v>44927</v>
      </c>
      <c r="C909" t="s">
        <v>477</v>
      </c>
      <c r="D909" t="s">
        <v>478</v>
      </c>
      <c r="E909" t="s">
        <v>384</v>
      </c>
      <c r="F909">
        <v>0</v>
      </c>
      <c r="G909">
        <v>0</v>
      </c>
      <c r="H909">
        <f>IF(report_B_CategorieBoekjaar[[#This Row],[BedrijfsCode]]="002",IF(report_B_CategorieBoekjaar[[#This Row],[Boekjaar]]=Projectbegroting!$K$1,report_B_CategorieBoekjaar[[#This Row],[CategorieCode]],0),0)</f>
        <v>0</v>
      </c>
      <c r="I909">
        <f>IF(report_B_CategorieBoekjaar[[#This Row],[BedrijfsCode]]="001",IF(report_B_CategorieBoekjaar[[#This Row],[Boekjaar]]=Projectbegroting!$K$1,report_B_CategorieBoekjaar[[#This Row],[CategorieCode]],0),0)</f>
        <v>0</v>
      </c>
    </row>
    <row r="910" spans="1:9" x14ac:dyDescent="0.3">
      <c r="A910" t="s">
        <v>330</v>
      </c>
      <c r="B910" s="20">
        <v>44927</v>
      </c>
      <c r="C910" t="s">
        <v>80</v>
      </c>
      <c r="D910" t="s">
        <v>81</v>
      </c>
      <c r="E910" t="s">
        <v>381</v>
      </c>
      <c r="F910">
        <v>66</v>
      </c>
      <c r="G910">
        <v>0</v>
      </c>
      <c r="H910">
        <f>IF(report_B_CategorieBoekjaar[[#This Row],[BedrijfsCode]]="002",IF(report_B_CategorieBoekjaar[[#This Row],[Boekjaar]]=Projectbegroting!$K$1,report_B_CategorieBoekjaar[[#This Row],[CategorieCode]],0),0)</f>
        <v>0</v>
      </c>
      <c r="I910">
        <f>IF(report_B_CategorieBoekjaar[[#This Row],[BedrijfsCode]]="001",IF(report_B_CategorieBoekjaar[[#This Row],[Boekjaar]]=Projectbegroting!$K$1,report_B_CategorieBoekjaar[[#This Row],[CategorieCode]],0),0)</f>
        <v>0</v>
      </c>
    </row>
    <row r="911" spans="1:9" x14ac:dyDescent="0.3">
      <c r="A911" t="s">
        <v>330</v>
      </c>
      <c r="B911" s="20">
        <v>44927</v>
      </c>
      <c r="C911" t="s">
        <v>479</v>
      </c>
      <c r="D911" t="s">
        <v>480</v>
      </c>
      <c r="E911" t="s">
        <v>384</v>
      </c>
      <c r="F911">
        <v>0</v>
      </c>
      <c r="G911">
        <v>0</v>
      </c>
      <c r="H911">
        <f>IF(report_B_CategorieBoekjaar[[#This Row],[BedrijfsCode]]="002",IF(report_B_CategorieBoekjaar[[#This Row],[Boekjaar]]=Projectbegroting!$K$1,report_B_CategorieBoekjaar[[#This Row],[CategorieCode]],0),0)</f>
        <v>0</v>
      </c>
      <c r="I911">
        <f>IF(report_B_CategorieBoekjaar[[#This Row],[BedrijfsCode]]="001",IF(report_B_CategorieBoekjaar[[#This Row],[Boekjaar]]=Projectbegroting!$K$1,report_B_CategorieBoekjaar[[#This Row],[CategorieCode]],0),0)</f>
        <v>0</v>
      </c>
    </row>
    <row r="912" spans="1:9" x14ac:dyDescent="0.3">
      <c r="A912" t="s">
        <v>330</v>
      </c>
      <c r="B912" s="20">
        <v>44927</v>
      </c>
      <c r="C912" t="s">
        <v>481</v>
      </c>
      <c r="D912" t="s">
        <v>482</v>
      </c>
      <c r="E912" t="s">
        <v>384</v>
      </c>
      <c r="F912">
        <v>0</v>
      </c>
      <c r="G912">
        <v>0</v>
      </c>
      <c r="H912">
        <f>IF(report_B_CategorieBoekjaar[[#This Row],[BedrijfsCode]]="002",IF(report_B_CategorieBoekjaar[[#This Row],[Boekjaar]]=Projectbegroting!$K$1,report_B_CategorieBoekjaar[[#This Row],[CategorieCode]],0),0)</f>
        <v>0</v>
      </c>
      <c r="I912">
        <f>IF(report_B_CategorieBoekjaar[[#This Row],[BedrijfsCode]]="001",IF(report_B_CategorieBoekjaar[[#This Row],[Boekjaar]]=Projectbegroting!$K$1,report_B_CategorieBoekjaar[[#This Row],[CategorieCode]],0),0)</f>
        <v>0</v>
      </c>
    </row>
    <row r="913" spans="1:9" x14ac:dyDescent="0.3">
      <c r="A913" t="s">
        <v>330</v>
      </c>
      <c r="B913" s="20">
        <v>44927</v>
      </c>
      <c r="C913" t="s">
        <v>98</v>
      </c>
      <c r="D913" t="s">
        <v>99</v>
      </c>
      <c r="E913" t="s">
        <v>381</v>
      </c>
      <c r="F913">
        <v>75</v>
      </c>
      <c r="G913">
        <v>103</v>
      </c>
      <c r="H913">
        <f>IF(report_B_CategorieBoekjaar[[#This Row],[BedrijfsCode]]="002",IF(report_B_CategorieBoekjaar[[#This Row],[Boekjaar]]=Projectbegroting!$K$1,report_B_CategorieBoekjaar[[#This Row],[CategorieCode]],0),0)</f>
        <v>0</v>
      </c>
      <c r="I913">
        <f>IF(report_B_CategorieBoekjaar[[#This Row],[BedrijfsCode]]="001",IF(report_B_CategorieBoekjaar[[#This Row],[Boekjaar]]=Projectbegroting!$K$1,report_B_CategorieBoekjaar[[#This Row],[CategorieCode]],0),0)</f>
        <v>0</v>
      </c>
    </row>
    <row r="914" spans="1:9" x14ac:dyDescent="0.3">
      <c r="A914" t="s">
        <v>330</v>
      </c>
      <c r="B914" s="20">
        <v>44927</v>
      </c>
      <c r="C914" t="s">
        <v>483</v>
      </c>
      <c r="D914" t="s">
        <v>484</v>
      </c>
      <c r="E914" t="s">
        <v>381</v>
      </c>
      <c r="F914">
        <v>134</v>
      </c>
      <c r="G914">
        <v>134</v>
      </c>
      <c r="H914">
        <f>IF(report_B_CategorieBoekjaar[[#This Row],[BedrijfsCode]]="002",IF(report_B_CategorieBoekjaar[[#This Row],[Boekjaar]]=Projectbegroting!$K$1,report_B_CategorieBoekjaar[[#This Row],[CategorieCode]],0),0)</f>
        <v>0</v>
      </c>
      <c r="I914">
        <f>IF(report_B_CategorieBoekjaar[[#This Row],[BedrijfsCode]]="001",IF(report_B_CategorieBoekjaar[[#This Row],[Boekjaar]]=Projectbegroting!$K$1,report_B_CategorieBoekjaar[[#This Row],[CategorieCode]],0),0)</f>
        <v>0</v>
      </c>
    </row>
    <row r="915" spans="1:9" x14ac:dyDescent="0.3">
      <c r="A915" t="s">
        <v>330</v>
      </c>
      <c r="B915" s="20">
        <v>44927</v>
      </c>
      <c r="C915" t="s">
        <v>485</v>
      </c>
      <c r="D915" t="s">
        <v>486</v>
      </c>
      <c r="E915" t="s">
        <v>384</v>
      </c>
      <c r="F915">
        <v>0</v>
      </c>
      <c r="G915">
        <v>0</v>
      </c>
      <c r="H915">
        <f>IF(report_B_CategorieBoekjaar[[#This Row],[BedrijfsCode]]="002",IF(report_B_CategorieBoekjaar[[#This Row],[Boekjaar]]=Projectbegroting!$K$1,report_B_CategorieBoekjaar[[#This Row],[CategorieCode]],0),0)</f>
        <v>0</v>
      </c>
      <c r="I915">
        <f>IF(report_B_CategorieBoekjaar[[#This Row],[BedrijfsCode]]="001",IF(report_B_CategorieBoekjaar[[#This Row],[Boekjaar]]=Projectbegroting!$K$1,report_B_CategorieBoekjaar[[#This Row],[CategorieCode]],0),0)</f>
        <v>0</v>
      </c>
    </row>
    <row r="916" spans="1:9" x14ac:dyDescent="0.3">
      <c r="A916" t="s">
        <v>330</v>
      </c>
      <c r="B916" s="20">
        <v>44927</v>
      </c>
      <c r="C916" t="s">
        <v>175</v>
      </c>
      <c r="D916" t="s">
        <v>487</v>
      </c>
      <c r="E916" t="s">
        <v>384</v>
      </c>
      <c r="F916">
        <v>0</v>
      </c>
      <c r="G916">
        <v>0</v>
      </c>
      <c r="H916">
        <f>IF(report_B_CategorieBoekjaar[[#This Row],[BedrijfsCode]]="002",IF(report_B_CategorieBoekjaar[[#This Row],[Boekjaar]]=Projectbegroting!$K$1,report_B_CategorieBoekjaar[[#This Row],[CategorieCode]],0),0)</f>
        <v>0</v>
      </c>
      <c r="I916">
        <f>IF(report_B_CategorieBoekjaar[[#This Row],[BedrijfsCode]]="001",IF(report_B_CategorieBoekjaar[[#This Row],[Boekjaar]]=Projectbegroting!$K$1,report_B_CategorieBoekjaar[[#This Row],[CategorieCode]],0),0)</f>
        <v>0</v>
      </c>
    </row>
    <row r="917" spans="1:9" x14ac:dyDescent="0.3">
      <c r="A917" t="s">
        <v>330</v>
      </c>
      <c r="B917" s="20">
        <v>44927</v>
      </c>
      <c r="C917" t="s">
        <v>488</v>
      </c>
      <c r="D917" t="s">
        <v>489</v>
      </c>
      <c r="E917" t="s">
        <v>381</v>
      </c>
      <c r="F917">
        <v>69</v>
      </c>
      <c r="G917">
        <v>97</v>
      </c>
      <c r="H917">
        <f>IF(report_B_CategorieBoekjaar[[#This Row],[BedrijfsCode]]="002",IF(report_B_CategorieBoekjaar[[#This Row],[Boekjaar]]=Projectbegroting!$K$1,report_B_CategorieBoekjaar[[#This Row],[CategorieCode]],0),0)</f>
        <v>0</v>
      </c>
      <c r="I917">
        <f>IF(report_B_CategorieBoekjaar[[#This Row],[BedrijfsCode]]="001",IF(report_B_CategorieBoekjaar[[#This Row],[Boekjaar]]=Projectbegroting!$K$1,report_B_CategorieBoekjaar[[#This Row],[CategorieCode]],0),0)</f>
        <v>0</v>
      </c>
    </row>
    <row r="918" spans="1:9" x14ac:dyDescent="0.3">
      <c r="A918" t="s">
        <v>330</v>
      </c>
      <c r="B918" s="20">
        <v>44927</v>
      </c>
      <c r="C918" t="s">
        <v>490</v>
      </c>
      <c r="D918" t="s">
        <v>491</v>
      </c>
      <c r="E918" t="s">
        <v>384</v>
      </c>
      <c r="F918">
        <v>0</v>
      </c>
      <c r="G918">
        <v>0</v>
      </c>
      <c r="H918">
        <f>IF(report_B_CategorieBoekjaar[[#This Row],[BedrijfsCode]]="002",IF(report_B_CategorieBoekjaar[[#This Row],[Boekjaar]]=Projectbegroting!$K$1,report_B_CategorieBoekjaar[[#This Row],[CategorieCode]],0),0)</f>
        <v>0</v>
      </c>
      <c r="I918">
        <f>IF(report_B_CategorieBoekjaar[[#This Row],[BedrijfsCode]]="001",IF(report_B_CategorieBoekjaar[[#This Row],[Boekjaar]]=Projectbegroting!$K$1,report_B_CategorieBoekjaar[[#This Row],[CategorieCode]],0),0)</f>
        <v>0</v>
      </c>
    </row>
    <row r="919" spans="1:9" x14ac:dyDescent="0.3">
      <c r="A919" t="s">
        <v>330</v>
      </c>
      <c r="B919" s="20">
        <v>44927</v>
      </c>
      <c r="C919" t="s">
        <v>68</v>
      </c>
      <c r="D919" t="s">
        <v>492</v>
      </c>
      <c r="E919" t="s">
        <v>381</v>
      </c>
      <c r="F919">
        <v>48</v>
      </c>
      <c r="G919">
        <v>86</v>
      </c>
      <c r="H919">
        <f>IF(report_B_CategorieBoekjaar[[#This Row],[BedrijfsCode]]="002",IF(report_B_CategorieBoekjaar[[#This Row],[Boekjaar]]=Projectbegroting!$K$1,report_B_CategorieBoekjaar[[#This Row],[CategorieCode]],0),0)</f>
        <v>0</v>
      </c>
      <c r="I919">
        <f>IF(report_B_CategorieBoekjaar[[#This Row],[BedrijfsCode]]="001",IF(report_B_CategorieBoekjaar[[#This Row],[Boekjaar]]=Projectbegroting!$K$1,report_B_CategorieBoekjaar[[#This Row],[CategorieCode]],0),0)</f>
        <v>0</v>
      </c>
    </row>
    <row r="920" spans="1:9" x14ac:dyDescent="0.3">
      <c r="A920" t="s">
        <v>330</v>
      </c>
      <c r="B920" s="20">
        <v>44927</v>
      </c>
      <c r="C920" t="s">
        <v>177</v>
      </c>
      <c r="D920" t="s">
        <v>493</v>
      </c>
      <c r="E920" t="s">
        <v>384</v>
      </c>
      <c r="F920">
        <v>0</v>
      </c>
      <c r="G920">
        <v>0</v>
      </c>
      <c r="H920">
        <f>IF(report_B_CategorieBoekjaar[[#This Row],[BedrijfsCode]]="002",IF(report_B_CategorieBoekjaar[[#This Row],[Boekjaar]]=Projectbegroting!$K$1,report_B_CategorieBoekjaar[[#This Row],[CategorieCode]],0),0)</f>
        <v>0</v>
      </c>
      <c r="I920">
        <f>IF(report_B_CategorieBoekjaar[[#This Row],[BedrijfsCode]]="001",IF(report_B_CategorieBoekjaar[[#This Row],[Boekjaar]]=Projectbegroting!$K$1,report_B_CategorieBoekjaar[[#This Row],[CategorieCode]],0),0)</f>
        <v>0</v>
      </c>
    </row>
    <row r="921" spans="1:9" x14ac:dyDescent="0.3">
      <c r="A921" t="s">
        <v>330</v>
      </c>
      <c r="B921" s="20">
        <v>44927</v>
      </c>
      <c r="C921" t="s">
        <v>494</v>
      </c>
      <c r="D921" t="s">
        <v>495</v>
      </c>
      <c r="E921" t="s">
        <v>381</v>
      </c>
      <c r="F921">
        <v>39</v>
      </c>
      <c r="G921">
        <v>77</v>
      </c>
      <c r="H921">
        <f>IF(report_B_CategorieBoekjaar[[#This Row],[BedrijfsCode]]="002",IF(report_B_CategorieBoekjaar[[#This Row],[Boekjaar]]=Projectbegroting!$K$1,report_B_CategorieBoekjaar[[#This Row],[CategorieCode]],0),0)</f>
        <v>0</v>
      </c>
      <c r="I921">
        <f>IF(report_B_CategorieBoekjaar[[#This Row],[BedrijfsCode]]="001",IF(report_B_CategorieBoekjaar[[#This Row],[Boekjaar]]=Projectbegroting!$K$1,report_B_CategorieBoekjaar[[#This Row],[CategorieCode]],0),0)</f>
        <v>0</v>
      </c>
    </row>
    <row r="922" spans="1:9" x14ac:dyDescent="0.3">
      <c r="A922" t="s">
        <v>330</v>
      </c>
      <c r="B922" s="20">
        <v>44927</v>
      </c>
      <c r="C922" t="s">
        <v>496</v>
      </c>
      <c r="D922" t="s">
        <v>497</v>
      </c>
      <c r="E922" t="s">
        <v>384</v>
      </c>
      <c r="F922">
        <v>0</v>
      </c>
      <c r="G922">
        <v>0</v>
      </c>
      <c r="H922">
        <f>IF(report_B_CategorieBoekjaar[[#This Row],[BedrijfsCode]]="002",IF(report_B_CategorieBoekjaar[[#This Row],[Boekjaar]]=Projectbegroting!$K$1,report_B_CategorieBoekjaar[[#This Row],[CategorieCode]],0),0)</f>
        <v>0</v>
      </c>
      <c r="I922">
        <f>IF(report_B_CategorieBoekjaar[[#This Row],[BedrijfsCode]]="001",IF(report_B_CategorieBoekjaar[[#This Row],[Boekjaar]]=Projectbegroting!$K$1,report_B_CategorieBoekjaar[[#This Row],[CategorieCode]],0),0)</f>
        <v>0</v>
      </c>
    </row>
    <row r="923" spans="1:9" x14ac:dyDescent="0.3">
      <c r="A923" t="s">
        <v>330</v>
      </c>
      <c r="B923" s="20">
        <v>44927</v>
      </c>
      <c r="C923" t="s">
        <v>70</v>
      </c>
      <c r="D923" t="s">
        <v>498</v>
      </c>
      <c r="E923" t="s">
        <v>381</v>
      </c>
      <c r="F923">
        <v>40</v>
      </c>
      <c r="G923">
        <v>0</v>
      </c>
      <c r="H923">
        <f>IF(report_B_CategorieBoekjaar[[#This Row],[BedrijfsCode]]="002",IF(report_B_CategorieBoekjaar[[#This Row],[Boekjaar]]=Projectbegroting!$K$1,report_B_CategorieBoekjaar[[#This Row],[CategorieCode]],0),0)</f>
        <v>0</v>
      </c>
      <c r="I923">
        <f>IF(report_B_CategorieBoekjaar[[#This Row],[BedrijfsCode]]="001",IF(report_B_CategorieBoekjaar[[#This Row],[Boekjaar]]=Projectbegroting!$K$1,report_B_CategorieBoekjaar[[#This Row],[CategorieCode]],0),0)</f>
        <v>0</v>
      </c>
    </row>
    <row r="924" spans="1:9" x14ac:dyDescent="0.3">
      <c r="A924" t="s">
        <v>330</v>
      </c>
      <c r="B924" s="20">
        <v>44927</v>
      </c>
      <c r="C924" t="s">
        <v>499</v>
      </c>
      <c r="D924" t="s">
        <v>500</v>
      </c>
      <c r="E924" t="s">
        <v>384</v>
      </c>
      <c r="F924">
        <v>0</v>
      </c>
      <c r="G924">
        <v>0</v>
      </c>
      <c r="H924">
        <f>IF(report_B_CategorieBoekjaar[[#This Row],[BedrijfsCode]]="002",IF(report_B_CategorieBoekjaar[[#This Row],[Boekjaar]]=Projectbegroting!$K$1,report_B_CategorieBoekjaar[[#This Row],[CategorieCode]],0),0)</f>
        <v>0</v>
      </c>
      <c r="I924">
        <f>IF(report_B_CategorieBoekjaar[[#This Row],[BedrijfsCode]]="001",IF(report_B_CategorieBoekjaar[[#This Row],[Boekjaar]]=Projectbegroting!$K$1,report_B_CategorieBoekjaar[[#This Row],[CategorieCode]],0),0)</f>
        <v>0</v>
      </c>
    </row>
    <row r="925" spans="1:9" x14ac:dyDescent="0.3">
      <c r="A925" t="s">
        <v>330</v>
      </c>
      <c r="B925" s="20">
        <v>44927</v>
      </c>
      <c r="C925" t="s">
        <v>501</v>
      </c>
      <c r="D925" t="s">
        <v>502</v>
      </c>
      <c r="E925" t="s">
        <v>381</v>
      </c>
      <c r="F925">
        <v>70</v>
      </c>
      <c r="G925">
        <v>109</v>
      </c>
      <c r="H925">
        <f>IF(report_B_CategorieBoekjaar[[#This Row],[BedrijfsCode]]="002",IF(report_B_CategorieBoekjaar[[#This Row],[Boekjaar]]=Projectbegroting!$K$1,report_B_CategorieBoekjaar[[#This Row],[CategorieCode]],0),0)</f>
        <v>0</v>
      </c>
      <c r="I925">
        <f>IF(report_B_CategorieBoekjaar[[#This Row],[BedrijfsCode]]="001",IF(report_B_CategorieBoekjaar[[#This Row],[Boekjaar]]=Projectbegroting!$K$1,report_B_CategorieBoekjaar[[#This Row],[CategorieCode]],0),0)</f>
        <v>0</v>
      </c>
    </row>
    <row r="926" spans="1:9" x14ac:dyDescent="0.3">
      <c r="A926" t="s">
        <v>330</v>
      </c>
      <c r="B926" s="20">
        <v>44927</v>
      </c>
      <c r="C926" t="s">
        <v>503</v>
      </c>
      <c r="D926" t="s">
        <v>504</v>
      </c>
      <c r="E926" t="s">
        <v>384</v>
      </c>
      <c r="F926">
        <v>0</v>
      </c>
      <c r="G926">
        <v>0</v>
      </c>
      <c r="H926">
        <f>IF(report_B_CategorieBoekjaar[[#This Row],[BedrijfsCode]]="002",IF(report_B_CategorieBoekjaar[[#This Row],[Boekjaar]]=Projectbegroting!$K$1,report_B_CategorieBoekjaar[[#This Row],[CategorieCode]],0),0)</f>
        <v>0</v>
      </c>
      <c r="I926">
        <f>IF(report_B_CategorieBoekjaar[[#This Row],[BedrijfsCode]]="001",IF(report_B_CategorieBoekjaar[[#This Row],[Boekjaar]]=Projectbegroting!$K$1,report_B_CategorieBoekjaar[[#This Row],[CategorieCode]],0),0)</f>
        <v>0</v>
      </c>
    </row>
    <row r="927" spans="1:9" x14ac:dyDescent="0.3">
      <c r="A927" t="s">
        <v>330</v>
      </c>
      <c r="B927" s="20">
        <v>44927</v>
      </c>
      <c r="C927" t="s">
        <v>505</v>
      </c>
      <c r="D927" t="s">
        <v>506</v>
      </c>
      <c r="E927" t="s">
        <v>381</v>
      </c>
      <c r="F927">
        <v>0</v>
      </c>
      <c r="G927">
        <v>0</v>
      </c>
      <c r="H927">
        <f>IF(report_B_CategorieBoekjaar[[#This Row],[BedrijfsCode]]="002",IF(report_B_CategorieBoekjaar[[#This Row],[Boekjaar]]=Projectbegroting!$K$1,report_B_CategorieBoekjaar[[#This Row],[CategorieCode]],0),0)</f>
        <v>0</v>
      </c>
      <c r="I927">
        <f>IF(report_B_CategorieBoekjaar[[#This Row],[BedrijfsCode]]="001",IF(report_B_CategorieBoekjaar[[#This Row],[Boekjaar]]=Projectbegroting!$K$1,report_B_CategorieBoekjaar[[#This Row],[CategorieCode]],0),0)</f>
        <v>0</v>
      </c>
    </row>
    <row r="928" spans="1:9" x14ac:dyDescent="0.3">
      <c r="A928" t="s">
        <v>330</v>
      </c>
      <c r="B928" s="20">
        <v>44927</v>
      </c>
      <c r="C928" t="s">
        <v>507</v>
      </c>
      <c r="D928" t="s">
        <v>508</v>
      </c>
      <c r="E928" t="s">
        <v>384</v>
      </c>
      <c r="F928">
        <v>0</v>
      </c>
      <c r="G928">
        <v>0</v>
      </c>
      <c r="H928">
        <f>IF(report_B_CategorieBoekjaar[[#This Row],[BedrijfsCode]]="002",IF(report_B_CategorieBoekjaar[[#This Row],[Boekjaar]]=Projectbegroting!$K$1,report_B_CategorieBoekjaar[[#This Row],[CategorieCode]],0),0)</f>
        <v>0</v>
      </c>
      <c r="I928">
        <f>IF(report_B_CategorieBoekjaar[[#This Row],[BedrijfsCode]]="001",IF(report_B_CategorieBoekjaar[[#This Row],[Boekjaar]]=Projectbegroting!$K$1,report_B_CategorieBoekjaar[[#This Row],[CategorieCode]],0),0)</f>
        <v>0</v>
      </c>
    </row>
    <row r="929" spans="1:9" x14ac:dyDescent="0.3">
      <c r="A929" t="s">
        <v>330</v>
      </c>
      <c r="B929" s="20">
        <v>44927</v>
      </c>
      <c r="C929" t="s">
        <v>509</v>
      </c>
      <c r="D929" t="s">
        <v>510</v>
      </c>
      <c r="E929" t="s">
        <v>381</v>
      </c>
      <c r="F929">
        <v>154</v>
      </c>
      <c r="G929">
        <v>0</v>
      </c>
      <c r="H929">
        <f>IF(report_B_CategorieBoekjaar[[#This Row],[BedrijfsCode]]="002",IF(report_B_CategorieBoekjaar[[#This Row],[Boekjaar]]=Projectbegroting!$K$1,report_B_CategorieBoekjaar[[#This Row],[CategorieCode]],0),0)</f>
        <v>0</v>
      </c>
      <c r="I929">
        <f>IF(report_B_CategorieBoekjaar[[#This Row],[BedrijfsCode]]="001",IF(report_B_CategorieBoekjaar[[#This Row],[Boekjaar]]=Projectbegroting!$K$1,report_B_CategorieBoekjaar[[#This Row],[CategorieCode]],0),0)</f>
        <v>0</v>
      </c>
    </row>
    <row r="930" spans="1:9" x14ac:dyDescent="0.3">
      <c r="A930" t="s">
        <v>330</v>
      </c>
      <c r="B930" s="20">
        <v>44927</v>
      </c>
      <c r="C930" t="s">
        <v>511</v>
      </c>
      <c r="D930" t="s">
        <v>512</v>
      </c>
      <c r="E930" t="s">
        <v>381</v>
      </c>
      <c r="F930">
        <v>0</v>
      </c>
      <c r="G930">
        <v>0</v>
      </c>
      <c r="H930">
        <f>IF(report_B_CategorieBoekjaar[[#This Row],[BedrijfsCode]]="002",IF(report_B_CategorieBoekjaar[[#This Row],[Boekjaar]]=Projectbegroting!$K$1,report_B_CategorieBoekjaar[[#This Row],[CategorieCode]],0),0)</f>
        <v>0</v>
      </c>
      <c r="I930">
        <f>IF(report_B_CategorieBoekjaar[[#This Row],[BedrijfsCode]]="001",IF(report_B_CategorieBoekjaar[[#This Row],[Boekjaar]]=Projectbegroting!$K$1,report_B_CategorieBoekjaar[[#This Row],[CategorieCode]],0),0)</f>
        <v>0</v>
      </c>
    </row>
    <row r="931" spans="1:9" x14ac:dyDescent="0.3">
      <c r="A931" t="s">
        <v>330</v>
      </c>
      <c r="B931" s="20">
        <v>44927</v>
      </c>
      <c r="C931" t="s">
        <v>92</v>
      </c>
      <c r="D931" t="s">
        <v>513</v>
      </c>
      <c r="E931" t="s">
        <v>381</v>
      </c>
      <c r="F931">
        <v>55</v>
      </c>
      <c r="G931">
        <v>83</v>
      </c>
      <c r="H931">
        <f>IF(report_B_CategorieBoekjaar[[#This Row],[BedrijfsCode]]="002",IF(report_B_CategorieBoekjaar[[#This Row],[Boekjaar]]=Projectbegroting!$K$1,report_B_CategorieBoekjaar[[#This Row],[CategorieCode]],0),0)</f>
        <v>0</v>
      </c>
      <c r="I931">
        <f>IF(report_B_CategorieBoekjaar[[#This Row],[BedrijfsCode]]="001",IF(report_B_CategorieBoekjaar[[#This Row],[Boekjaar]]=Projectbegroting!$K$1,report_B_CategorieBoekjaar[[#This Row],[CategorieCode]],0),0)</f>
        <v>0</v>
      </c>
    </row>
    <row r="932" spans="1:9" x14ac:dyDescent="0.3">
      <c r="A932" t="s">
        <v>330</v>
      </c>
      <c r="B932" s="20">
        <v>44927</v>
      </c>
      <c r="C932" t="s">
        <v>514</v>
      </c>
      <c r="D932" t="s">
        <v>515</v>
      </c>
      <c r="E932" t="s">
        <v>384</v>
      </c>
      <c r="F932">
        <v>0</v>
      </c>
      <c r="G932">
        <v>0</v>
      </c>
      <c r="H932">
        <f>IF(report_B_CategorieBoekjaar[[#This Row],[BedrijfsCode]]="002",IF(report_B_CategorieBoekjaar[[#This Row],[Boekjaar]]=Projectbegroting!$K$1,report_B_CategorieBoekjaar[[#This Row],[CategorieCode]],0),0)</f>
        <v>0</v>
      </c>
      <c r="I932">
        <f>IF(report_B_CategorieBoekjaar[[#This Row],[BedrijfsCode]]="001",IF(report_B_CategorieBoekjaar[[#This Row],[Boekjaar]]=Projectbegroting!$K$1,report_B_CategorieBoekjaar[[#This Row],[CategorieCode]],0),0)</f>
        <v>0</v>
      </c>
    </row>
    <row r="933" spans="1:9" x14ac:dyDescent="0.3">
      <c r="A933" t="s">
        <v>330</v>
      </c>
      <c r="B933" s="20">
        <v>44927</v>
      </c>
      <c r="C933" t="s">
        <v>72</v>
      </c>
      <c r="D933" t="s">
        <v>516</v>
      </c>
      <c r="E933" t="s">
        <v>381</v>
      </c>
      <c r="F933">
        <v>55</v>
      </c>
      <c r="G933">
        <v>70</v>
      </c>
      <c r="H933">
        <f>IF(report_B_CategorieBoekjaar[[#This Row],[BedrijfsCode]]="002",IF(report_B_CategorieBoekjaar[[#This Row],[Boekjaar]]=Projectbegroting!$K$1,report_B_CategorieBoekjaar[[#This Row],[CategorieCode]],0),0)</f>
        <v>0</v>
      </c>
      <c r="I933">
        <f>IF(report_B_CategorieBoekjaar[[#This Row],[BedrijfsCode]]="001",IF(report_B_CategorieBoekjaar[[#This Row],[Boekjaar]]=Projectbegroting!$K$1,report_B_CategorieBoekjaar[[#This Row],[CategorieCode]],0),0)</f>
        <v>0</v>
      </c>
    </row>
    <row r="934" spans="1:9" x14ac:dyDescent="0.3">
      <c r="A934" t="s">
        <v>330</v>
      </c>
      <c r="B934" s="20">
        <v>44927</v>
      </c>
      <c r="C934" t="s">
        <v>517</v>
      </c>
      <c r="D934" t="s">
        <v>518</v>
      </c>
      <c r="E934" t="s">
        <v>384</v>
      </c>
      <c r="F934">
        <v>0</v>
      </c>
      <c r="G934">
        <v>0</v>
      </c>
      <c r="H934">
        <f>IF(report_B_CategorieBoekjaar[[#This Row],[BedrijfsCode]]="002",IF(report_B_CategorieBoekjaar[[#This Row],[Boekjaar]]=Projectbegroting!$K$1,report_B_CategorieBoekjaar[[#This Row],[CategorieCode]],0),0)</f>
        <v>0</v>
      </c>
      <c r="I934">
        <f>IF(report_B_CategorieBoekjaar[[#This Row],[BedrijfsCode]]="001",IF(report_B_CategorieBoekjaar[[#This Row],[Boekjaar]]=Projectbegroting!$K$1,report_B_CategorieBoekjaar[[#This Row],[CategorieCode]],0),0)</f>
        <v>0</v>
      </c>
    </row>
    <row r="935" spans="1:9" x14ac:dyDescent="0.3">
      <c r="A935" t="s">
        <v>330</v>
      </c>
      <c r="B935" s="20">
        <v>44927</v>
      </c>
      <c r="C935" t="s">
        <v>74</v>
      </c>
      <c r="D935" t="s">
        <v>75</v>
      </c>
      <c r="E935" t="s">
        <v>381</v>
      </c>
      <c r="F935">
        <v>39</v>
      </c>
      <c r="G935">
        <v>67</v>
      </c>
      <c r="H935">
        <f>IF(report_B_CategorieBoekjaar[[#This Row],[BedrijfsCode]]="002",IF(report_B_CategorieBoekjaar[[#This Row],[Boekjaar]]=Projectbegroting!$K$1,report_B_CategorieBoekjaar[[#This Row],[CategorieCode]],0),0)</f>
        <v>0</v>
      </c>
      <c r="I935">
        <f>IF(report_B_CategorieBoekjaar[[#This Row],[BedrijfsCode]]="001",IF(report_B_CategorieBoekjaar[[#This Row],[Boekjaar]]=Projectbegroting!$K$1,report_B_CategorieBoekjaar[[#This Row],[CategorieCode]],0),0)</f>
        <v>0</v>
      </c>
    </row>
    <row r="936" spans="1:9" x14ac:dyDescent="0.3">
      <c r="A936" t="s">
        <v>330</v>
      </c>
      <c r="B936" s="20">
        <v>44927</v>
      </c>
      <c r="C936" t="s">
        <v>178</v>
      </c>
      <c r="D936" t="s">
        <v>519</v>
      </c>
      <c r="E936" t="s">
        <v>384</v>
      </c>
      <c r="F936">
        <v>0</v>
      </c>
      <c r="G936">
        <v>0</v>
      </c>
      <c r="H936">
        <f>IF(report_B_CategorieBoekjaar[[#This Row],[BedrijfsCode]]="002",IF(report_B_CategorieBoekjaar[[#This Row],[Boekjaar]]=Projectbegroting!$K$1,report_B_CategorieBoekjaar[[#This Row],[CategorieCode]],0),0)</f>
        <v>0</v>
      </c>
      <c r="I936">
        <f>IF(report_B_CategorieBoekjaar[[#This Row],[BedrijfsCode]]="001",IF(report_B_CategorieBoekjaar[[#This Row],[Boekjaar]]=Projectbegroting!$K$1,report_B_CategorieBoekjaar[[#This Row],[CategorieCode]],0),0)</f>
        <v>0</v>
      </c>
    </row>
    <row r="937" spans="1:9" x14ac:dyDescent="0.3">
      <c r="A937" t="s">
        <v>330</v>
      </c>
      <c r="B937" s="20">
        <v>44927</v>
      </c>
      <c r="C937" t="s">
        <v>520</v>
      </c>
      <c r="D937" t="s">
        <v>521</v>
      </c>
      <c r="E937" t="s">
        <v>384</v>
      </c>
      <c r="F937">
        <v>0</v>
      </c>
      <c r="G937">
        <v>0</v>
      </c>
      <c r="H937">
        <f>IF(report_B_CategorieBoekjaar[[#This Row],[BedrijfsCode]]="002",IF(report_B_CategorieBoekjaar[[#This Row],[Boekjaar]]=Projectbegroting!$K$1,report_B_CategorieBoekjaar[[#This Row],[CategorieCode]],0),0)</f>
        <v>0</v>
      </c>
      <c r="I937">
        <f>IF(report_B_CategorieBoekjaar[[#This Row],[BedrijfsCode]]="001",IF(report_B_CategorieBoekjaar[[#This Row],[Boekjaar]]=Projectbegroting!$K$1,report_B_CategorieBoekjaar[[#This Row],[CategorieCode]],0),0)</f>
        <v>0</v>
      </c>
    </row>
    <row r="938" spans="1:9" x14ac:dyDescent="0.3">
      <c r="A938" t="s">
        <v>330</v>
      </c>
      <c r="B938" s="20">
        <v>44927</v>
      </c>
      <c r="C938" t="s">
        <v>522</v>
      </c>
      <c r="D938" t="s">
        <v>523</v>
      </c>
      <c r="E938" t="s">
        <v>381</v>
      </c>
      <c r="F938">
        <v>75</v>
      </c>
      <c r="G938">
        <v>0</v>
      </c>
      <c r="H938">
        <f>IF(report_B_CategorieBoekjaar[[#This Row],[BedrijfsCode]]="002",IF(report_B_CategorieBoekjaar[[#This Row],[Boekjaar]]=Projectbegroting!$K$1,report_B_CategorieBoekjaar[[#This Row],[CategorieCode]],0),0)</f>
        <v>0</v>
      </c>
      <c r="I938">
        <f>IF(report_B_CategorieBoekjaar[[#This Row],[BedrijfsCode]]="001",IF(report_B_CategorieBoekjaar[[#This Row],[Boekjaar]]=Projectbegroting!$K$1,report_B_CategorieBoekjaar[[#This Row],[CategorieCode]],0),0)</f>
        <v>0</v>
      </c>
    </row>
    <row r="939" spans="1:9" x14ac:dyDescent="0.3">
      <c r="A939" t="s">
        <v>330</v>
      </c>
      <c r="B939" s="20">
        <v>44927</v>
      </c>
      <c r="C939" t="s">
        <v>78</v>
      </c>
      <c r="D939" t="s">
        <v>79</v>
      </c>
      <c r="E939" t="s">
        <v>381</v>
      </c>
      <c r="F939">
        <v>69</v>
      </c>
      <c r="G939">
        <v>108</v>
      </c>
      <c r="H939">
        <f>IF(report_B_CategorieBoekjaar[[#This Row],[BedrijfsCode]]="002",IF(report_B_CategorieBoekjaar[[#This Row],[Boekjaar]]=Projectbegroting!$K$1,report_B_CategorieBoekjaar[[#This Row],[CategorieCode]],0),0)</f>
        <v>0</v>
      </c>
      <c r="I939">
        <f>IF(report_B_CategorieBoekjaar[[#This Row],[BedrijfsCode]]="001",IF(report_B_CategorieBoekjaar[[#This Row],[Boekjaar]]=Projectbegroting!$K$1,report_B_CategorieBoekjaar[[#This Row],[CategorieCode]],0),0)</f>
        <v>0</v>
      </c>
    </row>
    <row r="940" spans="1:9" x14ac:dyDescent="0.3">
      <c r="A940" t="s">
        <v>330</v>
      </c>
      <c r="B940" s="20">
        <v>44927</v>
      </c>
      <c r="C940" t="s">
        <v>176</v>
      </c>
      <c r="D940" t="s">
        <v>524</v>
      </c>
      <c r="E940" t="s">
        <v>384</v>
      </c>
      <c r="F940">
        <v>0</v>
      </c>
      <c r="G940">
        <v>0</v>
      </c>
      <c r="H940">
        <f>IF(report_B_CategorieBoekjaar[[#This Row],[BedrijfsCode]]="002",IF(report_B_CategorieBoekjaar[[#This Row],[Boekjaar]]=Projectbegroting!$K$1,report_B_CategorieBoekjaar[[#This Row],[CategorieCode]],0),0)</f>
        <v>0</v>
      </c>
      <c r="I940">
        <f>IF(report_B_CategorieBoekjaar[[#This Row],[BedrijfsCode]]="001",IF(report_B_CategorieBoekjaar[[#This Row],[Boekjaar]]=Projectbegroting!$K$1,report_B_CategorieBoekjaar[[#This Row],[CategorieCode]],0),0)</f>
        <v>0</v>
      </c>
    </row>
    <row r="941" spans="1:9" hidden="1" x14ac:dyDescent="0.3">
      <c r="A941" t="s">
        <v>525</v>
      </c>
      <c r="B941" s="20">
        <v>44927</v>
      </c>
      <c r="C941" t="s">
        <v>179</v>
      </c>
      <c r="D941" t="s">
        <v>331</v>
      </c>
      <c r="E941" t="s">
        <v>217</v>
      </c>
      <c r="F941">
        <v>0</v>
      </c>
      <c r="G941">
        <v>0</v>
      </c>
      <c r="H941">
        <f>IF(report_B_CategorieBoekjaar[[#This Row],[BedrijfsCode]]="002",IF(report_B_CategorieBoekjaar[[#This Row],[Boekjaar]]=Projectbegroting!$K$1,report_B_CategorieBoekjaar[[#This Row],[CategorieCode]],0),0)</f>
        <v>0</v>
      </c>
      <c r="I941">
        <f>IF(report_B_CategorieBoekjaar[[#This Row],[BedrijfsCode]]="001",IF(report_B_CategorieBoekjaar[[#This Row],[Boekjaar]]=Projectbegroting!$K$1,report_B_CategorieBoekjaar[[#This Row],[CategorieCode]],0),0)</f>
        <v>0</v>
      </c>
    </row>
    <row r="942" spans="1:9" hidden="1" x14ac:dyDescent="0.3">
      <c r="A942" t="s">
        <v>525</v>
      </c>
      <c r="B942" s="20">
        <v>44927</v>
      </c>
      <c r="C942" t="s">
        <v>180</v>
      </c>
      <c r="D942" t="s">
        <v>332</v>
      </c>
      <c r="E942" t="s">
        <v>217</v>
      </c>
      <c r="F942">
        <v>0</v>
      </c>
      <c r="G942">
        <v>0</v>
      </c>
      <c r="H942">
        <f>IF(report_B_CategorieBoekjaar[[#This Row],[BedrijfsCode]]="002",IF(report_B_CategorieBoekjaar[[#This Row],[Boekjaar]]=Projectbegroting!$K$1,report_B_CategorieBoekjaar[[#This Row],[CategorieCode]],0),0)</f>
        <v>0</v>
      </c>
      <c r="I942">
        <f>IF(report_B_CategorieBoekjaar[[#This Row],[BedrijfsCode]]="001",IF(report_B_CategorieBoekjaar[[#This Row],[Boekjaar]]=Projectbegroting!$K$1,report_B_CategorieBoekjaar[[#This Row],[CategorieCode]],0),0)</f>
        <v>0</v>
      </c>
    </row>
    <row r="943" spans="1:9" hidden="1" x14ac:dyDescent="0.3">
      <c r="A943" t="s">
        <v>525</v>
      </c>
      <c r="B943" s="20">
        <v>44927</v>
      </c>
      <c r="C943" t="s">
        <v>181</v>
      </c>
      <c r="D943" t="s">
        <v>333</v>
      </c>
      <c r="E943" t="s">
        <v>217</v>
      </c>
      <c r="F943">
        <v>0</v>
      </c>
      <c r="G943">
        <v>0</v>
      </c>
      <c r="H943">
        <f>IF(report_B_CategorieBoekjaar[[#This Row],[BedrijfsCode]]="002",IF(report_B_CategorieBoekjaar[[#This Row],[Boekjaar]]=Projectbegroting!$K$1,report_B_CategorieBoekjaar[[#This Row],[CategorieCode]],0),0)</f>
        <v>0</v>
      </c>
      <c r="I943">
        <f>IF(report_B_CategorieBoekjaar[[#This Row],[BedrijfsCode]]="001",IF(report_B_CategorieBoekjaar[[#This Row],[Boekjaar]]=Projectbegroting!$K$1,report_B_CategorieBoekjaar[[#This Row],[CategorieCode]],0),0)</f>
        <v>0</v>
      </c>
    </row>
    <row r="944" spans="1:9" hidden="1" x14ac:dyDescent="0.3">
      <c r="A944" t="s">
        <v>525</v>
      </c>
      <c r="B944" s="20">
        <v>44927</v>
      </c>
      <c r="C944" t="s">
        <v>182</v>
      </c>
      <c r="D944" t="s">
        <v>334</v>
      </c>
      <c r="E944" t="s">
        <v>217</v>
      </c>
      <c r="F944">
        <v>0</v>
      </c>
      <c r="G944">
        <v>0</v>
      </c>
      <c r="H944">
        <f>IF(report_B_CategorieBoekjaar[[#This Row],[BedrijfsCode]]="002",IF(report_B_CategorieBoekjaar[[#This Row],[Boekjaar]]=Projectbegroting!$K$1,report_B_CategorieBoekjaar[[#This Row],[CategorieCode]],0),0)</f>
        <v>0</v>
      </c>
      <c r="I944">
        <f>IF(report_B_CategorieBoekjaar[[#This Row],[BedrijfsCode]]="001",IF(report_B_CategorieBoekjaar[[#This Row],[Boekjaar]]=Projectbegroting!$K$1,report_B_CategorieBoekjaar[[#This Row],[CategorieCode]],0),0)</f>
        <v>0</v>
      </c>
    </row>
    <row r="945" spans="1:9" hidden="1" x14ac:dyDescent="0.3">
      <c r="A945" t="s">
        <v>525</v>
      </c>
      <c r="B945" s="20">
        <v>44927</v>
      </c>
      <c r="C945" t="s">
        <v>183</v>
      </c>
      <c r="D945" t="s">
        <v>335</v>
      </c>
      <c r="E945" t="s">
        <v>217</v>
      </c>
      <c r="F945">
        <v>0</v>
      </c>
      <c r="G945">
        <v>0</v>
      </c>
      <c r="H945">
        <f>IF(report_B_CategorieBoekjaar[[#This Row],[BedrijfsCode]]="002",IF(report_B_CategorieBoekjaar[[#This Row],[Boekjaar]]=Projectbegroting!$K$1,report_B_CategorieBoekjaar[[#This Row],[CategorieCode]],0),0)</f>
        <v>0</v>
      </c>
      <c r="I945">
        <f>IF(report_B_CategorieBoekjaar[[#This Row],[BedrijfsCode]]="001",IF(report_B_CategorieBoekjaar[[#This Row],[Boekjaar]]=Projectbegroting!$K$1,report_B_CategorieBoekjaar[[#This Row],[CategorieCode]],0),0)</f>
        <v>0</v>
      </c>
    </row>
    <row r="946" spans="1:9" hidden="1" x14ac:dyDescent="0.3">
      <c r="A946" t="s">
        <v>525</v>
      </c>
      <c r="B946" s="20">
        <v>44927</v>
      </c>
      <c r="C946" t="s">
        <v>184</v>
      </c>
      <c r="D946" t="s">
        <v>336</v>
      </c>
      <c r="E946" t="s">
        <v>217</v>
      </c>
      <c r="F946">
        <v>0</v>
      </c>
      <c r="G946">
        <v>0</v>
      </c>
      <c r="H946">
        <f>IF(report_B_CategorieBoekjaar[[#This Row],[BedrijfsCode]]="002",IF(report_B_CategorieBoekjaar[[#This Row],[Boekjaar]]=Projectbegroting!$K$1,report_B_CategorieBoekjaar[[#This Row],[CategorieCode]],0),0)</f>
        <v>0</v>
      </c>
      <c r="I946">
        <f>IF(report_B_CategorieBoekjaar[[#This Row],[BedrijfsCode]]="001",IF(report_B_CategorieBoekjaar[[#This Row],[Boekjaar]]=Projectbegroting!$K$1,report_B_CategorieBoekjaar[[#This Row],[CategorieCode]],0),0)</f>
        <v>0</v>
      </c>
    </row>
    <row r="947" spans="1:9" hidden="1" x14ac:dyDescent="0.3">
      <c r="A947" t="s">
        <v>525</v>
      </c>
      <c r="B947" s="20">
        <v>44927</v>
      </c>
      <c r="C947" t="s">
        <v>185</v>
      </c>
      <c r="D947" t="s">
        <v>337</v>
      </c>
      <c r="E947" t="s">
        <v>217</v>
      </c>
      <c r="F947">
        <v>0</v>
      </c>
      <c r="G947">
        <v>0</v>
      </c>
      <c r="H947">
        <f>IF(report_B_CategorieBoekjaar[[#This Row],[BedrijfsCode]]="002",IF(report_B_CategorieBoekjaar[[#This Row],[Boekjaar]]=Projectbegroting!$K$1,report_B_CategorieBoekjaar[[#This Row],[CategorieCode]],0),0)</f>
        <v>0</v>
      </c>
      <c r="I947">
        <f>IF(report_B_CategorieBoekjaar[[#This Row],[BedrijfsCode]]="001",IF(report_B_CategorieBoekjaar[[#This Row],[Boekjaar]]=Projectbegroting!$K$1,report_B_CategorieBoekjaar[[#This Row],[CategorieCode]],0),0)</f>
        <v>0</v>
      </c>
    </row>
    <row r="948" spans="1:9" hidden="1" x14ac:dyDescent="0.3">
      <c r="A948" t="s">
        <v>525</v>
      </c>
      <c r="B948" s="20">
        <v>44927</v>
      </c>
      <c r="C948" t="s">
        <v>186</v>
      </c>
      <c r="D948" t="s">
        <v>338</v>
      </c>
      <c r="E948" t="s">
        <v>217</v>
      </c>
      <c r="F948">
        <v>0</v>
      </c>
      <c r="G948">
        <v>0</v>
      </c>
      <c r="H948">
        <f>IF(report_B_CategorieBoekjaar[[#This Row],[BedrijfsCode]]="002",IF(report_B_CategorieBoekjaar[[#This Row],[Boekjaar]]=Projectbegroting!$K$1,report_B_CategorieBoekjaar[[#This Row],[CategorieCode]],0),0)</f>
        <v>0</v>
      </c>
      <c r="I948">
        <f>IF(report_B_CategorieBoekjaar[[#This Row],[BedrijfsCode]]="001",IF(report_B_CategorieBoekjaar[[#This Row],[Boekjaar]]=Projectbegroting!$K$1,report_B_CategorieBoekjaar[[#This Row],[CategorieCode]],0),0)</f>
        <v>0</v>
      </c>
    </row>
    <row r="949" spans="1:9" hidden="1" x14ac:dyDescent="0.3">
      <c r="A949" t="s">
        <v>525</v>
      </c>
      <c r="B949" s="20">
        <v>44927</v>
      </c>
      <c r="C949" t="s">
        <v>187</v>
      </c>
      <c r="D949" t="s">
        <v>339</v>
      </c>
      <c r="E949" t="s">
        <v>217</v>
      </c>
      <c r="F949">
        <v>0</v>
      </c>
      <c r="G949">
        <v>0</v>
      </c>
      <c r="H949">
        <f>IF(report_B_CategorieBoekjaar[[#This Row],[BedrijfsCode]]="002",IF(report_B_CategorieBoekjaar[[#This Row],[Boekjaar]]=Projectbegroting!$K$1,report_B_CategorieBoekjaar[[#This Row],[CategorieCode]],0),0)</f>
        <v>0</v>
      </c>
      <c r="I949">
        <f>IF(report_B_CategorieBoekjaar[[#This Row],[BedrijfsCode]]="001",IF(report_B_CategorieBoekjaar[[#This Row],[Boekjaar]]=Projectbegroting!$K$1,report_B_CategorieBoekjaar[[#This Row],[CategorieCode]],0),0)</f>
        <v>0</v>
      </c>
    </row>
    <row r="950" spans="1:9" hidden="1" x14ac:dyDescent="0.3">
      <c r="A950" t="s">
        <v>525</v>
      </c>
      <c r="B950" s="20">
        <v>44927</v>
      </c>
      <c r="C950" t="s">
        <v>188</v>
      </c>
      <c r="D950" t="s">
        <v>340</v>
      </c>
      <c r="E950" t="s">
        <v>217</v>
      </c>
      <c r="F950">
        <v>0</v>
      </c>
      <c r="G950">
        <v>0</v>
      </c>
      <c r="H950">
        <f>IF(report_B_CategorieBoekjaar[[#This Row],[BedrijfsCode]]="002",IF(report_B_CategorieBoekjaar[[#This Row],[Boekjaar]]=Projectbegroting!$K$1,report_B_CategorieBoekjaar[[#This Row],[CategorieCode]],0),0)</f>
        <v>0</v>
      </c>
      <c r="I950">
        <f>IF(report_B_CategorieBoekjaar[[#This Row],[BedrijfsCode]]="001",IF(report_B_CategorieBoekjaar[[#This Row],[Boekjaar]]=Projectbegroting!$K$1,report_B_CategorieBoekjaar[[#This Row],[CategorieCode]],0),0)</f>
        <v>0</v>
      </c>
    </row>
    <row r="951" spans="1:9" hidden="1" x14ac:dyDescent="0.3">
      <c r="A951" t="s">
        <v>525</v>
      </c>
      <c r="B951" s="20">
        <v>44927</v>
      </c>
      <c r="C951" t="s">
        <v>189</v>
      </c>
      <c r="D951" t="s">
        <v>341</v>
      </c>
      <c r="E951" t="s">
        <v>217</v>
      </c>
      <c r="F951">
        <v>0</v>
      </c>
      <c r="G951">
        <v>0</v>
      </c>
      <c r="H951">
        <f>IF(report_B_CategorieBoekjaar[[#This Row],[BedrijfsCode]]="002",IF(report_B_CategorieBoekjaar[[#This Row],[Boekjaar]]=Projectbegroting!$K$1,report_B_CategorieBoekjaar[[#This Row],[CategorieCode]],0),0)</f>
        <v>0</v>
      </c>
      <c r="I951">
        <f>IF(report_B_CategorieBoekjaar[[#This Row],[BedrijfsCode]]="001",IF(report_B_CategorieBoekjaar[[#This Row],[Boekjaar]]=Projectbegroting!$K$1,report_B_CategorieBoekjaar[[#This Row],[CategorieCode]],0),0)</f>
        <v>0</v>
      </c>
    </row>
    <row r="952" spans="1:9" hidden="1" x14ac:dyDescent="0.3">
      <c r="A952" t="s">
        <v>525</v>
      </c>
      <c r="B952" s="20">
        <v>44927</v>
      </c>
      <c r="C952" t="s">
        <v>190</v>
      </c>
      <c r="D952" t="s">
        <v>342</v>
      </c>
      <c r="E952" t="s">
        <v>217</v>
      </c>
      <c r="F952">
        <v>0</v>
      </c>
      <c r="G952">
        <v>0</v>
      </c>
      <c r="H952">
        <f>IF(report_B_CategorieBoekjaar[[#This Row],[BedrijfsCode]]="002",IF(report_B_CategorieBoekjaar[[#This Row],[Boekjaar]]=Projectbegroting!$K$1,report_B_CategorieBoekjaar[[#This Row],[CategorieCode]],0),0)</f>
        <v>0</v>
      </c>
      <c r="I952">
        <f>IF(report_B_CategorieBoekjaar[[#This Row],[BedrijfsCode]]="001",IF(report_B_CategorieBoekjaar[[#This Row],[Boekjaar]]=Projectbegroting!$K$1,report_B_CategorieBoekjaar[[#This Row],[CategorieCode]],0),0)</f>
        <v>0</v>
      </c>
    </row>
    <row r="953" spans="1:9" hidden="1" x14ac:dyDescent="0.3">
      <c r="A953" t="s">
        <v>525</v>
      </c>
      <c r="B953" s="20">
        <v>44927</v>
      </c>
      <c r="C953" t="s">
        <v>191</v>
      </c>
      <c r="D953" t="s">
        <v>343</v>
      </c>
      <c r="E953" t="s">
        <v>217</v>
      </c>
      <c r="F953">
        <v>0</v>
      </c>
      <c r="G953">
        <v>0</v>
      </c>
      <c r="H953">
        <f>IF(report_B_CategorieBoekjaar[[#This Row],[BedrijfsCode]]="002",IF(report_B_CategorieBoekjaar[[#This Row],[Boekjaar]]=Projectbegroting!$K$1,report_B_CategorieBoekjaar[[#This Row],[CategorieCode]],0),0)</f>
        <v>0</v>
      </c>
      <c r="I953">
        <f>IF(report_B_CategorieBoekjaar[[#This Row],[BedrijfsCode]]="001",IF(report_B_CategorieBoekjaar[[#This Row],[Boekjaar]]=Projectbegroting!$K$1,report_B_CategorieBoekjaar[[#This Row],[CategorieCode]],0),0)</f>
        <v>0</v>
      </c>
    </row>
    <row r="954" spans="1:9" hidden="1" x14ac:dyDescent="0.3">
      <c r="A954" t="s">
        <v>525</v>
      </c>
      <c r="B954" s="20">
        <v>44927</v>
      </c>
      <c r="C954" t="s">
        <v>192</v>
      </c>
      <c r="D954" t="s">
        <v>344</v>
      </c>
      <c r="E954" t="s">
        <v>217</v>
      </c>
      <c r="F954">
        <v>0</v>
      </c>
      <c r="G954">
        <v>0</v>
      </c>
      <c r="H954">
        <f>IF(report_B_CategorieBoekjaar[[#This Row],[BedrijfsCode]]="002",IF(report_B_CategorieBoekjaar[[#This Row],[Boekjaar]]=Projectbegroting!$K$1,report_B_CategorieBoekjaar[[#This Row],[CategorieCode]],0),0)</f>
        <v>0</v>
      </c>
      <c r="I954">
        <f>IF(report_B_CategorieBoekjaar[[#This Row],[BedrijfsCode]]="001",IF(report_B_CategorieBoekjaar[[#This Row],[Boekjaar]]=Projectbegroting!$K$1,report_B_CategorieBoekjaar[[#This Row],[CategorieCode]],0),0)</f>
        <v>0</v>
      </c>
    </row>
    <row r="955" spans="1:9" hidden="1" x14ac:dyDescent="0.3">
      <c r="A955" t="s">
        <v>525</v>
      </c>
      <c r="B955" s="20">
        <v>44927</v>
      </c>
      <c r="C955" t="s">
        <v>193</v>
      </c>
      <c r="D955" t="s">
        <v>345</v>
      </c>
      <c r="E955" t="s">
        <v>217</v>
      </c>
      <c r="F955">
        <v>0</v>
      </c>
      <c r="G955">
        <v>0</v>
      </c>
      <c r="H955">
        <f>IF(report_B_CategorieBoekjaar[[#This Row],[BedrijfsCode]]="002",IF(report_B_CategorieBoekjaar[[#This Row],[Boekjaar]]=Projectbegroting!$K$1,report_B_CategorieBoekjaar[[#This Row],[CategorieCode]],0),0)</f>
        <v>0</v>
      </c>
      <c r="I955">
        <f>IF(report_B_CategorieBoekjaar[[#This Row],[BedrijfsCode]]="001",IF(report_B_CategorieBoekjaar[[#This Row],[Boekjaar]]=Projectbegroting!$K$1,report_B_CategorieBoekjaar[[#This Row],[CategorieCode]],0),0)</f>
        <v>0</v>
      </c>
    </row>
    <row r="956" spans="1:9" hidden="1" x14ac:dyDescent="0.3">
      <c r="A956" t="s">
        <v>525</v>
      </c>
      <c r="B956" s="20">
        <v>44927</v>
      </c>
      <c r="C956" t="s">
        <v>194</v>
      </c>
      <c r="D956" t="s">
        <v>346</v>
      </c>
      <c r="E956" t="s">
        <v>217</v>
      </c>
      <c r="F956">
        <v>0</v>
      </c>
      <c r="G956">
        <v>0</v>
      </c>
      <c r="H956">
        <f>IF(report_B_CategorieBoekjaar[[#This Row],[BedrijfsCode]]="002",IF(report_B_CategorieBoekjaar[[#This Row],[Boekjaar]]=Projectbegroting!$K$1,report_B_CategorieBoekjaar[[#This Row],[CategorieCode]],0),0)</f>
        <v>0</v>
      </c>
      <c r="I956">
        <f>IF(report_B_CategorieBoekjaar[[#This Row],[BedrijfsCode]]="001",IF(report_B_CategorieBoekjaar[[#This Row],[Boekjaar]]=Projectbegroting!$K$1,report_B_CategorieBoekjaar[[#This Row],[CategorieCode]],0),0)</f>
        <v>0</v>
      </c>
    </row>
    <row r="957" spans="1:9" hidden="1" x14ac:dyDescent="0.3">
      <c r="A957" t="s">
        <v>525</v>
      </c>
      <c r="B957" s="20">
        <v>44927</v>
      </c>
      <c r="C957" t="s">
        <v>195</v>
      </c>
      <c r="D957" t="s">
        <v>347</v>
      </c>
      <c r="E957" t="s">
        <v>217</v>
      </c>
      <c r="F957">
        <v>0</v>
      </c>
      <c r="G957">
        <v>0</v>
      </c>
      <c r="H957">
        <f>IF(report_B_CategorieBoekjaar[[#This Row],[BedrijfsCode]]="002",IF(report_B_CategorieBoekjaar[[#This Row],[Boekjaar]]=Projectbegroting!$K$1,report_B_CategorieBoekjaar[[#This Row],[CategorieCode]],0),0)</f>
        <v>0</v>
      </c>
      <c r="I957">
        <f>IF(report_B_CategorieBoekjaar[[#This Row],[BedrijfsCode]]="001",IF(report_B_CategorieBoekjaar[[#This Row],[Boekjaar]]=Projectbegroting!$K$1,report_B_CategorieBoekjaar[[#This Row],[CategorieCode]],0),0)</f>
        <v>0</v>
      </c>
    </row>
    <row r="958" spans="1:9" hidden="1" x14ac:dyDescent="0.3">
      <c r="A958" t="s">
        <v>525</v>
      </c>
      <c r="B958" s="20">
        <v>44927</v>
      </c>
      <c r="C958" t="s">
        <v>196</v>
      </c>
      <c r="D958" t="s">
        <v>348</v>
      </c>
      <c r="E958" t="s">
        <v>217</v>
      </c>
      <c r="F958">
        <v>0</v>
      </c>
      <c r="G958">
        <v>0</v>
      </c>
      <c r="H958">
        <f>IF(report_B_CategorieBoekjaar[[#This Row],[BedrijfsCode]]="002",IF(report_B_CategorieBoekjaar[[#This Row],[Boekjaar]]=Projectbegroting!$K$1,report_B_CategorieBoekjaar[[#This Row],[CategorieCode]],0),0)</f>
        <v>0</v>
      </c>
      <c r="I958">
        <f>IF(report_B_CategorieBoekjaar[[#This Row],[BedrijfsCode]]="001",IF(report_B_CategorieBoekjaar[[#This Row],[Boekjaar]]=Projectbegroting!$K$1,report_B_CategorieBoekjaar[[#This Row],[CategorieCode]],0),0)</f>
        <v>0</v>
      </c>
    </row>
    <row r="959" spans="1:9" hidden="1" x14ac:dyDescent="0.3">
      <c r="A959" t="s">
        <v>525</v>
      </c>
      <c r="B959" s="20">
        <v>44927</v>
      </c>
      <c r="C959" t="s">
        <v>349</v>
      </c>
      <c r="D959" t="s">
        <v>350</v>
      </c>
      <c r="E959" t="s">
        <v>217</v>
      </c>
      <c r="F959">
        <v>0</v>
      </c>
      <c r="G959">
        <v>0</v>
      </c>
      <c r="H959">
        <f>IF(report_B_CategorieBoekjaar[[#This Row],[BedrijfsCode]]="002",IF(report_B_CategorieBoekjaar[[#This Row],[Boekjaar]]=Projectbegroting!$K$1,report_B_CategorieBoekjaar[[#This Row],[CategorieCode]],0),0)</f>
        <v>0</v>
      </c>
      <c r="I959">
        <f>IF(report_B_CategorieBoekjaar[[#This Row],[BedrijfsCode]]="001",IF(report_B_CategorieBoekjaar[[#This Row],[Boekjaar]]=Projectbegroting!$K$1,report_B_CategorieBoekjaar[[#This Row],[CategorieCode]],0),0)</f>
        <v>0</v>
      </c>
    </row>
    <row r="960" spans="1:9" hidden="1" x14ac:dyDescent="0.3">
      <c r="A960" t="s">
        <v>525</v>
      </c>
      <c r="B960" s="20">
        <v>44927</v>
      </c>
      <c r="C960" t="s">
        <v>197</v>
      </c>
      <c r="D960" t="s">
        <v>351</v>
      </c>
      <c r="E960" t="s">
        <v>217</v>
      </c>
      <c r="F960">
        <v>0</v>
      </c>
      <c r="G960">
        <v>0</v>
      </c>
      <c r="H960">
        <f>IF(report_B_CategorieBoekjaar[[#This Row],[BedrijfsCode]]="002",IF(report_B_CategorieBoekjaar[[#This Row],[Boekjaar]]=Projectbegroting!$K$1,report_B_CategorieBoekjaar[[#This Row],[CategorieCode]],0),0)</f>
        <v>0</v>
      </c>
      <c r="I960">
        <f>IF(report_B_CategorieBoekjaar[[#This Row],[BedrijfsCode]]="001",IF(report_B_CategorieBoekjaar[[#This Row],[Boekjaar]]=Projectbegroting!$K$1,report_B_CategorieBoekjaar[[#This Row],[CategorieCode]],0),0)</f>
        <v>0</v>
      </c>
    </row>
    <row r="961" spans="1:9" hidden="1" x14ac:dyDescent="0.3">
      <c r="A961" t="s">
        <v>525</v>
      </c>
      <c r="B961" s="20">
        <v>44927</v>
      </c>
      <c r="C961" t="s">
        <v>198</v>
      </c>
      <c r="D961" t="s">
        <v>352</v>
      </c>
      <c r="E961" t="s">
        <v>217</v>
      </c>
      <c r="F961">
        <v>0</v>
      </c>
      <c r="G961">
        <v>0</v>
      </c>
      <c r="H961">
        <f>IF(report_B_CategorieBoekjaar[[#This Row],[BedrijfsCode]]="002",IF(report_B_CategorieBoekjaar[[#This Row],[Boekjaar]]=Projectbegroting!$K$1,report_B_CategorieBoekjaar[[#This Row],[CategorieCode]],0),0)</f>
        <v>0</v>
      </c>
      <c r="I961">
        <f>IF(report_B_CategorieBoekjaar[[#This Row],[BedrijfsCode]]="001",IF(report_B_CategorieBoekjaar[[#This Row],[Boekjaar]]=Projectbegroting!$K$1,report_B_CategorieBoekjaar[[#This Row],[CategorieCode]],0),0)</f>
        <v>0</v>
      </c>
    </row>
    <row r="962" spans="1:9" hidden="1" x14ac:dyDescent="0.3">
      <c r="A962" t="s">
        <v>525</v>
      </c>
      <c r="B962" s="20">
        <v>44927</v>
      </c>
      <c r="C962" t="s">
        <v>353</v>
      </c>
      <c r="D962" t="s">
        <v>354</v>
      </c>
      <c r="E962" t="s">
        <v>217</v>
      </c>
      <c r="F962">
        <v>0</v>
      </c>
      <c r="G962">
        <v>0</v>
      </c>
      <c r="H962">
        <f>IF(report_B_CategorieBoekjaar[[#This Row],[BedrijfsCode]]="002",IF(report_B_CategorieBoekjaar[[#This Row],[Boekjaar]]=Projectbegroting!$K$1,report_B_CategorieBoekjaar[[#This Row],[CategorieCode]],0),0)</f>
        <v>0</v>
      </c>
      <c r="I962">
        <f>IF(report_B_CategorieBoekjaar[[#This Row],[BedrijfsCode]]="001",IF(report_B_CategorieBoekjaar[[#This Row],[Boekjaar]]=Projectbegroting!$K$1,report_B_CategorieBoekjaar[[#This Row],[CategorieCode]],0),0)</f>
        <v>0</v>
      </c>
    </row>
    <row r="963" spans="1:9" hidden="1" x14ac:dyDescent="0.3">
      <c r="A963" t="s">
        <v>525</v>
      </c>
      <c r="B963" s="20">
        <v>44927</v>
      </c>
      <c r="C963" t="s">
        <v>199</v>
      </c>
      <c r="D963" t="s">
        <v>355</v>
      </c>
      <c r="E963" t="s">
        <v>217</v>
      </c>
      <c r="F963">
        <v>0</v>
      </c>
      <c r="G963">
        <v>0</v>
      </c>
      <c r="H963">
        <f>IF(report_B_CategorieBoekjaar[[#This Row],[BedrijfsCode]]="002",IF(report_B_CategorieBoekjaar[[#This Row],[Boekjaar]]=Projectbegroting!$K$1,report_B_CategorieBoekjaar[[#This Row],[CategorieCode]],0),0)</f>
        <v>0</v>
      </c>
      <c r="I963">
        <f>IF(report_B_CategorieBoekjaar[[#This Row],[BedrijfsCode]]="001",IF(report_B_CategorieBoekjaar[[#This Row],[Boekjaar]]=Projectbegroting!$K$1,report_B_CategorieBoekjaar[[#This Row],[CategorieCode]],0),0)</f>
        <v>0</v>
      </c>
    </row>
    <row r="964" spans="1:9" hidden="1" x14ac:dyDescent="0.3">
      <c r="A964" t="s">
        <v>525</v>
      </c>
      <c r="B964" s="20">
        <v>44927</v>
      </c>
      <c r="C964" t="s">
        <v>200</v>
      </c>
      <c r="D964" t="s">
        <v>356</v>
      </c>
      <c r="E964" t="s">
        <v>217</v>
      </c>
      <c r="F964">
        <v>0</v>
      </c>
      <c r="G964">
        <v>0</v>
      </c>
      <c r="H964">
        <f>IF(report_B_CategorieBoekjaar[[#This Row],[BedrijfsCode]]="002",IF(report_B_CategorieBoekjaar[[#This Row],[Boekjaar]]=Projectbegroting!$K$1,report_B_CategorieBoekjaar[[#This Row],[CategorieCode]],0),0)</f>
        <v>0</v>
      </c>
      <c r="I964">
        <f>IF(report_B_CategorieBoekjaar[[#This Row],[BedrijfsCode]]="001",IF(report_B_CategorieBoekjaar[[#This Row],[Boekjaar]]=Projectbegroting!$K$1,report_B_CategorieBoekjaar[[#This Row],[CategorieCode]],0),0)</f>
        <v>0</v>
      </c>
    </row>
    <row r="965" spans="1:9" hidden="1" x14ac:dyDescent="0.3">
      <c r="A965" t="s">
        <v>525</v>
      </c>
      <c r="B965" s="20">
        <v>44927</v>
      </c>
      <c r="C965" t="s">
        <v>201</v>
      </c>
      <c r="D965" t="s">
        <v>357</v>
      </c>
      <c r="E965" t="s">
        <v>217</v>
      </c>
      <c r="F965">
        <v>0</v>
      </c>
      <c r="G965">
        <v>0</v>
      </c>
      <c r="H965">
        <f>IF(report_B_CategorieBoekjaar[[#This Row],[BedrijfsCode]]="002",IF(report_B_CategorieBoekjaar[[#This Row],[Boekjaar]]=Projectbegroting!$K$1,report_B_CategorieBoekjaar[[#This Row],[CategorieCode]],0),0)</f>
        <v>0</v>
      </c>
      <c r="I965">
        <f>IF(report_B_CategorieBoekjaar[[#This Row],[BedrijfsCode]]="001",IF(report_B_CategorieBoekjaar[[#This Row],[Boekjaar]]=Projectbegroting!$K$1,report_B_CategorieBoekjaar[[#This Row],[CategorieCode]],0),0)</f>
        <v>0</v>
      </c>
    </row>
    <row r="966" spans="1:9" hidden="1" x14ac:dyDescent="0.3">
      <c r="A966" t="s">
        <v>525</v>
      </c>
      <c r="B966" s="20">
        <v>44927</v>
      </c>
      <c r="C966" t="s">
        <v>202</v>
      </c>
      <c r="D966" t="s">
        <v>358</v>
      </c>
      <c r="E966" t="s">
        <v>217</v>
      </c>
      <c r="F966">
        <v>0</v>
      </c>
      <c r="G966">
        <v>0</v>
      </c>
      <c r="H966">
        <f>IF(report_B_CategorieBoekjaar[[#This Row],[BedrijfsCode]]="002",IF(report_B_CategorieBoekjaar[[#This Row],[Boekjaar]]=Projectbegroting!$K$1,report_B_CategorieBoekjaar[[#This Row],[CategorieCode]],0),0)</f>
        <v>0</v>
      </c>
      <c r="I966">
        <f>IF(report_B_CategorieBoekjaar[[#This Row],[BedrijfsCode]]="001",IF(report_B_CategorieBoekjaar[[#This Row],[Boekjaar]]=Projectbegroting!$K$1,report_B_CategorieBoekjaar[[#This Row],[CategorieCode]],0),0)</f>
        <v>0</v>
      </c>
    </row>
    <row r="967" spans="1:9" hidden="1" x14ac:dyDescent="0.3">
      <c r="A967" t="s">
        <v>525</v>
      </c>
      <c r="B967" s="20">
        <v>44927</v>
      </c>
      <c r="C967" t="s">
        <v>203</v>
      </c>
      <c r="D967" t="s">
        <v>359</v>
      </c>
      <c r="E967" t="s">
        <v>217</v>
      </c>
      <c r="F967">
        <v>0</v>
      </c>
      <c r="G967">
        <v>0</v>
      </c>
      <c r="H967">
        <f>IF(report_B_CategorieBoekjaar[[#This Row],[BedrijfsCode]]="002",IF(report_B_CategorieBoekjaar[[#This Row],[Boekjaar]]=Projectbegroting!$K$1,report_B_CategorieBoekjaar[[#This Row],[CategorieCode]],0),0)</f>
        <v>0</v>
      </c>
      <c r="I967">
        <f>IF(report_B_CategorieBoekjaar[[#This Row],[BedrijfsCode]]="001",IF(report_B_CategorieBoekjaar[[#This Row],[Boekjaar]]=Projectbegroting!$K$1,report_B_CategorieBoekjaar[[#This Row],[CategorieCode]],0),0)</f>
        <v>0</v>
      </c>
    </row>
    <row r="968" spans="1:9" hidden="1" x14ac:dyDescent="0.3">
      <c r="A968" t="s">
        <v>525</v>
      </c>
      <c r="B968" s="20">
        <v>44927</v>
      </c>
      <c r="C968" t="s">
        <v>204</v>
      </c>
      <c r="D968" t="s">
        <v>360</v>
      </c>
      <c r="E968" t="s">
        <v>217</v>
      </c>
      <c r="F968">
        <v>0</v>
      </c>
      <c r="G968">
        <v>0</v>
      </c>
      <c r="H968">
        <f>IF(report_B_CategorieBoekjaar[[#This Row],[BedrijfsCode]]="002",IF(report_B_CategorieBoekjaar[[#This Row],[Boekjaar]]=Projectbegroting!$K$1,report_B_CategorieBoekjaar[[#This Row],[CategorieCode]],0),0)</f>
        <v>0</v>
      </c>
      <c r="I968">
        <f>IF(report_B_CategorieBoekjaar[[#This Row],[BedrijfsCode]]="001",IF(report_B_CategorieBoekjaar[[#This Row],[Boekjaar]]=Projectbegroting!$K$1,report_B_CategorieBoekjaar[[#This Row],[CategorieCode]],0),0)</f>
        <v>0</v>
      </c>
    </row>
    <row r="969" spans="1:9" hidden="1" x14ac:dyDescent="0.3">
      <c r="A969" t="s">
        <v>525</v>
      </c>
      <c r="B969" s="20">
        <v>44927</v>
      </c>
      <c r="C969" t="s">
        <v>205</v>
      </c>
      <c r="D969" t="s">
        <v>361</v>
      </c>
      <c r="E969" t="s">
        <v>217</v>
      </c>
      <c r="F969">
        <v>0</v>
      </c>
      <c r="G969">
        <v>0</v>
      </c>
      <c r="H969">
        <f>IF(report_B_CategorieBoekjaar[[#This Row],[BedrijfsCode]]="002",IF(report_B_CategorieBoekjaar[[#This Row],[Boekjaar]]=Projectbegroting!$K$1,report_B_CategorieBoekjaar[[#This Row],[CategorieCode]],0),0)</f>
        <v>0</v>
      </c>
      <c r="I969">
        <f>IF(report_B_CategorieBoekjaar[[#This Row],[BedrijfsCode]]="001",IF(report_B_CategorieBoekjaar[[#This Row],[Boekjaar]]=Projectbegroting!$K$1,report_B_CategorieBoekjaar[[#This Row],[CategorieCode]],0),0)</f>
        <v>0</v>
      </c>
    </row>
    <row r="970" spans="1:9" hidden="1" x14ac:dyDescent="0.3">
      <c r="A970" t="s">
        <v>525</v>
      </c>
      <c r="B970" s="20">
        <v>44927</v>
      </c>
      <c r="C970" t="s">
        <v>206</v>
      </c>
      <c r="D970" t="s">
        <v>362</v>
      </c>
      <c r="E970" t="s">
        <v>217</v>
      </c>
      <c r="F970">
        <v>0</v>
      </c>
      <c r="G970">
        <v>0</v>
      </c>
      <c r="H970">
        <f>IF(report_B_CategorieBoekjaar[[#This Row],[BedrijfsCode]]="002",IF(report_B_CategorieBoekjaar[[#This Row],[Boekjaar]]=Projectbegroting!$K$1,report_B_CategorieBoekjaar[[#This Row],[CategorieCode]],0),0)</f>
        <v>0</v>
      </c>
      <c r="I970">
        <f>IF(report_B_CategorieBoekjaar[[#This Row],[BedrijfsCode]]="001",IF(report_B_CategorieBoekjaar[[#This Row],[Boekjaar]]=Projectbegroting!$K$1,report_B_CategorieBoekjaar[[#This Row],[CategorieCode]],0),0)</f>
        <v>0</v>
      </c>
    </row>
    <row r="971" spans="1:9" hidden="1" x14ac:dyDescent="0.3">
      <c r="A971" t="s">
        <v>525</v>
      </c>
      <c r="B971" s="20">
        <v>44927</v>
      </c>
      <c r="C971" t="s">
        <v>363</v>
      </c>
      <c r="D971" t="s">
        <v>364</v>
      </c>
      <c r="E971" t="s">
        <v>217</v>
      </c>
      <c r="F971">
        <v>0</v>
      </c>
      <c r="G971">
        <v>0</v>
      </c>
      <c r="H971">
        <f>IF(report_B_CategorieBoekjaar[[#This Row],[BedrijfsCode]]="002",IF(report_B_CategorieBoekjaar[[#This Row],[Boekjaar]]=Projectbegroting!$K$1,report_B_CategorieBoekjaar[[#This Row],[CategorieCode]],0),0)</f>
        <v>0</v>
      </c>
      <c r="I971">
        <f>IF(report_B_CategorieBoekjaar[[#This Row],[BedrijfsCode]]="001",IF(report_B_CategorieBoekjaar[[#This Row],[Boekjaar]]=Projectbegroting!$K$1,report_B_CategorieBoekjaar[[#This Row],[CategorieCode]],0),0)</f>
        <v>0</v>
      </c>
    </row>
    <row r="972" spans="1:9" hidden="1" x14ac:dyDescent="0.3">
      <c r="A972" t="s">
        <v>525</v>
      </c>
      <c r="B972" s="20">
        <v>44927</v>
      </c>
      <c r="C972" t="s">
        <v>207</v>
      </c>
      <c r="D972" t="s">
        <v>365</v>
      </c>
      <c r="E972" t="s">
        <v>217</v>
      </c>
      <c r="F972">
        <v>0</v>
      </c>
      <c r="G972">
        <v>0</v>
      </c>
      <c r="H972">
        <f>IF(report_B_CategorieBoekjaar[[#This Row],[BedrijfsCode]]="002",IF(report_B_CategorieBoekjaar[[#This Row],[Boekjaar]]=Projectbegroting!$K$1,report_B_CategorieBoekjaar[[#This Row],[CategorieCode]],0),0)</f>
        <v>0</v>
      </c>
      <c r="I972">
        <f>IF(report_B_CategorieBoekjaar[[#This Row],[BedrijfsCode]]="001",IF(report_B_CategorieBoekjaar[[#This Row],[Boekjaar]]=Projectbegroting!$K$1,report_B_CategorieBoekjaar[[#This Row],[CategorieCode]],0),0)</f>
        <v>0</v>
      </c>
    </row>
    <row r="973" spans="1:9" hidden="1" x14ac:dyDescent="0.3">
      <c r="A973" t="s">
        <v>525</v>
      </c>
      <c r="B973" s="20">
        <v>44927</v>
      </c>
      <c r="C973" t="s">
        <v>208</v>
      </c>
      <c r="D973" t="s">
        <v>366</v>
      </c>
      <c r="E973" t="s">
        <v>217</v>
      </c>
      <c r="F973">
        <v>0</v>
      </c>
      <c r="G973">
        <v>0</v>
      </c>
      <c r="H973">
        <f>IF(report_B_CategorieBoekjaar[[#This Row],[BedrijfsCode]]="002",IF(report_B_CategorieBoekjaar[[#This Row],[Boekjaar]]=Projectbegroting!$K$1,report_B_CategorieBoekjaar[[#This Row],[CategorieCode]],0),0)</f>
        <v>0</v>
      </c>
      <c r="I973">
        <f>IF(report_B_CategorieBoekjaar[[#This Row],[BedrijfsCode]]="001",IF(report_B_CategorieBoekjaar[[#This Row],[Boekjaar]]=Projectbegroting!$K$1,report_B_CategorieBoekjaar[[#This Row],[CategorieCode]],0),0)</f>
        <v>0</v>
      </c>
    </row>
    <row r="974" spans="1:9" hidden="1" x14ac:dyDescent="0.3">
      <c r="A974" t="s">
        <v>525</v>
      </c>
      <c r="B974" s="20">
        <v>44927</v>
      </c>
      <c r="C974" t="s">
        <v>209</v>
      </c>
      <c r="D974" t="s">
        <v>367</v>
      </c>
      <c r="E974" t="s">
        <v>217</v>
      </c>
      <c r="F974">
        <v>0</v>
      </c>
      <c r="G974">
        <v>0</v>
      </c>
      <c r="H974">
        <f>IF(report_B_CategorieBoekjaar[[#This Row],[BedrijfsCode]]="002",IF(report_B_CategorieBoekjaar[[#This Row],[Boekjaar]]=Projectbegroting!$K$1,report_B_CategorieBoekjaar[[#This Row],[CategorieCode]],0),0)</f>
        <v>0</v>
      </c>
      <c r="I974">
        <f>IF(report_B_CategorieBoekjaar[[#This Row],[BedrijfsCode]]="001",IF(report_B_CategorieBoekjaar[[#This Row],[Boekjaar]]=Projectbegroting!$K$1,report_B_CategorieBoekjaar[[#This Row],[CategorieCode]],0),0)</f>
        <v>0</v>
      </c>
    </row>
    <row r="975" spans="1:9" hidden="1" x14ac:dyDescent="0.3">
      <c r="A975" t="s">
        <v>525</v>
      </c>
      <c r="B975" s="20">
        <v>44927</v>
      </c>
      <c r="C975" t="s">
        <v>210</v>
      </c>
      <c r="D975" t="s">
        <v>368</v>
      </c>
      <c r="E975" t="s">
        <v>217</v>
      </c>
      <c r="F975">
        <v>0</v>
      </c>
      <c r="G975">
        <v>0</v>
      </c>
      <c r="H975">
        <f>IF(report_B_CategorieBoekjaar[[#This Row],[BedrijfsCode]]="002",IF(report_B_CategorieBoekjaar[[#This Row],[Boekjaar]]=Projectbegroting!$K$1,report_B_CategorieBoekjaar[[#This Row],[CategorieCode]],0),0)</f>
        <v>0</v>
      </c>
      <c r="I975">
        <f>IF(report_B_CategorieBoekjaar[[#This Row],[BedrijfsCode]]="001",IF(report_B_CategorieBoekjaar[[#This Row],[Boekjaar]]=Projectbegroting!$K$1,report_B_CategorieBoekjaar[[#This Row],[CategorieCode]],0),0)</f>
        <v>0</v>
      </c>
    </row>
    <row r="976" spans="1:9" hidden="1" x14ac:dyDescent="0.3">
      <c r="A976" t="s">
        <v>525</v>
      </c>
      <c r="B976" s="20">
        <v>44927</v>
      </c>
      <c r="C976" t="s">
        <v>369</v>
      </c>
      <c r="D976" t="s">
        <v>370</v>
      </c>
      <c r="E976" t="s">
        <v>217</v>
      </c>
      <c r="F976">
        <v>0</v>
      </c>
      <c r="G976">
        <v>0</v>
      </c>
      <c r="H976">
        <f>IF(report_B_CategorieBoekjaar[[#This Row],[BedrijfsCode]]="002",IF(report_B_CategorieBoekjaar[[#This Row],[Boekjaar]]=Projectbegroting!$K$1,report_B_CategorieBoekjaar[[#This Row],[CategorieCode]],0),0)</f>
        <v>0</v>
      </c>
      <c r="I976">
        <f>IF(report_B_CategorieBoekjaar[[#This Row],[BedrijfsCode]]="001",IF(report_B_CategorieBoekjaar[[#This Row],[Boekjaar]]=Projectbegroting!$K$1,report_B_CategorieBoekjaar[[#This Row],[CategorieCode]],0),0)</f>
        <v>0</v>
      </c>
    </row>
    <row r="977" spans="1:9" hidden="1" x14ac:dyDescent="0.3">
      <c r="A977" t="s">
        <v>525</v>
      </c>
      <c r="B977" s="20">
        <v>44927</v>
      </c>
      <c r="C977" t="s">
        <v>371</v>
      </c>
      <c r="D977" t="s">
        <v>372</v>
      </c>
      <c r="E977" t="s">
        <v>217</v>
      </c>
      <c r="F977">
        <v>0</v>
      </c>
      <c r="G977">
        <v>0</v>
      </c>
      <c r="H977">
        <f>IF(report_B_CategorieBoekjaar[[#This Row],[BedrijfsCode]]="002",IF(report_B_CategorieBoekjaar[[#This Row],[Boekjaar]]=Projectbegroting!$K$1,report_B_CategorieBoekjaar[[#This Row],[CategorieCode]],0),0)</f>
        <v>0</v>
      </c>
      <c r="I977">
        <f>IF(report_B_CategorieBoekjaar[[#This Row],[BedrijfsCode]]="001",IF(report_B_CategorieBoekjaar[[#This Row],[Boekjaar]]=Projectbegroting!$K$1,report_B_CategorieBoekjaar[[#This Row],[CategorieCode]],0),0)</f>
        <v>0</v>
      </c>
    </row>
    <row r="978" spans="1:9" hidden="1" x14ac:dyDescent="0.3">
      <c r="A978" t="s">
        <v>525</v>
      </c>
      <c r="B978" s="20">
        <v>44927</v>
      </c>
      <c r="C978" t="s">
        <v>373</v>
      </c>
      <c r="D978" t="s">
        <v>374</v>
      </c>
      <c r="E978" t="s">
        <v>217</v>
      </c>
      <c r="F978">
        <v>0</v>
      </c>
      <c r="G978">
        <v>0</v>
      </c>
      <c r="H978">
        <f>IF(report_B_CategorieBoekjaar[[#This Row],[BedrijfsCode]]="002",IF(report_B_CategorieBoekjaar[[#This Row],[Boekjaar]]=Projectbegroting!$K$1,report_B_CategorieBoekjaar[[#This Row],[CategorieCode]],0),0)</f>
        <v>0</v>
      </c>
      <c r="I978">
        <f>IF(report_B_CategorieBoekjaar[[#This Row],[BedrijfsCode]]="001",IF(report_B_CategorieBoekjaar[[#This Row],[Boekjaar]]=Projectbegroting!$K$1,report_B_CategorieBoekjaar[[#This Row],[CategorieCode]],0),0)</f>
        <v>0</v>
      </c>
    </row>
    <row r="979" spans="1:9" hidden="1" x14ac:dyDescent="0.3">
      <c r="A979" t="s">
        <v>525</v>
      </c>
      <c r="B979" s="20">
        <v>44927</v>
      </c>
      <c r="C979" t="s">
        <v>375</v>
      </c>
      <c r="D979" t="s">
        <v>376</v>
      </c>
      <c r="E979" t="s">
        <v>217</v>
      </c>
      <c r="F979">
        <v>0</v>
      </c>
      <c r="G979">
        <v>0</v>
      </c>
      <c r="H979">
        <f>IF(report_B_CategorieBoekjaar[[#This Row],[BedrijfsCode]]="002",IF(report_B_CategorieBoekjaar[[#This Row],[Boekjaar]]=Projectbegroting!$K$1,report_B_CategorieBoekjaar[[#This Row],[CategorieCode]],0),0)</f>
        <v>0</v>
      </c>
      <c r="I979">
        <f>IF(report_B_CategorieBoekjaar[[#This Row],[BedrijfsCode]]="001",IF(report_B_CategorieBoekjaar[[#This Row],[Boekjaar]]=Projectbegroting!$K$1,report_B_CategorieBoekjaar[[#This Row],[CategorieCode]],0),0)</f>
        <v>0</v>
      </c>
    </row>
    <row r="980" spans="1:9" hidden="1" x14ac:dyDescent="0.3">
      <c r="A980" t="s">
        <v>525</v>
      </c>
      <c r="B980" s="20">
        <v>44927</v>
      </c>
      <c r="C980" t="s">
        <v>377</v>
      </c>
      <c r="D980" t="s">
        <v>378</v>
      </c>
      <c r="E980" t="s">
        <v>217</v>
      </c>
      <c r="F980">
        <v>0</v>
      </c>
      <c r="G980">
        <v>0</v>
      </c>
      <c r="H980">
        <f>IF(report_B_CategorieBoekjaar[[#This Row],[BedrijfsCode]]="002",IF(report_B_CategorieBoekjaar[[#This Row],[Boekjaar]]=Projectbegroting!$K$1,report_B_CategorieBoekjaar[[#This Row],[CategorieCode]],0),0)</f>
        <v>0</v>
      </c>
      <c r="I980">
        <f>IF(report_B_CategorieBoekjaar[[#This Row],[BedrijfsCode]]="001",IF(report_B_CategorieBoekjaar[[#This Row],[Boekjaar]]=Projectbegroting!$K$1,report_B_CategorieBoekjaar[[#This Row],[CategorieCode]],0),0)</f>
        <v>0</v>
      </c>
    </row>
    <row r="981" spans="1:9" hidden="1" x14ac:dyDescent="0.3">
      <c r="A981" t="s">
        <v>525</v>
      </c>
      <c r="B981" s="20">
        <v>44927</v>
      </c>
      <c r="C981" t="s">
        <v>379</v>
      </c>
      <c r="D981" t="s">
        <v>380</v>
      </c>
      <c r="E981" t="s">
        <v>381</v>
      </c>
      <c r="F981">
        <v>47</v>
      </c>
      <c r="G981">
        <v>102</v>
      </c>
      <c r="H981">
        <f>IF(report_B_CategorieBoekjaar[[#This Row],[BedrijfsCode]]="002",IF(report_B_CategorieBoekjaar[[#This Row],[Boekjaar]]=Projectbegroting!$K$1,report_B_CategorieBoekjaar[[#This Row],[CategorieCode]],0),0)</f>
        <v>0</v>
      </c>
      <c r="I981">
        <f>IF(report_B_CategorieBoekjaar[[#This Row],[BedrijfsCode]]="001",IF(report_B_CategorieBoekjaar[[#This Row],[Boekjaar]]=Projectbegroting!$K$1,report_B_CategorieBoekjaar[[#This Row],[CategorieCode]],0),0)</f>
        <v>0</v>
      </c>
    </row>
    <row r="982" spans="1:9" hidden="1" x14ac:dyDescent="0.3">
      <c r="A982" t="s">
        <v>525</v>
      </c>
      <c r="B982" s="20">
        <v>44927</v>
      </c>
      <c r="C982" t="s">
        <v>382</v>
      </c>
      <c r="D982" t="s">
        <v>383</v>
      </c>
      <c r="E982" t="s">
        <v>384</v>
      </c>
      <c r="F982">
        <v>0</v>
      </c>
      <c r="G982">
        <v>0</v>
      </c>
      <c r="H982">
        <f>IF(report_B_CategorieBoekjaar[[#This Row],[BedrijfsCode]]="002",IF(report_B_CategorieBoekjaar[[#This Row],[Boekjaar]]=Projectbegroting!$K$1,report_B_CategorieBoekjaar[[#This Row],[CategorieCode]],0),0)</f>
        <v>0</v>
      </c>
      <c r="I982">
        <f>IF(report_B_CategorieBoekjaar[[#This Row],[BedrijfsCode]]="001",IF(report_B_CategorieBoekjaar[[#This Row],[Boekjaar]]=Projectbegroting!$K$1,report_B_CategorieBoekjaar[[#This Row],[CategorieCode]],0),0)</f>
        <v>0</v>
      </c>
    </row>
    <row r="983" spans="1:9" hidden="1" x14ac:dyDescent="0.3">
      <c r="A983" t="s">
        <v>525</v>
      </c>
      <c r="B983" s="20">
        <v>44927</v>
      </c>
      <c r="C983" t="s">
        <v>385</v>
      </c>
      <c r="D983" t="s">
        <v>386</v>
      </c>
      <c r="E983" t="s">
        <v>381</v>
      </c>
      <c r="F983">
        <v>72</v>
      </c>
      <c r="G983">
        <v>127</v>
      </c>
      <c r="H983">
        <f>IF(report_B_CategorieBoekjaar[[#This Row],[BedrijfsCode]]="002",IF(report_B_CategorieBoekjaar[[#This Row],[Boekjaar]]=Projectbegroting!$K$1,report_B_CategorieBoekjaar[[#This Row],[CategorieCode]],0),0)</f>
        <v>0</v>
      </c>
      <c r="I983">
        <f>IF(report_B_CategorieBoekjaar[[#This Row],[BedrijfsCode]]="001",IF(report_B_CategorieBoekjaar[[#This Row],[Boekjaar]]=Projectbegroting!$K$1,report_B_CategorieBoekjaar[[#This Row],[CategorieCode]],0),0)</f>
        <v>0</v>
      </c>
    </row>
    <row r="984" spans="1:9" hidden="1" x14ac:dyDescent="0.3">
      <c r="A984" t="s">
        <v>525</v>
      </c>
      <c r="B984" s="20">
        <v>44927</v>
      </c>
      <c r="C984" t="s">
        <v>387</v>
      </c>
      <c r="D984" t="s">
        <v>388</v>
      </c>
      <c r="E984" t="s">
        <v>384</v>
      </c>
      <c r="F984">
        <v>0</v>
      </c>
      <c r="G984">
        <v>0</v>
      </c>
      <c r="H984">
        <f>IF(report_B_CategorieBoekjaar[[#This Row],[BedrijfsCode]]="002",IF(report_B_CategorieBoekjaar[[#This Row],[Boekjaar]]=Projectbegroting!$K$1,report_B_CategorieBoekjaar[[#This Row],[CategorieCode]],0),0)</f>
        <v>0</v>
      </c>
      <c r="I984">
        <f>IF(report_B_CategorieBoekjaar[[#This Row],[BedrijfsCode]]="001",IF(report_B_CategorieBoekjaar[[#This Row],[Boekjaar]]=Projectbegroting!$K$1,report_B_CategorieBoekjaar[[#This Row],[CategorieCode]],0),0)</f>
        <v>0</v>
      </c>
    </row>
    <row r="985" spans="1:9" hidden="1" x14ac:dyDescent="0.3">
      <c r="A985" t="s">
        <v>525</v>
      </c>
      <c r="B985" s="20">
        <v>44927</v>
      </c>
      <c r="C985" t="s">
        <v>52</v>
      </c>
      <c r="D985" t="s">
        <v>53</v>
      </c>
      <c r="E985" t="s">
        <v>381</v>
      </c>
      <c r="F985">
        <v>70</v>
      </c>
      <c r="G985">
        <v>115</v>
      </c>
      <c r="H985">
        <f>IF(report_B_CategorieBoekjaar[[#This Row],[BedrijfsCode]]="002",IF(report_B_CategorieBoekjaar[[#This Row],[Boekjaar]]=Projectbegroting!$K$1,report_B_CategorieBoekjaar[[#This Row],[CategorieCode]],0),0)</f>
        <v>0</v>
      </c>
      <c r="I985">
        <f>IF(report_B_CategorieBoekjaar[[#This Row],[BedrijfsCode]]="001",IF(report_B_CategorieBoekjaar[[#This Row],[Boekjaar]]=Projectbegroting!$K$1,report_B_CategorieBoekjaar[[#This Row],[CategorieCode]],0),0)</f>
        <v>0</v>
      </c>
    </row>
    <row r="986" spans="1:9" hidden="1" x14ac:dyDescent="0.3">
      <c r="A986" t="s">
        <v>525</v>
      </c>
      <c r="B986" s="20">
        <v>44927</v>
      </c>
      <c r="C986" t="s">
        <v>389</v>
      </c>
      <c r="D986" t="s">
        <v>390</v>
      </c>
      <c r="E986" t="s">
        <v>384</v>
      </c>
      <c r="F986">
        <v>0</v>
      </c>
      <c r="G986">
        <v>0</v>
      </c>
      <c r="H986">
        <f>IF(report_B_CategorieBoekjaar[[#This Row],[BedrijfsCode]]="002",IF(report_B_CategorieBoekjaar[[#This Row],[Boekjaar]]=Projectbegroting!$K$1,report_B_CategorieBoekjaar[[#This Row],[CategorieCode]],0),0)</f>
        <v>0</v>
      </c>
      <c r="I986">
        <f>IF(report_B_CategorieBoekjaar[[#This Row],[BedrijfsCode]]="001",IF(report_B_CategorieBoekjaar[[#This Row],[Boekjaar]]=Projectbegroting!$K$1,report_B_CategorieBoekjaar[[#This Row],[CategorieCode]],0),0)</f>
        <v>0</v>
      </c>
    </row>
    <row r="987" spans="1:9" hidden="1" x14ac:dyDescent="0.3">
      <c r="A987" t="s">
        <v>525</v>
      </c>
      <c r="B987" s="20">
        <v>44927</v>
      </c>
      <c r="C987" t="s">
        <v>391</v>
      </c>
      <c r="D987" t="s">
        <v>392</v>
      </c>
      <c r="E987" t="s">
        <v>381</v>
      </c>
      <c r="F987">
        <v>55</v>
      </c>
      <c r="G987">
        <v>0</v>
      </c>
      <c r="H987">
        <f>IF(report_B_CategorieBoekjaar[[#This Row],[BedrijfsCode]]="002",IF(report_B_CategorieBoekjaar[[#This Row],[Boekjaar]]=Projectbegroting!$K$1,report_B_CategorieBoekjaar[[#This Row],[CategorieCode]],0),0)</f>
        <v>0</v>
      </c>
      <c r="I987">
        <f>IF(report_B_CategorieBoekjaar[[#This Row],[BedrijfsCode]]="001",IF(report_B_CategorieBoekjaar[[#This Row],[Boekjaar]]=Projectbegroting!$K$1,report_B_CategorieBoekjaar[[#This Row],[CategorieCode]],0),0)</f>
        <v>0</v>
      </c>
    </row>
    <row r="988" spans="1:9" hidden="1" x14ac:dyDescent="0.3">
      <c r="A988" t="s">
        <v>525</v>
      </c>
      <c r="B988" s="20">
        <v>44927</v>
      </c>
      <c r="C988" t="s">
        <v>393</v>
      </c>
      <c r="D988" t="s">
        <v>394</v>
      </c>
      <c r="E988" t="s">
        <v>384</v>
      </c>
      <c r="F988">
        <v>0</v>
      </c>
      <c r="G988">
        <v>0</v>
      </c>
      <c r="H988">
        <f>IF(report_B_CategorieBoekjaar[[#This Row],[BedrijfsCode]]="002",IF(report_B_CategorieBoekjaar[[#This Row],[Boekjaar]]=Projectbegroting!$K$1,report_B_CategorieBoekjaar[[#This Row],[CategorieCode]],0),0)</f>
        <v>0</v>
      </c>
      <c r="I988">
        <f>IF(report_B_CategorieBoekjaar[[#This Row],[BedrijfsCode]]="001",IF(report_B_CategorieBoekjaar[[#This Row],[Boekjaar]]=Projectbegroting!$K$1,report_B_CategorieBoekjaar[[#This Row],[CategorieCode]],0),0)</f>
        <v>0</v>
      </c>
    </row>
    <row r="989" spans="1:9" hidden="1" x14ac:dyDescent="0.3">
      <c r="A989" t="s">
        <v>525</v>
      </c>
      <c r="B989" s="20">
        <v>44927</v>
      </c>
      <c r="C989" t="s">
        <v>395</v>
      </c>
      <c r="D989" t="s">
        <v>396</v>
      </c>
      <c r="E989" t="s">
        <v>381</v>
      </c>
      <c r="F989">
        <v>54</v>
      </c>
      <c r="G989">
        <v>0</v>
      </c>
      <c r="H989">
        <f>IF(report_B_CategorieBoekjaar[[#This Row],[BedrijfsCode]]="002",IF(report_B_CategorieBoekjaar[[#This Row],[Boekjaar]]=Projectbegroting!$K$1,report_B_CategorieBoekjaar[[#This Row],[CategorieCode]],0),0)</f>
        <v>0</v>
      </c>
      <c r="I989">
        <f>IF(report_B_CategorieBoekjaar[[#This Row],[BedrijfsCode]]="001",IF(report_B_CategorieBoekjaar[[#This Row],[Boekjaar]]=Projectbegroting!$K$1,report_B_CategorieBoekjaar[[#This Row],[CategorieCode]],0),0)</f>
        <v>0</v>
      </c>
    </row>
    <row r="990" spans="1:9" hidden="1" x14ac:dyDescent="0.3">
      <c r="A990" t="s">
        <v>525</v>
      </c>
      <c r="B990" s="20">
        <v>44927</v>
      </c>
      <c r="C990" t="s">
        <v>397</v>
      </c>
      <c r="D990" t="s">
        <v>398</v>
      </c>
      <c r="E990" t="s">
        <v>384</v>
      </c>
      <c r="F990">
        <v>0</v>
      </c>
      <c r="G990">
        <v>0</v>
      </c>
      <c r="H990">
        <f>IF(report_B_CategorieBoekjaar[[#This Row],[BedrijfsCode]]="002",IF(report_B_CategorieBoekjaar[[#This Row],[Boekjaar]]=Projectbegroting!$K$1,report_B_CategorieBoekjaar[[#This Row],[CategorieCode]],0),0)</f>
        <v>0</v>
      </c>
      <c r="I990">
        <f>IF(report_B_CategorieBoekjaar[[#This Row],[BedrijfsCode]]="001",IF(report_B_CategorieBoekjaar[[#This Row],[Boekjaar]]=Projectbegroting!$K$1,report_B_CategorieBoekjaar[[#This Row],[CategorieCode]],0),0)</f>
        <v>0</v>
      </c>
    </row>
    <row r="991" spans="1:9" hidden="1" x14ac:dyDescent="0.3">
      <c r="A991" t="s">
        <v>525</v>
      </c>
      <c r="B991" s="20">
        <v>44927</v>
      </c>
      <c r="C991" t="s">
        <v>54</v>
      </c>
      <c r="D991" t="s">
        <v>399</v>
      </c>
      <c r="E991" t="s">
        <v>381</v>
      </c>
      <c r="F991">
        <v>55</v>
      </c>
      <c r="G991">
        <v>110</v>
      </c>
      <c r="H991">
        <f>IF(report_B_CategorieBoekjaar[[#This Row],[BedrijfsCode]]="002",IF(report_B_CategorieBoekjaar[[#This Row],[Boekjaar]]=Projectbegroting!$K$1,report_B_CategorieBoekjaar[[#This Row],[CategorieCode]],0),0)</f>
        <v>0</v>
      </c>
      <c r="I991">
        <f>IF(report_B_CategorieBoekjaar[[#This Row],[BedrijfsCode]]="001",IF(report_B_CategorieBoekjaar[[#This Row],[Boekjaar]]=Projectbegroting!$K$1,report_B_CategorieBoekjaar[[#This Row],[CategorieCode]],0),0)</f>
        <v>0</v>
      </c>
    </row>
    <row r="992" spans="1:9" hidden="1" x14ac:dyDescent="0.3">
      <c r="A992" t="s">
        <v>525</v>
      </c>
      <c r="B992" s="20">
        <v>44927</v>
      </c>
      <c r="C992" t="s">
        <v>400</v>
      </c>
      <c r="D992" t="s">
        <v>401</v>
      </c>
      <c r="E992" t="s">
        <v>384</v>
      </c>
      <c r="F992">
        <v>0</v>
      </c>
      <c r="G992">
        <v>0</v>
      </c>
      <c r="H992">
        <f>IF(report_B_CategorieBoekjaar[[#This Row],[BedrijfsCode]]="002",IF(report_B_CategorieBoekjaar[[#This Row],[Boekjaar]]=Projectbegroting!$K$1,report_B_CategorieBoekjaar[[#This Row],[CategorieCode]],0),0)</f>
        <v>0</v>
      </c>
      <c r="I992">
        <f>IF(report_B_CategorieBoekjaar[[#This Row],[BedrijfsCode]]="001",IF(report_B_CategorieBoekjaar[[#This Row],[Boekjaar]]=Projectbegroting!$K$1,report_B_CategorieBoekjaar[[#This Row],[CategorieCode]],0),0)</f>
        <v>0</v>
      </c>
    </row>
    <row r="993" spans="1:9" hidden="1" x14ac:dyDescent="0.3">
      <c r="A993" t="s">
        <v>525</v>
      </c>
      <c r="B993" s="20">
        <v>44927</v>
      </c>
      <c r="C993" t="s">
        <v>56</v>
      </c>
      <c r="D993" t="s">
        <v>402</v>
      </c>
      <c r="E993" t="s">
        <v>381</v>
      </c>
      <c r="F993">
        <v>63</v>
      </c>
      <c r="G993">
        <v>0</v>
      </c>
      <c r="H993">
        <f>IF(report_B_CategorieBoekjaar[[#This Row],[BedrijfsCode]]="002",IF(report_B_CategorieBoekjaar[[#This Row],[Boekjaar]]=Projectbegroting!$K$1,report_B_CategorieBoekjaar[[#This Row],[CategorieCode]],0),0)</f>
        <v>0</v>
      </c>
      <c r="I993">
        <f>IF(report_B_CategorieBoekjaar[[#This Row],[BedrijfsCode]]="001",IF(report_B_CategorieBoekjaar[[#This Row],[Boekjaar]]=Projectbegroting!$K$1,report_B_CategorieBoekjaar[[#This Row],[CategorieCode]],0),0)</f>
        <v>0</v>
      </c>
    </row>
    <row r="994" spans="1:9" hidden="1" x14ac:dyDescent="0.3">
      <c r="A994" t="s">
        <v>525</v>
      </c>
      <c r="B994" s="20">
        <v>44927</v>
      </c>
      <c r="C994" t="s">
        <v>403</v>
      </c>
      <c r="D994" t="s">
        <v>404</v>
      </c>
      <c r="E994" t="s">
        <v>384</v>
      </c>
      <c r="F994">
        <v>0</v>
      </c>
      <c r="G994">
        <v>0</v>
      </c>
      <c r="H994">
        <f>IF(report_B_CategorieBoekjaar[[#This Row],[BedrijfsCode]]="002",IF(report_B_CategorieBoekjaar[[#This Row],[Boekjaar]]=Projectbegroting!$K$1,report_B_CategorieBoekjaar[[#This Row],[CategorieCode]],0),0)</f>
        <v>0</v>
      </c>
      <c r="I994">
        <f>IF(report_B_CategorieBoekjaar[[#This Row],[BedrijfsCode]]="001",IF(report_B_CategorieBoekjaar[[#This Row],[Boekjaar]]=Projectbegroting!$K$1,report_B_CategorieBoekjaar[[#This Row],[CategorieCode]],0),0)</f>
        <v>0</v>
      </c>
    </row>
    <row r="995" spans="1:9" hidden="1" x14ac:dyDescent="0.3">
      <c r="A995" t="s">
        <v>525</v>
      </c>
      <c r="B995" s="20">
        <v>44927</v>
      </c>
      <c r="C995" t="s">
        <v>405</v>
      </c>
      <c r="D995" t="s">
        <v>16</v>
      </c>
      <c r="E995" t="s">
        <v>381</v>
      </c>
      <c r="F995">
        <v>52</v>
      </c>
      <c r="G995">
        <v>0</v>
      </c>
      <c r="H995">
        <f>IF(report_B_CategorieBoekjaar[[#This Row],[BedrijfsCode]]="002",IF(report_B_CategorieBoekjaar[[#This Row],[Boekjaar]]=Projectbegroting!$K$1,report_B_CategorieBoekjaar[[#This Row],[CategorieCode]],0),0)</f>
        <v>0</v>
      </c>
      <c r="I995">
        <f>IF(report_B_CategorieBoekjaar[[#This Row],[BedrijfsCode]]="001",IF(report_B_CategorieBoekjaar[[#This Row],[Boekjaar]]=Projectbegroting!$K$1,report_B_CategorieBoekjaar[[#This Row],[CategorieCode]],0),0)</f>
        <v>0</v>
      </c>
    </row>
    <row r="996" spans="1:9" hidden="1" x14ac:dyDescent="0.3">
      <c r="A996" t="s">
        <v>525</v>
      </c>
      <c r="B996" s="20">
        <v>44927</v>
      </c>
      <c r="C996" t="s">
        <v>58</v>
      </c>
      <c r="D996" t="s">
        <v>406</v>
      </c>
      <c r="E996" t="s">
        <v>381</v>
      </c>
      <c r="F996">
        <v>56</v>
      </c>
      <c r="G996">
        <v>0</v>
      </c>
      <c r="H996">
        <f>IF(report_B_CategorieBoekjaar[[#This Row],[BedrijfsCode]]="002",IF(report_B_CategorieBoekjaar[[#This Row],[Boekjaar]]=Projectbegroting!$K$1,report_B_CategorieBoekjaar[[#This Row],[CategorieCode]],0),0)</f>
        <v>0</v>
      </c>
      <c r="I996">
        <f>IF(report_B_CategorieBoekjaar[[#This Row],[BedrijfsCode]]="001",IF(report_B_CategorieBoekjaar[[#This Row],[Boekjaar]]=Projectbegroting!$K$1,report_B_CategorieBoekjaar[[#This Row],[CategorieCode]],0),0)</f>
        <v>0</v>
      </c>
    </row>
    <row r="997" spans="1:9" hidden="1" x14ac:dyDescent="0.3">
      <c r="A997" t="s">
        <v>525</v>
      </c>
      <c r="B997" s="20">
        <v>44927</v>
      </c>
      <c r="C997" t="s">
        <v>407</v>
      </c>
      <c r="D997" t="s">
        <v>408</v>
      </c>
      <c r="E997" t="s">
        <v>384</v>
      </c>
      <c r="F997">
        <v>0</v>
      </c>
      <c r="G997">
        <v>0</v>
      </c>
      <c r="H997">
        <f>IF(report_B_CategorieBoekjaar[[#This Row],[BedrijfsCode]]="002",IF(report_B_CategorieBoekjaar[[#This Row],[Boekjaar]]=Projectbegroting!$K$1,report_B_CategorieBoekjaar[[#This Row],[CategorieCode]],0),0)</f>
        <v>0</v>
      </c>
      <c r="I997">
        <f>IF(report_B_CategorieBoekjaar[[#This Row],[BedrijfsCode]]="001",IF(report_B_CategorieBoekjaar[[#This Row],[Boekjaar]]=Projectbegroting!$K$1,report_B_CategorieBoekjaar[[#This Row],[CategorieCode]],0),0)</f>
        <v>0</v>
      </c>
    </row>
    <row r="998" spans="1:9" hidden="1" x14ac:dyDescent="0.3">
      <c r="A998" t="s">
        <v>525</v>
      </c>
      <c r="B998" s="20">
        <v>44927</v>
      </c>
      <c r="C998" t="s">
        <v>60</v>
      </c>
      <c r="D998" t="s">
        <v>61</v>
      </c>
      <c r="E998" t="s">
        <v>381</v>
      </c>
      <c r="F998">
        <v>66</v>
      </c>
      <c r="G998">
        <v>121</v>
      </c>
      <c r="H998">
        <f>IF(report_B_CategorieBoekjaar[[#This Row],[BedrijfsCode]]="002",IF(report_B_CategorieBoekjaar[[#This Row],[Boekjaar]]=Projectbegroting!$K$1,report_B_CategorieBoekjaar[[#This Row],[CategorieCode]],0),0)</f>
        <v>0</v>
      </c>
      <c r="I998">
        <f>IF(report_B_CategorieBoekjaar[[#This Row],[BedrijfsCode]]="001",IF(report_B_CategorieBoekjaar[[#This Row],[Boekjaar]]=Projectbegroting!$K$1,report_B_CategorieBoekjaar[[#This Row],[CategorieCode]],0),0)</f>
        <v>0</v>
      </c>
    </row>
    <row r="999" spans="1:9" hidden="1" x14ac:dyDescent="0.3">
      <c r="A999" t="s">
        <v>525</v>
      </c>
      <c r="B999" s="20">
        <v>44927</v>
      </c>
      <c r="C999" t="s">
        <v>168</v>
      </c>
      <c r="D999" t="s">
        <v>409</v>
      </c>
      <c r="E999" t="s">
        <v>384</v>
      </c>
      <c r="F999">
        <v>0</v>
      </c>
      <c r="G999">
        <v>0</v>
      </c>
      <c r="H999">
        <f>IF(report_B_CategorieBoekjaar[[#This Row],[BedrijfsCode]]="002",IF(report_B_CategorieBoekjaar[[#This Row],[Boekjaar]]=Projectbegroting!$K$1,report_B_CategorieBoekjaar[[#This Row],[CategorieCode]],0),0)</f>
        <v>0</v>
      </c>
      <c r="I999">
        <f>IF(report_B_CategorieBoekjaar[[#This Row],[BedrijfsCode]]="001",IF(report_B_CategorieBoekjaar[[#This Row],[Boekjaar]]=Projectbegroting!$K$1,report_B_CategorieBoekjaar[[#This Row],[CategorieCode]],0),0)</f>
        <v>0</v>
      </c>
    </row>
    <row r="1000" spans="1:9" hidden="1" x14ac:dyDescent="0.3">
      <c r="A1000" t="s">
        <v>525</v>
      </c>
      <c r="B1000" s="20">
        <v>44927</v>
      </c>
      <c r="C1000" t="s">
        <v>410</v>
      </c>
      <c r="D1000" t="s">
        <v>411</v>
      </c>
      <c r="E1000" t="s">
        <v>381</v>
      </c>
      <c r="F1000">
        <v>34</v>
      </c>
      <c r="G1000">
        <v>0</v>
      </c>
      <c r="H1000">
        <f>IF(report_B_CategorieBoekjaar[[#This Row],[BedrijfsCode]]="002",IF(report_B_CategorieBoekjaar[[#This Row],[Boekjaar]]=Projectbegroting!$K$1,report_B_CategorieBoekjaar[[#This Row],[CategorieCode]],0),0)</f>
        <v>0</v>
      </c>
      <c r="I1000">
        <f>IF(report_B_CategorieBoekjaar[[#This Row],[BedrijfsCode]]="001",IF(report_B_CategorieBoekjaar[[#This Row],[Boekjaar]]=Projectbegroting!$K$1,report_B_CategorieBoekjaar[[#This Row],[CategorieCode]],0),0)</f>
        <v>0</v>
      </c>
    </row>
    <row r="1001" spans="1:9" hidden="1" x14ac:dyDescent="0.3">
      <c r="A1001" t="s">
        <v>525</v>
      </c>
      <c r="B1001" s="20">
        <v>44927</v>
      </c>
      <c r="C1001" t="s">
        <v>412</v>
      </c>
      <c r="D1001" t="s">
        <v>413</v>
      </c>
      <c r="E1001" t="s">
        <v>381</v>
      </c>
      <c r="F1001">
        <v>41</v>
      </c>
      <c r="G1001">
        <v>96</v>
      </c>
      <c r="H1001">
        <f>IF(report_B_CategorieBoekjaar[[#This Row],[BedrijfsCode]]="002",IF(report_B_CategorieBoekjaar[[#This Row],[Boekjaar]]=Projectbegroting!$K$1,report_B_CategorieBoekjaar[[#This Row],[CategorieCode]],0),0)</f>
        <v>0</v>
      </c>
      <c r="I1001">
        <f>IF(report_B_CategorieBoekjaar[[#This Row],[BedrijfsCode]]="001",IF(report_B_CategorieBoekjaar[[#This Row],[Boekjaar]]=Projectbegroting!$K$1,report_B_CategorieBoekjaar[[#This Row],[CategorieCode]],0),0)</f>
        <v>0</v>
      </c>
    </row>
    <row r="1002" spans="1:9" hidden="1" x14ac:dyDescent="0.3">
      <c r="A1002" t="s">
        <v>525</v>
      </c>
      <c r="B1002" s="20">
        <v>44927</v>
      </c>
      <c r="C1002" t="s">
        <v>414</v>
      </c>
      <c r="D1002" t="s">
        <v>415</v>
      </c>
      <c r="E1002" t="s">
        <v>384</v>
      </c>
      <c r="F1002">
        <v>0</v>
      </c>
      <c r="G1002">
        <v>0</v>
      </c>
      <c r="H1002">
        <f>IF(report_B_CategorieBoekjaar[[#This Row],[BedrijfsCode]]="002",IF(report_B_CategorieBoekjaar[[#This Row],[Boekjaar]]=Projectbegroting!$K$1,report_B_CategorieBoekjaar[[#This Row],[CategorieCode]],0),0)</f>
        <v>0</v>
      </c>
      <c r="I1002">
        <f>IF(report_B_CategorieBoekjaar[[#This Row],[BedrijfsCode]]="001",IF(report_B_CategorieBoekjaar[[#This Row],[Boekjaar]]=Projectbegroting!$K$1,report_B_CategorieBoekjaar[[#This Row],[CategorieCode]],0),0)</f>
        <v>0</v>
      </c>
    </row>
    <row r="1003" spans="1:9" hidden="1" x14ac:dyDescent="0.3">
      <c r="A1003" t="s">
        <v>525</v>
      </c>
      <c r="B1003" s="20">
        <v>44927</v>
      </c>
      <c r="C1003" t="s">
        <v>82</v>
      </c>
      <c r="D1003" t="s">
        <v>416</v>
      </c>
      <c r="E1003" t="s">
        <v>381</v>
      </c>
      <c r="F1003">
        <v>73</v>
      </c>
      <c r="G1003">
        <v>128</v>
      </c>
      <c r="H1003">
        <f>IF(report_B_CategorieBoekjaar[[#This Row],[BedrijfsCode]]="002",IF(report_B_CategorieBoekjaar[[#This Row],[Boekjaar]]=Projectbegroting!$K$1,report_B_CategorieBoekjaar[[#This Row],[CategorieCode]],0),0)</f>
        <v>0</v>
      </c>
      <c r="I1003">
        <f>IF(report_B_CategorieBoekjaar[[#This Row],[BedrijfsCode]]="001",IF(report_B_CategorieBoekjaar[[#This Row],[Boekjaar]]=Projectbegroting!$K$1,report_B_CategorieBoekjaar[[#This Row],[CategorieCode]],0),0)</f>
        <v>0</v>
      </c>
    </row>
    <row r="1004" spans="1:9" hidden="1" x14ac:dyDescent="0.3">
      <c r="A1004" t="s">
        <v>525</v>
      </c>
      <c r="B1004" s="20">
        <v>44927</v>
      </c>
      <c r="C1004" t="s">
        <v>169</v>
      </c>
      <c r="D1004" t="s">
        <v>417</v>
      </c>
      <c r="E1004" t="s">
        <v>384</v>
      </c>
      <c r="F1004">
        <v>0</v>
      </c>
      <c r="G1004">
        <v>0</v>
      </c>
      <c r="H1004">
        <f>IF(report_B_CategorieBoekjaar[[#This Row],[BedrijfsCode]]="002",IF(report_B_CategorieBoekjaar[[#This Row],[Boekjaar]]=Projectbegroting!$K$1,report_B_CategorieBoekjaar[[#This Row],[CategorieCode]],0),0)</f>
        <v>0</v>
      </c>
      <c r="I1004">
        <f>IF(report_B_CategorieBoekjaar[[#This Row],[BedrijfsCode]]="001",IF(report_B_CategorieBoekjaar[[#This Row],[Boekjaar]]=Projectbegroting!$K$1,report_B_CategorieBoekjaar[[#This Row],[CategorieCode]],0),0)</f>
        <v>0</v>
      </c>
    </row>
    <row r="1005" spans="1:9" hidden="1" x14ac:dyDescent="0.3">
      <c r="A1005" t="s">
        <v>525</v>
      </c>
      <c r="B1005" s="20">
        <v>44927</v>
      </c>
      <c r="C1005" t="s">
        <v>418</v>
      </c>
      <c r="D1005" t="s">
        <v>419</v>
      </c>
      <c r="E1005" t="s">
        <v>381</v>
      </c>
      <c r="F1005">
        <v>66</v>
      </c>
      <c r="G1005">
        <v>0</v>
      </c>
      <c r="H1005">
        <f>IF(report_B_CategorieBoekjaar[[#This Row],[BedrijfsCode]]="002",IF(report_B_CategorieBoekjaar[[#This Row],[Boekjaar]]=Projectbegroting!$K$1,report_B_CategorieBoekjaar[[#This Row],[CategorieCode]],0),0)</f>
        <v>0</v>
      </c>
      <c r="I1005">
        <f>IF(report_B_CategorieBoekjaar[[#This Row],[BedrijfsCode]]="001",IF(report_B_CategorieBoekjaar[[#This Row],[Boekjaar]]=Projectbegroting!$K$1,report_B_CategorieBoekjaar[[#This Row],[CategorieCode]],0),0)</f>
        <v>0</v>
      </c>
    </row>
    <row r="1006" spans="1:9" hidden="1" x14ac:dyDescent="0.3">
      <c r="A1006" t="s">
        <v>525</v>
      </c>
      <c r="B1006" s="20">
        <v>44927</v>
      </c>
      <c r="C1006" t="s">
        <v>84</v>
      </c>
      <c r="D1006" t="s">
        <v>420</v>
      </c>
      <c r="E1006" t="s">
        <v>381</v>
      </c>
      <c r="F1006">
        <v>60</v>
      </c>
      <c r="G1006">
        <v>111</v>
      </c>
      <c r="H1006">
        <f>IF(report_B_CategorieBoekjaar[[#This Row],[BedrijfsCode]]="002",IF(report_B_CategorieBoekjaar[[#This Row],[Boekjaar]]=Projectbegroting!$K$1,report_B_CategorieBoekjaar[[#This Row],[CategorieCode]],0),0)</f>
        <v>0</v>
      </c>
      <c r="I1006">
        <f>IF(report_B_CategorieBoekjaar[[#This Row],[BedrijfsCode]]="001",IF(report_B_CategorieBoekjaar[[#This Row],[Boekjaar]]=Projectbegroting!$K$1,report_B_CategorieBoekjaar[[#This Row],[CategorieCode]],0),0)</f>
        <v>0</v>
      </c>
    </row>
    <row r="1007" spans="1:9" hidden="1" x14ac:dyDescent="0.3">
      <c r="A1007" t="s">
        <v>525</v>
      </c>
      <c r="B1007" s="20">
        <v>44927</v>
      </c>
      <c r="C1007" t="s">
        <v>170</v>
      </c>
      <c r="D1007" t="s">
        <v>421</v>
      </c>
      <c r="E1007" t="s">
        <v>384</v>
      </c>
      <c r="F1007">
        <v>0</v>
      </c>
      <c r="G1007">
        <v>0</v>
      </c>
      <c r="H1007">
        <f>IF(report_B_CategorieBoekjaar[[#This Row],[BedrijfsCode]]="002",IF(report_B_CategorieBoekjaar[[#This Row],[Boekjaar]]=Projectbegroting!$K$1,report_B_CategorieBoekjaar[[#This Row],[CategorieCode]],0),0)</f>
        <v>0</v>
      </c>
      <c r="I1007">
        <f>IF(report_B_CategorieBoekjaar[[#This Row],[BedrijfsCode]]="001",IF(report_B_CategorieBoekjaar[[#This Row],[Boekjaar]]=Projectbegroting!$K$1,report_B_CategorieBoekjaar[[#This Row],[CategorieCode]],0),0)</f>
        <v>0</v>
      </c>
    </row>
    <row r="1008" spans="1:9" hidden="1" x14ac:dyDescent="0.3">
      <c r="A1008" t="s">
        <v>525</v>
      </c>
      <c r="B1008" s="20">
        <v>44927</v>
      </c>
      <c r="C1008" t="s">
        <v>96</v>
      </c>
      <c r="D1008" t="s">
        <v>422</v>
      </c>
      <c r="E1008" t="s">
        <v>381</v>
      </c>
      <c r="F1008">
        <v>60</v>
      </c>
      <c r="G1008">
        <v>115</v>
      </c>
      <c r="H1008">
        <f>IF(report_B_CategorieBoekjaar[[#This Row],[BedrijfsCode]]="002",IF(report_B_CategorieBoekjaar[[#This Row],[Boekjaar]]=Projectbegroting!$K$1,report_B_CategorieBoekjaar[[#This Row],[CategorieCode]],0),0)</f>
        <v>0</v>
      </c>
      <c r="I1008">
        <f>IF(report_B_CategorieBoekjaar[[#This Row],[BedrijfsCode]]="001",IF(report_B_CategorieBoekjaar[[#This Row],[Boekjaar]]=Projectbegroting!$K$1,report_B_CategorieBoekjaar[[#This Row],[CategorieCode]],0),0)</f>
        <v>0</v>
      </c>
    </row>
    <row r="1009" spans="1:9" hidden="1" x14ac:dyDescent="0.3">
      <c r="A1009" t="s">
        <v>525</v>
      </c>
      <c r="B1009" s="20">
        <v>44927</v>
      </c>
      <c r="C1009" t="s">
        <v>171</v>
      </c>
      <c r="D1009" t="s">
        <v>423</v>
      </c>
      <c r="E1009" t="s">
        <v>384</v>
      </c>
      <c r="F1009">
        <v>0</v>
      </c>
      <c r="G1009">
        <v>0</v>
      </c>
      <c r="H1009">
        <f>IF(report_B_CategorieBoekjaar[[#This Row],[BedrijfsCode]]="002",IF(report_B_CategorieBoekjaar[[#This Row],[Boekjaar]]=Projectbegroting!$K$1,report_B_CategorieBoekjaar[[#This Row],[CategorieCode]],0),0)</f>
        <v>0</v>
      </c>
      <c r="I1009">
        <f>IF(report_B_CategorieBoekjaar[[#This Row],[BedrijfsCode]]="001",IF(report_B_CategorieBoekjaar[[#This Row],[Boekjaar]]=Projectbegroting!$K$1,report_B_CategorieBoekjaar[[#This Row],[CategorieCode]],0),0)</f>
        <v>0</v>
      </c>
    </row>
    <row r="1010" spans="1:9" hidden="1" x14ac:dyDescent="0.3">
      <c r="A1010" t="s">
        <v>525</v>
      </c>
      <c r="B1010" s="20">
        <v>44927</v>
      </c>
      <c r="C1010" t="s">
        <v>86</v>
      </c>
      <c r="D1010" t="s">
        <v>424</v>
      </c>
      <c r="E1010" t="s">
        <v>381</v>
      </c>
      <c r="F1010">
        <v>54</v>
      </c>
      <c r="G1010">
        <v>109</v>
      </c>
      <c r="H1010">
        <f>IF(report_B_CategorieBoekjaar[[#This Row],[BedrijfsCode]]="002",IF(report_B_CategorieBoekjaar[[#This Row],[Boekjaar]]=Projectbegroting!$K$1,report_B_CategorieBoekjaar[[#This Row],[CategorieCode]],0),0)</f>
        <v>0</v>
      </c>
      <c r="I1010">
        <f>IF(report_B_CategorieBoekjaar[[#This Row],[BedrijfsCode]]="001",IF(report_B_CategorieBoekjaar[[#This Row],[Boekjaar]]=Projectbegroting!$K$1,report_B_CategorieBoekjaar[[#This Row],[CategorieCode]],0),0)</f>
        <v>0</v>
      </c>
    </row>
    <row r="1011" spans="1:9" hidden="1" x14ac:dyDescent="0.3">
      <c r="A1011" t="s">
        <v>525</v>
      </c>
      <c r="B1011" s="20">
        <v>44927</v>
      </c>
      <c r="C1011" t="s">
        <v>172</v>
      </c>
      <c r="D1011" t="s">
        <v>425</v>
      </c>
      <c r="E1011" t="s">
        <v>384</v>
      </c>
      <c r="F1011">
        <v>0</v>
      </c>
      <c r="G1011">
        <v>0</v>
      </c>
      <c r="H1011">
        <f>IF(report_B_CategorieBoekjaar[[#This Row],[BedrijfsCode]]="002",IF(report_B_CategorieBoekjaar[[#This Row],[Boekjaar]]=Projectbegroting!$K$1,report_B_CategorieBoekjaar[[#This Row],[CategorieCode]],0),0)</f>
        <v>0</v>
      </c>
      <c r="I1011">
        <f>IF(report_B_CategorieBoekjaar[[#This Row],[BedrijfsCode]]="001",IF(report_B_CategorieBoekjaar[[#This Row],[Boekjaar]]=Projectbegroting!$K$1,report_B_CategorieBoekjaar[[#This Row],[CategorieCode]],0),0)</f>
        <v>0</v>
      </c>
    </row>
    <row r="1012" spans="1:9" hidden="1" x14ac:dyDescent="0.3">
      <c r="A1012" t="s">
        <v>525</v>
      </c>
      <c r="B1012" s="20">
        <v>44927</v>
      </c>
      <c r="C1012" t="s">
        <v>94</v>
      </c>
      <c r="D1012" t="s">
        <v>426</v>
      </c>
      <c r="E1012" t="s">
        <v>381</v>
      </c>
      <c r="F1012">
        <v>110</v>
      </c>
      <c r="G1012">
        <v>110</v>
      </c>
      <c r="H1012">
        <f>IF(report_B_CategorieBoekjaar[[#This Row],[BedrijfsCode]]="002",IF(report_B_CategorieBoekjaar[[#This Row],[Boekjaar]]=Projectbegroting!$K$1,report_B_CategorieBoekjaar[[#This Row],[CategorieCode]],0),0)</f>
        <v>0</v>
      </c>
      <c r="I1012">
        <f>IF(report_B_CategorieBoekjaar[[#This Row],[BedrijfsCode]]="001",IF(report_B_CategorieBoekjaar[[#This Row],[Boekjaar]]=Projectbegroting!$K$1,report_B_CategorieBoekjaar[[#This Row],[CategorieCode]],0),0)</f>
        <v>0</v>
      </c>
    </row>
    <row r="1013" spans="1:9" hidden="1" x14ac:dyDescent="0.3">
      <c r="A1013" t="s">
        <v>525</v>
      </c>
      <c r="B1013" s="20">
        <v>44927</v>
      </c>
      <c r="C1013" t="s">
        <v>173</v>
      </c>
      <c r="D1013" t="s">
        <v>427</v>
      </c>
      <c r="E1013" t="s">
        <v>384</v>
      </c>
      <c r="F1013">
        <v>0</v>
      </c>
      <c r="G1013">
        <v>0</v>
      </c>
      <c r="H1013">
        <f>IF(report_B_CategorieBoekjaar[[#This Row],[BedrijfsCode]]="002",IF(report_B_CategorieBoekjaar[[#This Row],[Boekjaar]]=Projectbegroting!$K$1,report_B_CategorieBoekjaar[[#This Row],[CategorieCode]],0),0)</f>
        <v>0</v>
      </c>
      <c r="I1013">
        <f>IF(report_B_CategorieBoekjaar[[#This Row],[BedrijfsCode]]="001",IF(report_B_CategorieBoekjaar[[#This Row],[Boekjaar]]=Projectbegroting!$K$1,report_B_CategorieBoekjaar[[#This Row],[CategorieCode]],0),0)</f>
        <v>0</v>
      </c>
    </row>
    <row r="1014" spans="1:9" hidden="1" x14ac:dyDescent="0.3">
      <c r="A1014" t="s">
        <v>525</v>
      </c>
      <c r="B1014" s="20">
        <v>44927</v>
      </c>
      <c r="C1014" t="s">
        <v>88</v>
      </c>
      <c r="D1014" t="s">
        <v>89</v>
      </c>
      <c r="E1014" t="s">
        <v>381</v>
      </c>
      <c r="F1014">
        <v>63</v>
      </c>
      <c r="G1014">
        <v>118</v>
      </c>
      <c r="H1014">
        <f>IF(report_B_CategorieBoekjaar[[#This Row],[BedrijfsCode]]="002",IF(report_B_CategorieBoekjaar[[#This Row],[Boekjaar]]=Projectbegroting!$K$1,report_B_CategorieBoekjaar[[#This Row],[CategorieCode]],0),0)</f>
        <v>0</v>
      </c>
      <c r="I1014">
        <f>IF(report_B_CategorieBoekjaar[[#This Row],[BedrijfsCode]]="001",IF(report_B_CategorieBoekjaar[[#This Row],[Boekjaar]]=Projectbegroting!$K$1,report_B_CategorieBoekjaar[[#This Row],[CategorieCode]],0),0)</f>
        <v>0</v>
      </c>
    </row>
    <row r="1015" spans="1:9" hidden="1" x14ac:dyDescent="0.3">
      <c r="A1015" t="s">
        <v>525</v>
      </c>
      <c r="B1015" s="20">
        <v>44927</v>
      </c>
      <c r="C1015" t="s">
        <v>174</v>
      </c>
      <c r="D1015" t="s">
        <v>428</v>
      </c>
      <c r="E1015" t="s">
        <v>384</v>
      </c>
      <c r="F1015">
        <v>0</v>
      </c>
      <c r="G1015">
        <v>0</v>
      </c>
      <c r="H1015">
        <f>IF(report_B_CategorieBoekjaar[[#This Row],[BedrijfsCode]]="002",IF(report_B_CategorieBoekjaar[[#This Row],[Boekjaar]]=Projectbegroting!$K$1,report_B_CategorieBoekjaar[[#This Row],[CategorieCode]],0),0)</f>
        <v>0</v>
      </c>
      <c r="I1015">
        <f>IF(report_B_CategorieBoekjaar[[#This Row],[BedrijfsCode]]="001",IF(report_B_CategorieBoekjaar[[#This Row],[Boekjaar]]=Projectbegroting!$K$1,report_B_CategorieBoekjaar[[#This Row],[CategorieCode]],0),0)</f>
        <v>0</v>
      </c>
    </row>
    <row r="1016" spans="1:9" hidden="1" x14ac:dyDescent="0.3">
      <c r="A1016" t="s">
        <v>525</v>
      </c>
      <c r="B1016" s="20">
        <v>44927</v>
      </c>
      <c r="C1016" t="s">
        <v>90</v>
      </c>
      <c r="D1016" t="s">
        <v>91</v>
      </c>
      <c r="E1016" t="s">
        <v>381</v>
      </c>
      <c r="F1016">
        <v>39</v>
      </c>
      <c r="G1016">
        <v>123</v>
      </c>
      <c r="H1016">
        <f>IF(report_B_CategorieBoekjaar[[#This Row],[BedrijfsCode]]="002",IF(report_B_CategorieBoekjaar[[#This Row],[Boekjaar]]=Projectbegroting!$K$1,report_B_CategorieBoekjaar[[#This Row],[CategorieCode]],0),0)</f>
        <v>0</v>
      </c>
      <c r="I1016">
        <f>IF(report_B_CategorieBoekjaar[[#This Row],[BedrijfsCode]]="001",IF(report_B_CategorieBoekjaar[[#This Row],[Boekjaar]]=Projectbegroting!$K$1,report_B_CategorieBoekjaar[[#This Row],[CategorieCode]],0),0)</f>
        <v>0</v>
      </c>
    </row>
    <row r="1017" spans="1:9" hidden="1" x14ac:dyDescent="0.3">
      <c r="A1017" t="s">
        <v>525</v>
      </c>
      <c r="B1017" s="20">
        <v>44927</v>
      </c>
      <c r="C1017" t="s">
        <v>429</v>
      </c>
      <c r="D1017" t="s">
        <v>430</v>
      </c>
      <c r="E1017" t="s">
        <v>384</v>
      </c>
      <c r="F1017">
        <v>0</v>
      </c>
      <c r="G1017">
        <v>0</v>
      </c>
      <c r="H1017">
        <f>IF(report_B_CategorieBoekjaar[[#This Row],[BedrijfsCode]]="002",IF(report_B_CategorieBoekjaar[[#This Row],[Boekjaar]]=Projectbegroting!$K$1,report_B_CategorieBoekjaar[[#This Row],[CategorieCode]],0),0)</f>
        <v>0</v>
      </c>
      <c r="I1017">
        <f>IF(report_B_CategorieBoekjaar[[#This Row],[BedrijfsCode]]="001",IF(report_B_CategorieBoekjaar[[#This Row],[Boekjaar]]=Projectbegroting!$K$1,report_B_CategorieBoekjaar[[#This Row],[CategorieCode]],0),0)</f>
        <v>0</v>
      </c>
    </row>
    <row r="1018" spans="1:9" hidden="1" x14ac:dyDescent="0.3">
      <c r="A1018" t="s">
        <v>525</v>
      </c>
      <c r="B1018" s="20">
        <v>44927</v>
      </c>
      <c r="C1018" t="s">
        <v>431</v>
      </c>
      <c r="D1018" t="s">
        <v>432</v>
      </c>
      <c r="E1018" t="s">
        <v>381</v>
      </c>
      <c r="F1018">
        <v>75</v>
      </c>
      <c r="G1018">
        <v>127</v>
      </c>
      <c r="H1018">
        <f>IF(report_B_CategorieBoekjaar[[#This Row],[BedrijfsCode]]="002",IF(report_B_CategorieBoekjaar[[#This Row],[Boekjaar]]=Projectbegroting!$K$1,report_B_CategorieBoekjaar[[#This Row],[CategorieCode]],0),0)</f>
        <v>0</v>
      </c>
      <c r="I1018">
        <f>IF(report_B_CategorieBoekjaar[[#This Row],[BedrijfsCode]]="001",IF(report_B_CategorieBoekjaar[[#This Row],[Boekjaar]]=Projectbegroting!$K$1,report_B_CategorieBoekjaar[[#This Row],[CategorieCode]],0),0)</f>
        <v>0</v>
      </c>
    </row>
    <row r="1019" spans="1:9" hidden="1" x14ac:dyDescent="0.3">
      <c r="A1019" t="s">
        <v>525</v>
      </c>
      <c r="B1019" s="20">
        <v>44927</v>
      </c>
      <c r="C1019" t="s">
        <v>433</v>
      </c>
      <c r="D1019" t="s">
        <v>434</v>
      </c>
      <c r="E1019" t="s">
        <v>384</v>
      </c>
      <c r="F1019">
        <v>0</v>
      </c>
      <c r="G1019">
        <v>0</v>
      </c>
      <c r="H1019">
        <f>IF(report_B_CategorieBoekjaar[[#This Row],[BedrijfsCode]]="002",IF(report_B_CategorieBoekjaar[[#This Row],[Boekjaar]]=Projectbegroting!$K$1,report_B_CategorieBoekjaar[[#This Row],[CategorieCode]],0),0)</f>
        <v>0</v>
      </c>
      <c r="I1019">
        <f>IF(report_B_CategorieBoekjaar[[#This Row],[BedrijfsCode]]="001",IF(report_B_CategorieBoekjaar[[#This Row],[Boekjaar]]=Projectbegroting!$K$1,report_B_CategorieBoekjaar[[#This Row],[CategorieCode]],0),0)</f>
        <v>0</v>
      </c>
    </row>
    <row r="1020" spans="1:9" hidden="1" x14ac:dyDescent="0.3">
      <c r="A1020" t="s">
        <v>525</v>
      </c>
      <c r="B1020" s="20">
        <v>44927</v>
      </c>
      <c r="C1020" t="s">
        <v>435</v>
      </c>
      <c r="D1020" t="s">
        <v>436</v>
      </c>
      <c r="E1020" t="s">
        <v>381</v>
      </c>
      <c r="F1020">
        <v>55</v>
      </c>
      <c r="G1020">
        <v>110</v>
      </c>
      <c r="H1020">
        <f>IF(report_B_CategorieBoekjaar[[#This Row],[BedrijfsCode]]="002",IF(report_B_CategorieBoekjaar[[#This Row],[Boekjaar]]=Projectbegroting!$K$1,report_B_CategorieBoekjaar[[#This Row],[CategorieCode]],0),0)</f>
        <v>0</v>
      </c>
      <c r="I1020">
        <f>IF(report_B_CategorieBoekjaar[[#This Row],[BedrijfsCode]]="001",IF(report_B_CategorieBoekjaar[[#This Row],[Boekjaar]]=Projectbegroting!$K$1,report_B_CategorieBoekjaar[[#This Row],[CategorieCode]],0),0)</f>
        <v>0</v>
      </c>
    </row>
    <row r="1021" spans="1:9" hidden="1" x14ac:dyDescent="0.3">
      <c r="A1021" t="s">
        <v>525</v>
      </c>
      <c r="B1021" s="20">
        <v>44927</v>
      </c>
      <c r="C1021" t="s">
        <v>437</v>
      </c>
      <c r="D1021" t="s">
        <v>438</v>
      </c>
      <c r="E1021" t="s">
        <v>384</v>
      </c>
      <c r="F1021">
        <v>0</v>
      </c>
      <c r="G1021">
        <v>0</v>
      </c>
      <c r="H1021">
        <f>IF(report_B_CategorieBoekjaar[[#This Row],[BedrijfsCode]]="002",IF(report_B_CategorieBoekjaar[[#This Row],[Boekjaar]]=Projectbegroting!$K$1,report_B_CategorieBoekjaar[[#This Row],[CategorieCode]],0),0)</f>
        <v>0</v>
      </c>
      <c r="I1021">
        <f>IF(report_B_CategorieBoekjaar[[#This Row],[BedrijfsCode]]="001",IF(report_B_CategorieBoekjaar[[#This Row],[Boekjaar]]=Projectbegroting!$K$1,report_B_CategorieBoekjaar[[#This Row],[CategorieCode]],0),0)</f>
        <v>0</v>
      </c>
    </row>
    <row r="1022" spans="1:9" hidden="1" x14ac:dyDescent="0.3">
      <c r="A1022" t="s">
        <v>525</v>
      </c>
      <c r="B1022" s="20">
        <v>44927</v>
      </c>
      <c r="C1022" t="s">
        <v>439</v>
      </c>
      <c r="D1022" t="s">
        <v>440</v>
      </c>
      <c r="E1022" t="s">
        <v>381</v>
      </c>
      <c r="F1022">
        <v>40</v>
      </c>
      <c r="G1022">
        <v>0</v>
      </c>
      <c r="H1022">
        <f>IF(report_B_CategorieBoekjaar[[#This Row],[BedrijfsCode]]="002",IF(report_B_CategorieBoekjaar[[#This Row],[Boekjaar]]=Projectbegroting!$K$1,report_B_CategorieBoekjaar[[#This Row],[CategorieCode]],0),0)</f>
        <v>0</v>
      </c>
      <c r="I1022">
        <f>IF(report_B_CategorieBoekjaar[[#This Row],[BedrijfsCode]]="001",IF(report_B_CategorieBoekjaar[[#This Row],[Boekjaar]]=Projectbegroting!$K$1,report_B_CategorieBoekjaar[[#This Row],[CategorieCode]],0),0)</f>
        <v>0</v>
      </c>
    </row>
    <row r="1023" spans="1:9" hidden="1" x14ac:dyDescent="0.3">
      <c r="A1023" t="s">
        <v>525</v>
      </c>
      <c r="B1023" s="20">
        <v>44927</v>
      </c>
      <c r="C1023" t="s">
        <v>441</v>
      </c>
      <c r="D1023" t="s">
        <v>442</v>
      </c>
      <c r="E1023" t="s">
        <v>381</v>
      </c>
      <c r="F1023">
        <v>52</v>
      </c>
      <c r="G1023">
        <v>107</v>
      </c>
      <c r="H1023">
        <f>IF(report_B_CategorieBoekjaar[[#This Row],[BedrijfsCode]]="002",IF(report_B_CategorieBoekjaar[[#This Row],[Boekjaar]]=Projectbegroting!$K$1,report_B_CategorieBoekjaar[[#This Row],[CategorieCode]],0),0)</f>
        <v>0</v>
      </c>
      <c r="I1023">
        <f>IF(report_B_CategorieBoekjaar[[#This Row],[BedrijfsCode]]="001",IF(report_B_CategorieBoekjaar[[#This Row],[Boekjaar]]=Projectbegroting!$K$1,report_B_CategorieBoekjaar[[#This Row],[CategorieCode]],0),0)</f>
        <v>0</v>
      </c>
    </row>
    <row r="1024" spans="1:9" hidden="1" x14ac:dyDescent="0.3">
      <c r="A1024" t="s">
        <v>525</v>
      </c>
      <c r="B1024" s="20">
        <v>44927</v>
      </c>
      <c r="C1024" t="s">
        <v>443</v>
      </c>
      <c r="D1024" t="s">
        <v>444</v>
      </c>
      <c r="E1024" t="s">
        <v>384</v>
      </c>
      <c r="F1024">
        <v>0</v>
      </c>
      <c r="G1024">
        <v>0</v>
      </c>
      <c r="H1024">
        <f>IF(report_B_CategorieBoekjaar[[#This Row],[BedrijfsCode]]="002",IF(report_B_CategorieBoekjaar[[#This Row],[Boekjaar]]=Projectbegroting!$K$1,report_B_CategorieBoekjaar[[#This Row],[CategorieCode]],0),0)</f>
        <v>0</v>
      </c>
      <c r="I1024">
        <f>IF(report_B_CategorieBoekjaar[[#This Row],[BedrijfsCode]]="001",IF(report_B_CategorieBoekjaar[[#This Row],[Boekjaar]]=Projectbegroting!$K$1,report_B_CategorieBoekjaar[[#This Row],[CategorieCode]],0),0)</f>
        <v>0</v>
      </c>
    </row>
    <row r="1025" spans="1:9" hidden="1" x14ac:dyDescent="0.3">
      <c r="A1025" t="s">
        <v>525</v>
      </c>
      <c r="B1025" s="20">
        <v>44927</v>
      </c>
      <c r="C1025" t="s">
        <v>445</v>
      </c>
      <c r="D1025" t="s">
        <v>446</v>
      </c>
      <c r="E1025" t="s">
        <v>381</v>
      </c>
      <c r="F1025">
        <v>79</v>
      </c>
      <c r="G1025">
        <v>134</v>
      </c>
      <c r="H1025">
        <f>IF(report_B_CategorieBoekjaar[[#This Row],[BedrijfsCode]]="002",IF(report_B_CategorieBoekjaar[[#This Row],[Boekjaar]]=Projectbegroting!$K$1,report_B_CategorieBoekjaar[[#This Row],[CategorieCode]],0),0)</f>
        <v>0</v>
      </c>
      <c r="I1025">
        <f>IF(report_B_CategorieBoekjaar[[#This Row],[BedrijfsCode]]="001",IF(report_B_CategorieBoekjaar[[#This Row],[Boekjaar]]=Projectbegroting!$K$1,report_B_CategorieBoekjaar[[#This Row],[CategorieCode]],0),0)</f>
        <v>0</v>
      </c>
    </row>
    <row r="1026" spans="1:9" hidden="1" x14ac:dyDescent="0.3">
      <c r="A1026" t="s">
        <v>525</v>
      </c>
      <c r="B1026" s="20">
        <v>44927</v>
      </c>
      <c r="C1026" t="s">
        <v>447</v>
      </c>
      <c r="D1026" t="s">
        <v>448</v>
      </c>
      <c r="E1026" t="s">
        <v>384</v>
      </c>
      <c r="F1026">
        <v>0</v>
      </c>
      <c r="G1026">
        <v>0</v>
      </c>
      <c r="H1026">
        <f>IF(report_B_CategorieBoekjaar[[#This Row],[BedrijfsCode]]="002",IF(report_B_CategorieBoekjaar[[#This Row],[Boekjaar]]=Projectbegroting!$K$1,report_B_CategorieBoekjaar[[#This Row],[CategorieCode]],0),0)</f>
        <v>0</v>
      </c>
      <c r="I1026">
        <f>IF(report_B_CategorieBoekjaar[[#This Row],[BedrijfsCode]]="001",IF(report_B_CategorieBoekjaar[[#This Row],[Boekjaar]]=Projectbegroting!$K$1,report_B_CategorieBoekjaar[[#This Row],[CategorieCode]],0),0)</f>
        <v>0</v>
      </c>
    </row>
    <row r="1027" spans="1:9" hidden="1" x14ac:dyDescent="0.3">
      <c r="A1027" t="s">
        <v>525</v>
      </c>
      <c r="B1027" s="20">
        <v>44927</v>
      </c>
      <c r="C1027" t="s">
        <v>449</v>
      </c>
      <c r="D1027" t="s">
        <v>450</v>
      </c>
      <c r="E1027" t="s">
        <v>381</v>
      </c>
      <c r="F1027">
        <v>36</v>
      </c>
      <c r="G1027">
        <v>91</v>
      </c>
      <c r="H1027">
        <f>IF(report_B_CategorieBoekjaar[[#This Row],[BedrijfsCode]]="002",IF(report_B_CategorieBoekjaar[[#This Row],[Boekjaar]]=Projectbegroting!$K$1,report_B_CategorieBoekjaar[[#This Row],[CategorieCode]],0),0)</f>
        <v>0</v>
      </c>
      <c r="I1027">
        <f>IF(report_B_CategorieBoekjaar[[#This Row],[BedrijfsCode]]="001",IF(report_B_CategorieBoekjaar[[#This Row],[Boekjaar]]=Projectbegroting!$K$1,report_B_CategorieBoekjaar[[#This Row],[CategorieCode]],0),0)</f>
        <v>0</v>
      </c>
    </row>
    <row r="1028" spans="1:9" hidden="1" x14ac:dyDescent="0.3">
      <c r="A1028" t="s">
        <v>525</v>
      </c>
      <c r="B1028" s="20">
        <v>44927</v>
      </c>
      <c r="C1028" t="s">
        <v>451</v>
      </c>
      <c r="D1028" t="s">
        <v>452</v>
      </c>
      <c r="E1028" t="s">
        <v>384</v>
      </c>
      <c r="F1028">
        <v>0</v>
      </c>
      <c r="G1028">
        <v>0</v>
      </c>
      <c r="H1028">
        <f>IF(report_B_CategorieBoekjaar[[#This Row],[BedrijfsCode]]="002",IF(report_B_CategorieBoekjaar[[#This Row],[Boekjaar]]=Projectbegroting!$K$1,report_B_CategorieBoekjaar[[#This Row],[CategorieCode]],0),0)</f>
        <v>0</v>
      </c>
      <c r="I1028">
        <f>IF(report_B_CategorieBoekjaar[[#This Row],[BedrijfsCode]]="001",IF(report_B_CategorieBoekjaar[[#This Row],[Boekjaar]]=Projectbegroting!$K$1,report_B_CategorieBoekjaar[[#This Row],[CategorieCode]],0),0)</f>
        <v>0</v>
      </c>
    </row>
    <row r="1029" spans="1:9" hidden="1" x14ac:dyDescent="0.3">
      <c r="A1029" t="s">
        <v>525</v>
      </c>
      <c r="B1029" s="20">
        <v>44927</v>
      </c>
      <c r="C1029" t="s">
        <v>453</v>
      </c>
      <c r="D1029" t="s">
        <v>454</v>
      </c>
      <c r="E1029" t="s">
        <v>381</v>
      </c>
      <c r="F1029">
        <v>63</v>
      </c>
      <c r="G1029">
        <v>0</v>
      </c>
      <c r="H1029">
        <f>IF(report_B_CategorieBoekjaar[[#This Row],[BedrijfsCode]]="002",IF(report_B_CategorieBoekjaar[[#This Row],[Boekjaar]]=Projectbegroting!$K$1,report_B_CategorieBoekjaar[[#This Row],[CategorieCode]],0),0)</f>
        <v>0</v>
      </c>
      <c r="I1029">
        <f>IF(report_B_CategorieBoekjaar[[#This Row],[BedrijfsCode]]="001",IF(report_B_CategorieBoekjaar[[#This Row],[Boekjaar]]=Projectbegroting!$K$1,report_B_CategorieBoekjaar[[#This Row],[CategorieCode]],0),0)</f>
        <v>0</v>
      </c>
    </row>
    <row r="1030" spans="1:9" hidden="1" x14ac:dyDescent="0.3">
      <c r="A1030" t="s">
        <v>525</v>
      </c>
      <c r="B1030" s="20">
        <v>44927</v>
      </c>
      <c r="C1030" t="s">
        <v>455</v>
      </c>
      <c r="D1030" t="s">
        <v>456</v>
      </c>
      <c r="E1030" t="s">
        <v>381</v>
      </c>
      <c r="F1030">
        <v>80</v>
      </c>
      <c r="G1030">
        <v>0</v>
      </c>
      <c r="H1030">
        <f>IF(report_B_CategorieBoekjaar[[#This Row],[BedrijfsCode]]="002",IF(report_B_CategorieBoekjaar[[#This Row],[Boekjaar]]=Projectbegroting!$K$1,report_B_CategorieBoekjaar[[#This Row],[CategorieCode]],0),0)</f>
        <v>0</v>
      </c>
      <c r="I1030">
        <f>IF(report_B_CategorieBoekjaar[[#This Row],[BedrijfsCode]]="001",IF(report_B_CategorieBoekjaar[[#This Row],[Boekjaar]]=Projectbegroting!$K$1,report_B_CategorieBoekjaar[[#This Row],[CategorieCode]],0),0)</f>
        <v>0</v>
      </c>
    </row>
    <row r="1031" spans="1:9" hidden="1" x14ac:dyDescent="0.3">
      <c r="A1031" t="s">
        <v>525</v>
      </c>
      <c r="B1031" s="20">
        <v>44927</v>
      </c>
      <c r="C1031" t="s">
        <v>457</v>
      </c>
      <c r="D1031" t="s">
        <v>458</v>
      </c>
      <c r="E1031" t="s">
        <v>384</v>
      </c>
      <c r="F1031">
        <v>0</v>
      </c>
      <c r="G1031">
        <v>0</v>
      </c>
      <c r="H1031">
        <f>IF(report_B_CategorieBoekjaar[[#This Row],[BedrijfsCode]]="002",IF(report_B_CategorieBoekjaar[[#This Row],[Boekjaar]]=Projectbegroting!$K$1,report_B_CategorieBoekjaar[[#This Row],[CategorieCode]],0),0)</f>
        <v>0</v>
      </c>
      <c r="I1031">
        <f>IF(report_B_CategorieBoekjaar[[#This Row],[BedrijfsCode]]="001",IF(report_B_CategorieBoekjaar[[#This Row],[Boekjaar]]=Projectbegroting!$K$1,report_B_CategorieBoekjaar[[#This Row],[CategorieCode]],0),0)</f>
        <v>0</v>
      </c>
    </row>
    <row r="1032" spans="1:9" hidden="1" x14ac:dyDescent="0.3">
      <c r="A1032" t="s">
        <v>525</v>
      </c>
      <c r="B1032" s="20">
        <v>44927</v>
      </c>
      <c r="C1032" t="s">
        <v>459</v>
      </c>
      <c r="D1032" t="s">
        <v>460</v>
      </c>
      <c r="E1032" t="s">
        <v>381</v>
      </c>
      <c r="F1032">
        <v>100</v>
      </c>
      <c r="G1032">
        <v>152</v>
      </c>
      <c r="H1032">
        <f>IF(report_B_CategorieBoekjaar[[#This Row],[BedrijfsCode]]="002",IF(report_B_CategorieBoekjaar[[#This Row],[Boekjaar]]=Projectbegroting!$K$1,report_B_CategorieBoekjaar[[#This Row],[CategorieCode]],0),0)</f>
        <v>0</v>
      </c>
      <c r="I1032">
        <f>IF(report_B_CategorieBoekjaar[[#This Row],[BedrijfsCode]]="001",IF(report_B_CategorieBoekjaar[[#This Row],[Boekjaar]]=Projectbegroting!$K$1,report_B_CategorieBoekjaar[[#This Row],[CategorieCode]],0),0)</f>
        <v>0</v>
      </c>
    </row>
    <row r="1033" spans="1:9" hidden="1" x14ac:dyDescent="0.3">
      <c r="A1033" t="s">
        <v>525</v>
      </c>
      <c r="B1033" s="20">
        <v>44927</v>
      </c>
      <c r="C1033" t="s">
        <v>461</v>
      </c>
      <c r="D1033" t="s">
        <v>462</v>
      </c>
      <c r="E1033" t="s">
        <v>384</v>
      </c>
      <c r="F1033">
        <v>0</v>
      </c>
      <c r="G1033">
        <v>0</v>
      </c>
      <c r="H1033">
        <f>IF(report_B_CategorieBoekjaar[[#This Row],[BedrijfsCode]]="002",IF(report_B_CategorieBoekjaar[[#This Row],[Boekjaar]]=Projectbegroting!$K$1,report_B_CategorieBoekjaar[[#This Row],[CategorieCode]],0),0)</f>
        <v>0</v>
      </c>
      <c r="I1033">
        <f>IF(report_B_CategorieBoekjaar[[#This Row],[BedrijfsCode]]="001",IF(report_B_CategorieBoekjaar[[#This Row],[Boekjaar]]=Projectbegroting!$K$1,report_B_CategorieBoekjaar[[#This Row],[CategorieCode]],0),0)</f>
        <v>0</v>
      </c>
    </row>
    <row r="1034" spans="1:9" hidden="1" x14ac:dyDescent="0.3">
      <c r="A1034" t="s">
        <v>525</v>
      </c>
      <c r="B1034" s="20">
        <v>44927</v>
      </c>
      <c r="C1034" t="s">
        <v>463</v>
      </c>
      <c r="D1034" t="s">
        <v>464</v>
      </c>
      <c r="E1034" t="s">
        <v>384</v>
      </c>
      <c r="F1034">
        <v>0</v>
      </c>
      <c r="G1034">
        <v>0</v>
      </c>
      <c r="H1034">
        <f>IF(report_B_CategorieBoekjaar[[#This Row],[BedrijfsCode]]="002",IF(report_B_CategorieBoekjaar[[#This Row],[Boekjaar]]=Projectbegroting!$K$1,report_B_CategorieBoekjaar[[#This Row],[CategorieCode]],0),0)</f>
        <v>0</v>
      </c>
      <c r="I1034">
        <f>IF(report_B_CategorieBoekjaar[[#This Row],[BedrijfsCode]]="001",IF(report_B_CategorieBoekjaar[[#This Row],[Boekjaar]]=Projectbegroting!$K$1,report_B_CategorieBoekjaar[[#This Row],[CategorieCode]],0),0)</f>
        <v>0</v>
      </c>
    </row>
    <row r="1035" spans="1:9" hidden="1" x14ac:dyDescent="0.3">
      <c r="A1035" t="s">
        <v>525</v>
      </c>
      <c r="B1035" s="20">
        <v>44927</v>
      </c>
      <c r="C1035" t="s">
        <v>465</v>
      </c>
      <c r="D1035" t="s">
        <v>466</v>
      </c>
      <c r="E1035" t="s">
        <v>381</v>
      </c>
      <c r="F1035">
        <v>27</v>
      </c>
      <c r="G1035">
        <v>82</v>
      </c>
      <c r="H1035">
        <f>IF(report_B_CategorieBoekjaar[[#This Row],[BedrijfsCode]]="002",IF(report_B_CategorieBoekjaar[[#This Row],[Boekjaar]]=Projectbegroting!$K$1,report_B_CategorieBoekjaar[[#This Row],[CategorieCode]],0),0)</f>
        <v>0</v>
      </c>
      <c r="I1035">
        <f>IF(report_B_CategorieBoekjaar[[#This Row],[BedrijfsCode]]="001",IF(report_B_CategorieBoekjaar[[#This Row],[Boekjaar]]=Projectbegroting!$K$1,report_B_CategorieBoekjaar[[#This Row],[CategorieCode]],0),0)</f>
        <v>0</v>
      </c>
    </row>
    <row r="1036" spans="1:9" hidden="1" x14ac:dyDescent="0.3">
      <c r="A1036" t="s">
        <v>525</v>
      </c>
      <c r="B1036" s="20">
        <v>44927</v>
      </c>
      <c r="C1036" t="s">
        <v>467</v>
      </c>
      <c r="D1036" t="s">
        <v>468</v>
      </c>
      <c r="E1036" t="s">
        <v>384</v>
      </c>
      <c r="F1036">
        <v>0</v>
      </c>
      <c r="G1036">
        <v>0</v>
      </c>
      <c r="H1036">
        <f>IF(report_B_CategorieBoekjaar[[#This Row],[BedrijfsCode]]="002",IF(report_B_CategorieBoekjaar[[#This Row],[Boekjaar]]=Projectbegroting!$K$1,report_B_CategorieBoekjaar[[#This Row],[CategorieCode]],0),0)</f>
        <v>0</v>
      </c>
      <c r="I1036">
        <f>IF(report_B_CategorieBoekjaar[[#This Row],[BedrijfsCode]]="001",IF(report_B_CategorieBoekjaar[[#This Row],[Boekjaar]]=Projectbegroting!$K$1,report_B_CategorieBoekjaar[[#This Row],[CategorieCode]],0),0)</f>
        <v>0</v>
      </c>
    </row>
    <row r="1037" spans="1:9" hidden="1" x14ac:dyDescent="0.3">
      <c r="A1037" t="s">
        <v>525</v>
      </c>
      <c r="B1037" s="20">
        <v>44927</v>
      </c>
      <c r="C1037" t="s">
        <v>469</v>
      </c>
      <c r="D1037" t="s">
        <v>470</v>
      </c>
      <c r="E1037" t="s">
        <v>381</v>
      </c>
      <c r="F1037">
        <v>47</v>
      </c>
      <c r="G1037">
        <v>102</v>
      </c>
      <c r="H1037">
        <f>IF(report_B_CategorieBoekjaar[[#This Row],[BedrijfsCode]]="002",IF(report_B_CategorieBoekjaar[[#This Row],[Boekjaar]]=Projectbegroting!$K$1,report_B_CategorieBoekjaar[[#This Row],[CategorieCode]],0),0)</f>
        <v>0</v>
      </c>
      <c r="I1037">
        <f>IF(report_B_CategorieBoekjaar[[#This Row],[BedrijfsCode]]="001",IF(report_B_CategorieBoekjaar[[#This Row],[Boekjaar]]=Projectbegroting!$K$1,report_B_CategorieBoekjaar[[#This Row],[CategorieCode]],0),0)</f>
        <v>0</v>
      </c>
    </row>
    <row r="1038" spans="1:9" hidden="1" x14ac:dyDescent="0.3">
      <c r="A1038" t="s">
        <v>525</v>
      </c>
      <c r="B1038" s="20">
        <v>44927</v>
      </c>
      <c r="C1038" t="s">
        <v>471</v>
      </c>
      <c r="D1038" t="s">
        <v>472</v>
      </c>
      <c r="E1038" t="s">
        <v>384</v>
      </c>
      <c r="F1038">
        <v>0</v>
      </c>
      <c r="G1038">
        <v>0</v>
      </c>
      <c r="H1038">
        <f>IF(report_B_CategorieBoekjaar[[#This Row],[BedrijfsCode]]="002",IF(report_B_CategorieBoekjaar[[#This Row],[Boekjaar]]=Projectbegroting!$K$1,report_B_CategorieBoekjaar[[#This Row],[CategorieCode]],0),0)</f>
        <v>0</v>
      </c>
      <c r="I1038">
        <f>IF(report_B_CategorieBoekjaar[[#This Row],[BedrijfsCode]]="001",IF(report_B_CategorieBoekjaar[[#This Row],[Boekjaar]]=Projectbegroting!$K$1,report_B_CategorieBoekjaar[[#This Row],[CategorieCode]],0),0)</f>
        <v>0</v>
      </c>
    </row>
    <row r="1039" spans="1:9" hidden="1" x14ac:dyDescent="0.3">
      <c r="A1039" t="s">
        <v>525</v>
      </c>
      <c r="B1039" s="20">
        <v>44927</v>
      </c>
      <c r="C1039" t="s">
        <v>62</v>
      </c>
      <c r="D1039" t="s">
        <v>473</v>
      </c>
      <c r="E1039" t="s">
        <v>381</v>
      </c>
      <c r="F1039">
        <v>52</v>
      </c>
      <c r="G1039">
        <v>0</v>
      </c>
      <c r="H1039">
        <f>IF(report_B_CategorieBoekjaar[[#This Row],[BedrijfsCode]]="002",IF(report_B_CategorieBoekjaar[[#This Row],[Boekjaar]]=Projectbegroting!$K$1,report_B_CategorieBoekjaar[[#This Row],[CategorieCode]],0),0)</f>
        <v>0</v>
      </c>
      <c r="I1039">
        <f>IF(report_B_CategorieBoekjaar[[#This Row],[BedrijfsCode]]="001",IF(report_B_CategorieBoekjaar[[#This Row],[Boekjaar]]=Projectbegroting!$K$1,report_B_CategorieBoekjaar[[#This Row],[CategorieCode]],0),0)</f>
        <v>0</v>
      </c>
    </row>
    <row r="1040" spans="1:9" hidden="1" x14ac:dyDescent="0.3">
      <c r="A1040" t="s">
        <v>525</v>
      </c>
      <c r="B1040" s="20">
        <v>44927</v>
      </c>
      <c r="C1040" t="s">
        <v>474</v>
      </c>
      <c r="D1040" t="s">
        <v>475</v>
      </c>
      <c r="E1040" t="s">
        <v>384</v>
      </c>
      <c r="F1040">
        <v>0</v>
      </c>
      <c r="G1040">
        <v>0</v>
      </c>
      <c r="H1040">
        <f>IF(report_B_CategorieBoekjaar[[#This Row],[BedrijfsCode]]="002",IF(report_B_CategorieBoekjaar[[#This Row],[Boekjaar]]=Projectbegroting!$K$1,report_B_CategorieBoekjaar[[#This Row],[CategorieCode]],0),0)</f>
        <v>0</v>
      </c>
      <c r="I1040">
        <f>IF(report_B_CategorieBoekjaar[[#This Row],[BedrijfsCode]]="001",IF(report_B_CategorieBoekjaar[[#This Row],[Boekjaar]]=Projectbegroting!$K$1,report_B_CategorieBoekjaar[[#This Row],[CategorieCode]],0),0)</f>
        <v>0</v>
      </c>
    </row>
    <row r="1041" spans="1:9" hidden="1" x14ac:dyDescent="0.3">
      <c r="A1041" t="s">
        <v>525</v>
      </c>
      <c r="B1041" s="20">
        <v>44927</v>
      </c>
      <c r="C1041" t="s">
        <v>64</v>
      </c>
      <c r="D1041" t="s">
        <v>476</v>
      </c>
      <c r="E1041" t="s">
        <v>381</v>
      </c>
      <c r="F1041">
        <v>41</v>
      </c>
      <c r="G1041">
        <v>96</v>
      </c>
      <c r="H1041">
        <f>IF(report_B_CategorieBoekjaar[[#This Row],[BedrijfsCode]]="002",IF(report_B_CategorieBoekjaar[[#This Row],[Boekjaar]]=Projectbegroting!$K$1,report_B_CategorieBoekjaar[[#This Row],[CategorieCode]],0),0)</f>
        <v>0</v>
      </c>
      <c r="I1041">
        <f>IF(report_B_CategorieBoekjaar[[#This Row],[BedrijfsCode]]="001",IF(report_B_CategorieBoekjaar[[#This Row],[Boekjaar]]=Projectbegroting!$K$1,report_B_CategorieBoekjaar[[#This Row],[CategorieCode]],0),0)</f>
        <v>0</v>
      </c>
    </row>
    <row r="1042" spans="1:9" hidden="1" x14ac:dyDescent="0.3">
      <c r="A1042" t="s">
        <v>525</v>
      </c>
      <c r="B1042" s="20">
        <v>44927</v>
      </c>
      <c r="C1042" t="s">
        <v>477</v>
      </c>
      <c r="D1042" t="s">
        <v>478</v>
      </c>
      <c r="E1042" t="s">
        <v>384</v>
      </c>
      <c r="F1042">
        <v>0</v>
      </c>
      <c r="G1042">
        <v>0</v>
      </c>
      <c r="H1042">
        <f>IF(report_B_CategorieBoekjaar[[#This Row],[BedrijfsCode]]="002",IF(report_B_CategorieBoekjaar[[#This Row],[Boekjaar]]=Projectbegroting!$K$1,report_B_CategorieBoekjaar[[#This Row],[CategorieCode]],0),0)</f>
        <v>0</v>
      </c>
      <c r="I1042">
        <f>IF(report_B_CategorieBoekjaar[[#This Row],[BedrijfsCode]]="001",IF(report_B_CategorieBoekjaar[[#This Row],[Boekjaar]]=Projectbegroting!$K$1,report_B_CategorieBoekjaar[[#This Row],[CategorieCode]],0),0)</f>
        <v>0</v>
      </c>
    </row>
    <row r="1043" spans="1:9" hidden="1" x14ac:dyDescent="0.3">
      <c r="A1043" t="s">
        <v>525</v>
      </c>
      <c r="B1043" s="20">
        <v>44927</v>
      </c>
      <c r="C1043" t="s">
        <v>80</v>
      </c>
      <c r="D1043" t="s">
        <v>81</v>
      </c>
      <c r="E1043" t="s">
        <v>381</v>
      </c>
      <c r="F1043">
        <v>66</v>
      </c>
      <c r="G1043">
        <v>121</v>
      </c>
      <c r="H1043">
        <f>IF(report_B_CategorieBoekjaar[[#This Row],[BedrijfsCode]]="002",IF(report_B_CategorieBoekjaar[[#This Row],[Boekjaar]]=Projectbegroting!$K$1,report_B_CategorieBoekjaar[[#This Row],[CategorieCode]],0),0)</f>
        <v>0</v>
      </c>
      <c r="I1043">
        <f>IF(report_B_CategorieBoekjaar[[#This Row],[BedrijfsCode]]="001",IF(report_B_CategorieBoekjaar[[#This Row],[Boekjaar]]=Projectbegroting!$K$1,report_B_CategorieBoekjaar[[#This Row],[CategorieCode]],0),0)</f>
        <v>0</v>
      </c>
    </row>
    <row r="1044" spans="1:9" hidden="1" x14ac:dyDescent="0.3">
      <c r="A1044" t="s">
        <v>525</v>
      </c>
      <c r="B1044" s="20">
        <v>44927</v>
      </c>
      <c r="C1044" t="s">
        <v>479</v>
      </c>
      <c r="D1044" t="s">
        <v>480</v>
      </c>
      <c r="E1044" t="s">
        <v>384</v>
      </c>
      <c r="F1044">
        <v>0</v>
      </c>
      <c r="G1044">
        <v>0</v>
      </c>
      <c r="H1044">
        <f>IF(report_B_CategorieBoekjaar[[#This Row],[BedrijfsCode]]="002",IF(report_B_CategorieBoekjaar[[#This Row],[Boekjaar]]=Projectbegroting!$K$1,report_B_CategorieBoekjaar[[#This Row],[CategorieCode]],0),0)</f>
        <v>0</v>
      </c>
      <c r="I1044">
        <f>IF(report_B_CategorieBoekjaar[[#This Row],[BedrijfsCode]]="001",IF(report_B_CategorieBoekjaar[[#This Row],[Boekjaar]]=Projectbegroting!$K$1,report_B_CategorieBoekjaar[[#This Row],[CategorieCode]],0),0)</f>
        <v>0</v>
      </c>
    </row>
    <row r="1045" spans="1:9" hidden="1" x14ac:dyDescent="0.3">
      <c r="A1045" t="s">
        <v>525</v>
      </c>
      <c r="B1045" s="20">
        <v>44927</v>
      </c>
      <c r="C1045" t="s">
        <v>481</v>
      </c>
      <c r="D1045" t="s">
        <v>482</v>
      </c>
      <c r="E1045" t="s">
        <v>384</v>
      </c>
      <c r="F1045">
        <v>0</v>
      </c>
      <c r="G1045">
        <v>0</v>
      </c>
      <c r="H1045">
        <f>IF(report_B_CategorieBoekjaar[[#This Row],[BedrijfsCode]]="002",IF(report_B_CategorieBoekjaar[[#This Row],[Boekjaar]]=Projectbegroting!$K$1,report_B_CategorieBoekjaar[[#This Row],[CategorieCode]],0),0)</f>
        <v>0</v>
      </c>
      <c r="I1045">
        <f>IF(report_B_CategorieBoekjaar[[#This Row],[BedrijfsCode]]="001",IF(report_B_CategorieBoekjaar[[#This Row],[Boekjaar]]=Projectbegroting!$K$1,report_B_CategorieBoekjaar[[#This Row],[CategorieCode]],0),0)</f>
        <v>0</v>
      </c>
    </row>
    <row r="1046" spans="1:9" hidden="1" x14ac:dyDescent="0.3">
      <c r="A1046" t="s">
        <v>525</v>
      </c>
      <c r="B1046" s="20">
        <v>44927</v>
      </c>
      <c r="C1046" t="s">
        <v>98</v>
      </c>
      <c r="D1046" t="s">
        <v>99</v>
      </c>
      <c r="E1046" t="s">
        <v>381</v>
      </c>
      <c r="F1046">
        <v>75</v>
      </c>
      <c r="G1046">
        <v>130</v>
      </c>
      <c r="H1046">
        <f>IF(report_B_CategorieBoekjaar[[#This Row],[BedrijfsCode]]="002",IF(report_B_CategorieBoekjaar[[#This Row],[Boekjaar]]=Projectbegroting!$K$1,report_B_CategorieBoekjaar[[#This Row],[CategorieCode]],0),0)</f>
        <v>0</v>
      </c>
      <c r="I1046">
        <f>IF(report_B_CategorieBoekjaar[[#This Row],[BedrijfsCode]]="001",IF(report_B_CategorieBoekjaar[[#This Row],[Boekjaar]]=Projectbegroting!$K$1,report_B_CategorieBoekjaar[[#This Row],[CategorieCode]],0),0)</f>
        <v>0</v>
      </c>
    </row>
    <row r="1047" spans="1:9" hidden="1" x14ac:dyDescent="0.3">
      <c r="A1047" t="s">
        <v>525</v>
      </c>
      <c r="B1047" s="20">
        <v>44927</v>
      </c>
      <c r="C1047" t="s">
        <v>483</v>
      </c>
      <c r="D1047" t="s">
        <v>484</v>
      </c>
      <c r="E1047" t="s">
        <v>381</v>
      </c>
      <c r="F1047">
        <v>134</v>
      </c>
      <c r="G1047">
        <v>134</v>
      </c>
      <c r="H1047">
        <f>IF(report_B_CategorieBoekjaar[[#This Row],[BedrijfsCode]]="002",IF(report_B_CategorieBoekjaar[[#This Row],[Boekjaar]]=Projectbegroting!$K$1,report_B_CategorieBoekjaar[[#This Row],[CategorieCode]],0),0)</f>
        <v>0</v>
      </c>
      <c r="I1047">
        <f>IF(report_B_CategorieBoekjaar[[#This Row],[BedrijfsCode]]="001",IF(report_B_CategorieBoekjaar[[#This Row],[Boekjaar]]=Projectbegroting!$K$1,report_B_CategorieBoekjaar[[#This Row],[CategorieCode]],0),0)</f>
        <v>0</v>
      </c>
    </row>
    <row r="1048" spans="1:9" hidden="1" x14ac:dyDescent="0.3">
      <c r="A1048" t="s">
        <v>525</v>
      </c>
      <c r="B1048" s="20">
        <v>44927</v>
      </c>
      <c r="C1048" t="s">
        <v>485</v>
      </c>
      <c r="D1048" t="s">
        <v>486</v>
      </c>
      <c r="E1048" t="s">
        <v>384</v>
      </c>
      <c r="F1048">
        <v>0</v>
      </c>
      <c r="G1048">
        <v>0</v>
      </c>
      <c r="H1048">
        <f>IF(report_B_CategorieBoekjaar[[#This Row],[BedrijfsCode]]="002",IF(report_B_CategorieBoekjaar[[#This Row],[Boekjaar]]=Projectbegroting!$K$1,report_B_CategorieBoekjaar[[#This Row],[CategorieCode]],0),0)</f>
        <v>0</v>
      </c>
      <c r="I1048">
        <f>IF(report_B_CategorieBoekjaar[[#This Row],[BedrijfsCode]]="001",IF(report_B_CategorieBoekjaar[[#This Row],[Boekjaar]]=Projectbegroting!$K$1,report_B_CategorieBoekjaar[[#This Row],[CategorieCode]],0),0)</f>
        <v>0</v>
      </c>
    </row>
    <row r="1049" spans="1:9" hidden="1" x14ac:dyDescent="0.3">
      <c r="A1049" t="s">
        <v>525</v>
      </c>
      <c r="B1049" s="20">
        <v>44927</v>
      </c>
      <c r="C1049" t="s">
        <v>175</v>
      </c>
      <c r="D1049" t="s">
        <v>487</v>
      </c>
      <c r="E1049" t="s">
        <v>384</v>
      </c>
      <c r="F1049">
        <v>0</v>
      </c>
      <c r="G1049">
        <v>0</v>
      </c>
      <c r="H1049">
        <f>IF(report_B_CategorieBoekjaar[[#This Row],[BedrijfsCode]]="002",IF(report_B_CategorieBoekjaar[[#This Row],[Boekjaar]]=Projectbegroting!$K$1,report_B_CategorieBoekjaar[[#This Row],[CategorieCode]],0),0)</f>
        <v>0</v>
      </c>
      <c r="I1049">
        <f>IF(report_B_CategorieBoekjaar[[#This Row],[BedrijfsCode]]="001",IF(report_B_CategorieBoekjaar[[#This Row],[Boekjaar]]=Projectbegroting!$K$1,report_B_CategorieBoekjaar[[#This Row],[CategorieCode]],0),0)</f>
        <v>0</v>
      </c>
    </row>
    <row r="1050" spans="1:9" hidden="1" x14ac:dyDescent="0.3">
      <c r="A1050" t="s">
        <v>525</v>
      </c>
      <c r="B1050" s="20">
        <v>44927</v>
      </c>
      <c r="C1050" t="s">
        <v>488</v>
      </c>
      <c r="D1050" t="s">
        <v>489</v>
      </c>
      <c r="E1050" t="s">
        <v>381</v>
      </c>
      <c r="F1050">
        <v>69</v>
      </c>
      <c r="G1050">
        <v>124</v>
      </c>
      <c r="H1050">
        <f>IF(report_B_CategorieBoekjaar[[#This Row],[BedrijfsCode]]="002",IF(report_B_CategorieBoekjaar[[#This Row],[Boekjaar]]=Projectbegroting!$K$1,report_B_CategorieBoekjaar[[#This Row],[CategorieCode]],0),0)</f>
        <v>0</v>
      </c>
      <c r="I1050">
        <f>IF(report_B_CategorieBoekjaar[[#This Row],[BedrijfsCode]]="001",IF(report_B_CategorieBoekjaar[[#This Row],[Boekjaar]]=Projectbegroting!$K$1,report_B_CategorieBoekjaar[[#This Row],[CategorieCode]],0),0)</f>
        <v>0</v>
      </c>
    </row>
    <row r="1051" spans="1:9" hidden="1" x14ac:dyDescent="0.3">
      <c r="A1051" t="s">
        <v>525</v>
      </c>
      <c r="B1051" s="20">
        <v>44927</v>
      </c>
      <c r="C1051" t="s">
        <v>490</v>
      </c>
      <c r="D1051" t="s">
        <v>491</v>
      </c>
      <c r="E1051" t="s">
        <v>384</v>
      </c>
      <c r="F1051">
        <v>0</v>
      </c>
      <c r="G1051">
        <v>0</v>
      </c>
      <c r="H1051">
        <f>IF(report_B_CategorieBoekjaar[[#This Row],[BedrijfsCode]]="002",IF(report_B_CategorieBoekjaar[[#This Row],[Boekjaar]]=Projectbegroting!$K$1,report_B_CategorieBoekjaar[[#This Row],[CategorieCode]],0),0)</f>
        <v>0</v>
      </c>
      <c r="I1051">
        <f>IF(report_B_CategorieBoekjaar[[#This Row],[BedrijfsCode]]="001",IF(report_B_CategorieBoekjaar[[#This Row],[Boekjaar]]=Projectbegroting!$K$1,report_B_CategorieBoekjaar[[#This Row],[CategorieCode]],0),0)</f>
        <v>0</v>
      </c>
    </row>
    <row r="1052" spans="1:9" hidden="1" x14ac:dyDescent="0.3">
      <c r="A1052" t="s">
        <v>525</v>
      </c>
      <c r="B1052" s="20">
        <v>44927</v>
      </c>
      <c r="C1052" t="s">
        <v>68</v>
      </c>
      <c r="D1052" t="s">
        <v>492</v>
      </c>
      <c r="E1052" t="s">
        <v>381</v>
      </c>
      <c r="F1052">
        <v>48</v>
      </c>
      <c r="G1052">
        <v>103</v>
      </c>
      <c r="H1052">
        <f>IF(report_B_CategorieBoekjaar[[#This Row],[BedrijfsCode]]="002",IF(report_B_CategorieBoekjaar[[#This Row],[Boekjaar]]=Projectbegroting!$K$1,report_B_CategorieBoekjaar[[#This Row],[CategorieCode]],0),0)</f>
        <v>0</v>
      </c>
      <c r="I1052">
        <f>IF(report_B_CategorieBoekjaar[[#This Row],[BedrijfsCode]]="001",IF(report_B_CategorieBoekjaar[[#This Row],[Boekjaar]]=Projectbegroting!$K$1,report_B_CategorieBoekjaar[[#This Row],[CategorieCode]],0),0)</f>
        <v>0</v>
      </c>
    </row>
    <row r="1053" spans="1:9" hidden="1" x14ac:dyDescent="0.3">
      <c r="A1053" t="s">
        <v>525</v>
      </c>
      <c r="B1053" s="20">
        <v>44927</v>
      </c>
      <c r="C1053" t="s">
        <v>177</v>
      </c>
      <c r="D1053" t="s">
        <v>493</v>
      </c>
      <c r="E1053" t="s">
        <v>384</v>
      </c>
      <c r="F1053">
        <v>0</v>
      </c>
      <c r="G1053">
        <v>0</v>
      </c>
      <c r="H1053">
        <f>IF(report_B_CategorieBoekjaar[[#This Row],[BedrijfsCode]]="002",IF(report_B_CategorieBoekjaar[[#This Row],[Boekjaar]]=Projectbegroting!$K$1,report_B_CategorieBoekjaar[[#This Row],[CategorieCode]],0),0)</f>
        <v>0</v>
      </c>
      <c r="I1053">
        <f>IF(report_B_CategorieBoekjaar[[#This Row],[BedrijfsCode]]="001",IF(report_B_CategorieBoekjaar[[#This Row],[Boekjaar]]=Projectbegroting!$K$1,report_B_CategorieBoekjaar[[#This Row],[CategorieCode]],0),0)</f>
        <v>0</v>
      </c>
    </row>
    <row r="1054" spans="1:9" hidden="1" x14ac:dyDescent="0.3">
      <c r="A1054" t="s">
        <v>525</v>
      </c>
      <c r="B1054" s="20">
        <v>44927</v>
      </c>
      <c r="C1054" t="s">
        <v>494</v>
      </c>
      <c r="D1054" t="s">
        <v>495</v>
      </c>
      <c r="E1054" t="s">
        <v>381</v>
      </c>
      <c r="F1054">
        <v>39</v>
      </c>
      <c r="G1054">
        <v>0</v>
      </c>
      <c r="H1054">
        <f>IF(report_B_CategorieBoekjaar[[#This Row],[BedrijfsCode]]="002",IF(report_B_CategorieBoekjaar[[#This Row],[Boekjaar]]=Projectbegroting!$K$1,report_B_CategorieBoekjaar[[#This Row],[CategorieCode]],0),0)</f>
        <v>0</v>
      </c>
      <c r="I1054">
        <f>IF(report_B_CategorieBoekjaar[[#This Row],[BedrijfsCode]]="001",IF(report_B_CategorieBoekjaar[[#This Row],[Boekjaar]]=Projectbegroting!$K$1,report_B_CategorieBoekjaar[[#This Row],[CategorieCode]],0),0)</f>
        <v>0</v>
      </c>
    </row>
    <row r="1055" spans="1:9" hidden="1" x14ac:dyDescent="0.3">
      <c r="A1055" t="s">
        <v>525</v>
      </c>
      <c r="B1055" s="20">
        <v>44927</v>
      </c>
      <c r="C1055" t="s">
        <v>496</v>
      </c>
      <c r="D1055" t="s">
        <v>497</v>
      </c>
      <c r="E1055" t="s">
        <v>384</v>
      </c>
      <c r="F1055">
        <v>0</v>
      </c>
      <c r="G1055">
        <v>0</v>
      </c>
      <c r="H1055">
        <f>IF(report_B_CategorieBoekjaar[[#This Row],[BedrijfsCode]]="002",IF(report_B_CategorieBoekjaar[[#This Row],[Boekjaar]]=Projectbegroting!$K$1,report_B_CategorieBoekjaar[[#This Row],[CategorieCode]],0),0)</f>
        <v>0</v>
      </c>
      <c r="I1055">
        <f>IF(report_B_CategorieBoekjaar[[#This Row],[BedrijfsCode]]="001",IF(report_B_CategorieBoekjaar[[#This Row],[Boekjaar]]=Projectbegroting!$K$1,report_B_CategorieBoekjaar[[#This Row],[CategorieCode]],0),0)</f>
        <v>0</v>
      </c>
    </row>
    <row r="1056" spans="1:9" hidden="1" x14ac:dyDescent="0.3">
      <c r="A1056" t="s">
        <v>525</v>
      </c>
      <c r="B1056" s="20">
        <v>44927</v>
      </c>
      <c r="C1056" t="s">
        <v>70</v>
      </c>
      <c r="D1056" t="s">
        <v>498</v>
      </c>
      <c r="E1056" t="s">
        <v>381</v>
      </c>
      <c r="F1056">
        <v>40</v>
      </c>
      <c r="G1056">
        <v>95</v>
      </c>
      <c r="H1056">
        <f>IF(report_B_CategorieBoekjaar[[#This Row],[BedrijfsCode]]="002",IF(report_B_CategorieBoekjaar[[#This Row],[Boekjaar]]=Projectbegroting!$K$1,report_B_CategorieBoekjaar[[#This Row],[CategorieCode]],0),0)</f>
        <v>0</v>
      </c>
      <c r="I1056">
        <f>IF(report_B_CategorieBoekjaar[[#This Row],[BedrijfsCode]]="001",IF(report_B_CategorieBoekjaar[[#This Row],[Boekjaar]]=Projectbegroting!$K$1,report_B_CategorieBoekjaar[[#This Row],[CategorieCode]],0),0)</f>
        <v>0</v>
      </c>
    </row>
    <row r="1057" spans="1:9" hidden="1" x14ac:dyDescent="0.3">
      <c r="A1057" t="s">
        <v>525</v>
      </c>
      <c r="B1057" s="20">
        <v>44927</v>
      </c>
      <c r="C1057" t="s">
        <v>499</v>
      </c>
      <c r="D1057" t="s">
        <v>500</v>
      </c>
      <c r="E1057" t="s">
        <v>384</v>
      </c>
      <c r="F1057">
        <v>0</v>
      </c>
      <c r="G1057">
        <v>0</v>
      </c>
      <c r="H1057">
        <f>IF(report_B_CategorieBoekjaar[[#This Row],[BedrijfsCode]]="002",IF(report_B_CategorieBoekjaar[[#This Row],[Boekjaar]]=Projectbegroting!$K$1,report_B_CategorieBoekjaar[[#This Row],[CategorieCode]],0),0)</f>
        <v>0</v>
      </c>
      <c r="I1057">
        <f>IF(report_B_CategorieBoekjaar[[#This Row],[BedrijfsCode]]="001",IF(report_B_CategorieBoekjaar[[#This Row],[Boekjaar]]=Projectbegroting!$K$1,report_B_CategorieBoekjaar[[#This Row],[CategorieCode]],0),0)</f>
        <v>0</v>
      </c>
    </row>
    <row r="1058" spans="1:9" hidden="1" x14ac:dyDescent="0.3">
      <c r="A1058" t="s">
        <v>525</v>
      </c>
      <c r="B1058" s="20">
        <v>44927</v>
      </c>
      <c r="C1058" t="s">
        <v>501</v>
      </c>
      <c r="D1058" t="s">
        <v>502</v>
      </c>
      <c r="E1058" t="s">
        <v>381</v>
      </c>
      <c r="F1058">
        <v>70</v>
      </c>
      <c r="G1058">
        <v>0</v>
      </c>
      <c r="H1058">
        <f>IF(report_B_CategorieBoekjaar[[#This Row],[BedrijfsCode]]="002",IF(report_B_CategorieBoekjaar[[#This Row],[Boekjaar]]=Projectbegroting!$K$1,report_B_CategorieBoekjaar[[#This Row],[CategorieCode]],0),0)</f>
        <v>0</v>
      </c>
      <c r="I1058">
        <f>IF(report_B_CategorieBoekjaar[[#This Row],[BedrijfsCode]]="001",IF(report_B_CategorieBoekjaar[[#This Row],[Boekjaar]]=Projectbegroting!$K$1,report_B_CategorieBoekjaar[[#This Row],[CategorieCode]],0),0)</f>
        <v>0</v>
      </c>
    </row>
    <row r="1059" spans="1:9" hidden="1" x14ac:dyDescent="0.3">
      <c r="A1059" t="s">
        <v>525</v>
      </c>
      <c r="B1059" s="20">
        <v>44927</v>
      </c>
      <c r="C1059" t="s">
        <v>503</v>
      </c>
      <c r="D1059" t="s">
        <v>504</v>
      </c>
      <c r="E1059" t="s">
        <v>384</v>
      </c>
      <c r="F1059">
        <v>0</v>
      </c>
      <c r="G1059">
        <v>0</v>
      </c>
      <c r="H1059">
        <f>IF(report_B_CategorieBoekjaar[[#This Row],[BedrijfsCode]]="002",IF(report_B_CategorieBoekjaar[[#This Row],[Boekjaar]]=Projectbegroting!$K$1,report_B_CategorieBoekjaar[[#This Row],[CategorieCode]],0),0)</f>
        <v>0</v>
      </c>
      <c r="I1059">
        <f>IF(report_B_CategorieBoekjaar[[#This Row],[BedrijfsCode]]="001",IF(report_B_CategorieBoekjaar[[#This Row],[Boekjaar]]=Projectbegroting!$K$1,report_B_CategorieBoekjaar[[#This Row],[CategorieCode]],0),0)</f>
        <v>0</v>
      </c>
    </row>
    <row r="1060" spans="1:9" hidden="1" x14ac:dyDescent="0.3">
      <c r="A1060" t="s">
        <v>525</v>
      </c>
      <c r="B1060" s="20">
        <v>44927</v>
      </c>
      <c r="C1060" t="s">
        <v>505</v>
      </c>
      <c r="D1060" t="s">
        <v>506</v>
      </c>
      <c r="E1060" t="s">
        <v>381</v>
      </c>
      <c r="F1060">
        <v>0</v>
      </c>
      <c r="G1060">
        <v>0</v>
      </c>
      <c r="H1060">
        <f>IF(report_B_CategorieBoekjaar[[#This Row],[BedrijfsCode]]="002",IF(report_B_CategorieBoekjaar[[#This Row],[Boekjaar]]=Projectbegroting!$K$1,report_B_CategorieBoekjaar[[#This Row],[CategorieCode]],0),0)</f>
        <v>0</v>
      </c>
      <c r="I1060">
        <f>IF(report_B_CategorieBoekjaar[[#This Row],[BedrijfsCode]]="001",IF(report_B_CategorieBoekjaar[[#This Row],[Boekjaar]]=Projectbegroting!$K$1,report_B_CategorieBoekjaar[[#This Row],[CategorieCode]],0),0)</f>
        <v>0</v>
      </c>
    </row>
    <row r="1061" spans="1:9" hidden="1" x14ac:dyDescent="0.3">
      <c r="A1061" t="s">
        <v>525</v>
      </c>
      <c r="B1061" s="20">
        <v>44927</v>
      </c>
      <c r="C1061" t="s">
        <v>507</v>
      </c>
      <c r="D1061" t="s">
        <v>508</v>
      </c>
      <c r="E1061" t="s">
        <v>384</v>
      </c>
      <c r="F1061">
        <v>0</v>
      </c>
      <c r="G1061">
        <v>0</v>
      </c>
      <c r="H1061">
        <f>IF(report_B_CategorieBoekjaar[[#This Row],[BedrijfsCode]]="002",IF(report_B_CategorieBoekjaar[[#This Row],[Boekjaar]]=Projectbegroting!$K$1,report_B_CategorieBoekjaar[[#This Row],[CategorieCode]],0),0)</f>
        <v>0</v>
      </c>
      <c r="I1061">
        <f>IF(report_B_CategorieBoekjaar[[#This Row],[BedrijfsCode]]="001",IF(report_B_CategorieBoekjaar[[#This Row],[Boekjaar]]=Projectbegroting!$K$1,report_B_CategorieBoekjaar[[#This Row],[CategorieCode]],0),0)</f>
        <v>0</v>
      </c>
    </row>
    <row r="1062" spans="1:9" hidden="1" x14ac:dyDescent="0.3">
      <c r="A1062" t="s">
        <v>525</v>
      </c>
      <c r="B1062" s="20">
        <v>44927</v>
      </c>
      <c r="C1062" t="s">
        <v>509</v>
      </c>
      <c r="D1062" t="s">
        <v>510</v>
      </c>
      <c r="E1062" t="s">
        <v>381</v>
      </c>
      <c r="F1062">
        <v>135</v>
      </c>
      <c r="G1062">
        <v>0</v>
      </c>
      <c r="H1062">
        <f>IF(report_B_CategorieBoekjaar[[#This Row],[BedrijfsCode]]="002",IF(report_B_CategorieBoekjaar[[#This Row],[Boekjaar]]=Projectbegroting!$K$1,report_B_CategorieBoekjaar[[#This Row],[CategorieCode]],0),0)</f>
        <v>0</v>
      </c>
      <c r="I1062">
        <f>IF(report_B_CategorieBoekjaar[[#This Row],[BedrijfsCode]]="001",IF(report_B_CategorieBoekjaar[[#This Row],[Boekjaar]]=Projectbegroting!$K$1,report_B_CategorieBoekjaar[[#This Row],[CategorieCode]],0),0)</f>
        <v>0</v>
      </c>
    </row>
    <row r="1063" spans="1:9" hidden="1" x14ac:dyDescent="0.3">
      <c r="A1063" t="s">
        <v>525</v>
      </c>
      <c r="B1063" s="20">
        <v>44927</v>
      </c>
      <c r="C1063" t="s">
        <v>511</v>
      </c>
      <c r="D1063" t="s">
        <v>512</v>
      </c>
      <c r="E1063" t="s">
        <v>381</v>
      </c>
      <c r="F1063">
        <v>0</v>
      </c>
      <c r="G1063">
        <v>0</v>
      </c>
      <c r="H1063">
        <f>IF(report_B_CategorieBoekjaar[[#This Row],[BedrijfsCode]]="002",IF(report_B_CategorieBoekjaar[[#This Row],[Boekjaar]]=Projectbegroting!$K$1,report_B_CategorieBoekjaar[[#This Row],[CategorieCode]],0),0)</f>
        <v>0</v>
      </c>
      <c r="I1063">
        <f>IF(report_B_CategorieBoekjaar[[#This Row],[BedrijfsCode]]="001",IF(report_B_CategorieBoekjaar[[#This Row],[Boekjaar]]=Projectbegroting!$K$1,report_B_CategorieBoekjaar[[#This Row],[CategorieCode]],0),0)</f>
        <v>0</v>
      </c>
    </row>
    <row r="1064" spans="1:9" hidden="1" x14ac:dyDescent="0.3">
      <c r="A1064" t="s">
        <v>525</v>
      </c>
      <c r="B1064" s="20">
        <v>44927</v>
      </c>
      <c r="C1064" t="s">
        <v>92</v>
      </c>
      <c r="D1064" t="s">
        <v>513</v>
      </c>
      <c r="E1064" t="s">
        <v>381</v>
      </c>
      <c r="F1064">
        <v>55</v>
      </c>
      <c r="G1064">
        <v>110</v>
      </c>
      <c r="H1064">
        <f>IF(report_B_CategorieBoekjaar[[#This Row],[BedrijfsCode]]="002",IF(report_B_CategorieBoekjaar[[#This Row],[Boekjaar]]=Projectbegroting!$K$1,report_B_CategorieBoekjaar[[#This Row],[CategorieCode]],0),0)</f>
        <v>0</v>
      </c>
      <c r="I1064">
        <f>IF(report_B_CategorieBoekjaar[[#This Row],[BedrijfsCode]]="001",IF(report_B_CategorieBoekjaar[[#This Row],[Boekjaar]]=Projectbegroting!$K$1,report_B_CategorieBoekjaar[[#This Row],[CategorieCode]],0),0)</f>
        <v>0</v>
      </c>
    </row>
    <row r="1065" spans="1:9" hidden="1" x14ac:dyDescent="0.3">
      <c r="A1065" t="s">
        <v>525</v>
      </c>
      <c r="B1065" s="20">
        <v>44927</v>
      </c>
      <c r="C1065" t="s">
        <v>514</v>
      </c>
      <c r="D1065" t="s">
        <v>515</v>
      </c>
      <c r="E1065" t="s">
        <v>384</v>
      </c>
      <c r="F1065">
        <v>0</v>
      </c>
      <c r="G1065">
        <v>0</v>
      </c>
      <c r="H1065">
        <f>IF(report_B_CategorieBoekjaar[[#This Row],[BedrijfsCode]]="002",IF(report_B_CategorieBoekjaar[[#This Row],[Boekjaar]]=Projectbegroting!$K$1,report_B_CategorieBoekjaar[[#This Row],[CategorieCode]],0),0)</f>
        <v>0</v>
      </c>
      <c r="I1065">
        <f>IF(report_B_CategorieBoekjaar[[#This Row],[BedrijfsCode]]="001",IF(report_B_CategorieBoekjaar[[#This Row],[Boekjaar]]=Projectbegroting!$K$1,report_B_CategorieBoekjaar[[#This Row],[CategorieCode]],0),0)</f>
        <v>0</v>
      </c>
    </row>
    <row r="1066" spans="1:9" hidden="1" x14ac:dyDescent="0.3">
      <c r="A1066" t="s">
        <v>525</v>
      </c>
      <c r="B1066" s="20">
        <v>44927</v>
      </c>
      <c r="C1066" t="s">
        <v>72</v>
      </c>
      <c r="D1066" t="s">
        <v>516</v>
      </c>
      <c r="E1066" t="s">
        <v>381</v>
      </c>
      <c r="F1066">
        <v>55</v>
      </c>
      <c r="G1066">
        <v>110</v>
      </c>
      <c r="H1066">
        <f>IF(report_B_CategorieBoekjaar[[#This Row],[BedrijfsCode]]="002",IF(report_B_CategorieBoekjaar[[#This Row],[Boekjaar]]=Projectbegroting!$K$1,report_B_CategorieBoekjaar[[#This Row],[CategorieCode]],0),0)</f>
        <v>0</v>
      </c>
      <c r="I1066">
        <f>IF(report_B_CategorieBoekjaar[[#This Row],[BedrijfsCode]]="001",IF(report_B_CategorieBoekjaar[[#This Row],[Boekjaar]]=Projectbegroting!$K$1,report_B_CategorieBoekjaar[[#This Row],[CategorieCode]],0),0)</f>
        <v>0</v>
      </c>
    </row>
    <row r="1067" spans="1:9" hidden="1" x14ac:dyDescent="0.3">
      <c r="A1067" t="s">
        <v>525</v>
      </c>
      <c r="B1067" s="20">
        <v>44927</v>
      </c>
      <c r="C1067" t="s">
        <v>517</v>
      </c>
      <c r="D1067" t="s">
        <v>518</v>
      </c>
      <c r="E1067" t="s">
        <v>384</v>
      </c>
      <c r="F1067">
        <v>0</v>
      </c>
      <c r="G1067">
        <v>0</v>
      </c>
      <c r="H1067">
        <f>IF(report_B_CategorieBoekjaar[[#This Row],[BedrijfsCode]]="002",IF(report_B_CategorieBoekjaar[[#This Row],[Boekjaar]]=Projectbegroting!$K$1,report_B_CategorieBoekjaar[[#This Row],[CategorieCode]],0),0)</f>
        <v>0</v>
      </c>
      <c r="I1067">
        <f>IF(report_B_CategorieBoekjaar[[#This Row],[BedrijfsCode]]="001",IF(report_B_CategorieBoekjaar[[#This Row],[Boekjaar]]=Projectbegroting!$K$1,report_B_CategorieBoekjaar[[#This Row],[CategorieCode]],0),0)</f>
        <v>0</v>
      </c>
    </row>
    <row r="1068" spans="1:9" hidden="1" x14ac:dyDescent="0.3">
      <c r="A1068" t="s">
        <v>525</v>
      </c>
      <c r="B1068" s="20">
        <v>44927</v>
      </c>
      <c r="C1068" t="s">
        <v>74</v>
      </c>
      <c r="D1068" t="s">
        <v>75</v>
      </c>
      <c r="E1068" t="s">
        <v>381</v>
      </c>
      <c r="F1068">
        <v>39</v>
      </c>
      <c r="G1068">
        <v>94</v>
      </c>
      <c r="H1068">
        <f>IF(report_B_CategorieBoekjaar[[#This Row],[BedrijfsCode]]="002",IF(report_B_CategorieBoekjaar[[#This Row],[Boekjaar]]=Projectbegroting!$K$1,report_B_CategorieBoekjaar[[#This Row],[CategorieCode]],0),0)</f>
        <v>0</v>
      </c>
      <c r="I1068">
        <f>IF(report_B_CategorieBoekjaar[[#This Row],[BedrijfsCode]]="001",IF(report_B_CategorieBoekjaar[[#This Row],[Boekjaar]]=Projectbegroting!$K$1,report_B_CategorieBoekjaar[[#This Row],[CategorieCode]],0),0)</f>
        <v>0</v>
      </c>
    </row>
    <row r="1069" spans="1:9" hidden="1" x14ac:dyDescent="0.3">
      <c r="A1069" t="s">
        <v>525</v>
      </c>
      <c r="B1069" s="20">
        <v>44927</v>
      </c>
      <c r="C1069" t="s">
        <v>178</v>
      </c>
      <c r="D1069" t="s">
        <v>519</v>
      </c>
      <c r="E1069" t="s">
        <v>384</v>
      </c>
      <c r="F1069">
        <v>0</v>
      </c>
      <c r="G1069">
        <v>0</v>
      </c>
      <c r="H1069">
        <f>IF(report_B_CategorieBoekjaar[[#This Row],[BedrijfsCode]]="002",IF(report_B_CategorieBoekjaar[[#This Row],[Boekjaar]]=Projectbegroting!$K$1,report_B_CategorieBoekjaar[[#This Row],[CategorieCode]],0),0)</f>
        <v>0</v>
      </c>
      <c r="I1069">
        <f>IF(report_B_CategorieBoekjaar[[#This Row],[BedrijfsCode]]="001",IF(report_B_CategorieBoekjaar[[#This Row],[Boekjaar]]=Projectbegroting!$K$1,report_B_CategorieBoekjaar[[#This Row],[CategorieCode]],0),0)</f>
        <v>0</v>
      </c>
    </row>
    <row r="1070" spans="1:9" hidden="1" x14ac:dyDescent="0.3">
      <c r="A1070" t="s">
        <v>525</v>
      </c>
      <c r="B1070" s="20">
        <v>44927</v>
      </c>
      <c r="C1070" t="s">
        <v>520</v>
      </c>
      <c r="D1070" t="s">
        <v>521</v>
      </c>
      <c r="E1070" t="s">
        <v>384</v>
      </c>
      <c r="F1070">
        <v>0</v>
      </c>
      <c r="G1070">
        <v>0</v>
      </c>
      <c r="H1070">
        <f>IF(report_B_CategorieBoekjaar[[#This Row],[BedrijfsCode]]="002",IF(report_B_CategorieBoekjaar[[#This Row],[Boekjaar]]=Projectbegroting!$K$1,report_B_CategorieBoekjaar[[#This Row],[CategorieCode]],0),0)</f>
        <v>0</v>
      </c>
      <c r="I1070">
        <f>IF(report_B_CategorieBoekjaar[[#This Row],[BedrijfsCode]]="001",IF(report_B_CategorieBoekjaar[[#This Row],[Boekjaar]]=Projectbegroting!$K$1,report_B_CategorieBoekjaar[[#This Row],[CategorieCode]],0),0)</f>
        <v>0</v>
      </c>
    </row>
    <row r="1071" spans="1:9" hidden="1" x14ac:dyDescent="0.3">
      <c r="A1071" t="s">
        <v>525</v>
      </c>
      <c r="B1071" s="20">
        <v>44927</v>
      </c>
      <c r="C1071" t="s">
        <v>522</v>
      </c>
      <c r="D1071" t="s">
        <v>523</v>
      </c>
      <c r="E1071" t="s">
        <v>381</v>
      </c>
      <c r="F1071">
        <v>75</v>
      </c>
      <c r="G1071">
        <v>0</v>
      </c>
      <c r="H1071">
        <f>IF(report_B_CategorieBoekjaar[[#This Row],[BedrijfsCode]]="002",IF(report_B_CategorieBoekjaar[[#This Row],[Boekjaar]]=Projectbegroting!$K$1,report_B_CategorieBoekjaar[[#This Row],[CategorieCode]],0),0)</f>
        <v>0</v>
      </c>
      <c r="I1071">
        <f>IF(report_B_CategorieBoekjaar[[#This Row],[BedrijfsCode]]="001",IF(report_B_CategorieBoekjaar[[#This Row],[Boekjaar]]=Projectbegroting!$K$1,report_B_CategorieBoekjaar[[#This Row],[CategorieCode]],0),0)</f>
        <v>0</v>
      </c>
    </row>
    <row r="1072" spans="1:9" hidden="1" x14ac:dyDescent="0.3">
      <c r="A1072" t="s">
        <v>525</v>
      </c>
      <c r="B1072" s="20">
        <v>44927</v>
      </c>
      <c r="C1072" t="s">
        <v>78</v>
      </c>
      <c r="D1072" t="s">
        <v>79</v>
      </c>
      <c r="E1072" t="s">
        <v>381</v>
      </c>
      <c r="F1072">
        <v>69</v>
      </c>
      <c r="G1072">
        <v>124</v>
      </c>
      <c r="H1072">
        <f>IF(report_B_CategorieBoekjaar[[#This Row],[BedrijfsCode]]="002",IF(report_B_CategorieBoekjaar[[#This Row],[Boekjaar]]=Projectbegroting!$K$1,report_B_CategorieBoekjaar[[#This Row],[CategorieCode]],0),0)</f>
        <v>0</v>
      </c>
      <c r="I1072">
        <f>IF(report_B_CategorieBoekjaar[[#This Row],[BedrijfsCode]]="001",IF(report_B_CategorieBoekjaar[[#This Row],[Boekjaar]]=Projectbegroting!$K$1,report_B_CategorieBoekjaar[[#This Row],[CategorieCode]],0),0)</f>
        <v>0</v>
      </c>
    </row>
    <row r="1073" spans="1:9" hidden="1" x14ac:dyDescent="0.3">
      <c r="A1073" t="s">
        <v>525</v>
      </c>
      <c r="B1073" s="20">
        <v>44927</v>
      </c>
      <c r="C1073" t="s">
        <v>176</v>
      </c>
      <c r="D1073" t="s">
        <v>524</v>
      </c>
      <c r="E1073" t="s">
        <v>384</v>
      </c>
      <c r="F1073">
        <v>0</v>
      </c>
      <c r="G1073">
        <v>0</v>
      </c>
      <c r="H1073">
        <f>IF(report_B_CategorieBoekjaar[[#This Row],[BedrijfsCode]]="002",IF(report_B_CategorieBoekjaar[[#This Row],[Boekjaar]]=Projectbegroting!$K$1,report_B_CategorieBoekjaar[[#This Row],[CategorieCode]],0),0)</f>
        <v>0</v>
      </c>
      <c r="I1073">
        <f>IF(report_B_CategorieBoekjaar[[#This Row],[BedrijfsCode]]="001",IF(report_B_CategorieBoekjaar[[#This Row],[Boekjaar]]=Projectbegroting!$K$1,report_B_CategorieBoekjaar[[#This Row],[CategorieCode]],0),0)</f>
        <v>0</v>
      </c>
    </row>
    <row r="1074" spans="1:9" x14ac:dyDescent="0.3">
      <c r="A1074" t="s">
        <v>330</v>
      </c>
      <c r="B1074" s="20">
        <v>44562</v>
      </c>
      <c r="C1074" t="s">
        <v>179</v>
      </c>
      <c r="D1074" t="s">
        <v>331</v>
      </c>
      <c r="E1074" t="s">
        <v>217</v>
      </c>
      <c r="F1074">
        <v>0</v>
      </c>
      <c r="G1074">
        <v>0</v>
      </c>
      <c r="H1074">
        <f>IF(report_B_CategorieBoekjaar[[#This Row],[BedrijfsCode]]="002",IF(report_B_CategorieBoekjaar[[#This Row],[Boekjaar]]=Projectbegroting!$K$1,report_B_CategorieBoekjaar[[#This Row],[CategorieCode]],0),0)</f>
        <v>0</v>
      </c>
      <c r="I1074">
        <f>IF(report_B_CategorieBoekjaar[[#This Row],[BedrijfsCode]]="001",IF(report_B_CategorieBoekjaar[[#This Row],[Boekjaar]]=Projectbegroting!$K$1,report_B_CategorieBoekjaar[[#This Row],[CategorieCode]],0),0)</f>
        <v>0</v>
      </c>
    </row>
    <row r="1075" spans="1:9" x14ac:dyDescent="0.3">
      <c r="A1075" t="s">
        <v>330</v>
      </c>
      <c r="B1075" s="20">
        <v>44562</v>
      </c>
      <c r="C1075" t="s">
        <v>180</v>
      </c>
      <c r="D1075" t="s">
        <v>332</v>
      </c>
      <c r="E1075" t="s">
        <v>217</v>
      </c>
      <c r="F1075">
        <v>0</v>
      </c>
      <c r="G1075">
        <v>0</v>
      </c>
      <c r="H1075">
        <f>IF(report_B_CategorieBoekjaar[[#This Row],[BedrijfsCode]]="002",IF(report_B_CategorieBoekjaar[[#This Row],[Boekjaar]]=Projectbegroting!$K$1,report_B_CategorieBoekjaar[[#This Row],[CategorieCode]],0),0)</f>
        <v>0</v>
      </c>
      <c r="I1075">
        <f>IF(report_B_CategorieBoekjaar[[#This Row],[BedrijfsCode]]="001",IF(report_B_CategorieBoekjaar[[#This Row],[Boekjaar]]=Projectbegroting!$K$1,report_B_CategorieBoekjaar[[#This Row],[CategorieCode]],0),0)</f>
        <v>0</v>
      </c>
    </row>
    <row r="1076" spans="1:9" x14ac:dyDescent="0.3">
      <c r="A1076" t="s">
        <v>330</v>
      </c>
      <c r="B1076" s="20">
        <v>44562</v>
      </c>
      <c r="C1076" t="s">
        <v>181</v>
      </c>
      <c r="D1076" t="s">
        <v>333</v>
      </c>
      <c r="E1076" t="s">
        <v>217</v>
      </c>
      <c r="F1076">
        <v>0</v>
      </c>
      <c r="G1076">
        <v>0</v>
      </c>
      <c r="H1076">
        <f>IF(report_B_CategorieBoekjaar[[#This Row],[BedrijfsCode]]="002",IF(report_B_CategorieBoekjaar[[#This Row],[Boekjaar]]=Projectbegroting!$K$1,report_B_CategorieBoekjaar[[#This Row],[CategorieCode]],0),0)</f>
        <v>0</v>
      </c>
      <c r="I1076">
        <f>IF(report_B_CategorieBoekjaar[[#This Row],[BedrijfsCode]]="001",IF(report_B_CategorieBoekjaar[[#This Row],[Boekjaar]]=Projectbegroting!$K$1,report_B_CategorieBoekjaar[[#This Row],[CategorieCode]],0),0)</f>
        <v>0</v>
      </c>
    </row>
    <row r="1077" spans="1:9" x14ac:dyDescent="0.3">
      <c r="A1077" t="s">
        <v>330</v>
      </c>
      <c r="B1077" s="20">
        <v>44562</v>
      </c>
      <c r="C1077" t="s">
        <v>182</v>
      </c>
      <c r="D1077" t="s">
        <v>334</v>
      </c>
      <c r="E1077" t="s">
        <v>217</v>
      </c>
      <c r="F1077">
        <v>0</v>
      </c>
      <c r="G1077">
        <v>0</v>
      </c>
      <c r="H1077">
        <f>IF(report_B_CategorieBoekjaar[[#This Row],[BedrijfsCode]]="002",IF(report_B_CategorieBoekjaar[[#This Row],[Boekjaar]]=Projectbegroting!$K$1,report_B_CategorieBoekjaar[[#This Row],[CategorieCode]],0),0)</f>
        <v>0</v>
      </c>
      <c r="I1077">
        <f>IF(report_B_CategorieBoekjaar[[#This Row],[BedrijfsCode]]="001",IF(report_B_CategorieBoekjaar[[#This Row],[Boekjaar]]=Projectbegroting!$K$1,report_B_CategorieBoekjaar[[#This Row],[CategorieCode]],0),0)</f>
        <v>0</v>
      </c>
    </row>
    <row r="1078" spans="1:9" x14ac:dyDescent="0.3">
      <c r="A1078" t="s">
        <v>330</v>
      </c>
      <c r="B1078" s="20">
        <v>44562</v>
      </c>
      <c r="C1078" t="s">
        <v>183</v>
      </c>
      <c r="D1078" t="s">
        <v>335</v>
      </c>
      <c r="E1078" t="s">
        <v>217</v>
      </c>
      <c r="F1078">
        <v>0</v>
      </c>
      <c r="G1078">
        <v>0</v>
      </c>
      <c r="H1078">
        <f>IF(report_B_CategorieBoekjaar[[#This Row],[BedrijfsCode]]="002",IF(report_B_CategorieBoekjaar[[#This Row],[Boekjaar]]=Projectbegroting!$K$1,report_B_CategorieBoekjaar[[#This Row],[CategorieCode]],0),0)</f>
        <v>0</v>
      </c>
      <c r="I1078">
        <f>IF(report_B_CategorieBoekjaar[[#This Row],[BedrijfsCode]]="001",IF(report_B_CategorieBoekjaar[[#This Row],[Boekjaar]]=Projectbegroting!$K$1,report_B_CategorieBoekjaar[[#This Row],[CategorieCode]],0),0)</f>
        <v>0</v>
      </c>
    </row>
    <row r="1079" spans="1:9" x14ac:dyDescent="0.3">
      <c r="A1079" t="s">
        <v>330</v>
      </c>
      <c r="B1079" s="20">
        <v>44562</v>
      </c>
      <c r="C1079" t="s">
        <v>184</v>
      </c>
      <c r="D1079" t="s">
        <v>336</v>
      </c>
      <c r="E1079" t="s">
        <v>217</v>
      </c>
      <c r="F1079">
        <v>0</v>
      </c>
      <c r="G1079">
        <v>0</v>
      </c>
      <c r="H1079">
        <f>IF(report_B_CategorieBoekjaar[[#This Row],[BedrijfsCode]]="002",IF(report_B_CategorieBoekjaar[[#This Row],[Boekjaar]]=Projectbegroting!$K$1,report_B_CategorieBoekjaar[[#This Row],[CategorieCode]],0),0)</f>
        <v>0</v>
      </c>
      <c r="I1079">
        <f>IF(report_B_CategorieBoekjaar[[#This Row],[BedrijfsCode]]="001",IF(report_B_CategorieBoekjaar[[#This Row],[Boekjaar]]=Projectbegroting!$K$1,report_B_CategorieBoekjaar[[#This Row],[CategorieCode]],0),0)</f>
        <v>0</v>
      </c>
    </row>
    <row r="1080" spans="1:9" x14ac:dyDescent="0.3">
      <c r="A1080" t="s">
        <v>330</v>
      </c>
      <c r="B1080" s="20">
        <v>44562</v>
      </c>
      <c r="C1080" t="s">
        <v>185</v>
      </c>
      <c r="D1080" t="s">
        <v>337</v>
      </c>
      <c r="E1080" t="s">
        <v>217</v>
      </c>
      <c r="F1080">
        <v>0</v>
      </c>
      <c r="G1080">
        <v>0</v>
      </c>
      <c r="H1080">
        <f>IF(report_B_CategorieBoekjaar[[#This Row],[BedrijfsCode]]="002",IF(report_B_CategorieBoekjaar[[#This Row],[Boekjaar]]=Projectbegroting!$K$1,report_B_CategorieBoekjaar[[#This Row],[CategorieCode]],0),0)</f>
        <v>0</v>
      </c>
      <c r="I1080">
        <f>IF(report_B_CategorieBoekjaar[[#This Row],[BedrijfsCode]]="001",IF(report_B_CategorieBoekjaar[[#This Row],[Boekjaar]]=Projectbegroting!$K$1,report_B_CategorieBoekjaar[[#This Row],[CategorieCode]],0),0)</f>
        <v>0</v>
      </c>
    </row>
    <row r="1081" spans="1:9" x14ac:dyDescent="0.3">
      <c r="A1081" t="s">
        <v>330</v>
      </c>
      <c r="B1081" s="20">
        <v>44562</v>
      </c>
      <c r="C1081" t="s">
        <v>186</v>
      </c>
      <c r="D1081" t="s">
        <v>338</v>
      </c>
      <c r="E1081" t="s">
        <v>217</v>
      </c>
      <c r="F1081">
        <v>0</v>
      </c>
      <c r="G1081">
        <v>0</v>
      </c>
      <c r="H1081">
        <f>IF(report_B_CategorieBoekjaar[[#This Row],[BedrijfsCode]]="002",IF(report_B_CategorieBoekjaar[[#This Row],[Boekjaar]]=Projectbegroting!$K$1,report_B_CategorieBoekjaar[[#This Row],[CategorieCode]],0),0)</f>
        <v>0</v>
      </c>
      <c r="I1081">
        <f>IF(report_B_CategorieBoekjaar[[#This Row],[BedrijfsCode]]="001",IF(report_B_CategorieBoekjaar[[#This Row],[Boekjaar]]=Projectbegroting!$K$1,report_B_CategorieBoekjaar[[#This Row],[CategorieCode]],0),0)</f>
        <v>0</v>
      </c>
    </row>
    <row r="1082" spans="1:9" x14ac:dyDescent="0.3">
      <c r="A1082" t="s">
        <v>330</v>
      </c>
      <c r="B1082" s="20">
        <v>44562</v>
      </c>
      <c r="C1082" t="s">
        <v>187</v>
      </c>
      <c r="D1082" t="s">
        <v>339</v>
      </c>
      <c r="E1082" t="s">
        <v>217</v>
      </c>
      <c r="F1082">
        <v>0</v>
      </c>
      <c r="G1082">
        <v>0</v>
      </c>
      <c r="H1082">
        <f>IF(report_B_CategorieBoekjaar[[#This Row],[BedrijfsCode]]="002",IF(report_B_CategorieBoekjaar[[#This Row],[Boekjaar]]=Projectbegroting!$K$1,report_B_CategorieBoekjaar[[#This Row],[CategorieCode]],0),0)</f>
        <v>0</v>
      </c>
      <c r="I1082">
        <f>IF(report_B_CategorieBoekjaar[[#This Row],[BedrijfsCode]]="001",IF(report_B_CategorieBoekjaar[[#This Row],[Boekjaar]]=Projectbegroting!$K$1,report_B_CategorieBoekjaar[[#This Row],[CategorieCode]],0),0)</f>
        <v>0</v>
      </c>
    </row>
    <row r="1083" spans="1:9" x14ac:dyDescent="0.3">
      <c r="A1083" t="s">
        <v>330</v>
      </c>
      <c r="B1083" s="20">
        <v>44562</v>
      </c>
      <c r="C1083" t="s">
        <v>188</v>
      </c>
      <c r="D1083" t="s">
        <v>340</v>
      </c>
      <c r="E1083" t="s">
        <v>217</v>
      </c>
      <c r="F1083">
        <v>0</v>
      </c>
      <c r="G1083">
        <v>0</v>
      </c>
      <c r="H1083">
        <f>IF(report_B_CategorieBoekjaar[[#This Row],[BedrijfsCode]]="002",IF(report_B_CategorieBoekjaar[[#This Row],[Boekjaar]]=Projectbegroting!$K$1,report_B_CategorieBoekjaar[[#This Row],[CategorieCode]],0),0)</f>
        <v>0</v>
      </c>
      <c r="I1083">
        <f>IF(report_B_CategorieBoekjaar[[#This Row],[BedrijfsCode]]="001",IF(report_B_CategorieBoekjaar[[#This Row],[Boekjaar]]=Projectbegroting!$K$1,report_B_CategorieBoekjaar[[#This Row],[CategorieCode]],0),0)</f>
        <v>0</v>
      </c>
    </row>
    <row r="1084" spans="1:9" x14ac:dyDescent="0.3">
      <c r="A1084" t="s">
        <v>330</v>
      </c>
      <c r="B1084" s="20">
        <v>44562</v>
      </c>
      <c r="C1084" t="s">
        <v>189</v>
      </c>
      <c r="D1084" t="s">
        <v>341</v>
      </c>
      <c r="E1084" t="s">
        <v>217</v>
      </c>
      <c r="F1084">
        <v>0</v>
      </c>
      <c r="G1084">
        <v>0</v>
      </c>
      <c r="H1084">
        <f>IF(report_B_CategorieBoekjaar[[#This Row],[BedrijfsCode]]="002",IF(report_B_CategorieBoekjaar[[#This Row],[Boekjaar]]=Projectbegroting!$K$1,report_B_CategorieBoekjaar[[#This Row],[CategorieCode]],0),0)</f>
        <v>0</v>
      </c>
      <c r="I1084">
        <f>IF(report_B_CategorieBoekjaar[[#This Row],[BedrijfsCode]]="001",IF(report_B_CategorieBoekjaar[[#This Row],[Boekjaar]]=Projectbegroting!$K$1,report_B_CategorieBoekjaar[[#This Row],[CategorieCode]],0),0)</f>
        <v>0</v>
      </c>
    </row>
    <row r="1085" spans="1:9" x14ac:dyDescent="0.3">
      <c r="A1085" t="s">
        <v>330</v>
      </c>
      <c r="B1085" s="20">
        <v>44562</v>
      </c>
      <c r="C1085" t="s">
        <v>190</v>
      </c>
      <c r="D1085" t="s">
        <v>342</v>
      </c>
      <c r="E1085" t="s">
        <v>217</v>
      </c>
      <c r="F1085">
        <v>0</v>
      </c>
      <c r="G1085">
        <v>0</v>
      </c>
      <c r="H1085">
        <f>IF(report_B_CategorieBoekjaar[[#This Row],[BedrijfsCode]]="002",IF(report_B_CategorieBoekjaar[[#This Row],[Boekjaar]]=Projectbegroting!$K$1,report_B_CategorieBoekjaar[[#This Row],[CategorieCode]],0),0)</f>
        <v>0</v>
      </c>
      <c r="I1085">
        <f>IF(report_B_CategorieBoekjaar[[#This Row],[BedrijfsCode]]="001",IF(report_B_CategorieBoekjaar[[#This Row],[Boekjaar]]=Projectbegroting!$K$1,report_B_CategorieBoekjaar[[#This Row],[CategorieCode]],0),0)</f>
        <v>0</v>
      </c>
    </row>
    <row r="1086" spans="1:9" x14ac:dyDescent="0.3">
      <c r="A1086" t="s">
        <v>330</v>
      </c>
      <c r="B1086" s="20">
        <v>44562</v>
      </c>
      <c r="C1086" t="s">
        <v>191</v>
      </c>
      <c r="D1086" t="s">
        <v>343</v>
      </c>
      <c r="E1086" t="s">
        <v>217</v>
      </c>
      <c r="F1086">
        <v>0</v>
      </c>
      <c r="G1086">
        <v>0</v>
      </c>
      <c r="H1086">
        <f>IF(report_B_CategorieBoekjaar[[#This Row],[BedrijfsCode]]="002",IF(report_B_CategorieBoekjaar[[#This Row],[Boekjaar]]=Projectbegroting!$K$1,report_B_CategorieBoekjaar[[#This Row],[CategorieCode]],0),0)</f>
        <v>0</v>
      </c>
      <c r="I1086">
        <f>IF(report_B_CategorieBoekjaar[[#This Row],[BedrijfsCode]]="001",IF(report_B_CategorieBoekjaar[[#This Row],[Boekjaar]]=Projectbegroting!$K$1,report_B_CategorieBoekjaar[[#This Row],[CategorieCode]],0),0)</f>
        <v>0</v>
      </c>
    </row>
    <row r="1087" spans="1:9" x14ac:dyDescent="0.3">
      <c r="A1087" t="s">
        <v>330</v>
      </c>
      <c r="B1087" s="20">
        <v>44562</v>
      </c>
      <c r="C1087" t="s">
        <v>192</v>
      </c>
      <c r="D1087" t="s">
        <v>344</v>
      </c>
      <c r="E1087" t="s">
        <v>217</v>
      </c>
      <c r="F1087">
        <v>0</v>
      </c>
      <c r="G1087">
        <v>0</v>
      </c>
      <c r="H1087">
        <f>IF(report_B_CategorieBoekjaar[[#This Row],[BedrijfsCode]]="002",IF(report_B_CategorieBoekjaar[[#This Row],[Boekjaar]]=Projectbegroting!$K$1,report_B_CategorieBoekjaar[[#This Row],[CategorieCode]],0),0)</f>
        <v>0</v>
      </c>
      <c r="I1087">
        <f>IF(report_B_CategorieBoekjaar[[#This Row],[BedrijfsCode]]="001",IF(report_B_CategorieBoekjaar[[#This Row],[Boekjaar]]=Projectbegroting!$K$1,report_B_CategorieBoekjaar[[#This Row],[CategorieCode]],0),0)</f>
        <v>0</v>
      </c>
    </row>
    <row r="1088" spans="1:9" x14ac:dyDescent="0.3">
      <c r="A1088" t="s">
        <v>330</v>
      </c>
      <c r="B1088" s="20">
        <v>44562</v>
      </c>
      <c r="C1088" t="s">
        <v>193</v>
      </c>
      <c r="D1088" t="s">
        <v>345</v>
      </c>
      <c r="E1088" t="s">
        <v>217</v>
      </c>
      <c r="F1088">
        <v>0</v>
      </c>
      <c r="G1088">
        <v>0</v>
      </c>
      <c r="H1088">
        <f>IF(report_B_CategorieBoekjaar[[#This Row],[BedrijfsCode]]="002",IF(report_B_CategorieBoekjaar[[#This Row],[Boekjaar]]=Projectbegroting!$K$1,report_B_CategorieBoekjaar[[#This Row],[CategorieCode]],0),0)</f>
        <v>0</v>
      </c>
      <c r="I1088">
        <f>IF(report_B_CategorieBoekjaar[[#This Row],[BedrijfsCode]]="001",IF(report_B_CategorieBoekjaar[[#This Row],[Boekjaar]]=Projectbegroting!$K$1,report_B_CategorieBoekjaar[[#This Row],[CategorieCode]],0),0)</f>
        <v>0</v>
      </c>
    </row>
    <row r="1089" spans="1:9" x14ac:dyDescent="0.3">
      <c r="A1089" t="s">
        <v>330</v>
      </c>
      <c r="B1089" s="20">
        <v>44562</v>
      </c>
      <c r="C1089" t="s">
        <v>194</v>
      </c>
      <c r="D1089" t="s">
        <v>346</v>
      </c>
      <c r="E1089" t="s">
        <v>217</v>
      </c>
      <c r="F1089">
        <v>0</v>
      </c>
      <c r="G1089">
        <v>0</v>
      </c>
      <c r="H1089">
        <f>IF(report_B_CategorieBoekjaar[[#This Row],[BedrijfsCode]]="002",IF(report_B_CategorieBoekjaar[[#This Row],[Boekjaar]]=Projectbegroting!$K$1,report_B_CategorieBoekjaar[[#This Row],[CategorieCode]],0),0)</f>
        <v>0</v>
      </c>
      <c r="I1089">
        <f>IF(report_B_CategorieBoekjaar[[#This Row],[BedrijfsCode]]="001",IF(report_B_CategorieBoekjaar[[#This Row],[Boekjaar]]=Projectbegroting!$K$1,report_B_CategorieBoekjaar[[#This Row],[CategorieCode]],0),0)</f>
        <v>0</v>
      </c>
    </row>
    <row r="1090" spans="1:9" x14ac:dyDescent="0.3">
      <c r="A1090" t="s">
        <v>330</v>
      </c>
      <c r="B1090" s="20">
        <v>44562</v>
      </c>
      <c r="C1090" t="s">
        <v>195</v>
      </c>
      <c r="D1090" t="s">
        <v>347</v>
      </c>
      <c r="E1090" t="s">
        <v>217</v>
      </c>
      <c r="F1090">
        <v>0</v>
      </c>
      <c r="G1090">
        <v>0</v>
      </c>
      <c r="H1090">
        <f>IF(report_B_CategorieBoekjaar[[#This Row],[BedrijfsCode]]="002",IF(report_B_CategorieBoekjaar[[#This Row],[Boekjaar]]=Projectbegroting!$K$1,report_B_CategorieBoekjaar[[#This Row],[CategorieCode]],0),0)</f>
        <v>0</v>
      </c>
      <c r="I1090">
        <f>IF(report_B_CategorieBoekjaar[[#This Row],[BedrijfsCode]]="001",IF(report_B_CategorieBoekjaar[[#This Row],[Boekjaar]]=Projectbegroting!$K$1,report_B_CategorieBoekjaar[[#This Row],[CategorieCode]],0),0)</f>
        <v>0</v>
      </c>
    </row>
    <row r="1091" spans="1:9" x14ac:dyDescent="0.3">
      <c r="A1091" t="s">
        <v>330</v>
      </c>
      <c r="B1091" s="20">
        <v>44562</v>
      </c>
      <c r="C1091" t="s">
        <v>196</v>
      </c>
      <c r="D1091" t="s">
        <v>348</v>
      </c>
      <c r="E1091" t="s">
        <v>217</v>
      </c>
      <c r="F1091">
        <v>0</v>
      </c>
      <c r="G1091">
        <v>0</v>
      </c>
      <c r="H1091">
        <f>IF(report_B_CategorieBoekjaar[[#This Row],[BedrijfsCode]]="002",IF(report_B_CategorieBoekjaar[[#This Row],[Boekjaar]]=Projectbegroting!$K$1,report_B_CategorieBoekjaar[[#This Row],[CategorieCode]],0),0)</f>
        <v>0</v>
      </c>
      <c r="I1091">
        <f>IF(report_B_CategorieBoekjaar[[#This Row],[BedrijfsCode]]="001",IF(report_B_CategorieBoekjaar[[#This Row],[Boekjaar]]=Projectbegroting!$K$1,report_B_CategorieBoekjaar[[#This Row],[CategorieCode]],0),0)</f>
        <v>0</v>
      </c>
    </row>
    <row r="1092" spans="1:9" x14ac:dyDescent="0.3">
      <c r="A1092" t="s">
        <v>330</v>
      </c>
      <c r="B1092" s="20">
        <v>44562</v>
      </c>
      <c r="C1092" t="s">
        <v>349</v>
      </c>
      <c r="D1092" t="s">
        <v>350</v>
      </c>
      <c r="E1092" t="s">
        <v>217</v>
      </c>
      <c r="F1092">
        <v>0</v>
      </c>
      <c r="G1092">
        <v>0</v>
      </c>
      <c r="H1092">
        <f>IF(report_B_CategorieBoekjaar[[#This Row],[BedrijfsCode]]="002",IF(report_B_CategorieBoekjaar[[#This Row],[Boekjaar]]=Projectbegroting!$K$1,report_B_CategorieBoekjaar[[#This Row],[CategorieCode]],0),0)</f>
        <v>0</v>
      </c>
      <c r="I1092">
        <f>IF(report_B_CategorieBoekjaar[[#This Row],[BedrijfsCode]]="001",IF(report_B_CategorieBoekjaar[[#This Row],[Boekjaar]]=Projectbegroting!$K$1,report_B_CategorieBoekjaar[[#This Row],[CategorieCode]],0),0)</f>
        <v>0</v>
      </c>
    </row>
    <row r="1093" spans="1:9" x14ac:dyDescent="0.3">
      <c r="A1093" t="s">
        <v>330</v>
      </c>
      <c r="B1093" s="20">
        <v>44562</v>
      </c>
      <c r="C1093" t="s">
        <v>197</v>
      </c>
      <c r="D1093" t="s">
        <v>351</v>
      </c>
      <c r="E1093" t="s">
        <v>217</v>
      </c>
      <c r="F1093">
        <v>0</v>
      </c>
      <c r="G1093">
        <v>0</v>
      </c>
      <c r="H1093">
        <f>IF(report_B_CategorieBoekjaar[[#This Row],[BedrijfsCode]]="002",IF(report_B_CategorieBoekjaar[[#This Row],[Boekjaar]]=Projectbegroting!$K$1,report_B_CategorieBoekjaar[[#This Row],[CategorieCode]],0),0)</f>
        <v>0</v>
      </c>
      <c r="I1093">
        <f>IF(report_B_CategorieBoekjaar[[#This Row],[BedrijfsCode]]="001",IF(report_B_CategorieBoekjaar[[#This Row],[Boekjaar]]=Projectbegroting!$K$1,report_B_CategorieBoekjaar[[#This Row],[CategorieCode]],0),0)</f>
        <v>0</v>
      </c>
    </row>
    <row r="1094" spans="1:9" x14ac:dyDescent="0.3">
      <c r="A1094" t="s">
        <v>330</v>
      </c>
      <c r="B1094" s="20">
        <v>44562</v>
      </c>
      <c r="C1094" t="s">
        <v>198</v>
      </c>
      <c r="D1094" t="s">
        <v>352</v>
      </c>
      <c r="E1094" t="s">
        <v>217</v>
      </c>
      <c r="F1094">
        <v>0</v>
      </c>
      <c r="G1094">
        <v>0</v>
      </c>
      <c r="H1094">
        <f>IF(report_B_CategorieBoekjaar[[#This Row],[BedrijfsCode]]="002",IF(report_B_CategorieBoekjaar[[#This Row],[Boekjaar]]=Projectbegroting!$K$1,report_B_CategorieBoekjaar[[#This Row],[CategorieCode]],0),0)</f>
        <v>0</v>
      </c>
      <c r="I1094">
        <f>IF(report_B_CategorieBoekjaar[[#This Row],[BedrijfsCode]]="001",IF(report_B_CategorieBoekjaar[[#This Row],[Boekjaar]]=Projectbegroting!$K$1,report_B_CategorieBoekjaar[[#This Row],[CategorieCode]],0),0)</f>
        <v>0</v>
      </c>
    </row>
    <row r="1095" spans="1:9" x14ac:dyDescent="0.3">
      <c r="A1095" t="s">
        <v>330</v>
      </c>
      <c r="B1095" s="20">
        <v>44562</v>
      </c>
      <c r="C1095" t="s">
        <v>353</v>
      </c>
      <c r="D1095" t="s">
        <v>354</v>
      </c>
      <c r="E1095" t="s">
        <v>217</v>
      </c>
      <c r="F1095">
        <v>0</v>
      </c>
      <c r="G1095">
        <v>0</v>
      </c>
      <c r="H1095">
        <f>IF(report_B_CategorieBoekjaar[[#This Row],[BedrijfsCode]]="002",IF(report_B_CategorieBoekjaar[[#This Row],[Boekjaar]]=Projectbegroting!$K$1,report_B_CategorieBoekjaar[[#This Row],[CategorieCode]],0),0)</f>
        <v>0</v>
      </c>
      <c r="I1095">
        <f>IF(report_B_CategorieBoekjaar[[#This Row],[BedrijfsCode]]="001",IF(report_B_CategorieBoekjaar[[#This Row],[Boekjaar]]=Projectbegroting!$K$1,report_B_CategorieBoekjaar[[#This Row],[CategorieCode]],0),0)</f>
        <v>0</v>
      </c>
    </row>
    <row r="1096" spans="1:9" x14ac:dyDescent="0.3">
      <c r="A1096" t="s">
        <v>330</v>
      </c>
      <c r="B1096" s="20">
        <v>44562</v>
      </c>
      <c r="C1096" t="s">
        <v>199</v>
      </c>
      <c r="D1096" t="s">
        <v>355</v>
      </c>
      <c r="E1096" t="s">
        <v>217</v>
      </c>
      <c r="F1096">
        <v>0</v>
      </c>
      <c r="G1096">
        <v>0</v>
      </c>
      <c r="H1096">
        <f>IF(report_B_CategorieBoekjaar[[#This Row],[BedrijfsCode]]="002",IF(report_B_CategorieBoekjaar[[#This Row],[Boekjaar]]=Projectbegroting!$K$1,report_B_CategorieBoekjaar[[#This Row],[CategorieCode]],0),0)</f>
        <v>0</v>
      </c>
      <c r="I1096">
        <f>IF(report_B_CategorieBoekjaar[[#This Row],[BedrijfsCode]]="001",IF(report_B_CategorieBoekjaar[[#This Row],[Boekjaar]]=Projectbegroting!$K$1,report_B_CategorieBoekjaar[[#This Row],[CategorieCode]],0),0)</f>
        <v>0</v>
      </c>
    </row>
    <row r="1097" spans="1:9" x14ac:dyDescent="0.3">
      <c r="A1097" t="s">
        <v>330</v>
      </c>
      <c r="B1097" s="20">
        <v>44562</v>
      </c>
      <c r="C1097" t="s">
        <v>200</v>
      </c>
      <c r="D1097" t="s">
        <v>356</v>
      </c>
      <c r="E1097" t="s">
        <v>217</v>
      </c>
      <c r="F1097">
        <v>0</v>
      </c>
      <c r="G1097">
        <v>0</v>
      </c>
      <c r="H1097">
        <f>IF(report_B_CategorieBoekjaar[[#This Row],[BedrijfsCode]]="002",IF(report_B_CategorieBoekjaar[[#This Row],[Boekjaar]]=Projectbegroting!$K$1,report_B_CategorieBoekjaar[[#This Row],[CategorieCode]],0),0)</f>
        <v>0</v>
      </c>
      <c r="I1097">
        <f>IF(report_B_CategorieBoekjaar[[#This Row],[BedrijfsCode]]="001",IF(report_B_CategorieBoekjaar[[#This Row],[Boekjaar]]=Projectbegroting!$K$1,report_B_CategorieBoekjaar[[#This Row],[CategorieCode]],0),0)</f>
        <v>0</v>
      </c>
    </row>
    <row r="1098" spans="1:9" x14ac:dyDescent="0.3">
      <c r="A1098" t="s">
        <v>330</v>
      </c>
      <c r="B1098" s="20">
        <v>44562</v>
      </c>
      <c r="C1098" t="s">
        <v>201</v>
      </c>
      <c r="D1098" t="s">
        <v>357</v>
      </c>
      <c r="E1098" t="s">
        <v>217</v>
      </c>
      <c r="F1098">
        <v>0</v>
      </c>
      <c r="G1098">
        <v>0</v>
      </c>
      <c r="H1098">
        <f>IF(report_B_CategorieBoekjaar[[#This Row],[BedrijfsCode]]="002",IF(report_B_CategorieBoekjaar[[#This Row],[Boekjaar]]=Projectbegroting!$K$1,report_B_CategorieBoekjaar[[#This Row],[CategorieCode]],0),0)</f>
        <v>0</v>
      </c>
      <c r="I1098">
        <f>IF(report_B_CategorieBoekjaar[[#This Row],[BedrijfsCode]]="001",IF(report_B_CategorieBoekjaar[[#This Row],[Boekjaar]]=Projectbegroting!$K$1,report_B_CategorieBoekjaar[[#This Row],[CategorieCode]],0),0)</f>
        <v>0</v>
      </c>
    </row>
    <row r="1099" spans="1:9" x14ac:dyDescent="0.3">
      <c r="A1099" t="s">
        <v>330</v>
      </c>
      <c r="B1099" s="20">
        <v>44562</v>
      </c>
      <c r="C1099" t="s">
        <v>202</v>
      </c>
      <c r="D1099" t="s">
        <v>358</v>
      </c>
      <c r="E1099" t="s">
        <v>217</v>
      </c>
      <c r="F1099">
        <v>0</v>
      </c>
      <c r="G1099">
        <v>0</v>
      </c>
      <c r="H1099">
        <f>IF(report_B_CategorieBoekjaar[[#This Row],[BedrijfsCode]]="002",IF(report_B_CategorieBoekjaar[[#This Row],[Boekjaar]]=Projectbegroting!$K$1,report_B_CategorieBoekjaar[[#This Row],[CategorieCode]],0),0)</f>
        <v>0</v>
      </c>
      <c r="I1099">
        <f>IF(report_B_CategorieBoekjaar[[#This Row],[BedrijfsCode]]="001",IF(report_B_CategorieBoekjaar[[#This Row],[Boekjaar]]=Projectbegroting!$K$1,report_B_CategorieBoekjaar[[#This Row],[CategorieCode]],0),0)</f>
        <v>0</v>
      </c>
    </row>
    <row r="1100" spans="1:9" x14ac:dyDescent="0.3">
      <c r="A1100" t="s">
        <v>330</v>
      </c>
      <c r="B1100" s="20">
        <v>44562</v>
      </c>
      <c r="C1100" t="s">
        <v>203</v>
      </c>
      <c r="D1100" t="s">
        <v>359</v>
      </c>
      <c r="E1100" t="s">
        <v>217</v>
      </c>
      <c r="F1100">
        <v>0</v>
      </c>
      <c r="G1100">
        <v>0</v>
      </c>
      <c r="H1100">
        <f>IF(report_B_CategorieBoekjaar[[#This Row],[BedrijfsCode]]="002",IF(report_B_CategorieBoekjaar[[#This Row],[Boekjaar]]=Projectbegroting!$K$1,report_B_CategorieBoekjaar[[#This Row],[CategorieCode]],0),0)</f>
        <v>0</v>
      </c>
      <c r="I1100">
        <f>IF(report_B_CategorieBoekjaar[[#This Row],[BedrijfsCode]]="001",IF(report_B_CategorieBoekjaar[[#This Row],[Boekjaar]]=Projectbegroting!$K$1,report_B_CategorieBoekjaar[[#This Row],[CategorieCode]],0),0)</f>
        <v>0</v>
      </c>
    </row>
    <row r="1101" spans="1:9" x14ac:dyDescent="0.3">
      <c r="A1101" t="s">
        <v>330</v>
      </c>
      <c r="B1101" s="20">
        <v>44562</v>
      </c>
      <c r="C1101" t="s">
        <v>204</v>
      </c>
      <c r="D1101" t="s">
        <v>360</v>
      </c>
      <c r="E1101" t="s">
        <v>217</v>
      </c>
      <c r="F1101">
        <v>0</v>
      </c>
      <c r="G1101">
        <v>0</v>
      </c>
      <c r="H1101">
        <f>IF(report_B_CategorieBoekjaar[[#This Row],[BedrijfsCode]]="002",IF(report_B_CategorieBoekjaar[[#This Row],[Boekjaar]]=Projectbegroting!$K$1,report_B_CategorieBoekjaar[[#This Row],[CategorieCode]],0),0)</f>
        <v>0</v>
      </c>
      <c r="I1101">
        <f>IF(report_B_CategorieBoekjaar[[#This Row],[BedrijfsCode]]="001",IF(report_B_CategorieBoekjaar[[#This Row],[Boekjaar]]=Projectbegroting!$K$1,report_B_CategorieBoekjaar[[#This Row],[CategorieCode]],0),0)</f>
        <v>0</v>
      </c>
    </row>
    <row r="1102" spans="1:9" x14ac:dyDescent="0.3">
      <c r="A1102" t="s">
        <v>330</v>
      </c>
      <c r="B1102" s="20">
        <v>44562</v>
      </c>
      <c r="C1102" t="s">
        <v>205</v>
      </c>
      <c r="D1102" t="s">
        <v>361</v>
      </c>
      <c r="E1102" t="s">
        <v>217</v>
      </c>
      <c r="F1102">
        <v>0</v>
      </c>
      <c r="G1102">
        <v>0</v>
      </c>
      <c r="H1102">
        <f>IF(report_B_CategorieBoekjaar[[#This Row],[BedrijfsCode]]="002",IF(report_B_CategorieBoekjaar[[#This Row],[Boekjaar]]=Projectbegroting!$K$1,report_B_CategorieBoekjaar[[#This Row],[CategorieCode]],0),0)</f>
        <v>0</v>
      </c>
      <c r="I1102">
        <f>IF(report_B_CategorieBoekjaar[[#This Row],[BedrijfsCode]]="001",IF(report_B_CategorieBoekjaar[[#This Row],[Boekjaar]]=Projectbegroting!$K$1,report_B_CategorieBoekjaar[[#This Row],[CategorieCode]],0),0)</f>
        <v>0</v>
      </c>
    </row>
    <row r="1103" spans="1:9" x14ac:dyDescent="0.3">
      <c r="A1103" t="s">
        <v>330</v>
      </c>
      <c r="B1103" s="20">
        <v>44562</v>
      </c>
      <c r="C1103" t="s">
        <v>206</v>
      </c>
      <c r="D1103" t="s">
        <v>362</v>
      </c>
      <c r="E1103" t="s">
        <v>217</v>
      </c>
      <c r="F1103">
        <v>0</v>
      </c>
      <c r="G1103">
        <v>0</v>
      </c>
      <c r="H1103">
        <f>IF(report_B_CategorieBoekjaar[[#This Row],[BedrijfsCode]]="002",IF(report_B_CategorieBoekjaar[[#This Row],[Boekjaar]]=Projectbegroting!$K$1,report_B_CategorieBoekjaar[[#This Row],[CategorieCode]],0),0)</f>
        <v>0</v>
      </c>
      <c r="I1103">
        <f>IF(report_B_CategorieBoekjaar[[#This Row],[BedrijfsCode]]="001",IF(report_B_CategorieBoekjaar[[#This Row],[Boekjaar]]=Projectbegroting!$K$1,report_B_CategorieBoekjaar[[#This Row],[CategorieCode]],0),0)</f>
        <v>0</v>
      </c>
    </row>
    <row r="1104" spans="1:9" x14ac:dyDescent="0.3">
      <c r="A1104" t="s">
        <v>330</v>
      </c>
      <c r="B1104" s="20">
        <v>44562</v>
      </c>
      <c r="C1104" t="s">
        <v>363</v>
      </c>
      <c r="D1104" t="s">
        <v>364</v>
      </c>
      <c r="E1104" t="s">
        <v>217</v>
      </c>
      <c r="F1104">
        <v>0</v>
      </c>
      <c r="G1104">
        <v>0</v>
      </c>
      <c r="H1104">
        <f>IF(report_B_CategorieBoekjaar[[#This Row],[BedrijfsCode]]="002",IF(report_B_CategorieBoekjaar[[#This Row],[Boekjaar]]=Projectbegroting!$K$1,report_B_CategorieBoekjaar[[#This Row],[CategorieCode]],0),0)</f>
        <v>0</v>
      </c>
      <c r="I1104">
        <f>IF(report_B_CategorieBoekjaar[[#This Row],[BedrijfsCode]]="001",IF(report_B_CategorieBoekjaar[[#This Row],[Boekjaar]]=Projectbegroting!$K$1,report_B_CategorieBoekjaar[[#This Row],[CategorieCode]],0),0)</f>
        <v>0</v>
      </c>
    </row>
    <row r="1105" spans="1:9" x14ac:dyDescent="0.3">
      <c r="A1105" t="s">
        <v>330</v>
      </c>
      <c r="B1105" s="20">
        <v>44562</v>
      </c>
      <c r="C1105" t="s">
        <v>207</v>
      </c>
      <c r="D1105" t="s">
        <v>365</v>
      </c>
      <c r="E1105" t="s">
        <v>217</v>
      </c>
      <c r="F1105">
        <v>0</v>
      </c>
      <c r="G1105">
        <v>0</v>
      </c>
      <c r="H1105">
        <f>IF(report_B_CategorieBoekjaar[[#This Row],[BedrijfsCode]]="002",IF(report_B_CategorieBoekjaar[[#This Row],[Boekjaar]]=Projectbegroting!$K$1,report_B_CategorieBoekjaar[[#This Row],[CategorieCode]],0),0)</f>
        <v>0</v>
      </c>
      <c r="I1105">
        <f>IF(report_B_CategorieBoekjaar[[#This Row],[BedrijfsCode]]="001",IF(report_B_CategorieBoekjaar[[#This Row],[Boekjaar]]=Projectbegroting!$K$1,report_B_CategorieBoekjaar[[#This Row],[CategorieCode]],0),0)</f>
        <v>0</v>
      </c>
    </row>
    <row r="1106" spans="1:9" x14ac:dyDescent="0.3">
      <c r="A1106" t="s">
        <v>330</v>
      </c>
      <c r="B1106" s="20">
        <v>44562</v>
      </c>
      <c r="C1106" t="s">
        <v>208</v>
      </c>
      <c r="D1106" t="s">
        <v>366</v>
      </c>
      <c r="E1106" t="s">
        <v>217</v>
      </c>
      <c r="F1106">
        <v>0</v>
      </c>
      <c r="G1106">
        <v>0</v>
      </c>
      <c r="H1106">
        <f>IF(report_B_CategorieBoekjaar[[#This Row],[BedrijfsCode]]="002",IF(report_B_CategorieBoekjaar[[#This Row],[Boekjaar]]=Projectbegroting!$K$1,report_B_CategorieBoekjaar[[#This Row],[CategorieCode]],0),0)</f>
        <v>0</v>
      </c>
      <c r="I1106">
        <f>IF(report_B_CategorieBoekjaar[[#This Row],[BedrijfsCode]]="001",IF(report_B_CategorieBoekjaar[[#This Row],[Boekjaar]]=Projectbegroting!$K$1,report_B_CategorieBoekjaar[[#This Row],[CategorieCode]],0),0)</f>
        <v>0</v>
      </c>
    </row>
    <row r="1107" spans="1:9" x14ac:dyDescent="0.3">
      <c r="A1107" t="s">
        <v>330</v>
      </c>
      <c r="B1107" s="20">
        <v>44562</v>
      </c>
      <c r="C1107" t="s">
        <v>209</v>
      </c>
      <c r="D1107" t="s">
        <v>367</v>
      </c>
      <c r="E1107" t="s">
        <v>217</v>
      </c>
      <c r="F1107">
        <v>0</v>
      </c>
      <c r="G1107">
        <v>0</v>
      </c>
      <c r="H1107">
        <f>IF(report_B_CategorieBoekjaar[[#This Row],[BedrijfsCode]]="002",IF(report_B_CategorieBoekjaar[[#This Row],[Boekjaar]]=Projectbegroting!$K$1,report_B_CategorieBoekjaar[[#This Row],[CategorieCode]],0),0)</f>
        <v>0</v>
      </c>
      <c r="I1107">
        <f>IF(report_B_CategorieBoekjaar[[#This Row],[BedrijfsCode]]="001",IF(report_B_CategorieBoekjaar[[#This Row],[Boekjaar]]=Projectbegroting!$K$1,report_B_CategorieBoekjaar[[#This Row],[CategorieCode]],0),0)</f>
        <v>0</v>
      </c>
    </row>
    <row r="1108" spans="1:9" x14ac:dyDescent="0.3">
      <c r="A1108" t="s">
        <v>330</v>
      </c>
      <c r="B1108" s="20">
        <v>44562</v>
      </c>
      <c r="C1108" t="s">
        <v>210</v>
      </c>
      <c r="D1108" t="s">
        <v>368</v>
      </c>
      <c r="E1108" t="s">
        <v>217</v>
      </c>
      <c r="F1108">
        <v>0</v>
      </c>
      <c r="G1108">
        <v>0</v>
      </c>
      <c r="H1108">
        <f>IF(report_B_CategorieBoekjaar[[#This Row],[BedrijfsCode]]="002",IF(report_B_CategorieBoekjaar[[#This Row],[Boekjaar]]=Projectbegroting!$K$1,report_B_CategorieBoekjaar[[#This Row],[CategorieCode]],0),0)</f>
        <v>0</v>
      </c>
      <c r="I1108">
        <f>IF(report_B_CategorieBoekjaar[[#This Row],[BedrijfsCode]]="001",IF(report_B_CategorieBoekjaar[[#This Row],[Boekjaar]]=Projectbegroting!$K$1,report_B_CategorieBoekjaar[[#This Row],[CategorieCode]],0),0)</f>
        <v>0</v>
      </c>
    </row>
    <row r="1109" spans="1:9" x14ac:dyDescent="0.3">
      <c r="A1109" t="s">
        <v>330</v>
      </c>
      <c r="B1109" s="20">
        <v>44562</v>
      </c>
      <c r="C1109" t="s">
        <v>369</v>
      </c>
      <c r="D1109" t="s">
        <v>370</v>
      </c>
      <c r="E1109" t="s">
        <v>217</v>
      </c>
      <c r="F1109">
        <v>0</v>
      </c>
      <c r="G1109">
        <v>0</v>
      </c>
      <c r="H1109">
        <f>IF(report_B_CategorieBoekjaar[[#This Row],[BedrijfsCode]]="002",IF(report_B_CategorieBoekjaar[[#This Row],[Boekjaar]]=Projectbegroting!$K$1,report_B_CategorieBoekjaar[[#This Row],[CategorieCode]],0),0)</f>
        <v>0</v>
      </c>
      <c r="I1109">
        <f>IF(report_B_CategorieBoekjaar[[#This Row],[BedrijfsCode]]="001",IF(report_B_CategorieBoekjaar[[#This Row],[Boekjaar]]=Projectbegroting!$K$1,report_B_CategorieBoekjaar[[#This Row],[CategorieCode]],0),0)</f>
        <v>0</v>
      </c>
    </row>
    <row r="1110" spans="1:9" x14ac:dyDescent="0.3">
      <c r="A1110" t="s">
        <v>330</v>
      </c>
      <c r="B1110" s="20">
        <v>44562</v>
      </c>
      <c r="C1110" t="s">
        <v>371</v>
      </c>
      <c r="D1110" t="s">
        <v>372</v>
      </c>
      <c r="E1110" t="s">
        <v>217</v>
      </c>
      <c r="F1110">
        <v>0</v>
      </c>
      <c r="G1110">
        <v>0</v>
      </c>
      <c r="H1110">
        <f>IF(report_B_CategorieBoekjaar[[#This Row],[BedrijfsCode]]="002",IF(report_B_CategorieBoekjaar[[#This Row],[Boekjaar]]=Projectbegroting!$K$1,report_B_CategorieBoekjaar[[#This Row],[CategorieCode]],0),0)</f>
        <v>0</v>
      </c>
      <c r="I1110">
        <f>IF(report_B_CategorieBoekjaar[[#This Row],[BedrijfsCode]]="001",IF(report_B_CategorieBoekjaar[[#This Row],[Boekjaar]]=Projectbegroting!$K$1,report_B_CategorieBoekjaar[[#This Row],[CategorieCode]],0),0)</f>
        <v>0</v>
      </c>
    </row>
    <row r="1111" spans="1:9" x14ac:dyDescent="0.3">
      <c r="A1111" t="s">
        <v>330</v>
      </c>
      <c r="B1111" s="20">
        <v>44562</v>
      </c>
      <c r="C1111" t="s">
        <v>373</v>
      </c>
      <c r="D1111" t="s">
        <v>374</v>
      </c>
      <c r="E1111" t="s">
        <v>217</v>
      </c>
      <c r="F1111">
        <v>0</v>
      </c>
      <c r="G1111">
        <v>0</v>
      </c>
      <c r="H1111">
        <f>IF(report_B_CategorieBoekjaar[[#This Row],[BedrijfsCode]]="002",IF(report_B_CategorieBoekjaar[[#This Row],[Boekjaar]]=Projectbegroting!$K$1,report_B_CategorieBoekjaar[[#This Row],[CategorieCode]],0),0)</f>
        <v>0</v>
      </c>
      <c r="I1111">
        <f>IF(report_B_CategorieBoekjaar[[#This Row],[BedrijfsCode]]="001",IF(report_B_CategorieBoekjaar[[#This Row],[Boekjaar]]=Projectbegroting!$K$1,report_B_CategorieBoekjaar[[#This Row],[CategorieCode]],0),0)</f>
        <v>0</v>
      </c>
    </row>
    <row r="1112" spans="1:9" x14ac:dyDescent="0.3">
      <c r="A1112" t="s">
        <v>330</v>
      </c>
      <c r="B1112" s="20">
        <v>44562</v>
      </c>
      <c r="C1112" t="s">
        <v>375</v>
      </c>
      <c r="D1112" t="s">
        <v>376</v>
      </c>
      <c r="E1112" t="s">
        <v>217</v>
      </c>
      <c r="F1112">
        <v>0</v>
      </c>
      <c r="G1112">
        <v>0</v>
      </c>
      <c r="H1112">
        <f>IF(report_B_CategorieBoekjaar[[#This Row],[BedrijfsCode]]="002",IF(report_B_CategorieBoekjaar[[#This Row],[Boekjaar]]=Projectbegroting!$K$1,report_B_CategorieBoekjaar[[#This Row],[CategorieCode]],0),0)</f>
        <v>0</v>
      </c>
      <c r="I1112">
        <f>IF(report_B_CategorieBoekjaar[[#This Row],[BedrijfsCode]]="001",IF(report_B_CategorieBoekjaar[[#This Row],[Boekjaar]]=Projectbegroting!$K$1,report_B_CategorieBoekjaar[[#This Row],[CategorieCode]],0),0)</f>
        <v>0</v>
      </c>
    </row>
    <row r="1113" spans="1:9" x14ac:dyDescent="0.3">
      <c r="A1113" t="s">
        <v>330</v>
      </c>
      <c r="B1113" s="20">
        <v>44562</v>
      </c>
      <c r="C1113" t="s">
        <v>377</v>
      </c>
      <c r="D1113" t="s">
        <v>378</v>
      </c>
      <c r="E1113" t="s">
        <v>217</v>
      </c>
      <c r="F1113">
        <v>0</v>
      </c>
      <c r="G1113">
        <v>0</v>
      </c>
      <c r="H1113">
        <f>IF(report_B_CategorieBoekjaar[[#This Row],[BedrijfsCode]]="002",IF(report_B_CategorieBoekjaar[[#This Row],[Boekjaar]]=Projectbegroting!$K$1,report_B_CategorieBoekjaar[[#This Row],[CategorieCode]],0),0)</f>
        <v>0</v>
      </c>
      <c r="I1113">
        <f>IF(report_B_CategorieBoekjaar[[#This Row],[BedrijfsCode]]="001",IF(report_B_CategorieBoekjaar[[#This Row],[Boekjaar]]=Projectbegroting!$K$1,report_B_CategorieBoekjaar[[#This Row],[CategorieCode]],0),0)</f>
        <v>0</v>
      </c>
    </row>
    <row r="1114" spans="1:9" x14ac:dyDescent="0.3">
      <c r="A1114" t="s">
        <v>330</v>
      </c>
      <c r="B1114" s="20">
        <v>44562</v>
      </c>
      <c r="C1114" t="s">
        <v>379</v>
      </c>
      <c r="D1114" t="s">
        <v>380</v>
      </c>
      <c r="E1114" t="s">
        <v>381</v>
      </c>
      <c r="F1114">
        <v>45</v>
      </c>
      <c r="G1114">
        <v>70</v>
      </c>
      <c r="H1114">
        <f>IF(report_B_CategorieBoekjaar[[#This Row],[BedrijfsCode]]="002",IF(report_B_CategorieBoekjaar[[#This Row],[Boekjaar]]=Projectbegroting!$K$1,report_B_CategorieBoekjaar[[#This Row],[CategorieCode]],0),0)</f>
        <v>0</v>
      </c>
      <c r="I1114">
        <f>IF(report_B_CategorieBoekjaar[[#This Row],[BedrijfsCode]]="001",IF(report_B_CategorieBoekjaar[[#This Row],[Boekjaar]]=Projectbegroting!$K$1,report_B_CategorieBoekjaar[[#This Row],[CategorieCode]],0),0)</f>
        <v>0</v>
      </c>
    </row>
    <row r="1115" spans="1:9" x14ac:dyDescent="0.3">
      <c r="A1115" t="s">
        <v>330</v>
      </c>
      <c r="B1115" s="20">
        <v>44562</v>
      </c>
      <c r="C1115" t="s">
        <v>382</v>
      </c>
      <c r="D1115" t="s">
        <v>383</v>
      </c>
      <c r="E1115" t="s">
        <v>384</v>
      </c>
      <c r="F1115">
        <v>0</v>
      </c>
      <c r="G1115">
        <v>0</v>
      </c>
      <c r="H1115">
        <f>IF(report_B_CategorieBoekjaar[[#This Row],[BedrijfsCode]]="002",IF(report_B_CategorieBoekjaar[[#This Row],[Boekjaar]]=Projectbegroting!$K$1,report_B_CategorieBoekjaar[[#This Row],[CategorieCode]],0),0)</f>
        <v>0</v>
      </c>
      <c r="I1115">
        <f>IF(report_B_CategorieBoekjaar[[#This Row],[BedrijfsCode]]="001",IF(report_B_CategorieBoekjaar[[#This Row],[Boekjaar]]=Projectbegroting!$K$1,report_B_CategorieBoekjaar[[#This Row],[CategorieCode]],0),0)</f>
        <v>0</v>
      </c>
    </row>
    <row r="1116" spans="1:9" x14ac:dyDescent="0.3">
      <c r="A1116" t="s">
        <v>330</v>
      </c>
      <c r="B1116" s="20">
        <v>44562</v>
      </c>
      <c r="C1116" t="s">
        <v>385</v>
      </c>
      <c r="D1116" t="s">
        <v>386</v>
      </c>
      <c r="E1116" t="s">
        <v>381</v>
      </c>
      <c r="F1116">
        <v>68</v>
      </c>
      <c r="G1116">
        <v>106</v>
      </c>
      <c r="H1116">
        <f>IF(report_B_CategorieBoekjaar[[#This Row],[BedrijfsCode]]="002",IF(report_B_CategorieBoekjaar[[#This Row],[Boekjaar]]=Projectbegroting!$K$1,report_B_CategorieBoekjaar[[#This Row],[CategorieCode]],0),0)</f>
        <v>0</v>
      </c>
      <c r="I1116">
        <f>IF(report_B_CategorieBoekjaar[[#This Row],[BedrijfsCode]]="001",IF(report_B_CategorieBoekjaar[[#This Row],[Boekjaar]]=Projectbegroting!$K$1,report_B_CategorieBoekjaar[[#This Row],[CategorieCode]],0),0)</f>
        <v>0</v>
      </c>
    </row>
    <row r="1117" spans="1:9" x14ac:dyDescent="0.3">
      <c r="A1117" t="s">
        <v>330</v>
      </c>
      <c r="B1117" s="20">
        <v>44562</v>
      </c>
      <c r="C1117" t="s">
        <v>387</v>
      </c>
      <c r="D1117" t="s">
        <v>388</v>
      </c>
      <c r="E1117" t="s">
        <v>384</v>
      </c>
      <c r="F1117">
        <v>0</v>
      </c>
      <c r="G1117">
        <v>0</v>
      </c>
      <c r="H1117">
        <f>IF(report_B_CategorieBoekjaar[[#This Row],[BedrijfsCode]]="002",IF(report_B_CategorieBoekjaar[[#This Row],[Boekjaar]]=Projectbegroting!$K$1,report_B_CategorieBoekjaar[[#This Row],[CategorieCode]],0),0)</f>
        <v>0</v>
      </c>
      <c r="I1117">
        <f>IF(report_B_CategorieBoekjaar[[#This Row],[BedrijfsCode]]="001",IF(report_B_CategorieBoekjaar[[#This Row],[Boekjaar]]=Projectbegroting!$K$1,report_B_CategorieBoekjaar[[#This Row],[CategorieCode]],0),0)</f>
        <v>0</v>
      </c>
    </row>
    <row r="1118" spans="1:9" x14ac:dyDescent="0.3">
      <c r="A1118" t="s">
        <v>330</v>
      </c>
      <c r="B1118" s="20">
        <v>44562</v>
      </c>
      <c r="C1118" t="s">
        <v>52</v>
      </c>
      <c r="D1118" t="s">
        <v>53</v>
      </c>
      <c r="E1118" t="s">
        <v>381</v>
      </c>
      <c r="F1118">
        <v>71</v>
      </c>
      <c r="G1118">
        <v>0</v>
      </c>
      <c r="H1118">
        <f>IF(report_B_CategorieBoekjaar[[#This Row],[BedrijfsCode]]="002",IF(report_B_CategorieBoekjaar[[#This Row],[Boekjaar]]=Projectbegroting!$K$1,report_B_CategorieBoekjaar[[#This Row],[CategorieCode]],0),0)</f>
        <v>0</v>
      </c>
      <c r="I1118">
        <f>IF(report_B_CategorieBoekjaar[[#This Row],[BedrijfsCode]]="001",IF(report_B_CategorieBoekjaar[[#This Row],[Boekjaar]]=Projectbegroting!$K$1,report_B_CategorieBoekjaar[[#This Row],[CategorieCode]],0),0)</f>
        <v>0</v>
      </c>
    </row>
    <row r="1119" spans="1:9" x14ac:dyDescent="0.3">
      <c r="A1119" t="s">
        <v>330</v>
      </c>
      <c r="B1119" s="20">
        <v>44562</v>
      </c>
      <c r="C1119" t="s">
        <v>389</v>
      </c>
      <c r="D1119" t="s">
        <v>390</v>
      </c>
      <c r="E1119" t="s">
        <v>384</v>
      </c>
      <c r="F1119">
        <v>0</v>
      </c>
      <c r="G1119">
        <v>0</v>
      </c>
      <c r="H1119">
        <f>IF(report_B_CategorieBoekjaar[[#This Row],[BedrijfsCode]]="002",IF(report_B_CategorieBoekjaar[[#This Row],[Boekjaar]]=Projectbegroting!$K$1,report_B_CategorieBoekjaar[[#This Row],[CategorieCode]],0),0)</f>
        <v>0</v>
      </c>
      <c r="I1119">
        <f>IF(report_B_CategorieBoekjaar[[#This Row],[BedrijfsCode]]="001",IF(report_B_CategorieBoekjaar[[#This Row],[Boekjaar]]=Projectbegroting!$K$1,report_B_CategorieBoekjaar[[#This Row],[CategorieCode]],0),0)</f>
        <v>0</v>
      </c>
    </row>
    <row r="1120" spans="1:9" x14ac:dyDescent="0.3">
      <c r="A1120" t="s">
        <v>330</v>
      </c>
      <c r="B1120" s="20">
        <v>44562</v>
      </c>
      <c r="C1120" t="s">
        <v>391</v>
      </c>
      <c r="D1120" t="s">
        <v>392</v>
      </c>
      <c r="E1120" t="s">
        <v>381</v>
      </c>
      <c r="F1120">
        <v>53</v>
      </c>
      <c r="G1120">
        <v>0</v>
      </c>
      <c r="H1120">
        <f>IF(report_B_CategorieBoekjaar[[#This Row],[BedrijfsCode]]="002",IF(report_B_CategorieBoekjaar[[#This Row],[Boekjaar]]=Projectbegroting!$K$1,report_B_CategorieBoekjaar[[#This Row],[CategorieCode]],0),0)</f>
        <v>0</v>
      </c>
      <c r="I1120">
        <f>IF(report_B_CategorieBoekjaar[[#This Row],[BedrijfsCode]]="001",IF(report_B_CategorieBoekjaar[[#This Row],[Boekjaar]]=Projectbegroting!$K$1,report_B_CategorieBoekjaar[[#This Row],[CategorieCode]],0),0)</f>
        <v>0</v>
      </c>
    </row>
    <row r="1121" spans="1:9" x14ac:dyDescent="0.3">
      <c r="A1121" t="s">
        <v>330</v>
      </c>
      <c r="B1121" s="20">
        <v>44562</v>
      </c>
      <c r="C1121" t="s">
        <v>393</v>
      </c>
      <c r="D1121" t="s">
        <v>394</v>
      </c>
      <c r="E1121" t="s">
        <v>384</v>
      </c>
      <c r="F1121">
        <v>0</v>
      </c>
      <c r="G1121">
        <v>0</v>
      </c>
      <c r="H1121">
        <f>IF(report_B_CategorieBoekjaar[[#This Row],[BedrijfsCode]]="002",IF(report_B_CategorieBoekjaar[[#This Row],[Boekjaar]]=Projectbegroting!$K$1,report_B_CategorieBoekjaar[[#This Row],[CategorieCode]],0),0)</f>
        <v>0</v>
      </c>
      <c r="I1121">
        <f>IF(report_B_CategorieBoekjaar[[#This Row],[BedrijfsCode]]="001",IF(report_B_CategorieBoekjaar[[#This Row],[Boekjaar]]=Projectbegroting!$K$1,report_B_CategorieBoekjaar[[#This Row],[CategorieCode]],0),0)</f>
        <v>0</v>
      </c>
    </row>
    <row r="1122" spans="1:9" x14ac:dyDescent="0.3">
      <c r="A1122" t="s">
        <v>330</v>
      </c>
      <c r="B1122" s="20">
        <v>44562</v>
      </c>
      <c r="C1122" t="s">
        <v>395</v>
      </c>
      <c r="D1122" t="s">
        <v>396</v>
      </c>
      <c r="E1122" t="s">
        <v>381</v>
      </c>
      <c r="F1122">
        <v>54</v>
      </c>
      <c r="G1122">
        <v>0</v>
      </c>
      <c r="H1122">
        <f>IF(report_B_CategorieBoekjaar[[#This Row],[BedrijfsCode]]="002",IF(report_B_CategorieBoekjaar[[#This Row],[Boekjaar]]=Projectbegroting!$K$1,report_B_CategorieBoekjaar[[#This Row],[CategorieCode]],0),0)</f>
        <v>0</v>
      </c>
      <c r="I1122">
        <f>IF(report_B_CategorieBoekjaar[[#This Row],[BedrijfsCode]]="001",IF(report_B_CategorieBoekjaar[[#This Row],[Boekjaar]]=Projectbegroting!$K$1,report_B_CategorieBoekjaar[[#This Row],[CategorieCode]],0),0)</f>
        <v>0</v>
      </c>
    </row>
    <row r="1123" spans="1:9" x14ac:dyDescent="0.3">
      <c r="A1123" t="s">
        <v>330</v>
      </c>
      <c r="B1123" s="20">
        <v>44562</v>
      </c>
      <c r="C1123" t="s">
        <v>397</v>
      </c>
      <c r="D1123" t="s">
        <v>398</v>
      </c>
      <c r="E1123" t="s">
        <v>384</v>
      </c>
      <c r="F1123">
        <v>0</v>
      </c>
      <c r="G1123">
        <v>0</v>
      </c>
      <c r="H1123">
        <f>IF(report_B_CategorieBoekjaar[[#This Row],[BedrijfsCode]]="002",IF(report_B_CategorieBoekjaar[[#This Row],[Boekjaar]]=Projectbegroting!$K$1,report_B_CategorieBoekjaar[[#This Row],[CategorieCode]],0),0)</f>
        <v>0</v>
      </c>
      <c r="I1123">
        <f>IF(report_B_CategorieBoekjaar[[#This Row],[BedrijfsCode]]="001",IF(report_B_CategorieBoekjaar[[#This Row],[Boekjaar]]=Projectbegroting!$K$1,report_B_CategorieBoekjaar[[#This Row],[CategorieCode]],0),0)</f>
        <v>0</v>
      </c>
    </row>
    <row r="1124" spans="1:9" x14ac:dyDescent="0.3">
      <c r="A1124" t="s">
        <v>330</v>
      </c>
      <c r="B1124" s="20">
        <v>44562</v>
      </c>
      <c r="C1124" t="s">
        <v>54</v>
      </c>
      <c r="D1124" t="s">
        <v>399</v>
      </c>
      <c r="E1124" t="s">
        <v>381</v>
      </c>
      <c r="F1124">
        <v>53</v>
      </c>
      <c r="G1124">
        <v>79</v>
      </c>
      <c r="H1124">
        <f>IF(report_B_CategorieBoekjaar[[#This Row],[BedrijfsCode]]="002",IF(report_B_CategorieBoekjaar[[#This Row],[Boekjaar]]=Projectbegroting!$K$1,report_B_CategorieBoekjaar[[#This Row],[CategorieCode]],0),0)</f>
        <v>0</v>
      </c>
      <c r="I1124">
        <f>IF(report_B_CategorieBoekjaar[[#This Row],[BedrijfsCode]]="001",IF(report_B_CategorieBoekjaar[[#This Row],[Boekjaar]]=Projectbegroting!$K$1,report_B_CategorieBoekjaar[[#This Row],[CategorieCode]],0),0)</f>
        <v>0</v>
      </c>
    </row>
    <row r="1125" spans="1:9" x14ac:dyDescent="0.3">
      <c r="A1125" t="s">
        <v>330</v>
      </c>
      <c r="B1125" s="20">
        <v>44562</v>
      </c>
      <c r="C1125" t="s">
        <v>400</v>
      </c>
      <c r="D1125" t="s">
        <v>401</v>
      </c>
      <c r="E1125" t="s">
        <v>384</v>
      </c>
      <c r="F1125">
        <v>0</v>
      </c>
      <c r="G1125">
        <v>0</v>
      </c>
      <c r="H1125">
        <f>IF(report_B_CategorieBoekjaar[[#This Row],[BedrijfsCode]]="002",IF(report_B_CategorieBoekjaar[[#This Row],[Boekjaar]]=Projectbegroting!$K$1,report_B_CategorieBoekjaar[[#This Row],[CategorieCode]],0),0)</f>
        <v>0</v>
      </c>
      <c r="I1125">
        <f>IF(report_B_CategorieBoekjaar[[#This Row],[BedrijfsCode]]="001",IF(report_B_CategorieBoekjaar[[#This Row],[Boekjaar]]=Projectbegroting!$K$1,report_B_CategorieBoekjaar[[#This Row],[CategorieCode]],0),0)</f>
        <v>0</v>
      </c>
    </row>
    <row r="1126" spans="1:9" x14ac:dyDescent="0.3">
      <c r="A1126" t="s">
        <v>330</v>
      </c>
      <c r="B1126" s="20">
        <v>44562</v>
      </c>
      <c r="C1126" t="s">
        <v>56</v>
      </c>
      <c r="D1126" t="s">
        <v>402</v>
      </c>
      <c r="E1126" t="s">
        <v>381</v>
      </c>
      <c r="F1126">
        <v>62</v>
      </c>
      <c r="G1126">
        <v>0</v>
      </c>
      <c r="H1126">
        <f>IF(report_B_CategorieBoekjaar[[#This Row],[BedrijfsCode]]="002",IF(report_B_CategorieBoekjaar[[#This Row],[Boekjaar]]=Projectbegroting!$K$1,report_B_CategorieBoekjaar[[#This Row],[CategorieCode]],0),0)</f>
        <v>0</v>
      </c>
      <c r="I1126">
        <f>IF(report_B_CategorieBoekjaar[[#This Row],[BedrijfsCode]]="001",IF(report_B_CategorieBoekjaar[[#This Row],[Boekjaar]]=Projectbegroting!$K$1,report_B_CategorieBoekjaar[[#This Row],[CategorieCode]],0),0)</f>
        <v>0</v>
      </c>
    </row>
    <row r="1127" spans="1:9" x14ac:dyDescent="0.3">
      <c r="A1127" t="s">
        <v>330</v>
      </c>
      <c r="B1127" s="20">
        <v>44562</v>
      </c>
      <c r="C1127" t="s">
        <v>403</v>
      </c>
      <c r="D1127" t="s">
        <v>404</v>
      </c>
      <c r="E1127" t="s">
        <v>384</v>
      </c>
      <c r="F1127">
        <v>0</v>
      </c>
      <c r="G1127">
        <v>0</v>
      </c>
      <c r="H1127">
        <f>IF(report_B_CategorieBoekjaar[[#This Row],[BedrijfsCode]]="002",IF(report_B_CategorieBoekjaar[[#This Row],[Boekjaar]]=Projectbegroting!$K$1,report_B_CategorieBoekjaar[[#This Row],[CategorieCode]],0),0)</f>
        <v>0</v>
      </c>
      <c r="I1127">
        <f>IF(report_B_CategorieBoekjaar[[#This Row],[BedrijfsCode]]="001",IF(report_B_CategorieBoekjaar[[#This Row],[Boekjaar]]=Projectbegroting!$K$1,report_B_CategorieBoekjaar[[#This Row],[CategorieCode]],0),0)</f>
        <v>0</v>
      </c>
    </row>
    <row r="1128" spans="1:9" x14ac:dyDescent="0.3">
      <c r="A1128" t="s">
        <v>330</v>
      </c>
      <c r="B1128" s="20">
        <v>44562</v>
      </c>
      <c r="C1128" t="s">
        <v>405</v>
      </c>
      <c r="D1128" t="s">
        <v>16</v>
      </c>
      <c r="E1128" t="s">
        <v>381</v>
      </c>
      <c r="F1128">
        <v>52</v>
      </c>
      <c r="G1128">
        <v>0</v>
      </c>
      <c r="H1128">
        <f>IF(report_B_CategorieBoekjaar[[#This Row],[BedrijfsCode]]="002",IF(report_B_CategorieBoekjaar[[#This Row],[Boekjaar]]=Projectbegroting!$K$1,report_B_CategorieBoekjaar[[#This Row],[CategorieCode]],0),0)</f>
        <v>0</v>
      </c>
      <c r="I1128">
        <f>IF(report_B_CategorieBoekjaar[[#This Row],[BedrijfsCode]]="001",IF(report_B_CategorieBoekjaar[[#This Row],[Boekjaar]]=Projectbegroting!$K$1,report_B_CategorieBoekjaar[[#This Row],[CategorieCode]],0),0)</f>
        <v>0</v>
      </c>
    </row>
    <row r="1129" spans="1:9" x14ac:dyDescent="0.3">
      <c r="A1129" t="s">
        <v>330</v>
      </c>
      <c r="B1129" s="20">
        <v>44562</v>
      </c>
      <c r="C1129" t="s">
        <v>58</v>
      </c>
      <c r="D1129" t="s">
        <v>406</v>
      </c>
      <c r="E1129" t="s">
        <v>381</v>
      </c>
      <c r="F1129">
        <v>54</v>
      </c>
      <c r="G1129">
        <v>0</v>
      </c>
      <c r="H1129">
        <f>IF(report_B_CategorieBoekjaar[[#This Row],[BedrijfsCode]]="002",IF(report_B_CategorieBoekjaar[[#This Row],[Boekjaar]]=Projectbegroting!$K$1,report_B_CategorieBoekjaar[[#This Row],[CategorieCode]],0),0)</f>
        <v>0</v>
      </c>
      <c r="I1129">
        <f>IF(report_B_CategorieBoekjaar[[#This Row],[BedrijfsCode]]="001",IF(report_B_CategorieBoekjaar[[#This Row],[Boekjaar]]=Projectbegroting!$K$1,report_B_CategorieBoekjaar[[#This Row],[CategorieCode]],0),0)</f>
        <v>0</v>
      </c>
    </row>
    <row r="1130" spans="1:9" x14ac:dyDescent="0.3">
      <c r="A1130" t="s">
        <v>330</v>
      </c>
      <c r="B1130" s="20">
        <v>44562</v>
      </c>
      <c r="C1130" t="s">
        <v>407</v>
      </c>
      <c r="D1130" t="s">
        <v>408</v>
      </c>
      <c r="E1130" t="s">
        <v>384</v>
      </c>
      <c r="F1130">
        <v>0</v>
      </c>
      <c r="G1130">
        <v>0</v>
      </c>
      <c r="H1130">
        <f>IF(report_B_CategorieBoekjaar[[#This Row],[BedrijfsCode]]="002",IF(report_B_CategorieBoekjaar[[#This Row],[Boekjaar]]=Projectbegroting!$K$1,report_B_CategorieBoekjaar[[#This Row],[CategorieCode]],0),0)</f>
        <v>0</v>
      </c>
      <c r="I1130">
        <f>IF(report_B_CategorieBoekjaar[[#This Row],[BedrijfsCode]]="001",IF(report_B_CategorieBoekjaar[[#This Row],[Boekjaar]]=Projectbegroting!$K$1,report_B_CategorieBoekjaar[[#This Row],[CategorieCode]],0),0)</f>
        <v>0</v>
      </c>
    </row>
    <row r="1131" spans="1:9" x14ac:dyDescent="0.3">
      <c r="A1131" t="s">
        <v>330</v>
      </c>
      <c r="B1131" s="20">
        <v>44562</v>
      </c>
      <c r="C1131" t="s">
        <v>60</v>
      </c>
      <c r="D1131" t="s">
        <v>61</v>
      </c>
      <c r="E1131" t="s">
        <v>381</v>
      </c>
      <c r="F1131">
        <v>68</v>
      </c>
      <c r="G1131">
        <v>95</v>
      </c>
      <c r="H1131">
        <f>IF(report_B_CategorieBoekjaar[[#This Row],[BedrijfsCode]]="002",IF(report_B_CategorieBoekjaar[[#This Row],[Boekjaar]]=Projectbegroting!$K$1,report_B_CategorieBoekjaar[[#This Row],[CategorieCode]],0),0)</f>
        <v>0</v>
      </c>
      <c r="I1131">
        <f>IF(report_B_CategorieBoekjaar[[#This Row],[BedrijfsCode]]="001",IF(report_B_CategorieBoekjaar[[#This Row],[Boekjaar]]=Projectbegroting!$K$1,report_B_CategorieBoekjaar[[#This Row],[CategorieCode]],0),0)</f>
        <v>0</v>
      </c>
    </row>
    <row r="1132" spans="1:9" x14ac:dyDescent="0.3">
      <c r="A1132" t="s">
        <v>330</v>
      </c>
      <c r="B1132" s="20">
        <v>44562</v>
      </c>
      <c r="C1132" t="s">
        <v>168</v>
      </c>
      <c r="D1132" t="s">
        <v>409</v>
      </c>
      <c r="E1132" t="s">
        <v>384</v>
      </c>
      <c r="F1132">
        <v>0</v>
      </c>
      <c r="G1132">
        <v>0</v>
      </c>
      <c r="H1132">
        <f>IF(report_B_CategorieBoekjaar[[#This Row],[BedrijfsCode]]="002",IF(report_B_CategorieBoekjaar[[#This Row],[Boekjaar]]=Projectbegroting!$K$1,report_B_CategorieBoekjaar[[#This Row],[CategorieCode]],0),0)</f>
        <v>0</v>
      </c>
      <c r="I1132">
        <f>IF(report_B_CategorieBoekjaar[[#This Row],[BedrijfsCode]]="001",IF(report_B_CategorieBoekjaar[[#This Row],[Boekjaar]]=Projectbegroting!$K$1,report_B_CategorieBoekjaar[[#This Row],[CategorieCode]],0),0)</f>
        <v>0</v>
      </c>
    </row>
    <row r="1133" spans="1:9" x14ac:dyDescent="0.3">
      <c r="A1133" t="s">
        <v>330</v>
      </c>
      <c r="B1133" s="20">
        <v>44562</v>
      </c>
      <c r="C1133" t="s">
        <v>410</v>
      </c>
      <c r="D1133" t="s">
        <v>411</v>
      </c>
      <c r="E1133" t="s">
        <v>381</v>
      </c>
      <c r="F1133">
        <v>34</v>
      </c>
      <c r="G1133">
        <v>0</v>
      </c>
      <c r="H1133">
        <f>IF(report_B_CategorieBoekjaar[[#This Row],[BedrijfsCode]]="002",IF(report_B_CategorieBoekjaar[[#This Row],[Boekjaar]]=Projectbegroting!$K$1,report_B_CategorieBoekjaar[[#This Row],[CategorieCode]],0),0)</f>
        <v>0</v>
      </c>
      <c r="I1133">
        <f>IF(report_B_CategorieBoekjaar[[#This Row],[BedrijfsCode]]="001",IF(report_B_CategorieBoekjaar[[#This Row],[Boekjaar]]=Projectbegroting!$K$1,report_B_CategorieBoekjaar[[#This Row],[CategorieCode]],0),0)</f>
        <v>0</v>
      </c>
    </row>
    <row r="1134" spans="1:9" x14ac:dyDescent="0.3">
      <c r="A1134" t="s">
        <v>330</v>
      </c>
      <c r="B1134" s="20">
        <v>44562</v>
      </c>
      <c r="C1134" t="s">
        <v>412</v>
      </c>
      <c r="D1134" t="s">
        <v>413</v>
      </c>
      <c r="E1134" t="s">
        <v>381</v>
      </c>
      <c r="F1134">
        <v>38</v>
      </c>
      <c r="G1134">
        <v>0</v>
      </c>
      <c r="H1134">
        <f>IF(report_B_CategorieBoekjaar[[#This Row],[BedrijfsCode]]="002",IF(report_B_CategorieBoekjaar[[#This Row],[Boekjaar]]=Projectbegroting!$K$1,report_B_CategorieBoekjaar[[#This Row],[CategorieCode]],0),0)</f>
        <v>0</v>
      </c>
      <c r="I1134">
        <f>IF(report_B_CategorieBoekjaar[[#This Row],[BedrijfsCode]]="001",IF(report_B_CategorieBoekjaar[[#This Row],[Boekjaar]]=Projectbegroting!$K$1,report_B_CategorieBoekjaar[[#This Row],[CategorieCode]],0),0)</f>
        <v>0</v>
      </c>
    </row>
    <row r="1135" spans="1:9" x14ac:dyDescent="0.3">
      <c r="A1135" t="s">
        <v>330</v>
      </c>
      <c r="B1135" s="20">
        <v>44562</v>
      </c>
      <c r="C1135" t="s">
        <v>414</v>
      </c>
      <c r="D1135" t="s">
        <v>415</v>
      </c>
      <c r="E1135" t="s">
        <v>384</v>
      </c>
      <c r="F1135">
        <v>0</v>
      </c>
      <c r="G1135">
        <v>0</v>
      </c>
      <c r="H1135">
        <f>IF(report_B_CategorieBoekjaar[[#This Row],[BedrijfsCode]]="002",IF(report_B_CategorieBoekjaar[[#This Row],[Boekjaar]]=Projectbegroting!$K$1,report_B_CategorieBoekjaar[[#This Row],[CategorieCode]],0),0)</f>
        <v>0</v>
      </c>
      <c r="I1135">
        <f>IF(report_B_CategorieBoekjaar[[#This Row],[BedrijfsCode]]="001",IF(report_B_CategorieBoekjaar[[#This Row],[Boekjaar]]=Projectbegroting!$K$1,report_B_CategorieBoekjaar[[#This Row],[CategorieCode]],0),0)</f>
        <v>0</v>
      </c>
    </row>
    <row r="1136" spans="1:9" x14ac:dyDescent="0.3">
      <c r="A1136" t="s">
        <v>330</v>
      </c>
      <c r="B1136" s="20">
        <v>44562</v>
      </c>
      <c r="C1136" t="s">
        <v>82</v>
      </c>
      <c r="D1136" t="s">
        <v>416</v>
      </c>
      <c r="E1136" t="s">
        <v>381</v>
      </c>
      <c r="F1136">
        <v>73</v>
      </c>
      <c r="G1136">
        <v>100</v>
      </c>
      <c r="H1136">
        <f>IF(report_B_CategorieBoekjaar[[#This Row],[BedrijfsCode]]="002",IF(report_B_CategorieBoekjaar[[#This Row],[Boekjaar]]=Projectbegroting!$K$1,report_B_CategorieBoekjaar[[#This Row],[CategorieCode]],0),0)</f>
        <v>0</v>
      </c>
      <c r="I1136">
        <f>IF(report_B_CategorieBoekjaar[[#This Row],[BedrijfsCode]]="001",IF(report_B_CategorieBoekjaar[[#This Row],[Boekjaar]]=Projectbegroting!$K$1,report_B_CategorieBoekjaar[[#This Row],[CategorieCode]],0),0)</f>
        <v>0</v>
      </c>
    </row>
    <row r="1137" spans="1:9" x14ac:dyDescent="0.3">
      <c r="A1137" t="s">
        <v>330</v>
      </c>
      <c r="B1137" s="20">
        <v>44562</v>
      </c>
      <c r="C1137" t="s">
        <v>169</v>
      </c>
      <c r="D1137" t="s">
        <v>417</v>
      </c>
      <c r="E1137" t="s">
        <v>384</v>
      </c>
      <c r="F1137">
        <v>0</v>
      </c>
      <c r="G1137">
        <v>0</v>
      </c>
      <c r="H1137">
        <f>IF(report_B_CategorieBoekjaar[[#This Row],[BedrijfsCode]]="002",IF(report_B_CategorieBoekjaar[[#This Row],[Boekjaar]]=Projectbegroting!$K$1,report_B_CategorieBoekjaar[[#This Row],[CategorieCode]],0),0)</f>
        <v>0</v>
      </c>
      <c r="I1137">
        <f>IF(report_B_CategorieBoekjaar[[#This Row],[BedrijfsCode]]="001",IF(report_B_CategorieBoekjaar[[#This Row],[Boekjaar]]=Projectbegroting!$K$1,report_B_CategorieBoekjaar[[#This Row],[CategorieCode]],0),0)</f>
        <v>0</v>
      </c>
    </row>
    <row r="1138" spans="1:9" x14ac:dyDescent="0.3">
      <c r="A1138" t="s">
        <v>330</v>
      </c>
      <c r="B1138" s="20">
        <v>44562</v>
      </c>
      <c r="C1138" t="s">
        <v>418</v>
      </c>
      <c r="D1138" t="s">
        <v>419</v>
      </c>
      <c r="E1138" t="s">
        <v>381</v>
      </c>
      <c r="F1138">
        <v>66</v>
      </c>
      <c r="G1138">
        <v>102</v>
      </c>
      <c r="H1138">
        <f>IF(report_B_CategorieBoekjaar[[#This Row],[BedrijfsCode]]="002",IF(report_B_CategorieBoekjaar[[#This Row],[Boekjaar]]=Projectbegroting!$K$1,report_B_CategorieBoekjaar[[#This Row],[CategorieCode]],0),0)</f>
        <v>0</v>
      </c>
      <c r="I1138">
        <f>IF(report_B_CategorieBoekjaar[[#This Row],[BedrijfsCode]]="001",IF(report_B_CategorieBoekjaar[[#This Row],[Boekjaar]]=Projectbegroting!$K$1,report_B_CategorieBoekjaar[[#This Row],[CategorieCode]],0),0)</f>
        <v>0</v>
      </c>
    </row>
    <row r="1139" spans="1:9" x14ac:dyDescent="0.3">
      <c r="A1139" t="s">
        <v>330</v>
      </c>
      <c r="B1139" s="20">
        <v>44562</v>
      </c>
      <c r="C1139" t="s">
        <v>84</v>
      </c>
      <c r="D1139" t="s">
        <v>420</v>
      </c>
      <c r="E1139" t="s">
        <v>381</v>
      </c>
      <c r="F1139">
        <v>56</v>
      </c>
      <c r="G1139">
        <v>83</v>
      </c>
      <c r="H1139">
        <f>IF(report_B_CategorieBoekjaar[[#This Row],[BedrijfsCode]]="002",IF(report_B_CategorieBoekjaar[[#This Row],[Boekjaar]]=Projectbegroting!$K$1,report_B_CategorieBoekjaar[[#This Row],[CategorieCode]],0),0)</f>
        <v>0</v>
      </c>
      <c r="I1139">
        <f>IF(report_B_CategorieBoekjaar[[#This Row],[BedrijfsCode]]="001",IF(report_B_CategorieBoekjaar[[#This Row],[Boekjaar]]=Projectbegroting!$K$1,report_B_CategorieBoekjaar[[#This Row],[CategorieCode]],0),0)</f>
        <v>0</v>
      </c>
    </row>
    <row r="1140" spans="1:9" x14ac:dyDescent="0.3">
      <c r="A1140" t="s">
        <v>330</v>
      </c>
      <c r="B1140" s="20">
        <v>44562</v>
      </c>
      <c r="C1140" t="s">
        <v>170</v>
      </c>
      <c r="D1140" t="s">
        <v>421</v>
      </c>
      <c r="E1140" t="s">
        <v>384</v>
      </c>
      <c r="F1140">
        <v>0</v>
      </c>
      <c r="G1140">
        <v>0</v>
      </c>
      <c r="H1140">
        <f>IF(report_B_CategorieBoekjaar[[#This Row],[BedrijfsCode]]="002",IF(report_B_CategorieBoekjaar[[#This Row],[Boekjaar]]=Projectbegroting!$K$1,report_B_CategorieBoekjaar[[#This Row],[CategorieCode]],0),0)</f>
        <v>0</v>
      </c>
      <c r="I1140">
        <f>IF(report_B_CategorieBoekjaar[[#This Row],[BedrijfsCode]]="001",IF(report_B_CategorieBoekjaar[[#This Row],[Boekjaar]]=Projectbegroting!$K$1,report_B_CategorieBoekjaar[[#This Row],[CategorieCode]],0),0)</f>
        <v>0</v>
      </c>
    </row>
    <row r="1141" spans="1:9" x14ac:dyDescent="0.3">
      <c r="A1141" t="s">
        <v>330</v>
      </c>
      <c r="B1141" s="20">
        <v>44562</v>
      </c>
      <c r="C1141" t="s">
        <v>96</v>
      </c>
      <c r="D1141" t="s">
        <v>422</v>
      </c>
      <c r="E1141" t="s">
        <v>381</v>
      </c>
      <c r="F1141">
        <v>60</v>
      </c>
      <c r="G1141">
        <v>87</v>
      </c>
      <c r="H1141">
        <f>IF(report_B_CategorieBoekjaar[[#This Row],[BedrijfsCode]]="002",IF(report_B_CategorieBoekjaar[[#This Row],[Boekjaar]]=Projectbegroting!$K$1,report_B_CategorieBoekjaar[[#This Row],[CategorieCode]],0),0)</f>
        <v>0</v>
      </c>
      <c r="I1141">
        <f>IF(report_B_CategorieBoekjaar[[#This Row],[BedrijfsCode]]="001",IF(report_B_CategorieBoekjaar[[#This Row],[Boekjaar]]=Projectbegroting!$K$1,report_B_CategorieBoekjaar[[#This Row],[CategorieCode]],0),0)</f>
        <v>0</v>
      </c>
    </row>
    <row r="1142" spans="1:9" x14ac:dyDescent="0.3">
      <c r="A1142" t="s">
        <v>330</v>
      </c>
      <c r="B1142" s="20">
        <v>44562</v>
      </c>
      <c r="C1142" t="s">
        <v>171</v>
      </c>
      <c r="D1142" t="s">
        <v>423</v>
      </c>
      <c r="E1142" t="s">
        <v>384</v>
      </c>
      <c r="F1142">
        <v>0</v>
      </c>
      <c r="G1142">
        <v>0</v>
      </c>
      <c r="H1142">
        <f>IF(report_B_CategorieBoekjaar[[#This Row],[BedrijfsCode]]="002",IF(report_B_CategorieBoekjaar[[#This Row],[Boekjaar]]=Projectbegroting!$K$1,report_B_CategorieBoekjaar[[#This Row],[CategorieCode]],0),0)</f>
        <v>0</v>
      </c>
      <c r="I1142">
        <f>IF(report_B_CategorieBoekjaar[[#This Row],[BedrijfsCode]]="001",IF(report_B_CategorieBoekjaar[[#This Row],[Boekjaar]]=Projectbegroting!$K$1,report_B_CategorieBoekjaar[[#This Row],[CategorieCode]],0),0)</f>
        <v>0</v>
      </c>
    </row>
    <row r="1143" spans="1:9" x14ac:dyDescent="0.3">
      <c r="A1143" t="s">
        <v>330</v>
      </c>
      <c r="B1143" s="20">
        <v>44562</v>
      </c>
      <c r="C1143" t="s">
        <v>86</v>
      </c>
      <c r="D1143" t="s">
        <v>424</v>
      </c>
      <c r="E1143" t="s">
        <v>381</v>
      </c>
      <c r="F1143">
        <v>52</v>
      </c>
      <c r="G1143">
        <v>79</v>
      </c>
      <c r="H1143">
        <f>IF(report_B_CategorieBoekjaar[[#This Row],[BedrijfsCode]]="002",IF(report_B_CategorieBoekjaar[[#This Row],[Boekjaar]]=Projectbegroting!$K$1,report_B_CategorieBoekjaar[[#This Row],[CategorieCode]],0),0)</f>
        <v>0</v>
      </c>
      <c r="I1143">
        <f>IF(report_B_CategorieBoekjaar[[#This Row],[BedrijfsCode]]="001",IF(report_B_CategorieBoekjaar[[#This Row],[Boekjaar]]=Projectbegroting!$K$1,report_B_CategorieBoekjaar[[#This Row],[CategorieCode]],0),0)</f>
        <v>0</v>
      </c>
    </row>
    <row r="1144" spans="1:9" x14ac:dyDescent="0.3">
      <c r="A1144" t="s">
        <v>330</v>
      </c>
      <c r="B1144" s="20">
        <v>44562</v>
      </c>
      <c r="C1144" t="s">
        <v>172</v>
      </c>
      <c r="D1144" t="s">
        <v>425</v>
      </c>
      <c r="E1144" t="s">
        <v>384</v>
      </c>
      <c r="F1144">
        <v>0</v>
      </c>
      <c r="G1144">
        <v>0</v>
      </c>
      <c r="H1144">
        <f>IF(report_B_CategorieBoekjaar[[#This Row],[BedrijfsCode]]="002",IF(report_B_CategorieBoekjaar[[#This Row],[Boekjaar]]=Projectbegroting!$K$1,report_B_CategorieBoekjaar[[#This Row],[CategorieCode]],0),0)</f>
        <v>0</v>
      </c>
      <c r="I1144">
        <f>IF(report_B_CategorieBoekjaar[[#This Row],[BedrijfsCode]]="001",IF(report_B_CategorieBoekjaar[[#This Row],[Boekjaar]]=Projectbegroting!$K$1,report_B_CategorieBoekjaar[[#This Row],[CategorieCode]],0),0)</f>
        <v>0</v>
      </c>
    </row>
    <row r="1145" spans="1:9" x14ac:dyDescent="0.3">
      <c r="A1145" t="s">
        <v>330</v>
      </c>
      <c r="B1145" s="20">
        <v>44562</v>
      </c>
      <c r="C1145" t="s">
        <v>94</v>
      </c>
      <c r="D1145" t="s">
        <v>426</v>
      </c>
      <c r="E1145" t="s">
        <v>381</v>
      </c>
      <c r="F1145">
        <v>106</v>
      </c>
      <c r="G1145">
        <v>106</v>
      </c>
      <c r="H1145">
        <f>IF(report_B_CategorieBoekjaar[[#This Row],[BedrijfsCode]]="002",IF(report_B_CategorieBoekjaar[[#This Row],[Boekjaar]]=Projectbegroting!$K$1,report_B_CategorieBoekjaar[[#This Row],[CategorieCode]],0),0)</f>
        <v>0</v>
      </c>
      <c r="I1145">
        <f>IF(report_B_CategorieBoekjaar[[#This Row],[BedrijfsCode]]="001",IF(report_B_CategorieBoekjaar[[#This Row],[Boekjaar]]=Projectbegroting!$K$1,report_B_CategorieBoekjaar[[#This Row],[CategorieCode]],0),0)</f>
        <v>0</v>
      </c>
    </row>
    <row r="1146" spans="1:9" x14ac:dyDescent="0.3">
      <c r="A1146" t="s">
        <v>330</v>
      </c>
      <c r="B1146" s="20">
        <v>44562</v>
      </c>
      <c r="C1146" t="s">
        <v>173</v>
      </c>
      <c r="D1146" t="s">
        <v>427</v>
      </c>
      <c r="E1146" t="s">
        <v>384</v>
      </c>
      <c r="F1146">
        <v>0</v>
      </c>
      <c r="G1146">
        <v>0</v>
      </c>
      <c r="H1146">
        <f>IF(report_B_CategorieBoekjaar[[#This Row],[BedrijfsCode]]="002",IF(report_B_CategorieBoekjaar[[#This Row],[Boekjaar]]=Projectbegroting!$K$1,report_B_CategorieBoekjaar[[#This Row],[CategorieCode]],0),0)</f>
        <v>0</v>
      </c>
      <c r="I1146">
        <f>IF(report_B_CategorieBoekjaar[[#This Row],[BedrijfsCode]]="001",IF(report_B_CategorieBoekjaar[[#This Row],[Boekjaar]]=Projectbegroting!$K$1,report_B_CategorieBoekjaar[[#This Row],[CategorieCode]],0),0)</f>
        <v>0</v>
      </c>
    </row>
    <row r="1147" spans="1:9" x14ac:dyDescent="0.3">
      <c r="A1147" t="s">
        <v>330</v>
      </c>
      <c r="B1147" s="20">
        <v>44562</v>
      </c>
      <c r="C1147" t="s">
        <v>88</v>
      </c>
      <c r="D1147" t="s">
        <v>89</v>
      </c>
      <c r="E1147" t="s">
        <v>381</v>
      </c>
      <c r="F1147">
        <v>60</v>
      </c>
      <c r="G1147">
        <v>87</v>
      </c>
      <c r="H1147">
        <f>IF(report_B_CategorieBoekjaar[[#This Row],[BedrijfsCode]]="002",IF(report_B_CategorieBoekjaar[[#This Row],[Boekjaar]]=Projectbegroting!$K$1,report_B_CategorieBoekjaar[[#This Row],[CategorieCode]],0),0)</f>
        <v>0</v>
      </c>
      <c r="I1147">
        <f>IF(report_B_CategorieBoekjaar[[#This Row],[BedrijfsCode]]="001",IF(report_B_CategorieBoekjaar[[#This Row],[Boekjaar]]=Projectbegroting!$K$1,report_B_CategorieBoekjaar[[#This Row],[CategorieCode]],0),0)</f>
        <v>0</v>
      </c>
    </row>
    <row r="1148" spans="1:9" x14ac:dyDescent="0.3">
      <c r="A1148" t="s">
        <v>330</v>
      </c>
      <c r="B1148" s="20">
        <v>44562</v>
      </c>
      <c r="C1148" t="s">
        <v>174</v>
      </c>
      <c r="D1148" t="s">
        <v>428</v>
      </c>
      <c r="E1148" t="s">
        <v>384</v>
      </c>
      <c r="F1148">
        <v>0</v>
      </c>
      <c r="G1148">
        <v>0</v>
      </c>
      <c r="H1148">
        <f>IF(report_B_CategorieBoekjaar[[#This Row],[BedrijfsCode]]="002",IF(report_B_CategorieBoekjaar[[#This Row],[Boekjaar]]=Projectbegroting!$K$1,report_B_CategorieBoekjaar[[#This Row],[CategorieCode]],0),0)</f>
        <v>0</v>
      </c>
      <c r="I1148">
        <f>IF(report_B_CategorieBoekjaar[[#This Row],[BedrijfsCode]]="001",IF(report_B_CategorieBoekjaar[[#This Row],[Boekjaar]]=Projectbegroting!$K$1,report_B_CategorieBoekjaar[[#This Row],[CategorieCode]],0),0)</f>
        <v>0</v>
      </c>
    </row>
    <row r="1149" spans="1:9" x14ac:dyDescent="0.3">
      <c r="A1149" t="s">
        <v>330</v>
      </c>
      <c r="B1149" s="20">
        <v>44562</v>
      </c>
      <c r="C1149" t="s">
        <v>90</v>
      </c>
      <c r="D1149" t="s">
        <v>91</v>
      </c>
      <c r="E1149" t="s">
        <v>381</v>
      </c>
      <c r="F1149">
        <v>37</v>
      </c>
      <c r="G1149">
        <v>68</v>
      </c>
      <c r="H1149">
        <f>IF(report_B_CategorieBoekjaar[[#This Row],[BedrijfsCode]]="002",IF(report_B_CategorieBoekjaar[[#This Row],[Boekjaar]]=Projectbegroting!$K$1,report_B_CategorieBoekjaar[[#This Row],[CategorieCode]],0),0)</f>
        <v>0</v>
      </c>
      <c r="I1149">
        <f>IF(report_B_CategorieBoekjaar[[#This Row],[BedrijfsCode]]="001",IF(report_B_CategorieBoekjaar[[#This Row],[Boekjaar]]=Projectbegroting!$K$1,report_B_CategorieBoekjaar[[#This Row],[CategorieCode]],0),0)</f>
        <v>0</v>
      </c>
    </row>
    <row r="1150" spans="1:9" x14ac:dyDescent="0.3">
      <c r="A1150" t="s">
        <v>330</v>
      </c>
      <c r="B1150" s="20">
        <v>44562</v>
      </c>
      <c r="C1150" t="s">
        <v>429</v>
      </c>
      <c r="D1150" t="s">
        <v>430</v>
      </c>
      <c r="E1150" t="s">
        <v>384</v>
      </c>
      <c r="F1150">
        <v>0</v>
      </c>
      <c r="G1150">
        <v>0</v>
      </c>
      <c r="H1150">
        <f>IF(report_B_CategorieBoekjaar[[#This Row],[BedrijfsCode]]="002",IF(report_B_CategorieBoekjaar[[#This Row],[Boekjaar]]=Projectbegroting!$K$1,report_B_CategorieBoekjaar[[#This Row],[CategorieCode]],0),0)</f>
        <v>0</v>
      </c>
      <c r="I1150">
        <f>IF(report_B_CategorieBoekjaar[[#This Row],[BedrijfsCode]]="001",IF(report_B_CategorieBoekjaar[[#This Row],[Boekjaar]]=Projectbegroting!$K$1,report_B_CategorieBoekjaar[[#This Row],[CategorieCode]],0),0)</f>
        <v>0</v>
      </c>
    </row>
    <row r="1151" spans="1:9" x14ac:dyDescent="0.3">
      <c r="A1151" t="s">
        <v>330</v>
      </c>
      <c r="B1151" s="20">
        <v>44562</v>
      </c>
      <c r="C1151" t="s">
        <v>431</v>
      </c>
      <c r="D1151" t="s">
        <v>432</v>
      </c>
      <c r="E1151" t="s">
        <v>381</v>
      </c>
      <c r="F1151">
        <v>71</v>
      </c>
      <c r="G1151">
        <v>98</v>
      </c>
      <c r="H1151">
        <f>IF(report_B_CategorieBoekjaar[[#This Row],[BedrijfsCode]]="002",IF(report_B_CategorieBoekjaar[[#This Row],[Boekjaar]]=Projectbegroting!$K$1,report_B_CategorieBoekjaar[[#This Row],[CategorieCode]],0),0)</f>
        <v>0</v>
      </c>
      <c r="I1151">
        <f>IF(report_B_CategorieBoekjaar[[#This Row],[BedrijfsCode]]="001",IF(report_B_CategorieBoekjaar[[#This Row],[Boekjaar]]=Projectbegroting!$K$1,report_B_CategorieBoekjaar[[#This Row],[CategorieCode]],0),0)</f>
        <v>0</v>
      </c>
    </row>
    <row r="1152" spans="1:9" x14ac:dyDescent="0.3">
      <c r="A1152" t="s">
        <v>330</v>
      </c>
      <c r="B1152" s="20">
        <v>44562</v>
      </c>
      <c r="C1152" t="s">
        <v>433</v>
      </c>
      <c r="D1152" t="s">
        <v>434</v>
      </c>
      <c r="E1152" t="s">
        <v>384</v>
      </c>
      <c r="F1152">
        <v>0</v>
      </c>
      <c r="G1152">
        <v>0</v>
      </c>
      <c r="H1152">
        <f>IF(report_B_CategorieBoekjaar[[#This Row],[BedrijfsCode]]="002",IF(report_B_CategorieBoekjaar[[#This Row],[Boekjaar]]=Projectbegroting!$K$1,report_B_CategorieBoekjaar[[#This Row],[CategorieCode]],0),0)</f>
        <v>0</v>
      </c>
      <c r="I1152">
        <f>IF(report_B_CategorieBoekjaar[[#This Row],[BedrijfsCode]]="001",IF(report_B_CategorieBoekjaar[[#This Row],[Boekjaar]]=Projectbegroting!$K$1,report_B_CategorieBoekjaar[[#This Row],[CategorieCode]],0),0)</f>
        <v>0</v>
      </c>
    </row>
    <row r="1153" spans="1:9" x14ac:dyDescent="0.3">
      <c r="A1153" t="s">
        <v>330</v>
      </c>
      <c r="B1153" s="20">
        <v>44562</v>
      </c>
      <c r="C1153" t="s">
        <v>435</v>
      </c>
      <c r="D1153" t="s">
        <v>436</v>
      </c>
      <c r="E1153" t="s">
        <v>381</v>
      </c>
      <c r="F1153">
        <v>53</v>
      </c>
      <c r="G1153">
        <v>0</v>
      </c>
      <c r="H1153">
        <f>IF(report_B_CategorieBoekjaar[[#This Row],[BedrijfsCode]]="002",IF(report_B_CategorieBoekjaar[[#This Row],[Boekjaar]]=Projectbegroting!$K$1,report_B_CategorieBoekjaar[[#This Row],[CategorieCode]],0),0)</f>
        <v>0</v>
      </c>
      <c r="I1153">
        <f>IF(report_B_CategorieBoekjaar[[#This Row],[BedrijfsCode]]="001",IF(report_B_CategorieBoekjaar[[#This Row],[Boekjaar]]=Projectbegroting!$K$1,report_B_CategorieBoekjaar[[#This Row],[CategorieCode]],0),0)</f>
        <v>0</v>
      </c>
    </row>
    <row r="1154" spans="1:9" x14ac:dyDescent="0.3">
      <c r="A1154" t="s">
        <v>330</v>
      </c>
      <c r="B1154" s="20">
        <v>44562</v>
      </c>
      <c r="C1154" t="s">
        <v>437</v>
      </c>
      <c r="D1154" t="s">
        <v>438</v>
      </c>
      <c r="E1154" t="s">
        <v>384</v>
      </c>
      <c r="F1154">
        <v>0</v>
      </c>
      <c r="G1154">
        <v>0</v>
      </c>
      <c r="H1154">
        <f>IF(report_B_CategorieBoekjaar[[#This Row],[BedrijfsCode]]="002",IF(report_B_CategorieBoekjaar[[#This Row],[Boekjaar]]=Projectbegroting!$K$1,report_B_CategorieBoekjaar[[#This Row],[CategorieCode]],0),0)</f>
        <v>0</v>
      </c>
      <c r="I1154">
        <f>IF(report_B_CategorieBoekjaar[[#This Row],[BedrijfsCode]]="001",IF(report_B_CategorieBoekjaar[[#This Row],[Boekjaar]]=Projectbegroting!$K$1,report_B_CategorieBoekjaar[[#This Row],[CategorieCode]],0),0)</f>
        <v>0</v>
      </c>
    </row>
    <row r="1155" spans="1:9" x14ac:dyDescent="0.3">
      <c r="A1155" t="s">
        <v>330</v>
      </c>
      <c r="B1155" s="20">
        <v>44562</v>
      </c>
      <c r="C1155" t="s">
        <v>439</v>
      </c>
      <c r="D1155" t="s">
        <v>440</v>
      </c>
      <c r="E1155" t="s">
        <v>381</v>
      </c>
      <c r="F1155">
        <v>38</v>
      </c>
      <c r="G1155">
        <v>0</v>
      </c>
      <c r="H1155">
        <f>IF(report_B_CategorieBoekjaar[[#This Row],[BedrijfsCode]]="002",IF(report_B_CategorieBoekjaar[[#This Row],[Boekjaar]]=Projectbegroting!$K$1,report_B_CategorieBoekjaar[[#This Row],[CategorieCode]],0),0)</f>
        <v>0</v>
      </c>
      <c r="I1155">
        <f>IF(report_B_CategorieBoekjaar[[#This Row],[BedrijfsCode]]="001",IF(report_B_CategorieBoekjaar[[#This Row],[Boekjaar]]=Projectbegroting!$K$1,report_B_CategorieBoekjaar[[#This Row],[CategorieCode]],0),0)</f>
        <v>0</v>
      </c>
    </row>
    <row r="1156" spans="1:9" x14ac:dyDescent="0.3">
      <c r="A1156" t="s">
        <v>330</v>
      </c>
      <c r="B1156" s="20">
        <v>44562</v>
      </c>
      <c r="C1156" t="s">
        <v>441</v>
      </c>
      <c r="D1156" t="s">
        <v>442</v>
      </c>
      <c r="E1156" t="s">
        <v>381</v>
      </c>
      <c r="F1156">
        <v>50</v>
      </c>
      <c r="G1156">
        <v>0</v>
      </c>
      <c r="H1156">
        <f>IF(report_B_CategorieBoekjaar[[#This Row],[BedrijfsCode]]="002",IF(report_B_CategorieBoekjaar[[#This Row],[Boekjaar]]=Projectbegroting!$K$1,report_B_CategorieBoekjaar[[#This Row],[CategorieCode]],0),0)</f>
        <v>0</v>
      </c>
      <c r="I1156">
        <f>IF(report_B_CategorieBoekjaar[[#This Row],[BedrijfsCode]]="001",IF(report_B_CategorieBoekjaar[[#This Row],[Boekjaar]]=Projectbegroting!$K$1,report_B_CategorieBoekjaar[[#This Row],[CategorieCode]],0),0)</f>
        <v>0</v>
      </c>
    </row>
    <row r="1157" spans="1:9" x14ac:dyDescent="0.3">
      <c r="A1157" t="s">
        <v>330</v>
      </c>
      <c r="B1157" s="20">
        <v>44562</v>
      </c>
      <c r="C1157" t="s">
        <v>443</v>
      </c>
      <c r="D1157" t="s">
        <v>444</v>
      </c>
      <c r="E1157" t="s">
        <v>384</v>
      </c>
      <c r="F1157">
        <v>0</v>
      </c>
      <c r="G1157">
        <v>0</v>
      </c>
      <c r="H1157">
        <f>IF(report_B_CategorieBoekjaar[[#This Row],[BedrijfsCode]]="002",IF(report_B_CategorieBoekjaar[[#This Row],[Boekjaar]]=Projectbegroting!$K$1,report_B_CategorieBoekjaar[[#This Row],[CategorieCode]],0),0)</f>
        <v>0</v>
      </c>
      <c r="I1157">
        <f>IF(report_B_CategorieBoekjaar[[#This Row],[BedrijfsCode]]="001",IF(report_B_CategorieBoekjaar[[#This Row],[Boekjaar]]=Projectbegroting!$K$1,report_B_CategorieBoekjaar[[#This Row],[CategorieCode]],0),0)</f>
        <v>0</v>
      </c>
    </row>
    <row r="1158" spans="1:9" x14ac:dyDescent="0.3">
      <c r="A1158" t="s">
        <v>330</v>
      </c>
      <c r="B1158" s="20">
        <v>44562</v>
      </c>
      <c r="C1158" t="s">
        <v>445</v>
      </c>
      <c r="D1158" t="s">
        <v>446</v>
      </c>
      <c r="E1158" t="s">
        <v>381</v>
      </c>
      <c r="F1158">
        <v>78</v>
      </c>
      <c r="G1158">
        <v>105</v>
      </c>
      <c r="H1158">
        <f>IF(report_B_CategorieBoekjaar[[#This Row],[BedrijfsCode]]="002",IF(report_B_CategorieBoekjaar[[#This Row],[Boekjaar]]=Projectbegroting!$K$1,report_B_CategorieBoekjaar[[#This Row],[CategorieCode]],0),0)</f>
        <v>0</v>
      </c>
      <c r="I1158">
        <f>IF(report_B_CategorieBoekjaar[[#This Row],[BedrijfsCode]]="001",IF(report_B_CategorieBoekjaar[[#This Row],[Boekjaar]]=Projectbegroting!$K$1,report_B_CategorieBoekjaar[[#This Row],[CategorieCode]],0),0)</f>
        <v>0</v>
      </c>
    </row>
    <row r="1159" spans="1:9" x14ac:dyDescent="0.3">
      <c r="A1159" t="s">
        <v>330</v>
      </c>
      <c r="B1159" s="20">
        <v>44562</v>
      </c>
      <c r="C1159" t="s">
        <v>447</v>
      </c>
      <c r="D1159" t="s">
        <v>448</v>
      </c>
      <c r="E1159" t="s">
        <v>384</v>
      </c>
      <c r="F1159">
        <v>0</v>
      </c>
      <c r="G1159">
        <v>0</v>
      </c>
      <c r="H1159">
        <f>IF(report_B_CategorieBoekjaar[[#This Row],[BedrijfsCode]]="002",IF(report_B_CategorieBoekjaar[[#This Row],[Boekjaar]]=Projectbegroting!$K$1,report_B_CategorieBoekjaar[[#This Row],[CategorieCode]],0),0)</f>
        <v>0</v>
      </c>
      <c r="I1159">
        <f>IF(report_B_CategorieBoekjaar[[#This Row],[BedrijfsCode]]="001",IF(report_B_CategorieBoekjaar[[#This Row],[Boekjaar]]=Projectbegroting!$K$1,report_B_CategorieBoekjaar[[#This Row],[CategorieCode]],0),0)</f>
        <v>0</v>
      </c>
    </row>
    <row r="1160" spans="1:9" x14ac:dyDescent="0.3">
      <c r="A1160" t="s">
        <v>330</v>
      </c>
      <c r="B1160" s="20">
        <v>44562</v>
      </c>
      <c r="C1160" t="s">
        <v>449</v>
      </c>
      <c r="D1160" t="s">
        <v>450</v>
      </c>
      <c r="E1160" t="s">
        <v>381</v>
      </c>
      <c r="F1160">
        <v>36</v>
      </c>
      <c r="G1160">
        <v>0</v>
      </c>
      <c r="H1160">
        <f>IF(report_B_CategorieBoekjaar[[#This Row],[BedrijfsCode]]="002",IF(report_B_CategorieBoekjaar[[#This Row],[Boekjaar]]=Projectbegroting!$K$1,report_B_CategorieBoekjaar[[#This Row],[CategorieCode]],0),0)</f>
        <v>0</v>
      </c>
      <c r="I1160">
        <f>IF(report_B_CategorieBoekjaar[[#This Row],[BedrijfsCode]]="001",IF(report_B_CategorieBoekjaar[[#This Row],[Boekjaar]]=Projectbegroting!$K$1,report_B_CategorieBoekjaar[[#This Row],[CategorieCode]],0),0)</f>
        <v>0</v>
      </c>
    </row>
    <row r="1161" spans="1:9" x14ac:dyDescent="0.3">
      <c r="A1161" t="s">
        <v>330</v>
      </c>
      <c r="B1161" s="20">
        <v>44562</v>
      </c>
      <c r="C1161" t="s">
        <v>451</v>
      </c>
      <c r="D1161" t="s">
        <v>452</v>
      </c>
      <c r="E1161" t="s">
        <v>384</v>
      </c>
      <c r="F1161">
        <v>0</v>
      </c>
      <c r="G1161">
        <v>0</v>
      </c>
      <c r="H1161">
        <f>IF(report_B_CategorieBoekjaar[[#This Row],[BedrijfsCode]]="002",IF(report_B_CategorieBoekjaar[[#This Row],[Boekjaar]]=Projectbegroting!$K$1,report_B_CategorieBoekjaar[[#This Row],[CategorieCode]],0),0)</f>
        <v>0</v>
      </c>
      <c r="I1161">
        <f>IF(report_B_CategorieBoekjaar[[#This Row],[BedrijfsCode]]="001",IF(report_B_CategorieBoekjaar[[#This Row],[Boekjaar]]=Projectbegroting!$K$1,report_B_CategorieBoekjaar[[#This Row],[CategorieCode]],0),0)</f>
        <v>0</v>
      </c>
    </row>
    <row r="1162" spans="1:9" x14ac:dyDescent="0.3">
      <c r="A1162" t="s">
        <v>330</v>
      </c>
      <c r="B1162" s="20">
        <v>44562</v>
      </c>
      <c r="C1162" t="s">
        <v>453</v>
      </c>
      <c r="D1162" t="s">
        <v>454</v>
      </c>
      <c r="E1162" t="s">
        <v>381</v>
      </c>
      <c r="F1162">
        <v>62</v>
      </c>
      <c r="G1162">
        <v>86</v>
      </c>
      <c r="H1162">
        <f>IF(report_B_CategorieBoekjaar[[#This Row],[BedrijfsCode]]="002",IF(report_B_CategorieBoekjaar[[#This Row],[Boekjaar]]=Projectbegroting!$K$1,report_B_CategorieBoekjaar[[#This Row],[CategorieCode]],0),0)</f>
        <v>0</v>
      </c>
      <c r="I1162">
        <f>IF(report_B_CategorieBoekjaar[[#This Row],[BedrijfsCode]]="001",IF(report_B_CategorieBoekjaar[[#This Row],[Boekjaar]]=Projectbegroting!$K$1,report_B_CategorieBoekjaar[[#This Row],[CategorieCode]],0),0)</f>
        <v>0</v>
      </c>
    </row>
    <row r="1163" spans="1:9" x14ac:dyDescent="0.3">
      <c r="A1163" t="s">
        <v>330</v>
      </c>
      <c r="B1163" s="20">
        <v>44562</v>
      </c>
      <c r="C1163" t="s">
        <v>455</v>
      </c>
      <c r="D1163" t="s">
        <v>456</v>
      </c>
      <c r="E1163" t="s">
        <v>381</v>
      </c>
      <c r="F1163">
        <v>83</v>
      </c>
      <c r="G1163">
        <v>122</v>
      </c>
      <c r="H1163">
        <f>IF(report_B_CategorieBoekjaar[[#This Row],[BedrijfsCode]]="002",IF(report_B_CategorieBoekjaar[[#This Row],[Boekjaar]]=Projectbegroting!$K$1,report_B_CategorieBoekjaar[[#This Row],[CategorieCode]],0),0)</f>
        <v>0</v>
      </c>
      <c r="I1163">
        <f>IF(report_B_CategorieBoekjaar[[#This Row],[BedrijfsCode]]="001",IF(report_B_CategorieBoekjaar[[#This Row],[Boekjaar]]=Projectbegroting!$K$1,report_B_CategorieBoekjaar[[#This Row],[CategorieCode]],0),0)</f>
        <v>0</v>
      </c>
    </row>
    <row r="1164" spans="1:9" x14ac:dyDescent="0.3">
      <c r="A1164" t="s">
        <v>330</v>
      </c>
      <c r="B1164" s="20">
        <v>44562</v>
      </c>
      <c r="C1164" t="s">
        <v>457</v>
      </c>
      <c r="D1164" t="s">
        <v>458</v>
      </c>
      <c r="E1164" t="s">
        <v>384</v>
      </c>
      <c r="F1164">
        <v>0</v>
      </c>
      <c r="G1164">
        <v>0</v>
      </c>
      <c r="H1164">
        <f>IF(report_B_CategorieBoekjaar[[#This Row],[BedrijfsCode]]="002",IF(report_B_CategorieBoekjaar[[#This Row],[Boekjaar]]=Projectbegroting!$K$1,report_B_CategorieBoekjaar[[#This Row],[CategorieCode]],0),0)</f>
        <v>0</v>
      </c>
      <c r="I1164">
        <f>IF(report_B_CategorieBoekjaar[[#This Row],[BedrijfsCode]]="001",IF(report_B_CategorieBoekjaar[[#This Row],[Boekjaar]]=Projectbegroting!$K$1,report_B_CategorieBoekjaar[[#This Row],[CategorieCode]],0),0)</f>
        <v>0</v>
      </c>
    </row>
    <row r="1165" spans="1:9" x14ac:dyDescent="0.3">
      <c r="A1165" t="s">
        <v>330</v>
      </c>
      <c r="B1165" s="20">
        <v>44562</v>
      </c>
      <c r="C1165" t="s">
        <v>459</v>
      </c>
      <c r="D1165" t="s">
        <v>460</v>
      </c>
      <c r="E1165" t="s">
        <v>381</v>
      </c>
      <c r="F1165">
        <v>97</v>
      </c>
      <c r="G1165">
        <v>137</v>
      </c>
      <c r="H1165">
        <f>IF(report_B_CategorieBoekjaar[[#This Row],[BedrijfsCode]]="002",IF(report_B_CategorieBoekjaar[[#This Row],[Boekjaar]]=Projectbegroting!$K$1,report_B_CategorieBoekjaar[[#This Row],[CategorieCode]],0),0)</f>
        <v>0</v>
      </c>
      <c r="I1165">
        <f>IF(report_B_CategorieBoekjaar[[#This Row],[BedrijfsCode]]="001",IF(report_B_CategorieBoekjaar[[#This Row],[Boekjaar]]=Projectbegroting!$K$1,report_B_CategorieBoekjaar[[#This Row],[CategorieCode]],0),0)</f>
        <v>0</v>
      </c>
    </row>
    <row r="1166" spans="1:9" x14ac:dyDescent="0.3">
      <c r="A1166" t="s">
        <v>330</v>
      </c>
      <c r="B1166" s="20">
        <v>44562</v>
      </c>
      <c r="C1166" t="s">
        <v>461</v>
      </c>
      <c r="D1166" t="s">
        <v>462</v>
      </c>
      <c r="E1166" t="s">
        <v>384</v>
      </c>
      <c r="F1166">
        <v>0</v>
      </c>
      <c r="G1166">
        <v>0</v>
      </c>
      <c r="H1166">
        <f>IF(report_B_CategorieBoekjaar[[#This Row],[BedrijfsCode]]="002",IF(report_B_CategorieBoekjaar[[#This Row],[Boekjaar]]=Projectbegroting!$K$1,report_B_CategorieBoekjaar[[#This Row],[CategorieCode]],0),0)</f>
        <v>0</v>
      </c>
      <c r="I1166">
        <f>IF(report_B_CategorieBoekjaar[[#This Row],[BedrijfsCode]]="001",IF(report_B_CategorieBoekjaar[[#This Row],[Boekjaar]]=Projectbegroting!$K$1,report_B_CategorieBoekjaar[[#This Row],[CategorieCode]],0),0)</f>
        <v>0</v>
      </c>
    </row>
    <row r="1167" spans="1:9" x14ac:dyDescent="0.3">
      <c r="A1167" t="s">
        <v>330</v>
      </c>
      <c r="B1167" s="20">
        <v>44562</v>
      </c>
      <c r="C1167" t="s">
        <v>463</v>
      </c>
      <c r="D1167" t="s">
        <v>464</v>
      </c>
      <c r="E1167" t="s">
        <v>384</v>
      </c>
      <c r="F1167">
        <v>0</v>
      </c>
      <c r="G1167">
        <v>0</v>
      </c>
      <c r="H1167">
        <f>IF(report_B_CategorieBoekjaar[[#This Row],[BedrijfsCode]]="002",IF(report_B_CategorieBoekjaar[[#This Row],[Boekjaar]]=Projectbegroting!$K$1,report_B_CategorieBoekjaar[[#This Row],[CategorieCode]],0),0)</f>
        <v>0</v>
      </c>
      <c r="I1167">
        <f>IF(report_B_CategorieBoekjaar[[#This Row],[BedrijfsCode]]="001",IF(report_B_CategorieBoekjaar[[#This Row],[Boekjaar]]=Projectbegroting!$K$1,report_B_CategorieBoekjaar[[#This Row],[CategorieCode]],0),0)</f>
        <v>0</v>
      </c>
    </row>
    <row r="1168" spans="1:9" x14ac:dyDescent="0.3">
      <c r="A1168" t="s">
        <v>330</v>
      </c>
      <c r="B1168" s="20">
        <v>44562</v>
      </c>
      <c r="C1168" t="s">
        <v>465</v>
      </c>
      <c r="D1168" t="s">
        <v>466</v>
      </c>
      <c r="E1168" t="s">
        <v>381</v>
      </c>
      <c r="F1168">
        <v>35</v>
      </c>
      <c r="G1168">
        <v>0</v>
      </c>
      <c r="H1168">
        <f>IF(report_B_CategorieBoekjaar[[#This Row],[BedrijfsCode]]="002",IF(report_B_CategorieBoekjaar[[#This Row],[Boekjaar]]=Projectbegroting!$K$1,report_B_CategorieBoekjaar[[#This Row],[CategorieCode]],0),0)</f>
        <v>0</v>
      </c>
      <c r="I1168">
        <f>IF(report_B_CategorieBoekjaar[[#This Row],[BedrijfsCode]]="001",IF(report_B_CategorieBoekjaar[[#This Row],[Boekjaar]]=Projectbegroting!$K$1,report_B_CategorieBoekjaar[[#This Row],[CategorieCode]],0),0)</f>
        <v>0</v>
      </c>
    </row>
    <row r="1169" spans="1:9" x14ac:dyDescent="0.3">
      <c r="A1169" t="s">
        <v>330</v>
      </c>
      <c r="B1169" s="20">
        <v>44562</v>
      </c>
      <c r="C1169" t="s">
        <v>467</v>
      </c>
      <c r="D1169" t="s">
        <v>468</v>
      </c>
      <c r="E1169" t="s">
        <v>384</v>
      </c>
      <c r="F1169">
        <v>0</v>
      </c>
      <c r="G1169">
        <v>0</v>
      </c>
      <c r="H1169">
        <f>IF(report_B_CategorieBoekjaar[[#This Row],[BedrijfsCode]]="002",IF(report_B_CategorieBoekjaar[[#This Row],[Boekjaar]]=Projectbegroting!$K$1,report_B_CategorieBoekjaar[[#This Row],[CategorieCode]],0),0)</f>
        <v>0</v>
      </c>
      <c r="I1169">
        <f>IF(report_B_CategorieBoekjaar[[#This Row],[BedrijfsCode]]="001",IF(report_B_CategorieBoekjaar[[#This Row],[Boekjaar]]=Projectbegroting!$K$1,report_B_CategorieBoekjaar[[#This Row],[CategorieCode]],0),0)</f>
        <v>0</v>
      </c>
    </row>
    <row r="1170" spans="1:9" x14ac:dyDescent="0.3">
      <c r="A1170" t="s">
        <v>330</v>
      </c>
      <c r="B1170" s="20">
        <v>44562</v>
      </c>
      <c r="C1170" t="s">
        <v>469</v>
      </c>
      <c r="D1170" t="s">
        <v>470</v>
      </c>
      <c r="E1170" t="s">
        <v>381</v>
      </c>
      <c r="F1170">
        <v>44</v>
      </c>
      <c r="G1170">
        <v>74</v>
      </c>
      <c r="H1170">
        <f>IF(report_B_CategorieBoekjaar[[#This Row],[BedrijfsCode]]="002",IF(report_B_CategorieBoekjaar[[#This Row],[Boekjaar]]=Projectbegroting!$K$1,report_B_CategorieBoekjaar[[#This Row],[CategorieCode]],0),0)</f>
        <v>0</v>
      </c>
      <c r="I1170">
        <f>IF(report_B_CategorieBoekjaar[[#This Row],[BedrijfsCode]]="001",IF(report_B_CategorieBoekjaar[[#This Row],[Boekjaar]]=Projectbegroting!$K$1,report_B_CategorieBoekjaar[[#This Row],[CategorieCode]],0),0)</f>
        <v>0</v>
      </c>
    </row>
    <row r="1171" spans="1:9" x14ac:dyDescent="0.3">
      <c r="A1171" t="s">
        <v>330</v>
      </c>
      <c r="B1171" s="20">
        <v>44562</v>
      </c>
      <c r="C1171" t="s">
        <v>471</v>
      </c>
      <c r="D1171" t="s">
        <v>472</v>
      </c>
      <c r="E1171" t="s">
        <v>384</v>
      </c>
      <c r="F1171">
        <v>0</v>
      </c>
      <c r="G1171">
        <v>0</v>
      </c>
      <c r="H1171">
        <f>IF(report_B_CategorieBoekjaar[[#This Row],[BedrijfsCode]]="002",IF(report_B_CategorieBoekjaar[[#This Row],[Boekjaar]]=Projectbegroting!$K$1,report_B_CategorieBoekjaar[[#This Row],[CategorieCode]],0),0)</f>
        <v>0</v>
      </c>
      <c r="I1171">
        <f>IF(report_B_CategorieBoekjaar[[#This Row],[BedrijfsCode]]="001",IF(report_B_CategorieBoekjaar[[#This Row],[Boekjaar]]=Projectbegroting!$K$1,report_B_CategorieBoekjaar[[#This Row],[CategorieCode]],0),0)</f>
        <v>0</v>
      </c>
    </row>
    <row r="1172" spans="1:9" x14ac:dyDescent="0.3">
      <c r="A1172" t="s">
        <v>330</v>
      </c>
      <c r="B1172" s="20">
        <v>44562</v>
      </c>
      <c r="C1172" t="s">
        <v>62</v>
      </c>
      <c r="D1172" t="s">
        <v>473</v>
      </c>
      <c r="E1172" t="s">
        <v>381</v>
      </c>
      <c r="F1172">
        <v>47</v>
      </c>
      <c r="G1172">
        <v>0</v>
      </c>
      <c r="H1172">
        <f>IF(report_B_CategorieBoekjaar[[#This Row],[BedrijfsCode]]="002",IF(report_B_CategorieBoekjaar[[#This Row],[Boekjaar]]=Projectbegroting!$K$1,report_B_CategorieBoekjaar[[#This Row],[CategorieCode]],0),0)</f>
        <v>0</v>
      </c>
      <c r="I1172">
        <f>IF(report_B_CategorieBoekjaar[[#This Row],[BedrijfsCode]]="001",IF(report_B_CategorieBoekjaar[[#This Row],[Boekjaar]]=Projectbegroting!$K$1,report_B_CategorieBoekjaar[[#This Row],[CategorieCode]],0),0)</f>
        <v>0</v>
      </c>
    </row>
    <row r="1173" spans="1:9" x14ac:dyDescent="0.3">
      <c r="A1173" t="s">
        <v>330</v>
      </c>
      <c r="B1173" s="20">
        <v>44562</v>
      </c>
      <c r="C1173" t="s">
        <v>474</v>
      </c>
      <c r="D1173" t="s">
        <v>475</v>
      </c>
      <c r="E1173" t="s">
        <v>384</v>
      </c>
      <c r="F1173">
        <v>0</v>
      </c>
      <c r="G1173">
        <v>0</v>
      </c>
      <c r="H1173">
        <f>IF(report_B_CategorieBoekjaar[[#This Row],[BedrijfsCode]]="002",IF(report_B_CategorieBoekjaar[[#This Row],[Boekjaar]]=Projectbegroting!$K$1,report_B_CategorieBoekjaar[[#This Row],[CategorieCode]],0),0)</f>
        <v>0</v>
      </c>
      <c r="I1173">
        <f>IF(report_B_CategorieBoekjaar[[#This Row],[BedrijfsCode]]="001",IF(report_B_CategorieBoekjaar[[#This Row],[Boekjaar]]=Projectbegroting!$K$1,report_B_CategorieBoekjaar[[#This Row],[CategorieCode]],0),0)</f>
        <v>0</v>
      </c>
    </row>
    <row r="1174" spans="1:9" x14ac:dyDescent="0.3">
      <c r="A1174" t="s">
        <v>330</v>
      </c>
      <c r="B1174" s="20">
        <v>44562</v>
      </c>
      <c r="C1174" t="s">
        <v>64</v>
      </c>
      <c r="D1174" t="s">
        <v>476</v>
      </c>
      <c r="E1174" t="s">
        <v>381</v>
      </c>
      <c r="F1174">
        <v>40</v>
      </c>
      <c r="G1174">
        <v>0</v>
      </c>
      <c r="H1174">
        <f>IF(report_B_CategorieBoekjaar[[#This Row],[BedrijfsCode]]="002",IF(report_B_CategorieBoekjaar[[#This Row],[Boekjaar]]=Projectbegroting!$K$1,report_B_CategorieBoekjaar[[#This Row],[CategorieCode]],0),0)</f>
        <v>0</v>
      </c>
      <c r="I1174">
        <f>IF(report_B_CategorieBoekjaar[[#This Row],[BedrijfsCode]]="001",IF(report_B_CategorieBoekjaar[[#This Row],[Boekjaar]]=Projectbegroting!$K$1,report_B_CategorieBoekjaar[[#This Row],[CategorieCode]],0),0)</f>
        <v>0</v>
      </c>
    </row>
    <row r="1175" spans="1:9" x14ac:dyDescent="0.3">
      <c r="A1175" t="s">
        <v>330</v>
      </c>
      <c r="B1175" s="20">
        <v>44562</v>
      </c>
      <c r="C1175" t="s">
        <v>477</v>
      </c>
      <c r="D1175" t="s">
        <v>478</v>
      </c>
      <c r="E1175" t="s">
        <v>384</v>
      </c>
      <c r="F1175">
        <v>0</v>
      </c>
      <c r="G1175">
        <v>0</v>
      </c>
      <c r="H1175">
        <f>IF(report_B_CategorieBoekjaar[[#This Row],[BedrijfsCode]]="002",IF(report_B_CategorieBoekjaar[[#This Row],[Boekjaar]]=Projectbegroting!$K$1,report_B_CategorieBoekjaar[[#This Row],[CategorieCode]],0),0)</f>
        <v>0</v>
      </c>
      <c r="I1175">
        <f>IF(report_B_CategorieBoekjaar[[#This Row],[BedrijfsCode]]="001",IF(report_B_CategorieBoekjaar[[#This Row],[Boekjaar]]=Projectbegroting!$K$1,report_B_CategorieBoekjaar[[#This Row],[CategorieCode]],0),0)</f>
        <v>0</v>
      </c>
    </row>
    <row r="1176" spans="1:9" x14ac:dyDescent="0.3">
      <c r="A1176" t="s">
        <v>330</v>
      </c>
      <c r="B1176" s="20">
        <v>44562</v>
      </c>
      <c r="C1176" t="s">
        <v>80</v>
      </c>
      <c r="D1176" t="s">
        <v>81</v>
      </c>
      <c r="E1176" t="s">
        <v>381</v>
      </c>
      <c r="F1176">
        <v>66</v>
      </c>
      <c r="G1176">
        <v>0</v>
      </c>
      <c r="H1176">
        <f>IF(report_B_CategorieBoekjaar[[#This Row],[BedrijfsCode]]="002",IF(report_B_CategorieBoekjaar[[#This Row],[Boekjaar]]=Projectbegroting!$K$1,report_B_CategorieBoekjaar[[#This Row],[CategorieCode]],0),0)</f>
        <v>0</v>
      </c>
      <c r="I1176">
        <f>IF(report_B_CategorieBoekjaar[[#This Row],[BedrijfsCode]]="001",IF(report_B_CategorieBoekjaar[[#This Row],[Boekjaar]]=Projectbegroting!$K$1,report_B_CategorieBoekjaar[[#This Row],[CategorieCode]],0),0)</f>
        <v>0</v>
      </c>
    </row>
    <row r="1177" spans="1:9" x14ac:dyDescent="0.3">
      <c r="A1177" t="s">
        <v>330</v>
      </c>
      <c r="B1177" s="20">
        <v>44562</v>
      </c>
      <c r="C1177" t="s">
        <v>479</v>
      </c>
      <c r="D1177" t="s">
        <v>480</v>
      </c>
      <c r="E1177" t="s">
        <v>384</v>
      </c>
      <c r="F1177">
        <v>0</v>
      </c>
      <c r="G1177">
        <v>0</v>
      </c>
      <c r="H1177">
        <f>IF(report_B_CategorieBoekjaar[[#This Row],[BedrijfsCode]]="002",IF(report_B_CategorieBoekjaar[[#This Row],[Boekjaar]]=Projectbegroting!$K$1,report_B_CategorieBoekjaar[[#This Row],[CategorieCode]],0),0)</f>
        <v>0</v>
      </c>
      <c r="I1177">
        <f>IF(report_B_CategorieBoekjaar[[#This Row],[BedrijfsCode]]="001",IF(report_B_CategorieBoekjaar[[#This Row],[Boekjaar]]=Projectbegroting!$K$1,report_B_CategorieBoekjaar[[#This Row],[CategorieCode]],0),0)</f>
        <v>0</v>
      </c>
    </row>
    <row r="1178" spans="1:9" x14ac:dyDescent="0.3">
      <c r="A1178" t="s">
        <v>330</v>
      </c>
      <c r="B1178" s="20">
        <v>44562</v>
      </c>
      <c r="C1178" t="s">
        <v>481</v>
      </c>
      <c r="D1178" t="s">
        <v>482</v>
      </c>
      <c r="E1178" t="s">
        <v>384</v>
      </c>
      <c r="F1178">
        <v>0</v>
      </c>
      <c r="G1178">
        <v>0</v>
      </c>
      <c r="H1178">
        <f>IF(report_B_CategorieBoekjaar[[#This Row],[BedrijfsCode]]="002",IF(report_B_CategorieBoekjaar[[#This Row],[Boekjaar]]=Projectbegroting!$K$1,report_B_CategorieBoekjaar[[#This Row],[CategorieCode]],0),0)</f>
        <v>0</v>
      </c>
      <c r="I1178">
        <f>IF(report_B_CategorieBoekjaar[[#This Row],[BedrijfsCode]]="001",IF(report_B_CategorieBoekjaar[[#This Row],[Boekjaar]]=Projectbegroting!$K$1,report_B_CategorieBoekjaar[[#This Row],[CategorieCode]],0),0)</f>
        <v>0</v>
      </c>
    </row>
    <row r="1179" spans="1:9" x14ac:dyDescent="0.3">
      <c r="A1179" t="s">
        <v>330</v>
      </c>
      <c r="B1179" s="20">
        <v>44562</v>
      </c>
      <c r="C1179" t="s">
        <v>98</v>
      </c>
      <c r="D1179" t="s">
        <v>99</v>
      </c>
      <c r="E1179" t="s">
        <v>381</v>
      </c>
      <c r="F1179">
        <v>70</v>
      </c>
      <c r="G1179">
        <v>97</v>
      </c>
      <c r="H1179">
        <f>IF(report_B_CategorieBoekjaar[[#This Row],[BedrijfsCode]]="002",IF(report_B_CategorieBoekjaar[[#This Row],[Boekjaar]]=Projectbegroting!$K$1,report_B_CategorieBoekjaar[[#This Row],[CategorieCode]],0),0)</f>
        <v>0</v>
      </c>
      <c r="I1179">
        <f>IF(report_B_CategorieBoekjaar[[#This Row],[BedrijfsCode]]="001",IF(report_B_CategorieBoekjaar[[#This Row],[Boekjaar]]=Projectbegroting!$K$1,report_B_CategorieBoekjaar[[#This Row],[CategorieCode]],0),0)</f>
        <v>0</v>
      </c>
    </row>
    <row r="1180" spans="1:9" x14ac:dyDescent="0.3">
      <c r="A1180" t="s">
        <v>330</v>
      </c>
      <c r="B1180" s="20">
        <v>44562</v>
      </c>
      <c r="C1180" t="s">
        <v>483</v>
      </c>
      <c r="D1180" t="s">
        <v>484</v>
      </c>
      <c r="E1180" t="s">
        <v>381</v>
      </c>
      <c r="F1180">
        <v>134</v>
      </c>
      <c r="G1180">
        <v>134</v>
      </c>
      <c r="H1180">
        <f>IF(report_B_CategorieBoekjaar[[#This Row],[BedrijfsCode]]="002",IF(report_B_CategorieBoekjaar[[#This Row],[Boekjaar]]=Projectbegroting!$K$1,report_B_CategorieBoekjaar[[#This Row],[CategorieCode]],0),0)</f>
        <v>0</v>
      </c>
      <c r="I1180">
        <f>IF(report_B_CategorieBoekjaar[[#This Row],[BedrijfsCode]]="001",IF(report_B_CategorieBoekjaar[[#This Row],[Boekjaar]]=Projectbegroting!$K$1,report_B_CategorieBoekjaar[[#This Row],[CategorieCode]],0),0)</f>
        <v>0</v>
      </c>
    </row>
    <row r="1181" spans="1:9" x14ac:dyDescent="0.3">
      <c r="A1181" t="s">
        <v>330</v>
      </c>
      <c r="B1181" s="20">
        <v>44562</v>
      </c>
      <c r="C1181" t="s">
        <v>485</v>
      </c>
      <c r="D1181" t="s">
        <v>486</v>
      </c>
      <c r="E1181" t="s">
        <v>384</v>
      </c>
      <c r="F1181">
        <v>0</v>
      </c>
      <c r="G1181">
        <v>0</v>
      </c>
      <c r="H1181">
        <f>IF(report_B_CategorieBoekjaar[[#This Row],[BedrijfsCode]]="002",IF(report_B_CategorieBoekjaar[[#This Row],[Boekjaar]]=Projectbegroting!$K$1,report_B_CategorieBoekjaar[[#This Row],[CategorieCode]],0),0)</f>
        <v>0</v>
      </c>
      <c r="I1181">
        <f>IF(report_B_CategorieBoekjaar[[#This Row],[BedrijfsCode]]="001",IF(report_B_CategorieBoekjaar[[#This Row],[Boekjaar]]=Projectbegroting!$K$1,report_B_CategorieBoekjaar[[#This Row],[CategorieCode]],0),0)</f>
        <v>0</v>
      </c>
    </row>
    <row r="1182" spans="1:9" x14ac:dyDescent="0.3">
      <c r="A1182" t="s">
        <v>330</v>
      </c>
      <c r="B1182" s="20">
        <v>44562</v>
      </c>
      <c r="C1182" t="s">
        <v>175</v>
      </c>
      <c r="D1182" t="s">
        <v>487</v>
      </c>
      <c r="E1182" t="s">
        <v>384</v>
      </c>
      <c r="F1182">
        <v>0</v>
      </c>
      <c r="G1182">
        <v>0</v>
      </c>
      <c r="H1182">
        <f>IF(report_B_CategorieBoekjaar[[#This Row],[BedrijfsCode]]="002",IF(report_B_CategorieBoekjaar[[#This Row],[Boekjaar]]=Projectbegroting!$K$1,report_B_CategorieBoekjaar[[#This Row],[CategorieCode]],0),0)</f>
        <v>0</v>
      </c>
      <c r="I1182">
        <f>IF(report_B_CategorieBoekjaar[[#This Row],[BedrijfsCode]]="001",IF(report_B_CategorieBoekjaar[[#This Row],[Boekjaar]]=Projectbegroting!$K$1,report_B_CategorieBoekjaar[[#This Row],[CategorieCode]],0),0)</f>
        <v>0</v>
      </c>
    </row>
    <row r="1183" spans="1:9" x14ac:dyDescent="0.3">
      <c r="A1183" t="s">
        <v>330</v>
      </c>
      <c r="B1183" s="20">
        <v>44562</v>
      </c>
      <c r="C1183" t="s">
        <v>488</v>
      </c>
      <c r="D1183" t="s">
        <v>489</v>
      </c>
      <c r="E1183" t="s">
        <v>381</v>
      </c>
      <c r="F1183">
        <v>68</v>
      </c>
      <c r="G1183">
        <v>95</v>
      </c>
      <c r="H1183">
        <f>IF(report_B_CategorieBoekjaar[[#This Row],[BedrijfsCode]]="002",IF(report_B_CategorieBoekjaar[[#This Row],[Boekjaar]]=Projectbegroting!$K$1,report_B_CategorieBoekjaar[[#This Row],[CategorieCode]],0),0)</f>
        <v>0</v>
      </c>
      <c r="I1183">
        <f>IF(report_B_CategorieBoekjaar[[#This Row],[BedrijfsCode]]="001",IF(report_B_CategorieBoekjaar[[#This Row],[Boekjaar]]=Projectbegroting!$K$1,report_B_CategorieBoekjaar[[#This Row],[CategorieCode]],0),0)</f>
        <v>0</v>
      </c>
    </row>
    <row r="1184" spans="1:9" x14ac:dyDescent="0.3">
      <c r="A1184" t="s">
        <v>330</v>
      </c>
      <c r="B1184" s="20">
        <v>44562</v>
      </c>
      <c r="C1184" t="s">
        <v>490</v>
      </c>
      <c r="D1184" t="s">
        <v>491</v>
      </c>
      <c r="E1184" t="s">
        <v>384</v>
      </c>
      <c r="F1184">
        <v>0</v>
      </c>
      <c r="G1184">
        <v>0</v>
      </c>
      <c r="H1184">
        <f>IF(report_B_CategorieBoekjaar[[#This Row],[BedrijfsCode]]="002",IF(report_B_CategorieBoekjaar[[#This Row],[Boekjaar]]=Projectbegroting!$K$1,report_B_CategorieBoekjaar[[#This Row],[CategorieCode]],0),0)</f>
        <v>0</v>
      </c>
      <c r="I1184">
        <f>IF(report_B_CategorieBoekjaar[[#This Row],[BedrijfsCode]]="001",IF(report_B_CategorieBoekjaar[[#This Row],[Boekjaar]]=Projectbegroting!$K$1,report_B_CategorieBoekjaar[[#This Row],[CategorieCode]],0),0)</f>
        <v>0</v>
      </c>
    </row>
    <row r="1185" spans="1:9" x14ac:dyDescent="0.3">
      <c r="A1185" t="s">
        <v>330</v>
      </c>
      <c r="B1185" s="20">
        <v>44562</v>
      </c>
      <c r="C1185" t="s">
        <v>68</v>
      </c>
      <c r="D1185" t="s">
        <v>492</v>
      </c>
      <c r="E1185" t="s">
        <v>381</v>
      </c>
      <c r="F1185">
        <v>47</v>
      </c>
      <c r="G1185">
        <v>84</v>
      </c>
      <c r="H1185">
        <f>IF(report_B_CategorieBoekjaar[[#This Row],[BedrijfsCode]]="002",IF(report_B_CategorieBoekjaar[[#This Row],[Boekjaar]]=Projectbegroting!$K$1,report_B_CategorieBoekjaar[[#This Row],[CategorieCode]],0),0)</f>
        <v>0</v>
      </c>
      <c r="I1185">
        <f>IF(report_B_CategorieBoekjaar[[#This Row],[BedrijfsCode]]="001",IF(report_B_CategorieBoekjaar[[#This Row],[Boekjaar]]=Projectbegroting!$K$1,report_B_CategorieBoekjaar[[#This Row],[CategorieCode]],0),0)</f>
        <v>0</v>
      </c>
    </row>
    <row r="1186" spans="1:9" x14ac:dyDescent="0.3">
      <c r="A1186" t="s">
        <v>330</v>
      </c>
      <c r="B1186" s="20">
        <v>44562</v>
      </c>
      <c r="C1186" t="s">
        <v>177</v>
      </c>
      <c r="D1186" t="s">
        <v>493</v>
      </c>
      <c r="E1186" t="s">
        <v>384</v>
      </c>
      <c r="F1186">
        <v>0</v>
      </c>
      <c r="G1186">
        <v>0</v>
      </c>
      <c r="H1186">
        <f>IF(report_B_CategorieBoekjaar[[#This Row],[BedrijfsCode]]="002",IF(report_B_CategorieBoekjaar[[#This Row],[Boekjaar]]=Projectbegroting!$K$1,report_B_CategorieBoekjaar[[#This Row],[CategorieCode]],0),0)</f>
        <v>0</v>
      </c>
      <c r="I1186">
        <f>IF(report_B_CategorieBoekjaar[[#This Row],[BedrijfsCode]]="001",IF(report_B_CategorieBoekjaar[[#This Row],[Boekjaar]]=Projectbegroting!$K$1,report_B_CategorieBoekjaar[[#This Row],[CategorieCode]],0),0)</f>
        <v>0</v>
      </c>
    </row>
    <row r="1187" spans="1:9" x14ac:dyDescent="0.3">
      <c r="A1187" t="s">
        <v>330</v>
      </c>
      <c r="B1187" s="20">
        <v>44562</v>
      </c>
      <c r="C1187" t="s">
        <v>494</v>
      </c>
      <c r="D1187" t="s">
        <v>495</v>
      </c>
      <c r="E1187" t="s">
        <v>381</v>
      </c>
      <c r="F1187">
        <v>40</v>
      </c>
      <c r="G1187">
        <v>77</v>
      </c>
      <c r="H1187">
        <f>IF(report_B_CategorieBoekjaar[[#This Row],[BedrijfsCode]]="002",IF(report_B_CategorieBoekjaar[[#This Row],[Boekjaar]]=Projectbegroting!$K$1,report_B_CategorieBoekjaar[[#This Row],[CategorieCode]],0),0)</f>
        <v>0</v>
      </c>
      <c r="I1187">
        <f>IF(report_B_CategorieBoekjaar[[#This Row],[BedrijfsCode]]="001",IF(report_B_CategorieBoekjaar[[#This Row],[Boekjaar]]=Projectbegroting!$K$1,report_B_CategorieBoekjaar[[#This Row],[CategorieCode]],0),0)</f>
        <v>0</v>
      </c>
    </row>
    <row r="1188" spans="1:9" x14ac:dyDescent="0.3">
      <c r="A1188" t="s">
        <v>330</v>
      </c>
      <c r="B1188" s="20">
        <v>44562</v>
      </c>
      <c r="C1188" t="s">
        <v>496</v>
      </c>
      <c r="D1188" t="s">
        <v>497</v>
      </c>
      <c r="E1188" t="s">
        <v>384</v>
      </c>
      <c r="F1188">
        <v>0</v>
      </c>
      <c r="G1188">
        <v>0</v>
      </c>
      <c r="H1188">
        <f>IF(report_B_CategorieBoekjaar[[#This Row],[BedrijfsCode]]="002",IF(report_B_CategorieBoekjaar[[#This Row],[Boekjaar]]=Projectbegroting!$K$1,report_B_CategorieBoekjaar[[#This Row],[CategorieCode]],0),0)</f>
        <v>0</v>
      </c>
      <c r="I1188">
        <f>IF(report_B_CategorieBoekjaar[[#This Row],[BedrijfsCode]]="001",IF(report_B_CategorieBoekjaar[[#This Row],[Boekjaar]]=Projectbegroting!$K$1,report_B_CategorieBoekjaar[[#This Row],[CategorieCode]],0),0)</f>
        <v>0</v>
      </c>
    </row>
    <row r="1189" spans="1:9" x14ac:dyDescent="0.3">
      <c r="A1189" t="s">
        <v>330</v>
      </c>
      <c r="B1189" s="20">
        <v>44562</v>
      </c>
      <c r="C1189" t="s">
        <v>70</v>
      </c>
      <c r="D1189" t="s">
        <v>498</v>
      </c>
      <c r="E1189" t="s">
        <v>381</v>
      </c>
      <c r="F1189">
        <v>35</v>
      </c>
      <c r="G1189">
        <v>0</v>
      </c>
      <c r="H1189">
        <f>IF(report_B_CategorieBoekjaar[[#This Row],[BedrijfsCode]]="002",IF(report_B_CategorieBoekjaar[[#This Row],[Boekjaar]]=Projectbegroting!$K$1,report_B_CategorieBoekjaar[[#This Row],[CategorieCode]],0),0)</f>
        <v>0</v>
      </c>
      <c r="I1189">
        <f>IF(report_B_CategorieBoekjaar[[#This Row],[BedrijfsCode]]="001",IF(report_B_CategorieBoekjaar[[#This Row],[Boekjaar]]=Projectbegroting!$K$1,report_B_CategorieBoekjaar[[#This Row],[CategorieCode]],0),0)</f>
        <v>0</v>
      </c>
    </row>
    <row r="1190" spans="1:9" x14ac:dyDescent="0.3">
      <c r="A1190" t="s">
        <v>330</v>
      </c>
      <c r="B1190" s="20">
        <v>44562</v>
      </c>
      <c r="C1190" t="s">
        <v>499</v>
      </c>
      <c r="D1190" t="s">
        <v>500</v>
      </c>
      <c r="E1190" t="s">
        <v>384</v>
      </c>
      <c r="F1190">
        <v>0</v>
      </c>
      <c r="G1190">
        <v>0</v>
      </c>
      <c r="H1190">
        <f>IF(report_B_CategorieBoekjaar[[#This Row],[BedrijfsCode]]="002",IF(report_B_CategorieBoekjaar[[#This Row],[Boekjaar]]=Projectbegroting!$K$1,report_B_CategorieBoekjaar[[#This Row],[CategorieCode]],0),0)</f>
        <v>0</v>
      </c>
      <c r="I1190">
        <f>IF(report_B_CategorieBoekjaar[[#This Row],[BedrijfsCode]]="001",IF(report_B_CategorieBoekjaar[[#This Row],[Boekjaar]]=Projectbegroting!$K$1,report_B_CategorieBoekjaar[[#This Row],[CategorieCode]],0),0)</f>
        <v>0</v>
      </c>
    </row>
    <row r="1191" spans="1:9" x14ac:dyDescent="0.3">
      <c r="A1191" t="s">
        <v>330</v>
      </c>
      <c r="B1191" s="20">
        <v>44562</v>
      </c>
      <c r="C1191" t="s">
        <v>501</v>
      </c>
      <c r="D1191" t="s">
        <v>502</v>
      </c>
      <c r="E1191" t="s">
        <v>381</v>
      </c>
      <c r="F1191">
        <v>64</v>
      </c>
      <c r="G1191">
        <v>102</v>
      </c>
      <c r="H1191">
        <f>IF(report_B_CategorieBoekjaar[[#This Row],[BedrijfsCode]]="002",IF(report_B_CategorieBoekjaar[[#This Row],[Boekjaar]]=Projectbegroting!$K$1,report_B_CategorieBoekjaar[[#This Row],[CategorieCode]],0),0)</f>
        <v>0</v>
      </c>
      <c r="I1191">
        <f>IF(report_B_CategorieBoekjaar[[#This Row],[BedrijfsCode]]="001",IF(report_B_CategorieBoekjaar[[#This Row],[Boekjaar]]=Projectbegroting!$K$1,report_B_CategorieBoekjaar[[#This Row],[CategorieCode]],0),0)</f>
        <v>0</v>
      </c>
    </row>
    <row r="1192" spans="1:9" x14ac:dyDescent="0.3">
      <c r="A1192" t="s">
        <v>330</v>
      </c>
      <c r="B1192" s="20">
        <v>44562</v>
      </c>
      <c r="C1192" t="s">
        <v>503</v>
      </c>
      <c r="D1192" t="s">
        <v>504</v>
      </c>
      <c r="E1192" t="s">
        <v>384</v>
      </c>
      <c r="F1192">
        <v>0</v>
      </c>
      <c r="G1192">
        <v>0</v>
      </c>
      <c r="H1192">
        <f>IF(report_B_CategorieBoekjaar[[#This Row],[BedrijfsCode]]="002",IF(report_B_CategorieBoekjaar[[#This Row],[Boekjaar]]=Projectbegroting!$K$1,report_B_CategorieBoekjaar[[#This Row],[CategorieCode]],0),0)</f>
        <v>0</v>
      </c>
      <c r="I1192">
        <f>IF(report_B_CategorieBoekjaar[[#This Row],[BedrijfsCode]]="001",IF(report_B_CategorieBoekjaar[[#This Row],[Boekjaar]]=Projectbegroting!$K$1,report_B_CategorieBoekjaar[[#This Row],[CategorieCode]],0),0)</f>
        <v>0</v>
      </c>
    </row>
    <row r="1193" spans="1:9" x14ac:dyDescent="0.3">
      <c r="A1193" t="s">
        <v>330</v>
      </c>
      <c r="B1193" s="20">
        <v>44562</v>
      </c>
      <c r="C1193" t="s">
        <v>505</v>
      </c>
      <c r="D1193" t="s">
        <v>506</v>
      </c>
      <c r="E1193" t="s">
        <v>381</v>
      </c>
      <c r="F1193">
        <v>50</v>
      </c>
      <c r="G1193">
        <v>0</v>
      </c>
      <c r="H1193">
        <f>IF(report_B_CategorieBoekjaar[[#This Row],[BedrijfsCode]]="002",IF(report_B_CategorieBoekjaar[[#This Row],[Boekjaar]]=Projectbegroting!$K$1,report_B_CategorieBoekjaar[[#This Row],[CategorieCode]],0),0)</f>
        <v>0</v>
      </c>
      <c r="I1193">
        <f>IF(report_B_CategorieBoekjaar[[#This Row],[BedrijfsCode]]="001",IF(report_B_CategorieBoekjaar[[#This Row],[Boekjaar]]=Projectbegroting!$K$1,report_B_CategorieBoekjaar[[#This Row],[CategorieCode]],0),0)</f>
        <v>0</v>
      </c>
    </row>
    <row r="1194" spans="1:9" x14ac:dyDescent="0.3">
      <c r="A1194" t="s">
        <v>330</v>
      </c>
      <c r="B1194" s="20">
        <v>44562</v>
      </c>
      <c r="C1194" t="s">
        <v>507</v>
      </c>
      <c r="D1194" t="s">
        <v>508</v>
      </c>
      <c r="E1194" t="s">
        <v>384</v>
      </c>
      <c r="F1194">
        <v>0</v>
      </c>
      <c r="G1194">
        <v>0</v>
      </c>
      <c r="H1194">
        <f>IF(report_B_CategorieBoekjaar[[#This Row],[BedrijfsCode]]="002",IF(report_B_CategorieBoekjaar[[#This Row],[Boekjaar]]=Projectbegroting!$K$1,report_B_CategorieBoekjaar[[#This Row],[CategorieCode]],0),0)</f>
        <v>0</v>
      </c>
      <c r="I1194">
        <f>IF(report_B_CategorieBoekjaar[[#This Row],[BedrijfsCode]]="001",IF(report_B_CategorieBoekjaar[[#This Row],[Boekjaar]]=Projectbegroting!$K$1,report_B_CategorieBoekjaar[[#This Row],[CategorieCode]],0),0)</f>
        <v>0</v>
      </c>
    </row>
    <row r="1195" spans="1:9" x14ac:dyDescent="0.3">
      <c r="A1195" t="s">
        <v>330</v>
      </c>
      <c r="B1195" s="20">
        <v>44562</v>
      </c>
      <c r="C1195" t="s">
        <v>509</v>
      </c>
      <c r="D1195" t="s">
        <v>510</v>
      </c>
      <c r="E1195" t="s">
        <v>381</v>
      </c>
      <c r="F1195">
        <v>154</v>
      </c>
      <c r="G1195">
        <v>0</v>
      </c>
      <c r="H1195">
        <f>IF(report_B_CategorieBoekjaar[[#This Row],[BedrijfsCode]]="002",IF(report_B_CategorieBoekjaar[[#This Row],[Boekjaar]]=Projectbegroting!$K$1,report_B_CategorieBoekjaar[[#This Row],[CategorieCode]],0),0)</f>
        <v>0</v>
      </c>
      <c r="I1195">
        <f>IF(report_B_CategorieBoekjaar[[#This Row],[BedrijfsCode]]="001",IF(report_B_CategorieBoekjaar[[#This Row],[Boekjaar]]=Projectbegroting!$K$1,report_B_CategorieBoekjaar[[#This Row],[CategorieCode]],0),0)</f>
        <v>0</v>
      </c>
    </row>
    <row r="1196" spans="1:9" x14ac:dyDescent="0.3">
      <c r="A1196" t="s">
        <v>330</v>
      </c>
      <c r="B1196" s="20">
        <v>44562</v>
      </c>
      <c r="C1196" t="s">
        <v>511</v>
      </c>
      <c r="D1196" t="s">
        <v>512</v>
      </c>
      <c r="E1196" t="s">
        <v>381</v>
      </c>
      <c r="F1196">
        <v>0</v>
      </c>
      <c r="G1196">
        <v>0</v>
      </c>
      <c r="H1196">
        <f>IF(report_B_CategorieBoekjaar[[#This Row],[BedrijfsCode]]="002",IF(report_B_CategorieBoekjaar[[#This Row],[Boekjaar]]=Projectbegroting!$K$1,report_B_CategorieBoekjaar[[#This Row],[CategorieCode]],0),0)</f>
        <v>0</v>
      </c>
      <c r="I1196">
        <f>IF(report_B_CategorieBoekjaar[[#This Row],[BedrijfsCode]]="001",IF(report_B_CategorieBoekjaar[[#This Row],[Boekjaar]]=Projectbegroting!$K$1,report_B_CategorieBoekjaar[[#This Row],[CategorieCode]],0),0)</f>
        <v>0</v>
      </c>
    </row>
    <row r="1197" spans="1:9" x14ac:dyDescent="0.3">
      <c r="A1197" t="s">
        <v>330</v>
      </c>
      <c r="B1197" s="20">
        <v>44562</v>
      </c>
      <c r="C1197" t="s">
        <v>92</v>
      </c>
      <c r="D1197" t="s">
        <v>513</v>
      </c>
      <c r="E1197" t="s">
        <v>381</v>
      </c>
      <c r="F1197">
        <v>55</v>
      </c>
      <c r="G1197">
        <v>82</v>
      </c>
      <c r="H1197">
        <f>IF(report_B_CategorieBoekjaar[[#This Row],[BedrijfsCode]]="002",IF(report_B_CategorieBoekjaar[[#This Row],[Boekjaar]]=Projectbegroting!$K$1,report_B_CategorieBoekjaar[[#This Row],[CategorieCode]],0),0)</f>
        <v>0</v>
      </c>
      <c r="I1197">
        <f>IF(report_B_CategorieBoekjaar[[#This Row],[BedrijfsCode]]="001",IF(report_B_CategorieBoekjaar[[#This Row],[Boekjaar]]=Projectbegroting!$K$1,report_B_CategorieBoekjaar[[#This Row],[CategorieCode]],0),0)</f>
        <v>0</v>
      </c>
    </row>
    <row r="1198" spans="1:9" x14ac:dyDescent="0.3">
      <c r="A1198" t="s">
        <v>330</v>
      </c>
      <c r="B1198" s="20">
        <v>44562</v>
      </c>
      <c r="C1198" t="s">
        <v>514</v>
      </c>
      <c r="D1198" t="s">
        <v>515</v>
      </c>
      <c r="E1198" t="s">
        <v>384</v>
      </c>
      <c r="F1198">
        <v>0</v>
      </c>
      <c r="G1198">
        <v>0</v>
      </c>
      <c r="H1198">
        <f>IF(report_B_CategorieBoekjaar[[#This Row],[BedrijfsCode]]="002",IF(report_B_CategorieBoekjaar[[#This Row],[Boekjaar]]=Projectbegroting!$K$1,report_B_CategorieBoekjaar[[#This Row],[CategorieCode]],0),0)</f>
        <v>0</v>
      </c>
      <c r="I1198">
        <f>IF(report_B_CategorieBoekjaar[[#This Row],[BedrijfsCode]]="001",IF(report_B_CategorieBoekjaar[[#This Row],[Boekjaar]]=Projectbegroting!$K$1,report_B_CategorieBoekjaar[[#This Row],[CategorieCode]],0),0)</f>
        <v>0</v>
      </c>
    </row>
    <row r="1199" spans="1:9" x14ac:dyDescent="0.3">
      <c r="A1199" t="s">
        <v>330</v>
      </c>
      <c r="B1199" s="20">
        <v>44562</v>
      </c>
      <c r="C1199" t="s">
        <v>72</v>
      </c>
      <c r="D1199" t="s">
        <v>516</v>
      </c>
      <c r="E1199" t="s">
        <v>381</v>
      </c>
      <c r="F1199">
        <v>53</v>
      </c>
      <c r="G1199">
        <v>70</v>
      </c>
      <c r="H1199">
        <f>IF(report_B_CategorieBoekjaar[[#This Row],[BedrijfsCode]]="002",IF(report_B_CategorieBoekjaar[[#This Row],[Boekjaar]]=Projectbegroting!$K$1,report_B_CategorieBoekjaar[[#This Row],[CategorieCode]],0),0)</f>
        <v>0</v>
      </c>
      <c r="I1199">
        <f>IF(report_B_CategorieBoekjaar[[#This Row],[BedrijfsCode]]="001",IF(report_B_CategorieBoekjaar[[#This Row],[Boekjaar]]=Projectbegroting!$K$1,report_B_CategorieBoekjaar[[#This Row],[CategorieCode]],0),0)</f>
        <v>0</v>
      </c>
    </row>
    <row r="1200" spans="1:9" x14ac:dyDescent="0.3">
      <c r="A1200" t="s">
        <v>330</v>
      </c>
      <c r="B1200" s="20">
        <v>44562</v>
      </c>
      <c r="C1200" t="s">
        <v>517</v>
      </c>
      <c r="D1200" t="s">
        <v>518</v>
      </c>
      <c r="E1200" t="s">
        <v>384</v>
      </c>
      <c r="F1200">
        <v>0</v>
      </c>
      <c r="G1200">
        <v>0</v>
      </c>
      <c r="H1200">
        <f>IF(report_B_CategorieBoekjaar[[#This Row],[BedrijfsCode]]="002",IF(report_B_CategorieBoekjaar[[#This Row],[Boekjaar]]=Projectbegroting!$K$1,report_B_CategorieBoekjaar[[#This Row],[CategorieCode]],0),0)</f>
        <v>0</v>
      </c>
      <c r="I1200">
        <f>IF(report_B_CategorieBoekjaar[[#This Row],[BedrijfsCode]]="001",IF(report_B_CategorieBoekjaar[[#This Row],[Boekjaar]]=Projectbegroting!$K$1,report_B_CategorieBoekjaar[[#This Row],[CategorieCode]],0),0)</f>
        <v>0</v>
      </c>
    </row>
    <row r="1201" spans="1:9" x14ac:dyDescent="0.3">
      <c r="A1201" t="s">
        <v>330</v>
      </c>
      <c r="B1201" s="20">
        <v>44562</v>
      </c>
      <c r="C1201" t="s">
        <v>74</v>
      </c>
      <c r="D1201" t="s">
        <v>75</v>
      </c>
      <c r="E1201" t="s">
        <v>381</v>
      </c>
      <c r="F1201">
        <v>39</v>
      </c>
      <c r="G1201">
        <v>67</v>
      </c>
      <c r="H1201">
        <f>IF(report_B_CategorieBoekjaar[[#This Row],[BedrijfsCode]]="002",IF(report_B_CategorieBoekjaar[[#This Row],[Boekjaar]]=Projectbegroting!$K$1,report_B_CategorieBoekjaar[[#This Row],[CategorieCode]],0),0)</f>
        <v>0</v>
      </c>
      <c r="I1201">
        <f>IF(report_B_CategorieBoekjaar[[#This Row],[BedrijfsCode]]="001",IF(report_B_CategorieBoekjaar[[#This Row],[Boekjaar]]=Projectbegroting!$K$1,report_B_CategorieBoekjaar[[#This Row],[CategorieCode]],0),0)</f>
        <v>0</v>
      </c>
    </row>
    <row r="1202" spans="1:9" x14ac:dyDescent="0.3">
      <c r="A1202" t="s">
        <v>330</v>
      </c>
      <c r="B1202" s="20">
        <v>44562</v>
      </c>
      <c r="C1202" t="s">
        <v>178</v>
      </c>
      <c r="D1202" t="s">
        <v>519</v>
      </c>
      <c r="E1202" t="s">
        <v>384</v>
      </c>
      <c r="F1202">
        <v>0</v>
      </c>
      <c r="G1202">
        <v>0</v>
      </c>
      <c r="H1202">
        <f>IF(report_B_CategorieBoekjaar[[#This Row],[BedrijfsCode]]="002",IF(report_B_CategorieBoekjaar[[#This Row],[Boekjaar]]=Projectbegroting!$K$1,report_B_CategorieBoekjaar[[#This Row],[CategorieCode]],0),0)</f>
        <v>0</v>
      </c>
      <c r="I1202">
        <f>IF(report_B_CategorieBoekjaar[[#This Row],[BedrijfsCode]]="001",IF(report_B_CategorieBoekjaar[[#This Row],[Boekjaar]]=Projectbegroting!$K$1,report_B_CategorieBoekjaar[[#This Row],[CategorieCode]],0),0)</f>
        <v>0</v>
      </c>
    </row>
    <row r="1203" spans="1:9" x14ac:dyDescent="0.3">
      <c r="A1203" t="s">
        <v>330</v>
      </c>
      <c r="B1203" s="20">
        <v>44562</v>
      </c>
      <c r="C1203" t="s">
        <v>520</v>
      </c>
      <c r="D1203" t="s">
        <v>521</v>
      </c>
      <c r="E1203" t="s">
        <v>384</v>
      </c>
      <c r="F1203">
        <v>0</v>
      </c>
      <c r="G1203">
        <v>0</v>
      </c>
      <c r="H1203">
        <f>IF(report_B_CategorieBoekjaar[[#This Row],[BedrijfsCode]]="002",IF(report_B_CategorieBoekjaar[[#This Row],[Boekjaar]]=Projectbegroting!$K$1,report_B_CategorieBoekjaar[[#This Row],[CategorieCode]],0),0)</f>
        <v>0</v>
      </c>
      <c r="I1203">
        <f>IF(report_B_CategorieBoekjaar[[#This Row],[BedrijfsCode]]="001",IF(report_B_CategorieBoekjaar[[#This Row],[Boekjaar]]=Projectbegroting!$K$1,report_B_CategorieBoekjaar[[#This Row],[CategorieCode]],0),0)</f>
        <v>0</v>
      </c>
    </row>
    <row r="1204" spans="1:9" x14ac:dyDescent="0.3">
      <c r="A1204" t="s">
        <v>330</v>
      </c>
      <c r="B1204" s="20">
        <v>44562</v>
      </c>
      <c r="C1204" t="s">
        <v>522</v>
      </c>
      <c r="D1204" t="s">
        <v>523</v>
      </c>
      <c r="E1204" t="s">
        <v>381</v>
      </c>
      <c r="F1204">
        <v>75</v>
      </c>
      <c r="G1204">
        <v>0</v>
      </c>
      <c r="H1204">
        <f>IF(report_B_CategorieBoekjaar[[#This Row],[BedrijfsCode]]="002",IF(report_B_CategorieBoekjaar[[#This Row],[Boekjaar]]=Projectbegroting!$K$1,report_B_CategorieBoekjaar[[#This Row],[CategorieCode]],0),0)</f>
        <v>0</v>
      </c>
      <c r="I1204">
        <f>IF(report_B_CategorieBoekjaar[[#This Row],[BedrijfsCode]]="001",IF(report_B_CategorieBoekjaar[[#This Row],[Boekjaar]]=Projectbegroting!$K$1,report_B_CategorieBoekjaar[[#This Row],[CategorieCode]],0),0)</f>
        <v>0</v>
      </c>
    </row>
    <row r="1205" spans="1:9" x14ac:dyDescent="0.3">
      <c r="A1205" t="s">
        <v>330</v>
      </c>
      <c r="B1205" s="20">
        <v>44562</v>
      </c>
      <c r="C1205" t="s">
        <v>78</v>
      </c>
      <c r="D1205" t="s">
        <v>79</v>
      </c>
      <c r="E1205" t="s">
        <v>381</v>
      </c>
      <c r="F1205">
        <v>70</v>
      </c>
      <c r="G1205">
        <v>108</v>
      </c>
      <c r="H1205">
        <f>IF(report_B_CategorieBoekjaar[[#This Row],[BedrijfsCode]]="002",IF(report_B_CategorieBoekjaar[[#This Row],[Boekjaar]]=Projectbegroting!$K$1,report_B_CategorieBoekjaar[[#This Row],[CategorieCode]],0),0)</f>
        <v>0</v>
      </c>
      <c r="I1205">
        <f>IF(report_B_CategorieBoekjaar[[#This Row],[BedrijfsCode]]="001",IF(report_B_CategorieBoekjaar[[#This Row],[Boekjaar]]=Projectbegroting!$K$1,report_B_CategorieBoekjaar[[#This Row],[CategorieCode]],0),0)</f>
        <v>0</v>
      </c>
    </row>
    <row r="1206" spans="1:9" x14ac:dyDescent="0.3">
      <c r="A1206" t="s">
        <v>330</v>
      </c>
      <c r="B1206" s="20">
        <v>44562</v>
      </c>
      <c r="C1206" t="s">
        <v>176</v>
      </c>
      <c r="D1206" t="s">
        <v>524</v>
      </c>
      <c r="E1206" t="s">
        <v>384</v>
      </c>
      <c r="F1206">
        <v>0</v>
      </c>
      <c r="G1206">
        <v>0</v>
      </c>
      <c r="H1206">
        <f>IF(report_B_CategorieBoekjaar[[#This Row],[BedrijfsCode]]="002",IF(report_B_CategorieBoekjaar[[#This Row],[Boekjaar]]=Projectbegroting!$K$1,report_B_CategorieBoekjaar[[#This Row],[CategorieCode]],0),0)</f>
        <v>0</v>
      </c>
      <c r="I1206">
        <f>IF(report_B_CategorieBoekjaar[[#This Row],[BedrijfsCode]]="001",IF(report_B_CategorieBoekjaar[[#This Row],[Boekjaar]]=Projectbegroting!$K$1,report_B_CategorieBoekjaar[[#This Row],[CategorieCode]],0),0)</f>
        <v>0</v>
      </c>
    </row>
    <row r="1207" spans="1:9" hidden="1" x14ac:dyDescent="0.3">
      <c r="A1207" t="s">
        <v>525</v>
      </c>
      <c r="B1207" s="20">
        <v>44562</v>
      </c>
      <c r="C1207" t="s">
        <v>179</v>
      </c>
      <c r="D1207" t="s">
        <v>331</v>
      </c>
      <c r="E1207" t="s">
        <v>217</v>
      </c>
      <c r="F1207">
        <v>0</v>
      </c>
      <c r="G1207">
        <v>0</v>
      </c>
      <c r="H1207">
        <f>IF(report_B_CategorieBoekjaar[[#This Row],[BedrijfsCode]]="002",IF(report_B_CategorieBoekjaar[[#This Row],[Boekjaar]]=Projectbegroting!$K$1,report_B_CategorieBoekjaar[[#This Row],[CategorieCode]],0),0)</f>
        <v>0</v>
      </c>
      <c r="I1207">
        <f>IF(report_B_CategorieBoekjaar[[#This Row],[BedrijfsCode]]="001",IF(report_B_CategorieBoekjaar[[#This Row],[Boekjaar]]=Projectbegroting!$K$1,report_B_CategorieBoekjaar[[#This Row],[CategorieCode]],0),0)</f>
        <v>0</v>
      </c>
    </row>
    <row r="1208" spans="1:9" hidden="1" x14ac:dyDescent="0.3">
      <c r="A1208" t="s">
        <v>525</v>
      </c>
      <c r="B1208" s="20">
        <v>44562</v>
      </c>
      <c r="C1208" t="s">
        <v>180</v>
      </c>
      <c r="D1208" t="s">
        <v>332</v>
      </c>
      <c r="E1208" t="s">
        <v>217</v>
      </c>
      <c r="F1208">
        <v>0</v>
      </c>
      <c r="G1208">
        <v>0</v>
      </c>
      <c r="H1208">
        <f>IF(report_B_CategorieBoekjaar[[#This Row],[BedrijfsCode]]="002",IF(report_B_CategorieBoekjaar[[#This Row],[Boekjaar]]=Projectbegroting!$K$1,report_B_CategorieBoekjaar[[#This Row],[CategorieCode]],0),0)</f>
        <v>0</v>
      </c>
      <c r="I1208">
        <f>IF(report_B_CategorieBoekjaar[[#This Row],[BedrijfsCode]]="001",IF(report_B_CategorieBoekjaar[[#This Row],[Boekjaar]]=Projectbegroting!$K$1,report_B_CategorieBoekjaar[[#This Row],[CategorieCode]],0),0)</f>
        <v>0</v>
      </c>
    </row>
    <row r="1209" spans="1:9" hidden="1" x14ac:dyDescent="0.3">
      <c r="A1209" t="s">
        <v>525</v>
      </c>
      <c r="B1209" s="20">
        <v>44562</v>
      </c>
      <c r="C1209" t="s">
        <v>181</v>
      </c>
      <c r="D1209" t="s">
        <v>333</v>
      </c>
      <c r="E1209" t="s">
        <v>217</v>
      </c>
      <c r="F1209">
        <v>0</v>
      </c>
      <c r="G1209">
        <v>0</v>
      </c>
      <c r="H1209">
        <f>IF(report_B_CategorieBoekjaar[[#This Row],[BedrijfsCode]]="002",IF(report_B_CategorieBoekjaar[[#This Row],[Boekjaar]]=Projectbegroting!$K$1,report_B_CategorieBoekjaar[[#This Row],[CategorieCode]],0),0)</f>
        <v>0</v>
      </c>
      <c r="I1209">
        <f>IF(report_B_CategorieBoekjaar[[#This Row],[BedrijfsCode]]="001",IF(report_B_CategorieBoekjaar[[#This Row],[Boekjaar]]=Projectbegroting!$K$1,report_B_CategorieBoekjaar[[#This Row],[CategorieCode]],0),0)</f>
        <v>0</v>
      </c>
    </row>
    <row r="1210" spans="1:9" hidden="1" x14ac:dyDescent="0.3">
      <c r="A1210" t="s">
        <v>525</v>
      </c>
      <c r="B1210" s="20">
        <v>44562</v>
      </c>
      <c r="C1210" t="s">
        <v>182</v>
      </c>
      <c r="D1210" t="s">
        <v>334</v>
      </c>
      <c r="E1210" t="s">
        <v>217</v>
      </c>
      <c r="F1210">
        <v>0</v>
      </c>
      <c r="G1210">
        <v>0</v>
      </c>
      <c r="H1210">
        <f>IF(report_B_CategorieBoekjaar[[#This Row],[BedrijfsCode]]="002",IF(report_B_CategorieBoekjaar[[#This Row],[Boekjaar]]=Projectbegroting!$K$1,report_B_CategorieBoekjaar[[#This Row],[CategorieCode]],0),0)</f>
        <v>0</v>
      </c>
      <c r="I1210">
        <f>IF(report_B_CategorieBoekjaar[[#This Row],[BedrijfsCode]]="001",IF(report_B_CategorieBoekjaar[[#This Row],[Boekjaar]]=Projectbegroting!$K$1,report_B_CategorieBoekjaar[[#This Row],[CategorieCode]],0),0)</f>
        <v>0</v>
      </c>
    </row>
    <row r="1211" spans="1:9" hidden="1" x14ac:dyDescent="0.3">
      <c r="A1211" t="s">
        <v>525</v>
      </c>
      <c r="B1211" s="20">
        <v>44562</v>
      </c>
      <c r="C1211" t="s">
        <v>183</v>
      </c>
      <c r="D1211" t="s">
        <v>335</v>
      </c>
      <c r="E1211" t="s">
        <v>217</v>
      </c>
      <c r="F1211">
        <v>0</v>
      </c>
      <c r="G1211">
        <v>0</v>
      </c>
      <c r="H1211">
        <f>IF(report_B_CategorieBoekjaar[[#This Row],[BedrijfsCode]]="002",IF(report_B_CategorieBoekjaar[[#This Row],[Boekjaar]]=Projectbegroting!$K$1,report_B_CategorieBoekjaar[[#This Row],[CategorieCode]],0),0)</f>
        <v>0</v>
      </c>
      <c r="I1211">
        <f>IF(report_B_CategorieBoekjaar[[#This Row],[BedrijfsCode]]="001",IF(report_B_CategorieBoekjaar[[#This Row],[Boekjaar]]=Projectbegroting!$K$1,report_B_CategorieBoekjaar[[#This Row],[CategorieCode]],0),0)</f>
        <v>0</v>
      </c>
    </row>
    <row r="1212" spans="1:9" hidden="1" x14ac:dyDescent="0.3">
      <c r="A1212" t="s">
        <v>525</v>
      </c>
      <c r="B1212" s="20">
        <v>44562</v>
      </c>
      <c r="C1212" t="s">
        <v>184</v>
      </c>
      <c r="D1212" t="s">
        <v>336</v>
      </c>
      <c r="E1212" t="s">
        <v>217</v>
      </c>
      <c r="F1212">
        <v>0</v>
      </c>
      <c r="G1212">
        <v>0</v>
      </c>
      <c r="H1212">
        <f>IF(report_B_CategorieBoekjaar[[#This Row],[BedrijfsCode]]="002",IF(report_B_CategorieBoekjaar[[#This Row],[Boekjaar]]=Projectbegroting!$K$1,report_B_CategorieBoekjaar[[#This Row],[CategorieCode]],0),0)</f>
        <v>0</v>
      </c>
      <c r="I1212">
        <f>IF(report_B_CategorieBoekjaar[[#This Row],[BedrijfsCode]]="001",IF(report_B_CategorieBoekjaar[[#This Row],[Boekjaar]]=Projectbegroting!$K$1,report_B_CategorieBoekjaar[[#This Row],[CategorieCode]],0),0)</f>
        <v>0</v>
      </c>
    </row>
    <row r="1213" spans="1:9" hidden="1" x14ac:dyDescent="0.3">
      <c r="A1213" t="s">
        <v>525</v>
      </c>
      <c r="B1213" s="20">
        <v>44562</v>
      </c>
      <c r="C1213" t="s">
        <v>185</v>
      </c>
      <c r="D1213" t="s">
        <v>337</v>
      </c>
      <c r="E1213" t="s">
        <v>217</v>
      </c>
      <c r="F1213">
        <v>0</v>
      </c>
      <c r="G1213">
        <v>0</v>
      </c>
      <c r="H1213">
        <f>IF(report_B_CategorieBoekjaar[[#This Row],[BedrijfsCode]]="002",IF(report_B_CategorieBoekjaar[[#This Row],[Boekjaar]]=Projectbegroting!$K$1,report_B_CategorieBoekjaar[[#This Row],[CategorieCode]],0),0)</f>
        <v>0</v>
      </c>
      <c r="I1213">
        <f>IF(report_B_CategorieBoekjaar[[#This Row],[BedrijfsCode]]="001",IF(report_B_CategorieBoekjaar[[#This Row],[Boekjaar]]=Projectbegroting!$K$1,report_B_CategorieBoekjaar[[#This Row],[CategorieCode]],0),0)</f>
        <v>0</v>
      </c>
    </row>
    <row r="1214" spans="1:9" hidden="1" x14ac:dyDescent="0.3">
      <c r="A1214" t="s">
        <v>525</v>
      </c>
      <c r="B1214" s="20">
        <v>44562</v>
      </c>
      <c r="C1214" t="s">
        <v>186</v>
      </c>
      <c r="D1214" t="s">
        <v>338</v>
      </c>
      <c r="E1214" t="s">
        <v>217</v>
      </c>
      <c r="F1214">
        <v>0</v>
      </c>
      <c r="G1214">
        <v>0</v>
      </c>
      <c r="H1214">
        <f>IF(report_B_CategorieBoekjaar[[#This Row],[BedrijfsCode]]="002",IF(report_B_CategorieBoekjaar[[#This Row],[Boekjaar]]=Projectbegroting!$K$1,report_B_CategorieBoekjaar[[#This Row],[CategorieCode]],0),0)</f>
        <v>0</v>
      </c>
      <c r="I1214">
        <f>IF(report_B_CategorieBoekjaar[[#This Row],[BedrijfsCode]]="001",IF(report_B_CategorieBoekjaar[[#This Row],[Boekjaar]]=Projectbegroting!$K$1,report_B_CategorieBoekjaar[[#This Row],[CategorieCode]],0),0)</f>
        <v>0</v>
      </c>
    </row>
    <row r="1215" spans="1:9" hidden="1" x14ac:dyDescent="0.3">
      <c r="A1215" t="s">
        <v>525</v>
      </c>
      <c r="B1215" s="20">
        <v>44562</v>
      </c>
      <c r="C1215" t="s">
        <v>187</v>
      </c>
      <c r="D1215" t="s">
        <v>339</v>
      </c>
      <c r="E1215" t="s">
        <v>217</v>
      </c>
      <c r="F1215">
        <v>0</v>
      </c>
      <c r="G1215">
        <v>0</v>
      </c>
      <c r="H1215">
        <f>IF(report_B_CategorieBoekjaar[[#This Row],[BedrijfsCode]]="002",IF(report_B_CategorieBoekjaar[[#This Row],[Boekjaar]]=Projectbegroting!$K$1,report_B_CategorieBoekjaar[[#This Row],[CategorieCode]],0),0)</f>
        <v>0</v>
      </c>
      <c r="I1215">
        <f>IF(report_B_CategorieBoekjaar[[#This Row],[BedrijfsCode]]="001",IF(report_B_CategorieBoekjaar[[#This Row],[Boekjaar]]=Projectbegroting!$K$1,report_B_CategorieBoekjaar[[#This Row],[CategorieCode]],0),0)</f>
        <v>0</v>
      </c>
    </row>
    <row r="1216" spans="1:9" hidden="1" x14ac:dyDescent="0.3">
      <c r="A1216" t="s">
        <v>525</v>
      </c>
      <c r="B1216" s="20">
        <v>44562</v>
      </c>
      <c r="C1216" t="s">
        <v>188</v>
      </c>
      <c r="D1216" t="s">
        <v>340</v>
      </c>
      <c r="E1216" t="s">
        <v>217</v>
      </c>
      <c r="F1216">
        <v>0</v>
      </c>
      <c r="G1216">
        <v>0</v>
      </c>
      <c r="H1216">
        <f>IF(report_B_CategorieBoekjaar[[#This Row],[BedrijfsCode]]="002",IF(report_B_CategorieBoekjaar[[#This Row],[Boekjaar]]=Projectbegroting!$K$1,report_B_CategorieBoekjaar[[#This Row],[CategorieCode]],0),0)</f>
        <v>0</v>
      </c>
      <c r="I1216">
        <f>IF(report_B_CategorieBoekjaar[[#This Row],[BedrijfsCode]]="001",IF(report_B_CategorieBoekjaar[[#This Row],[Boekjaar]]=Projectbegroting!$K$1,report_B_CategorieBoekjaar[[#This Row],[CategorieCode]],0),0)</f>
        <v>0</v>
      </c>
    </row>
    <row r="1217" spans="1:9" hidden="1" x14ac:dyDescent="0.3">
      <c r="A1217" t="s">
        <v>525</v>
      </c>
      <c r="B1217" s="20">
        <v>44562</v>
      </c>
      <c r="C1217" t="s">
        <v>189</v>
      </c>
      <c r="D1217" t="s">
        <v>341</v>
      </c>
      <c r="E1217" t="s">
        <v>217</v>
      </c>
      <c r="F1217">
        <v>0</v>
      </c>
      <c r="G1217">
        <v>0</v>
      </c>
      <c r="H1217">
        <f>IF(report_B_CategorieBoekjaar[[#This Row],[BedrijfsCode]]="002",IF(report_B_CategorieBoekjaar[[#This Row],[Boekjaar]]=Projectbegroting!$K$1,report_B_CategorieBoekjaar[[#This Row],[CategorieCode]],0),0)</f>
        <v>0</v>
      </c>
      <c r="I1217">
        <f>IF(report_B_CategorieBoekjaar[[#This Row],[BedrijfsCode]]="001",IF(report_B_CategorieBoekjaar[[#This Row],[Boekjaar]]=Projectbegroting!$K$1,report_B_CategorieBoekjaar[[#This Row],[CategorieCode]],0),0)</f>
        <v>0</v>
      </c>
    </row>
    <row r="1218" spans="1:9" hidden="1" x14ac:dyDescent="0.3">
      <c r="A1218" t="s">
        <v>525</v>
      </c>
      <c r="B1218" s="20">
        <v>44562</v>
      </c>
      <c r="C1218" t="s">
        <v>190</v>
      </c>
      <c r="D1218" t="s">
        <v>342</v>
      </c>
      <c r="E1218" t="s">
        <v>217</v>
      </c>
      <c r="F1218">
        <v>0</v>
      </c>
      <c r="G1218">
        <v>0</v>
      </c>
      <c r="H1218">
        <f>IF(report_B_CategorieBoekjaar[[#This Row],[BedrijfsCode]]="002",IF(report_B_CategorieBoekjaar[[#This Row],[Boekjaar]]=Projectbegroting!$K$1,report_B_CategorieBoekjaar[[#This Row],[CategorieCode]],0),0)</f>
        <v>0</v>
      </c>
      <c r="I1218">
        <f>IF(report_B_CategorieBoekjaar[[#This Row],[BedrijfsCode]]="001",IF(report_B_CategorieBoekjaar[[#This Row],[Boekjaar]]=Projectbegroting!$K$1,report_B_CategorieBoekjaar[[#This Row],[CategorieCode]],0),0)</f>
        <v>0</v>
      </c>
    </row>
    <row r="1219" spans="1:9" hidden="1" x14ac:dyDescent="0.3">
      <c r="A1219" t="s">
        <v>525</v>
      </c>
      <c r="B1219" s="20">
        <v>44562</v>
      </c>
      <c r="C1219" t="s">
        <v>191</v>
      </c>
      <c r="D1219" t="s">
        <v>343</v>
      </c>
      <c r="E1219" t="s">
        <v>217</v>
      </c>
      <c r="F1219">
        <v>0</v>
      </c>
      <c r="G1219">
        <v>0</v>
      </c>
      <c r="H1219">
        <f>IF(report_B_CategorieBoekjaar[[#This Row],[BedrijfsCode]]="002",IF(report_B_CategorieBoekjaar[[#This Row],[Boekjaar]]=Projectbegroting!$K$1,report_B_CategorieBoekjaar[[#This Row],[CategorieCode]],0),0)</f>
        <v>0</v>
      </c>
      <c r="I1219">
        <f>IF(report_B_CategorieBoekjaar[[#This Row],[BedrijfsCode]]="001",IF(report_B_CategorieBoekjaar[[#This Row],[Boekjaar]]=Projectbegroting!$K$1,report_B_CategorieBoekjaar[[#This Row],[CategorieCode]],0),0)</f>
        <v>0</v>
      </c>
    </row>
    <row r="1220" spans="1:9" hidden="1" x14ac:dyDescent="0.3">
      <c r="A1220" t="s">
        <v>525</v>
      </c>
      <c r="B1220" s="20">
        <v>44562</v>
      </c>
      <c r="C1220" t="s">
        <v>192</v>
      </c>
      <c r="D1220" t="s">
        <v>344</v>
      </c>
      <c r="E1220" t="s">
        <v>217</v>
      </c>
      <c r="F1220">
        <v>0</v>
      </c>
      <c r="G1220">
        <v>0</v>
      </c>
      <c r="H1220">
        <f>IF(report_B_CategorieBoekjaar[[#This Row],[BedrijfsCode]]="002",IF(report_B_CategorieBoekjaar[[#This Row],[Boekjaar]]=Projectbegroting!$K$1,report_B_CategorieBoekjaar[[#This Row],[CategorieCode]],0),0)</f>
        <v>0</v>
      </c>
      <c r="I1220">
        <f>IF(report_B_CategorieBoekjaar[[#This Row],[BedrijfsCode]]="001",IF(report_B_CategorieBoekjaar[[#This Row],[Boekjaar]]=Projectbegroting!$K$1,report_B_CategorieBoekjaar[[#This Row],[CategorieCode]],0),0)</f>
        <v>0</v>
      </c>
    </row>
    <row r="1221" spans="1:9" hidden="1" x14ac:dyDescent="0.3">
      <c r="A1221" t="s">
        <v>525</v>
      </c>
      <c r="B1221" s="20">
        <v>44562</v>
      </c>
      <c r="C1221" t="s">
        <v>193</v>
      </c>
      <c r="D1221" t="s">
        <v>345</v>
      </c>
      <c r="E1221" t="s">
        <v>217</v>
      </c>
      <c r="F1221">
        <v>0</v>
      </c>
      <c r="G1221">
        <v>0</v>
      </c>
      <c r="H1221">
        <f>IF(report_B_CategorieBoekjaar[[#This Row],[BedrijfsCode]]="002",IF(report_B_CategorieBoekjaar[[#This Row],[Boekjaar]]=Projectbegroting!$K$1,report_B_CategorieBoekjaar[[#This Row],[CategorieCode]],0),0)</f>
        <v>0</v>
      </c>
      <c r="I1221">
        <f>IF(report_B_CategorieBoekjaar[[#This Row],[BedrijfsCode]]="001",IF(report_B_CategorieBoekjaar[[#This Row],[Boekjaar]]=Projectbegroting!$K$1,report_B_CategorieBoekjaar[[#This Row],[CategorieCode]],0),0)</f>
        <v>0</v>
      </c>
    </row>
    <row r="1222" spans="1:9" hidden="1" x14ac:dyDescent="0.3">
      <c r="A1222" t="s">
        <v>525</v>
      </c>
      <c r="B1222" s="20">
        <v>44562</v>
      </c>
      <c r="C1222" t="s">
        <v>194</v>
      </c>
      <c r="D1222" t="s">
        <v>346</v>
      </c>
      <c r="E1222" t="s">
        <v>217</v>
      </c>
      <c r="F1222">
        <v>0</v>
      </c>
      <c r="G1222">
        <v>0</v>
      </c>
      <c r="H1222">
        <f>IF(report_B_CategorieBoekjaar[[#This Row],[BedrijfsCode]]="002",IF(report_B_CategorieBoekjaar[[#This Row],[Boekjaar]]=Projectbegroting!$K$1,report_B_CategorieBoekjaar[[#This Row],[CategorieCode]],0),0)</f>
        <v>0</v>
      </c>
      <c r="I1222">
        <f>IF(report_B_CategorieBoekjaar[[#This Row],[BedrijfsCode]]="001",IF(report_B_CategorieBoekjaar[[#This Row],[Boekjaar]]=Projectbegroting!$K$1,report_B_CategorieBoekjaar[[#This Row],[CategorieCode]],0),0)</f>
        <v>0</v>
      </c>
    </row>
    <row r="1223" spans="1:9" hidden="1" x14ac:dyDescent="0.3">
      <c r="A1223" t="s">
        <v>525</v>
      </c>
      <c r="B1223" s="20">
        <v>44562</v>
      </c>
      <c r="C1223" t="s">
        <v>195</v>
      </c>
      <c r="D1223" t="s">
        <v>347</v>
      </c>
      <c r="E1223" t="s">
        <v>217</v>
      </c>
      <c r="F1223">
        <v>0</v>
      </c>
      <c r="G1223">
        <v>0</v>
      </c>
      <c r="H1223">
        <f>IF(report_B_CategorieBoekjaar[[#This Row],[BedrijfsCode]]="002",IF(report_B_CategorieBoekjaar[[#This Row],[Boekjaar]]=Projectbegroting!$K$1,report_B_CategorieBoekjaar[[#This Row],[CategorieCode]],0),0)</f>
        <v>0</v>
      </c>
      <c r="I1223">
        <f>IF(report_B_CategorieBoekjaar[[#This Row],[BedrijfsCode]]="001",IF(report_B_CategorieBoekjaar[[#This Row],[Boekjaar]]=Projectbegroting!$K$1,report_B_CategorieBoekjaar[[#This Row],[CategorieCode]],0),0)</f>
        <v>0</v>
      </c>
    </row>
    <row r="1224" spans="1:9" hidden="1" x14ac:dyDescent="0.3">
      <c r="A1224" t="s">
        <v>525</v>
      </c>
      <c r="B1224" s="20">
        <v>44562</v>
      </c>
      <c r="C1224" t="s">
        <v>196</v>
      </c>
      <c r="D1224" t="s">
        <v>348</v>
      </c>
      <c r="E1224" t="s">
        <v>217</v>
      </c>
      <c r="F1224">
        <v>0</v>
      </c>
      <c r="G1224">
        <v>0</v>
      </c>
      <c r="H1224">
        <f>IF(report_B_CategorieBoekjaar[[#This Row],[BedrijfsCode]]="002",IF(report_B_CategorieBoekjaar[[#This Row],[Boekjaar]]=Projectbegroting!$K$1,report_B_CategorieBoekjaar[[#This Row],[CategorieCode]],0),0)</f>
        <v>0</v>
      </c>
      <c r="I1224">
        <f>IF(report_B_CategorieBoekjaar[[#This Row],[BedrijfsCode]]="001",IF(report_B_CategorieBoekjaar[[#This Row],[Boekjaar]]=Projectbegroting!$K$1,report_B_CategorieBoekjaar[[#This Row],[CategorieCode]],0),0)</f>
        <v>0</v>
      </c>
    </row>
    <row r="1225" spans="1:9" hidden="1" x14ac:dyDescent="0.3">
      <c r="A1225" t="s">
        <v>525</v>
      </c>
      <c r="B1225" s="20">
        <v>44562</v>
      </c>
      <c r="C1225" t="s">
        <v>349</v>
      </c>
      <c r="D1225" t="s">
        <v>350</v>
      </c>
      <c r="E1225" t="s">
        <v>217</v>
      </c>
      <c r="F1225">
        <v>0</v>
      </c>
      <c r="G1225">
        <v>0</v>
      </c>
      <c r="H1225">
        <f>IF(report_B_CategorieBoekjaar[[#This Row],[BedrijfsCode]]="002",IF(report_B_CategorieBoekjaar[[#This Row],[Boekjaar]]=Projectbegroting!$K$1,report_B_CategorieBoekjaar[[#This Row],[CategorieCode]],0),0)</f>
        <v>0</v>
      </c>
      <c r="I1225">
        <f>IF(report_B_CategorieBoekjaar[[#This Row],[BedrijfsCode]]="001",IF(report_B_CategorieBoekjaar[[#This Row],[Boekjaar]]=Projectbegroting!$K$1,report_B_CategorieBoekjaar[[#This Row],[CategorieCode]],0),0)</f>
        <v>0</v>
      </c>
    </row>
    <row r="1226" spans="1:9" hidden="1" x14ac:dyDescent="0.3">
      <c r="A1226" t="s">
        <v>525</v>
      </c>
      <c r="B1226" s="20">
        <v>44562</v>
      </c>
      <c r="C1226" t="s">
        <v>197</v>
      </c>
      <c r="D1226" t="s">
        <v>351</v>
      </c>
      <c r="E1226" t="s">
        <v>217</v>
      </c>
      <c r="F1226">
        <v>0</v>
      </c>
      <c r="G1226">
        <v>0</v>
      </c>
      <c r="H1226">
        <f>IF(report_B_CategorieBoekjaar[[#This Row],[BedrijfsCode]]="002",IF(report_B_CategorieBoekjaar[[#This Row],[Boekjaar]]=Projectbegroting!$K$1,report_B_CategorieBoekjaar[[#This Row],[CategorieCode]],0),0)</f>
        <v>0</v>
      </c>
      <c r="I1226">
        <f>IF(report_B_CategorieBoekjaar[[#This Row],[BedrijfsCode]]="001",IF(report_B_CategorieBoekjaar[[#This Row],[Boekjaar]]=Projectbegroting!$K$1,report_B_CategorieBoekjaar[[#This Row],[CategorieCode]],0),0)</f>
        <v>0</v>
      </c>
    </row>
    <row r="1227" spans="1:9" hidden="1" x14ac:dyDescent="0.3">
      <c r="A1227" t="s">
        <v>525</v>
      </c>
      <c r="B1227" s="20">
        <v>44562</v>
      </c>
      <c r="C1227" t="s">
        <v>198</v>
      </c>
      <c r="D1227" t="s">
        <v>352</v>
      </c>
      <c r="E1227" t="s">
        <v>217</v>
      </c>
      <c r="F1227">
        <v>0</v>
      </c>
      <c r="G1227">
        <v>0</v>
      </c>
      <c r="H1227">
        <f>IF(report_B_CategorieBoekjaar[[#This Row],[BedrijfsCode]]="002",IF(report_B_CategorieBoekjaar[[#This Row],[Boekjaar]]=Projectbegroting!$K$1,report_B_CategorieBoekjaar[[#This Row],[CategorieCode]],0),0)</f>
        <v>0</v>
      </c>
      <c r="I1227">
        <f>IF(report_B_CategorieBoekjaar[[#This Row],[BedrijfsCode]]="001",IF(report_B_CategorieBoekjaar[[#This Row],[Boekjaar]]=Projectbegroting!$K$1,report_B_CategorieBoekjaar[[#This Row],[CategorieCode]],0),0)</f>
        <v>0</v>
      </c>
    </row>
    <row r="1228" spans="1:9" hidden="1" x14ac:dyDescent="0.3">
      <c r="A1228" t="s">
        <v>525</v>
      </c>
      <c r="B1228" s="20">
        <v>44562</v>
      </c>
      <c r="C1228" t="s">
        <v>353</v>
      </c>
      <c r="D1228" t="s">
        <v>354</v>
      </c>
      <c r="E1228" t="s">
        <v>217</v>
      </c>
      <c r="F1228">
        <v>0</v>
      </c>
      <c r="G1228">
        <v>0</v>
      </c>
      <c r="H1228">
        <f>IF(report_B_CategorieBoekjaar[[#This Row],[BedrijfsCode]]="002",IF(report_B_CategorieBoekjaar[[#This Row],[Boekjaar]]=Projectbegroting!$K$1,report_B_CategorieBoekjaar[[#This Row],[CategorieCode]],0),0)</f>
        <v>0</v>
      </c>
      <c r="I1228">
        <f>IF(report_B_CategorieBoekjaar[[#This Row],[BedrijfsCode]]="001",IF(report_B_CategorieBoekjaar[[#This Row],[Boekjaar]]=Projectbegroting!$K$1,report_B_CategorieBoekjaar[[#This Row],[CategorieCode]],0),0)</f>
        <v>0</v>
      </c>
    </row>
    <row r="1229" spans="1:9" hidden="1" x14ac:dyDescent="0.3">
      <c r="A1229" t="s">
        <v>525</v>
      </c>
      <c r="B1229" s="20">
        <v>44562</v>
      </c>
      <c r="C1229" t="s">
        <v>199</v>
      </c>
      <c r="D1229" t="s">
        <v>355</v>
      </c>
      <c r="E1229" t="s">
        <v>217</v>
      </c>
      <c r="F1229">
        <v>0</v>
      </c>
      <c r="G1229">
        <v>0</v>
      </c>
      <c r="H1229">
        <f>IF(report_B_CategorieBoekjaar[[#This Row],[BedrijfsCode]]="002",IF(report_B_CategorieBoekjaar[[#This Row],[Boekjaar]]=Projectbegroting!$K$1,report_B_CategorieBoekjaar[[#This Row],[CategorieCode]],0),0)</f>
        <v>0</v>
      </c>
      <c r="I1229">
        <f>IF(report_B_CategorieBoekjaar[[#This Row],[BedrijfsCode]]="001",IF(report_B_CategorieBoekjaar[[#This Row],[Boekjaar]]=Projectbegroting!$K$1,report_B_CategorieBoekjaar[[#This Row],[CategorieCode]],0),0)</f>
        <v>0</v>
      </c>
    </row>
    <row r="1230" spans="1:9" hidden="1" x14ac:dyDescent="0.3">
      <c r="A1230" t="s">
        <v>525</v>
      </c>
      <c r="B1230" s="20">
        <v>44562</v>
      </c>
      <c r="C1230" t="s">
        <v>200</v>
      </c>
      <c r="D1230" t="s">
        <v>356</v>
      </c>
      <c r="E1230" t="s">
        <v>217</v>
      </c>
      <c r="F1230">
        <v>0</v>
      </c>
      <c r="G1230">
        <v>0</v>
      </c>
      <c r="H1230">
        <f>IF(report_B_CategorieBoekjaar[[#This Row],[BedrijfsCode]]="002",IF(report_B_CategorieBoekjaar[[#This Row],[Boekjaar]]=Projectbegroting!$K$1,report_B_CategorieBoekjaar[[#This Row],[CategorieCode]],0),0)</f>
        <v>0</v>
      </c>
      <c r="I1230">
        <f>IF(report_B_CategorieBoekjaar[[#This Row],[BedrijfsCode]]="001",IF(report_B_CategorieBoekjaar[[#This Row],[Boekjaar]]=Projectbegroting!$K$1,report_B_CategorieBoekjaar[[#This Row],[CategorieCode]],0),0)</f>
        <v>0</v>
      </c>
    </row>
    <row r="1231" spans="1:9" hidden="1" x14ac:dyDescent="0.3">
      <c r="A1231" t="s">
        <v>525</v>
      </c>
      <c r="B1231" s="20">
        <v>44562</v>
      </c>
      <c r="C1231" t="s">
        <v>201</v>
      </c>
      <c r="D1231" t="s">
        <v>357</v>
      </c>
      <c r="E1231" t="s">
        <v>217</v>
      </c>
      <c r="F1231">
        <v>0</v>
      </c>
      <c r="G1231">
        <v>0</v>
      </c>
      <c r="H1231">
        <f>IF(report_B_CategorieBoekjaar[[#This Row],[BedrijfsCode]]="002",IF(report_B_CategorieBoekjaar[[#This Row],[Boekjaar]]=Projectbegroting!$K$1,report_B_CategorieBoekjaar[[#This Row],[CategorieCode]],0),0)</f>
        <v>0</v>
      </c>
      <c r="I1231">
        <f>IF(report_B_CategorieBoekjaar[[#This Row],[BedrijfsCode]]="001",IF(report_B_CategorieBoekjaar[[#This Row],[Boekjaar]]=Projectbegroting!$K$1,report_B_CategorieBoekjaar[[#This Row],[CategorieCode]],0),0)</f>
        <v>0</v>
      </c>
    </row>
    <row r="1232" spans="1:9" hidden="1" x14ac:dyDescent="0.3">
      <c r="A1232" t="s">
        <v>525</v>
      </c>
      <c r="B1232" s="20">
        <v>44562</v>
      </c>
      <c r="C1232" t="s">
        <v>202</v>
      </c>
      <c r="D1232" t="s">
        <v>358</v>
      </c>
      <c r="E1232" t="s">
        <v>217</v>
      </c>
      <c r="F1232">
        <v>0</v>
      </c>
      <c r="G1232">
        <v>0</v>
      </c>
      <c r="H1232">
        <f>IF(report_B_CategorieBoekjaar[[#This Row],[BedrijfsCode]]="002",IF(report_B_CategorieBoekjaar[[#This Row],[Boekjaar]]=Projectbegroting!$K$1,report_B_CategorieBoekjaar[[#This Row],[CategorieCode]],0),0)</f>
        <v>0</v>
      </c>
      <c r="I1232">
        <f>IF(report_B_CategorieBoekjaar[[#This Row],[BedrijfsCode]]="001",IF(report_B_CategorieBoekjaar[[#This Row],[Boekjaar]]=Projectbegroting!$K$1,report_B_CategorieBoekjaar[[#This Row],[CategorieCode]],0),0)</f>
        <v>0</v>
      </c>
    </row>
    <row r="1233" spans="1:9" hidden="1" x14ac:dyDescent="0.3">
      <c r="A1233" t="s">
        <v>525</v>
      </c>
      <c r="B1233" s="20">
        <v>44562</v>
      </c>
      <c r="C1233" t="s">
        <v>203</v>
      </c>
      <c r="D1233" t="s">
        <v>359</v>
      </c>
      <c r="E1233" t="s">
        <v>217</v>
      </c>
      <c r="F1233">
        <v>0</v>
      </c>
      <c r="G1233">
        <v>0</v>
      </c>
      <c r="H1233">
        <f>IF(report_B_CategorieBoekjaar[[#This Row],[BedrijfsCode]]="002",IF(report_B_CategorieBoekjaar[[#This Row],[Boekjaar]]=Projectbegroting!$K$1,report_B_CategorieBoekjaar[[#This Row],[CategorieCode]],0),0)</f>
        <v>0</v>
      </c>
      <c r="I1233">
        <f>IF(report_B_CategorieBoekjaar[[#This Row],[BedrijfsCode]]="001",IF(report_B_CategorieBoekjaar[[#This Row],[Boekjaar]]=Projectbegroting!$K$1,report_B_CategorieBoekjaar[[#This Row],[CategorieCode]],0),0)</f>
        <v>0</v>
      </c>
    </row>
    <row r="1234" spans="1:9" hidden="1" x14ac:dyDescent="0.3">
      <c r="A1234" t="s">
        <v>525</v>
      </c>
      <c r="B1234" s="20">
        <v>44562</v>
      </c>
      <c r="C1234" t="s">
        <v>204</v>
      </c>
      <c r="D1234" t="s">
        <v>360</v>
      </c>
      <c r="E1234" t="s">
        <v>217</v>
      </c>
      <c r="F1234">
        <v>0</v>
      </c>
      <c r="G1234">
        <v>0</v>
      </c>
      <c r="H1234">
        <f>IF(report_B_CategorieBoekjaar[[#This Row],[BedrijfsCode]]="002",IF(report_B_CategorieBoekjaar[[#This Row],[Boekjaar]]=Projectbegroting!$K$1,report_B_CategorieBoekjaar[[#This Row],[CategorieCode]],0),0)</f>
        <v>0</v>
      </c>
      <c r="I1234">
        <f>IF(report_B_CategorieBoekjaar[[#This Row],[BedrijfsCode]]="001",IF(report_B_CategorieBoekjaar[[#This Row],[Boekjaar]]=Projectbegroting!$K$1,report_B_CategorieBoekjaar[[#This Row],[CategorieCode]],0),0)</f>
        <v>0</v>
      </c>
    </row>
    <row r="1235" spans="1:9" hidden="1" x14ac:dyDescent="0.3">
      <c r="A1235" t="s">
        <v>525</v>
      </c>
      <c r="B1235" s="20">
        <v>44562</v>
      </c>
      <c r="C1235" t="s">
        <v>205</v>
      </c>
      <c r="D1235" t="s">
        <v>361</v>
      </c>
      <c r="E1235" t="s">
        <v>217</v>
      </c>
      <c r="F1235">
        <v>0</v>
      </c>
      <c r="G1235">
        <v>0</v>
      </c>
      <c r="H1235">
        <f>IF(report_B_CategorieBoekjaar[[#This Row],[BedrijfsCode]]="002",IF(report_B_CategorieBoekjaar[[#This Row],[Boekjaar]]=Projectbegroting!$K$1,report_B_CategorieBoekjaar[[#This Row],[CategorieCode]],0),0)</f>
        <v>0</v>
      </c>
      <c r="I1235">
        <f>IF(report_B_CategorieBoekjaar[[#This Row],[BedrijfsCode]]="001",IF(report_B_CategorieBoekjaar[[#This Row],[Boekjaar]]=Projectbegroting!$K$1,report_B_CategorieBoekjaar[[#This Row],[CategorieCode]],0),0)</f>
        <v>0</v>
      </c>
    </row>
    <row r="1236" spans="1:9" hidden="1" x14ac:dyDescent="0.3">
      <c r="A1236" t="s">
        <v>525</v>
      </c>
      <c r="B1236" s="20">
        <v>44562</v>
      </c>
      <c r="C1236" t="s">
        <v>206</v>
      </c>
      <c r="D1236" t="s">
        <v>362</v>
      </c>
      <c r="E1236" t="s">
        <v>217</v>
      </c>
      <c r="F1236">
        <v>0</v>
      </c>
      <c r="G1236">
        <v>0</v>
      </c>
      <c r="H1236">
        <f>IF(report_B_CategorieBoekjaar[[#This Row],[BedrijfsCode]]="002",IF(report_B_CategorieBoekjaar[[#This Row],[Boekjaar]]=Projectbegroting!$K$1,report_B_CategorieBoekjaar[[#This Row],[CategorieCode]],0),0)</f>
        <v>0</v>
      </c>
      <c r="I1236">
        <f>IF(report_B_CategorieBoekjaar[[#This Row],[BedrijfsCode]]="001",IF(report_B_CategorieBoekjaar[[#This Row],[Boekjaar]]=Projectbegroting!$K$1,report_B_CategorieBoekjaar[[#This Row],[CategorieCode]],0),0)</f>
        <v>0</v>
      </c>
    </row>
    <row r="1237" spans="1:9" hidden="1" x14ac:dyDescent="0.3">
      <c r="A1237" t="s">
        <v>525</v>
      </c>
      <c r="B1237" s="20">
        <v>44562</v>
      </c>
      <c r="C1237" t="s">
        <v>363</v>
      </c>
      <c r="D1237" t="s">
        <v>364</v>
      </c>
      <c r="E1237" t="s">
        <v>217</v>
      </c>
      <c r="F1237">
        <v>0</v>
      </c>
      <c r="G1237">
        <v>0</v>
      </c>
      <c r="H1237">
        <f>IF(report_B_CategorieBoekjaar[[#This Row],[BedrijfsCode]]="002",IF(report_B_CategorieBoekjaar[[#This Row],[Boekjaar]]=Projectbegroting!$K$1,report_B_CategorieBoekjaar[[#This Row],[CategorieCode]],0),0)</f>
        <v>0</v>
      </c>
      <c r="I1237">
        <f>IF(report_B_CategorieBoekjaar[[#This Row],[BedrijfsCode]]="001",IF(report_B_CategorieBoekjaar[[#This Row],[Boekjaar]]=Projectbegroting!$K$1,report_B_CategorieBoekjaar[[#This Row],[CategorieCode]],0),0)</f>
        <v>0</v>
      </c>
    </row>
    <row r="1238" spans="1:9" hidden="1" x14ac:dyDescent="0.3">
      <c r="A1238" t="s">
        <v>525</v>
      </c>
      <c r="B1238" s="20">
        <v>44562</v>
      </c>
      <c r="C1238" t="s">
        <v>207</v>
      </c>
      <c r="D1238" t="s">
        <v>365</v>
      </c>
      <c r="E1238" t="s">
        <v>217</v>
      </c>
      <c r="F1238">
        <v>0</v>
      </c>
      <c r="G1238">
        <v>0</v>
      </c>
      <c r="H1238">
        <f>IF(report_B_CategorieBoekjaar[[#This Row],[BedrijfsCode]]="002",IF(report_B_CategorieBoekjaar[[#This Row],[Boekjaar]]=Projectbegroting!$K$1,report_B_CategorieBoekjaar[[#This Row],[CategorieCode]],0),0)</f>
        <v>0</v>
      </c>
      <c r="I1238">
        <f>IF(report_B_CategorieBoekjaar[[#This Row],[BedrijfsCode]]="001",IF(report_B_CategorieBoekjaar[[#This Row],[Boekjaar]]=Projectbegroting!$K$1,report_B_CategorieBoekjaar[[#This Row],[CategorieCode]],0),0)</f>
        <v>0</v>
      </c>
    </row>
    <row r="1239" spans="1:9" hidden="1" x14ac:dyDescent="0.3">
      <c r="A1239" t="s">
        <v>525</v>
      </c>
      <c r="B1239" s="20">
        <v>44562</v>
      </c>
      <c r="C1239" t="s">
        <v>208</v>
      </c>
      <c r="D1239" t="s">
        <v>366</v>
      </c>
      <c r="E1239" t="s">
        <v>217</v>
      </c>
      <c r="F1239">
        <v>0</v>
      </c>
      <c r="G1239">
        <v>0</v>
      </c>
      <c r="H1239">
        <f>IF(report_B_CategorieBoekjaar[[#This Row],[BedrijfsCode]]="002",IF(report_B_CategorieBoekjaar[[#This Row],[Boekjaar]]=Projectbegroting!$K$1,report_B_CategorieBoekjaar[[#This Row],[CategorieCode]],0),0)</f>
        <v>0</v>
      </c>
      <c r="I1239">
        <f>IF(report_B_CategorieBoekjaar[[#This Row],[BedrijfsCode]]="001",IF(report_B_CategorieBoekjaar[[#This Row],[Boekjaar]]=Projectbegroting!$K$1,report_B_CategorieBoekjaar[[#This Row],[CategorieCode]],0),0)</f>
        <v>0</v>
      </c>
    </row>
    <row r="1240" spans="1:9" hidden="1" x14ac:dyDescent="0.3">
      <c r="A1240" t="s">
        <v>525</v>
      </c>
      <c r="B1240" s="20">
        <v>44562</v>
      </c>
      <c r="C1240" t="s">
        <v>209</v>
      </c>
      <c r="D1240" t="s">
        <v>367</v>
      </c>
      <c r="E1240" t="s">
        <v>217</v>
      </c>
      <c r="F1240">
        <v>0</v>
      </c>
      <c r="G1240">
        <v>0</v>
      </c>
      <c r="H1240">
        <f>IF(report_B_CategorieBoekjaar[[#This Row],[BedrijfsCode]]="002",IF(report_B_CategorieBoekjaar[[#This Row],[Boekjaar]]=Projectbegroting!$K$1,report_B_CategorieBoekjaar[[#This Row],[CategorieCode]],0),0)</f>
        <v>0</v>
      </c>
      <c r="I1240">
        <f>IF(report_B_CategorieBoekjaar[[#This Row],[BedrijfsCode]]="001",IF(report_B_CategorieBoekjaar[[#This Row],[Boekjaar]]=Projectbegroting!$K$1,report_B_CategorieBoekjaar[[#This Row],[CategorieCode]],0),0)</f>
        <v>0</v>
      </c>
    </row>
    <row r="1241" spans="1:9" hidden="1" x14ac:dyDescent="0.3">
      <c r="A1241" t="s">
        <v>525</v>
      </c>
      <c r="B1241" s="20">
        <v>44562</v>
      </c>
      <c r="C1241" t="s">
        <v>210</v>
      </c>
      <c r="D1241" t="s">
        <v>368</v>
      </c>
      <c r="E1241" t="s">
        <v>217</v>
      </c>
      <c r="F1241">
        <v>0</v>
      </c>
      <c r="G1241">
        <v>0</v>
      </c>
      <c r="H1241">
        <f>IF(report_B_CategorieBoekjaar[[#This Row],[BedrijfsCode]]="002",IF(report_B_CategorieBoekjaar[[#This Row],[Boekjaar]]=Projectbegroting!$K$1,report_B_CategorieBoekjaar[[#This Row],[CategorieCode]],0),0)</f>
        <v>0</v>
      </c>
      <c r="I1241">
        <f>IF(report_B_CategorieBoekjaar[[#This Row],[BedrijfsCode]]="001",IF(report_B_CategorieBoekjaar[[#This Row],[Boekjaar]]=Projectbegroting!$K$1,report_B_CategorieBoekjaar[[#This Row],[CategorieCode]],0),0)</f>
        <v>0</v>
      </c>
    </row>
    <row r="1242" spans="1:9" hidden="1" x14ac:dyDescent="0.3">
      <c r="A1242" t="s">
        <v>525</v>
      </c>
      <c r="B1242" s="20">
        <v>44562</v>
      </c>
      <c r="C1242" t="s">
        <v>369</v>
      </c>
      <c r="D1242" t="s">
        <v>370</v>
      </c>
      <c r="E1242" t="s">
        <v>217</v>
      </c>
      <c r="F1242">
        <v>0</v>
      </c>
      <c r="G1242">
        <v>0</v>
      </c>
      <c r="H1242">
        <f>IF(report_B_CategorieBoekjaar[[#This Row],[BedrijfsCode]]="002",IF(report_B_CategorieBoekjaar[[#This Row],[Boekjaar]]=Projectbegroting!$K$1,report_B_CategorieBoekjaar[[#This Row],[CategorieCode]],0),0)</f>
        <v>0</v>
      </c>
      <c r="I1242">
        <f>IF(report_B_CategorieBoekjaar[[#This Row],[BedrijfsCode]]="001",IF(report_B_CategorieBoekjaar[[#This Row],[Boekjaar]]=Projectbegroting!$K$1,report_B_CategorieBoekjaar[[#This Row],[CategorieCode]],0),0)</f>
        <v>0</v>
      </c>
    </row>
    <row r="1243" spans="1:9" hidden="1" x14ac:dyDescent="0.3">
      <c r="A1243" t="s">
        <v>525</v>
      </c>
      <c r="B1243" s="20">
        <v>44562</v>
      </c>
      <c r="C1243" t="s">
        <v>371</v>
      </c>
      <c r="D1243" t="s">
        <v>372</v>
      </c>
      <c r="E1243" t="s">
        <v>217</v>
      </c>
      <c r="F1243">
        <v>0</v>
      </c>
      <c r="G1243">
        <v>0</v>
      </c>
      <c r="H1243">
        <f>IF(report_B_CategorieBoekjaar[[#This Row],[BedrijfsCode]]="002",IF(report_B_CategorieBoekjaar[[#This Row],[Boekjaar]]=Projectbegroting!$K$1,report_B_CategorieBoekjaar[[#This Row],[CategorieCode]],0),0)</f>
        <v>0</v>
      </c>
      <c r="I1243">
        <f>IF(report_B_CategorieBoekjaar[[#This Row],[BedrijfsCode]]="001",IF(report_B_CategorieBoekjaar[[#This Row],[Boekjaar]]=Projectbegroting!$K$1,report_B_CategorieBoekjaar[[#This Row],[CategorieCode]],0),0)</f>
        <v>0</v>
      </c>
    </row>
    <row r="1244" spans="1:9" hidden="1" x14ac:dyDescent="0.3">
      <c r="A1244" t="s">
        <v>525</v>
      </c>
      <c r="B1244" s="20">
        <v>44562</v>
      </c>
      <c r="C1244" t="s">
        <v>373</v>
      </c>
      <c r="D1244" t="s">
        <v>374</v>
      </c>
      <c r="E1244" t="s">
        <v>217</v>
      </c>
      <c r="F1244">
        <v>0</v>
      </c>
      <c r="G1244">
        <v>0</v>
      </c>
      <c r="H1244">
        <f>IF(report_B_CategorieBoekjaar[[#This Row],[BedrijfsCode]]="002",IF(report_B_CategorieBoekjaar[[#This Row],[Boekjaar]]=Projectbegroting!$K$1,report_B_CategorieBoekjaar[[#This Row],[CategorieCode]],0),0)</f>
        <v>0</v>
      </c>
      <c r="I1244">
        <f>IF(report_B_CategorieBoekjaar[[#This Row],[BedrijfsCode]]="001",IF(report_B_CategorieBoekjaar[[#This Row],[Boekjaar]]=Projectbegroting!$K$1,report_B_CategorieBoekjaar[[#This Row],[CategorieCode]],0),0)</f>
        <v>0</v>
      </c>
    </row>
    <row r="1245" spans="1:9" hidden="1" x14ac:dyDescent="0.3">
      <c r="A1245" t="s">
        <v>525</v>
      </c>
      <c r="B1245" s="20">
        <v>44562</v>
      </c>
      <c r="C1245" t="s">
        <v>375</v>
      </c>
      <c r="D1245" t="s">
        <v>376</v>
      </c>
      <c r="E1245" t="s">
        <v>217</v>
      </c>
      <c r="F1245">
        <v>0</v>
      </c>
      <c r="G1245">
        <v>0</v>
      </c>
      <c r="H1245">
        <f>IF(report_B_CategorieBoekjaar[[#This Row],[BedrijfsCode]]="002",IF(report_B_CategorieBoekjaar[[#This Row],[Boekjaar]]=Projectbegroting!$K$1,report_B_CategorieBoekjaar[[#This Row],[CategorieCode]],0),0)</f>
        <v>0</v>
      </c>
      <c r="I1245">
        <f>IF(report_B_CategorieBoekjaar[[#This Row],[BedrijfsCode]]="001",IF(report_B_CategorieBoekjaar[[#This Row],[Boekjaar]]=Projectbegroting!$K$1,report_B_CategorieBoekjaar[[#This Row],[CategorieCode]],0),0)</f>
        <v>0</v>
      </c>
    </row>
    <row r="1246" spans="1:9" hidden="1" x14ac:dyDescent="0.3">
      <c r="A1246" t="s">
        <v>525</v>
      </c>
      <c r="B1246" s="20">
        <v>44562</v>
      </c>
      <c r="C1246" t="s">
        <v>377</v>
      </c>
      <c r="D1246" t="s">
        <v>378</v>
      </c>
      <c r="E1246" t="s">
        <v>217</v>
      </c>
      <c r="F1246">
        <v>0</v>
      </c>
      <c r="G1246">
        <v>0</v>
      </c>
      <c r="H1246">
        <f>IF(report_B_CategorieBoekjaar[[#This Row],[BedrijfsCode]]="002",IF(report_B_CategorieBoekjaar[[#This Row],[Boekjaar]]=Projectbegroting!$K$1,report_B_CategorieBoekjaar[[#This Row],[CategorieCode]],0),0)</f>
        <v>0</v>
      </c>
      <c r="I1246">
        <f>IF(report_B_CategorieBoekjaar[[#This Row],[BedrijfsCode]]="001",IF(report_B_CategorieBoekjaar[[#This Row],[Boekjaar]]=Projectbegroting!$K$1,report_B_CategorieBoekjaar[[#This Row],[CategorieCode]],0),0)</f>
        <v>0</v>
      </c>
    </row>
    <row r="1247" spans="1:9" hidden="1" x14ac:dyDescent="0.3">
      <c r="A1247" t="s">
        <v>525</v>
      </c>
      <c r="B1247" s="20">
        <v>44562</v>
      </c>
      <c r="C1247" t="s">
        <v>379</v>
      </c>
      <c r="D1247" t="s">
        <v>380</v>
      </c>
      <c r="E1247" t="s">
        <v>381</v>
      </c>
      <c r="F1247">
        <v>45</v>
      </c>
      <c r="G1247">
        <v>100</v>
      </c>
      <c r="H1247">
        <f>IF(report_B_CategorieBoekjaar[[#This Row],[BedrijfsCode]]="002",IF(report_B_CategorieBoekjaar[[#This Row],[Boekjaar]]=Projectbegroting!$K$1,report_B_CategorieBoekjaar[[#This Row],[CategorieCode]],0),0)</f>
        <v>0</v>
      </c>
      <c r="I1247">
        <f>IF(report_B_CategorieBoekjaar[[#This Row],[BedrijfsCode]]="001",IF(report_B_CategorieBoekjaar[[#This Row],[Boekjaar]]=Projectbegroting!$K$1,report_B_CategorieBoekjaar[[#This Row],[CategorieCode]],0),0)</f>
        <v>0</v>
      </c>
    </row>
    <row r="1248" spans="1:9" hidden="1" x14ac:dyDescent="0.3">
      <c r="A1248" t="s">
        <v>525</v>
      </c>
      <c r="B1248" s="20">
        <v>44562</v>
      </c>
      <c r="C1248" t="s">
        <v>382</v>
      </c>
      <c r="D1248" t="s">
        <v>383</v>
      </c>
      <c r="E1248" t="s">
        <v>384</v>
      </c>
      <c r="F1248">
        <v>0</v>
      </c>
      <c r="G1248">
        <v>0</v>
      </c>
      <c r="H1248">
        <f>IF(report_B_CategorieBoekjaar[[#This Row],[BedrijfsCode]]="002",IF(report_B_CategorieBoekjaar[[#This Row],[Boekjaar]]=Projectbegroting!$K$1,report_B_CategorieBoekjaar[[#This Row],[CategorieCode]],0),0)</f>
        <v>0</v>
      </c>
      <c r="I1248">
        <f>IF(report_B_CategorieBoekjaar[[#This Row],[BedrijfsCode]]="001",IF(report_B_CategorieBoekjaar[[#This Row],[Boekjaar]]=Projectbegroting!$K$1,report_B_CategorieBoekjaar[[#This Row],[CategorieCode]],0),0)</f>
        <v>0</v>
      </c>
    </row>
    <row r="1249" spans="1:9" hidden="1" x14ac:dyDescent="0.3">
      <c r="A1249" t="s">
        <v>525</v>
      </c>
      <c r="B1249" s="20">
        <v>44562</v>
      </c>
      <c r="C1249" t="s">
        <v>385</v>
      </c>
      <c r="D1249" t="s">
        <v>386</v>
      </c>
      <c r="E1249" t="s">
        <v>381</v>
      </c>
      <c r="F1249">
        <v>68</v>
      </c>
      <c r="G1249">
        <v>123</v>
      </c>
      <c r="H1249">
        <f>IF(report_B_CategorieBoekjaar[[#This Row],[BedrijfsCode]]="002",IF(report_B_CategorieBoekjaar[[#This Row],[Boekjaar]]=Projectbegroting!$K$1,report_B_CategorieBoekjaar[[#This Row],[CategorieCode]],0),0)</f>
        <v>0</v>
      </c>
      <c r="I1249">
        <f>IF(report_B_CategorieBoekjaar[[#This Row],[BedrijfsCode]]="001",IF(report_B_CategorieBoekjaar[[#This Row],[Boekjaar]]=Projectbegroting!$K$1,report_B_CategorieBoekjaar[[#This Row],[CategorieCode]],0),0)</f>
        <v>0</v>
      </c>
    </row>
    <row r="1250" spans="1:9" hidden="1" x14ac:dyDescent="0.3">
      <c r="A1250" t="s">
        <v>525</v>
      </c>
      <c r="B1250" s="20">
        <v>44562</v>
      </c>
      <c r="C1250" t="s">
        <v>387</v>
      </c>
      <c r="D1250" t="s">
        <v>388</v>
      </c>
      <c r="E1250" t="s">
        <v>384</v>
      </c>
      <c r="F1250">
        <v>0</v>
      </c>
      <c r="G1250">
        <v>0</v>
      </c>
      <c r="H1250">
        <f>IF(report_B_CategorieBoekjaar[[#This Row],[BedrijfsCode]]="002",IF(report_B_CategorieBoekjaar[[#This Row],[Boekjaar]]=Projectbegroting!$K$1,report_B_CategorieBoekjaar[[#This Row],[CategorieCode]],0),0)</f>
        <v>0</v>
      </c>
      <c r="I1250">
        <f>IF(report_B_CategorieBoekjaar[[#This Row],[BedrijfsCode]]="001",IF(report_B_CategorieBoekjaar[[#This Row],[Boekjaar]]=Projectbegroting!$K$1,report_B_CategorieBoekjaar[[#This Row],[CategorieCode]],0),0)</f>
        <v>0</v>
      </c>
    </row>
    <row r="1251" spans="1:9" hidden="1" x14ac:dyDescent="0.3">
      <c r="A1251" t="s">
        <v>525</v>
      </c>
      <c r="B1251" s="20">
        <v>44562</v>
      </c>
      <c r="C1251" t="s">
        <v>52</v>
      </c>
      <c r="D1251" t="s">
        <v>53</v>
      </c>
      <c r="E1251" t="s">
        <v>381</v>
      </c>
      <c r="F1251">
        <v>71</v>
      </c>
      <c r="G1251">
        <v>115</v>
      </c>
      <c r="H1251">
        <f>IF(report_B_CategorieBoekjaar[[#This Row],[BedrijfsCode]]="002",IF(report_B_CategorieBoekjaar[[#This Row],[Boekjaar]]=Projectbegroting!$K$1,report_B_CategorieBoekjaar[[#This Row],[CategorieCode]],0),0)</f>
        <v>0</v>
      </c>
      <c r="I1251">
        <f>IF(report_B_CategorieBoekjaar[[#This Row],[BedrijfsCode]]="001",IF(report_B_CategorieBoekjaar[[#This Row],[Boekjaar]]=Projectbegroting!$K$1,report_B_CategorieBoekjaar[[#This Row],[CategorieCode]],0),0)</f>
        <v>0</v>
      </c>
    </row>
    <row r="1252" spans="1:9" hidden="1" x14ac:dyDescent="0.3">
      <c r="A1252" t="s">
        <v>525</v>
      </c>
      <c r="B1252" s="20">
        <v>44562</v>
      </c>
      <c r="C1252" t="s">
        <v>389</v>
      </c>
      <c r="D1252" t="s">
        <v>390</v>
      </c>
      <c r="E1252" t="s">
        <v>384</v>
      </c>
      <c r="F1252">
        <v>0</v>
      </c>
      <c r="G1252">
        <v>0</v>
      </c>
      <c r="H1252">
        <f>IF(report_B_CategorieBoekjaar[[#This Row],[BedrijfsCode]]="002",IF(report_B_CategorieBoekjaar[[#This Row],[Boekjaar]]=Projectbegroting!$K$1,report_B_CategorieBoekjaar[[#This Row],[CategorieCode]],0),0)</f>
        <v>0</v>
      </c>
      <c r="I1252">
        <f>IF(report_B_CategorieBoekjaar[[#This Row],[BedrijfsCode]]="001",IF(report_B_CategorieBoekjaar[[#This Row],[Boekjaar]]=Projectbegroting!$K$1,report_B_CategorieBoekjaar[[#This Row],[CategorieCode]],0),0)</f>
        <v>0</v>
      </c>
    </row>
    <row r="1253" spans="1:9" hidden="1" x14ac:dyDescent="0.3">
      <c r="A1253" t="s">
        <v>525</v>
      </c>
      <c r="B1253" s="20">
        <v>44562</v>
      </c>
      <c r="C1253" t="s">
        <v>391</v>
      </c>
      <c r="D1253" t="s">
        <v>392</v>
      </c>
      <c r="E1253" t="s">
        <v>381</v>
      </c>
      <c r="F1253">
        <v>53</v>
      </c>
      <c r="G1253">
        <v>0</v>
      </c>
      <c r="H1253">
        <f>IF(report_B_CategorieBoekjaar[[#This Row],[BedrijfsCode]]="002",IF(report_B_CategorieBoekjaar[[#This Row],[Boekjaar]]=Projectbegroting!$K$1,report_B_CategorieBoekjaar[[#This Row],[CategorieCode]],0),0)</f>
        <v>0</v>
      </c>
      <c r="I1253">
        <f>IF(report_B_CategorieBoekjaar[[#This Row],[BedrijfsCode]]="001",IF(report_B_CategorieBoekjaar[[#This Row],[Boekjaar]]=Projectbegroting!$K$1,report_B_CategorieBoekjaar[[#This Row],[CategorieCode]],0),0)</f>
        <v>0</v>
      </c>
    </row>
    <row r="1254" spans="1:9" hidden="1" x14ac:dyDescent="0.3">
      <c r="A1254" t="s">
        <v>525</v>
      </c>
      <c r="B1254" s="20">
        <v>44562</v>
      </c>
      <c r="C1254" t="s">
        <v>393</v>
      </c>
      <c r="D1254" t="s">
        <v>394</v>
      </c>
      <c r="E1254" t="s">
        <v>384</v>
      </c>
      <c r="F1254">
        <v>0</v>
      </c>
      <c r="G1254">
        <v>0</v>
      </c>
      <c r="H1254">
        <f>IF(report_B_CategorieBoekjaar[[#This Row],[BedrijfsCode]]="002",IF(report_B_CategorieBoekjaar[[#This Row],[Boekjaar]]=Projectbegroting!$K$1,report_B_CategorieBoekjaar[[#This Row],[CategorieCode]],0),0)</f>
        <v>0</v>
      </c>
      <c r="I1254">
        <f>IF(report_B_CategorieBoekjaar[[#This Row],[BedrijfsCode]]="001",IF(report_B_CategorieBoekjaar[[#This Row],[Boekjaar]]=Projectbegroting!$K$1,report_B_CategorieBoekjaar[[#This Row],[CategorieCode]],0),0)</f>
        <v>0</v>
      </c>
    </row>
    <row r="1255" spans="1:9" hidden="1" x14ac:dyDescent="0.3">
      <c r="A1255" t="s">
        <v>525</v>
      </c>
      <c r="B1255" s="20">
        <v>44562</v>
      </c>
      <c r="C1255" t="s">
        <v>395</v>
      </c>
      <c r="D1255" t="s">
        <v>396</v>
      </c>
      <c r="E1255" t="s">
        <v>381</v>
      </c>
      <c r="F1255">
        <v>54</v>
      </c>
      <c r="G1255">
        <v>0</v>
      </c>
      <c r="H1255">
        <f>IF(report_B_CategorieBoekjaar[[#This Row],[BedrijfsCode]]="002",IF(report_B_CategorieBoekjaar[[#This Row],[Boekjaar]]=Projectbegroting!$K$1,report_B_CategorieBoekjaar[[#This Row],[CategorieCode]],0),0)</f>
        <v>0</v>
      </c>
      <c r="I1255">
        <f>IF(report_B_CategorieBoekjaar[[#This Row],[BedrijfsCode]]="001",IF(report_B_CategorieBoekjaar[[#This Row],[Boekjaar]]=Projectbegroting!$K$1,report_B_CategorieBoekjaar[[#This Row],[CategorieCode]],0),0)</f>
        <v>0</v>
      </c>
    </row>
    <row r="1256" spans="1:9" hidden="1" x14ac:dyDescent="0.3">
      <c r="A1256" t="s">
        <v>525</v>
      </c>
      <c r="B1256" s="20">
        <v>44562</v>
      </c>
      <c r="C1256" t="s">
        <v>397</v>
      </c>
      <c r="D1256" t="s">
        <v>398</v>
      </c>
      <c r="E1256" t="s">
        <v>384</v>
      </c>
      <c r="F1256">
        <v>0</v>
      </c>
      <c r="G1256">
        <v>0</v>
      </c>
      <c r="H1256">
        <f>IF(report_B_CategorieBoekjaar[[#This Row],[BedrijfsCode]]="002",IF(report_B_CategorieBoekjaar[[#This Row],[Boekjaar]]=Projectbegroting!$K$1,report_B_CategorieBoekjaar[[#This Row],[CategorieCode]],0),0)</f>
        <v>0</v>
      </c>
      <c r="I1256">
        <f>IF(report_B_CategorieBoekjaar[[#This Row],[BedrijfsCode]]="001",IF(report_B_CategorieBoekjaar[[#This Row],[Boekjaar]]=Projectbegroting!$K$1,report_B_CategorieBoekjaar[[#This Row],[CategorieCode]],0),0)</f>
        <v>0</v>
      </c>
    </row>
    <row r="1257" spans="1:9" hidden="1" x14ac:dyDescent="0.3">
      <c r="A1257" t="s">
        <v>525</v>
      </c>
      <c r="B1257" s="20">
        <v>44562</v>
      </c>
      <c r="C1257" t="s">
        <v>54</v>
      </c>
      <c r="D1257" t="s">
        <v>399</v>
      </c>
      <c r="E1257" t="s">
        <v>381</v>
      </c>
      <c r="F1257">
        <v>53</v>
      </c>
      <c r="G1257">
        <v>108</v>
      </c>
      <c r="H1257">
        <f>IF(report_B_CategorieBoekjaar[[#This Row],[BedrijfsCode]]="002",IF(report_B_CategorieBoekjaar[[#This Row],[Boekjaar]]=Projectbegroting!$K$1,report_B_CategorieBoekjaar[[#This Row],[CategorieCode]],0),0)</f>
        <v>0</v>
      </c>
      <c r="I1257">
        <f>IF(report_B_CategorieBoekjaar[[#This Row],[BedrijfsCode]]="001",IF(report_B_CategorieBoekjaar[[#This Row],[Boekjaar]]=Projectbegroting!$K$1,report_B_CategorieBoekjaar[[#This Row],[CategorieCode]],0),0)</f>
        <v>0</v>
      </c>
    </row>
    <row r="1258" spans="1:9" hidden="1" x14ac:dyDescent="0.3">
      <c r="A1258" t="s">
        <v>525</v>
      </c>
      <c r="B1258" s="20">
        <v>44562</v>
      </c>
      <c r="C1258" t="s">
        <v>400</v>
      </c>
      <c r="D1258" t="s">
        <v>401</v>
      </c>
      <c r="E1258" t="s">
        <v>384</v>
      </c>
      <c r="F1258">
        <v>0</v>
      </c>
      <c r="G1258">
        <v>0</v>
      </c>
      <c r="H1258">
        <f>IF(report_B_CategorieBoekjaar[[#This Row],[BedrijfsCode]]="002",IF(report_B_CategorieBoekjaar[[#This Row],[Boekjaar]]=Projectbegroting!$K$1,report_B_CategorieBoekjaar[[#This Row],[CategorieCode]],0),0)</f>
        <v>0</v>
      </c>
      <c r="I1258">
        <f>IF(report_B_CategorieBoekjaar[[#This Row],[BedrijfsCode]]="001",IF(report_B_CategorieBoekjaar[[#This Row],[Boekjaar]]=Projectbegroting!$K$1,report_B_CategorieBoekjaar[[#This Row],[CategorieCode]],0),0)</f>
        <v>0</v>
      </c>
    </row>
    <row r="1259" spans="1:9" hidden="1" x14ac:dyDescent="0.3">
      <c r="A1259" t="s">
        <v>525</v>
      </c>
      <c r="B1259" s="20">
        <v>44562</v>
      </c>
      <c r="C1259" t="s">
        <v>56</v>
      </c>
      <c r="D1259" t="s">
        <v>402</v>
      </c>
      <c r="E1259" t="s">
        <v>381</v>
      </c>
      <c r="F1259">
        <v>62</v>
      </c>
      <c r="G1259">
        <v>0</v>
      </c>
      <c r="H1259">
        <f>IF(report_B_CategorieBoekjaar[[#This Row],[BedrijfsCode]]="002",IF(report_B_CategorieBoekjaar[[#This Row],[Boekjaar]]=Projectbegroting!$K$1,report_B_CategorieBoekjaar[[#This Row],[CategorieCode]],0),0)</f>
        <v>0</v>
      </c>
      <c r="I1259">
        <f>IF(report_B_CategorieBoekjaar[[#This Row],[BedrijfsCode]]="001",IF(report_B_CategorieBoekjaar[[#This Row],[Boekjaar]]=Projectbegroting!$K$1,report_B_CategorieBoekjaar[[#This Row],[CategorieCode]],0),0)</f>
        <v>0</v>
      </c>
    </row>
    <row r="1260" spans="1:9" hidden="1" x14ac:dyDescent="0.3">
      <c r="A1260" t="s">
        <v>525</v>
      </c>
      <c r="B1260" s="20">
        <v>44562</v>
      </c>
      <c r="C1260" t="s">
        <v>403</v>
      </c>
      <c r="D1260" t="s">
        <v>404</v>
      </c>
      <c r="E1260" t="s">
        <v>384</v>
      </c>
      <c r="F1260">
        <v>0</v>
      </c>
      <c r="G1260">
        <v>0</v>
      </c>
      <c r="H1260">
        <f>IF(report_B_CategorieBoekjaar[[#This Row],[BedrijfsCode]]="002",IF(report_B_CategorieBoekjaar[[#This Row],[Boekjaar]]=Projectbegroting!$K$1,report_B_CategorieBoekjaar[[#This Row],[CategorieCode]],0),0)</f>
        <v>0</v>
      </c>
      <c r="I1260">
        <f>IF(report_B_CategorieBoekjaar[[#This Row],[BedrijfsCode]]="001",IF(report_B_CategorieBoekjaar[[#This Row],[Boekjaar]]=Projectbegroting!$K$1,report_B_CategorieBoekjaar[[#This Row],[CategorieCode]],0),0)</f>
        <v>0</v>
      </c>
    </row>
    <row r="1261" spans="1:9" hidden="1" x14ac:dyDescent="0.3">
      <c r="A1261" t="s">
        <v>525</v>
      </c>
      <c r="B1261" s="20">
        <v>44562</v>
      </c>
      <c r="C1261" t="s">
        <v>405</v>
      </c>
      <c r="D1261" t="s">
        <v>16</v>
      </c>
      <c r="E1261" t="s">
        <v>381</v>
      </c>
      <c r="F1261">
        <v>52</v>
      </c>
      <c r="G1261">
        <v>0</v>
      </c>
      <c r="H1261">
        <f>IF(report_B_CategorieBoekjaar[[#This Row],[BedrijfsCode]]="002",IF(report_B_CategorieBoekjaar[[#This Row],[Boekjaar]]=Projectbegroting!$K$1,report_B_CategorieBoekjaar[[#This Row],[CategorieCode]],0),0)</f>
        <v>0</v>
      </c>
      <c r="I1261">
        <f>IF(report_B_CategorieBoekjaar[[#This Row],[BedrijfsCode]]="001",IF(report_B_CategorieBoekjaar[[#This Row],[Boekjaar]]=Projectbegroting!$K$1,report_B_CategorieBoekjaar[[#This Row],[CategorieCode]],0),0)</f>
        <v>0</v>
      </c>
    </row>
    <row r="1262" spans="1:9" hidden="1" x14ac:dyDescent="0.3">
      <c r="A1262" t="s">
        <v>525</v>
      </c>
      <c r="B1262" s="20">
        <v>44562</v>
      </c>
      <c r="C1262" t="s">
        <v>58</v>
      </c>
      <c r="D1262" t="s">
        <v>406</v>
      </c>
      <c r="E1262" t="s">
        <v>381</v>
      </c>
      <c r="F1262">
        <v>54</v>
      </c>
      <c r="G1262">
        <v>0</v>
      </c>
      <c r="H1262">
        <f>IF(report_B_CategorieBoekjaar[[#This Row],[BedrijfsCode]]="002",IF(report_B_CategorieBoekjaar[[#This Row],[Boekjaar]]=Projectbegroting!$K$1,report_B_CategorieBoekjaar[[#This Row],[CategorieCode]],0),0)</f>
        <v>0</v>
      </c>
      <c r="I1262">
        <f>IF(report_B_CategorieBoekjaar[[#This Row],[BedrijfsCode]]="001",IF(report_B_CategorieBoekjaar[[#This Row],[Boekjaar]]=Projectbegroting!$K$1,report_B_CategorieBoekjaar[[#This Row],[CategorieCode]],0),0)</f>
        <v>0</v>
      </c>
    </row>
    <row r="1263" spans="1:9" hidden="1" x14ac:dyDescent="0.3">
      <c r="A1263" t="s">
        <v>525</v>
      </c>
      <c r="B1263" s="20">
        <v>44562</v>
      </c>
      <c r="C1263" t="s">
        <v>407</v>
      </c>
      <c r="D1263" t="s">
        <v>408</v>
      </c>
      <c r="E1263" t="s">
        <v>384</v>
      </c>
      <c r="F1263">
        <v>0</v>
      </c>
      <c r="G1263">
        <v>0</v>
      </c>
      <c r="H1263">
        <f>IF(report_B_CategorieBoekjaar[[#This Row],[BedrijfsCode]]="002",IF(report_B_CategorieBoekjaar[[#This Row],[Boekjaar]]=Projectbegroting!$K$1,report_B_CategorieBoekjaar[[#This Row],[CategorieCode]],0),0)</f>
        <v>0</v>
      </c>
      <c r="I1263">
        <f>IF(report_B_CategorieBoekjaar[[#This Row],[BedrijfsCode]]="001",IF(report_B_CategorieBoekjaar[[#This Row],[Boekjaar]]=Projectbegroting!$K$1,report_B_CategorieBoekjaar[[#This Row],[CategorieCode]],0),0)</f>
        <v>0</v>
      </c>
    </row>
    <row r="1264" spans="1:9" hidden="1" x14ac:dyDescent="0.3">
      <c r="A1264" t="s">
        <v>525</v>
      </c>
      <c r="B1264" s="20">
        <v>44562</v>
      </c>
      <c r="C1264" t="s">
        <v>60</v>
      </c>
      <c r="D1264" t="s">
        <v>61</v>
      </c>
      <c r="E1264" t="s">
        <v>381</v>
      </c>
      <c r="F1264">
        <v>68</v>
      </c>
      <c r="G1264">
        <v>123</v>
      </c>
      <c r="H1264">
        <f>IF(report_B_CategorieBoekjaar[[#This Row],[BedrijfsCode]]="002",IF(report_B_CategorieBoekjaar[[#This Row],[Boekjaar]]=Projectbegroting!$K$1,report_B_CategorieBoekjaar[[#This Row],[CategorieCode]],0),0)</f>
        <v>0</v>
      </c>
      <c r="I1264">
        <f>IF(report_B_CategorieBoekjaar[[#This Row],[BedrijfsCode]]="001",IF(report_B_CategorieBoekjaar[[#This Row],[Boekjaar]]=Projectbegroting!$K$1,report_B_CategorieBoekjaar[[#This Row],[CategorieCode]],0),0)</f>
        <v>0</v>
      </c>
    </row>
    <row r="1265" spans="1:9" hidden="1" x14ac:dyDescent="0.3">
      <c r="A1265" t="s">
        <v>525</v>
      </c>
      <c r="B1265" s="20">
        <v>44562</v>
      </c>
      <c r="C1265" t="s">
        <v>168</v>
      </c>
      <c r="D1265" t="s">
        <v>409</v>
      </c>
      <c r="E1265" t="s">
        <v>384</v>
      </c>
      <c r="F1265">
        <v>0</v>
      </c>
      <c r="G1265">
        <v>0</v>
      </c>
      <c r="H1265">
        <f>IF(report_B_CategorieBoekjaar[[#This Row],[BedrijfsCode]]="002",IF(report_B_CategorieBoekjaar[[#This Row],[Boekjaar]]=Projectbegroting!$K$1,report_B_CategorieBoekjaar[[#This Row],[CategorieCode]],0),0)</f>
        <v>0</v>
      </c>
      <c r="I1265">
        <f>IF(report_B_CategorieBoekjaar[[#This Row],[BedrijfsCode]]="001",IF(report_B_CategorieBoekjaar[[#This Row],[Boekjaar]]=Projectbegroting!$K$1,report_B_CategorieBoekjaar[[#This Row],[CategorieCode]],0),0)</f>
        <v>0</v>
      </c>
    </row>
    <row r="1266" spans="1:9" hidden="1" x14ac:dyDescent="0.3">
      <c r="A1266" t="s">
        <v>525</v>
      </c>
      <c r="B1266" s="20">
        <v>44562</v>
      </c>
      <c r="C1266" t="s">
        <v>410</v>
      </c>
      <c r="D1266" t="s">
        <v>411</v>
      </c>
      <c r="E1266" t="s">
        <v>381</v>
      </c>
      <c r="F1266">
        <v>34</v>
      </c>
      <c r="G1266">
        <v>0</v>
      </c>
      <c r="H1266">
        <f>IF(report_B_CategorieBoekjaar[[#This Row],[BedrijfsCode]]="002",IF(report_B_CategorieBoekjaar[[#This Row],[Boekjaar]]=Projectbegroting!$K$1,report_B_CategorieBoekjaar[[#This Row],[CategorieCode]],0),0)</f>
        <v>0</v>
      </c>
      <c r="I1266">
        <f>IF(report_B_CategorieBoekjaar[[#This Row],[BedrijfsCode]]="001",IF(report_B_CategorieBoekjaar[[#This Row],[Boekjaar]]=Projectbegroting!$K$1,report_B_CategorieBoekjaar[[#This Row],[CategorieCode]],0),0)</f>
        <v>0</v>
      </c>
    </row>
    <row r="1267" spans="1:9" hidden="1" x14ac:dyDescent="0.3">
      <c r="A1267" t="s">
        <v>525</v>
      </c>
      <c r="B1267" s="20">
        <v>44562</v>
      </c>
      <c r="C1267" t="s">
        <v>412</v>
      </c>
      <c r="D1267" t="s">
        <v>413</v>
      </c>
      <c r="E1267" t="s">
        <v>381</v>
      </c>
      <c r="F1267">
        <v>38</v>
      </c>
      <c r="G1267">
        <v>93</v>
      </c>
      <c r="H1267">
        <f>IF(report_B_CategorieBoekjaar[[#This Row],[BedrijfsCode]]="002",IF(report_B_CategorieBoekjaar[[#This Row],[Boekjaar]]=Projectbegroting!$K$1,report_B_CategorieBoekjaar[[#This Row],[CategorieCode]],0),0)</f>
        <v>0</v>
      </c>
      <c r="I1267">
        <f>IF(report_B_CategorieBoekjaar[[#This Row],[BedrijfsCode]]="001",IF(report_B_CategorieBoekjaar[[#This Row],[Boekjaar]]=Projectbegroting!$K$1,report_B_CategorieBoekjaar[[#This Row],[CategorieCode]],0),0)</f>
        <v>0</v>
      </c>
    </row>
    <row r="1268" spans="1:9" hidden="1" x14ac:dyDescent="0.3">
      <c r="A1268" t="s">
        <v>525</v>
      </c>
      <c r="B1268" s="20">
        <v>44562</v>
      </c>
      <c r="C1268" t="s">
        <v>414</v>
      </c>
      <c r="D1268" t="s">
        <v>415</v>
      </c>
      <c r="E1268" t="s">
        <v>384</v>
      </c>
      <c r="F1268">
        <v>0</v>
      </c>
      <c r="G1268">
        <v>0</v>
      </c>
      <c r="H1268">
        <f>IF(report_B_CategorieBoekjaar[[#This Row],[BedrijfsCode]]="002",IF(report_B_CategorieBoekjaar[[#This Row],[Boekjaar]]=Projectbegroting!$K$1,report_B_CategorieBoekjaar[[#This Row],[CategorieCode]],0),0)</f>
        <v>0</v>
      </c>
      <c r="I1268">
        <f>IF(report_B_CategorieBoekjaar[[#This Row],[BedrijfsCode]]="001",IF(report_B_CategorieBoekjaar[[#This Row],[Boekjaar]]=Projectbegroting!$K$1,report_B_CategorieBoekjaar[[#This Row],[CategorieCode]],0),0)</f>
        <v>0</v>
      </c>
    </row>
    <row r="1269" spans="1:9" hidden="1" x14ac:dyDescent="0.3">
      <c r="A1269" t="s">
        <v>525</v>
      </c>
      <c r="B1269" s="20">
        <v>44562</v>
      </c>
      <c r="C1269" t="s">
        <v>82</v>
      </c>
      <c r="D1269" t="s">
        <v>416</v>
      </c>
      <c r="E1269" t="s">
        <v>381</v>
      </c>
      <c r="F1269">
        <v>73</v>
      </c>
      <c r="G1269">
        <v>128</v>
      </c>
      <c r="H1269">
        <f>IF(report_B_CategorieBoekjaar[[#This Row],[BedrijfsCode]]="002",IF(report_B_CategorieBoekjaar[[#This Row],[Boekjaar]]=Projectbegroting!$K$1,report_B_CategorieBoekjaar[[#This Row],[CategorieCode]],0),0)</f>
        <v>0</v>
      </c>
      <c r="I1269">
        <f>IF(report_B_CategorieBoekjaar[[#This Row],[BedrijfsCode]]="001",IF(report_B_CategorieBoekjaar[[#This Row],[Boekjaar]]=Projectbegroting!$K$1,report_B_CategorieBoekjaar[[#This Row],[CategorieCode]],0),0)</f>
        <v>0</v>
      </c>
    </row>
    <row r="1270" spans="1:9" hidden="1" x14ac:dyDescent="0.3">
      <c r="A1270" t="s">
        <v>525</v>
      </c>
      <c r="B1270" s="20">
        <v>44562</v>
      </c>
      <c r="C1270" t="s">
        <v>169</v>
      </c>
      <c r="D1270" t="s">
        <v>417</v>
      </c>
      <c r="E1270" t="s">
        <v>384</v>
      </c>
      <c r="F1270">
        <v>0</v>
      </c>
      <c r="G1270">
        <v>0</v>
      </c>
      <c r="H1270">
        <f>IF(report_B_CategorieBoekjaar[[#This Row],[BedrijfsCode]]="002",IF(report_B_CategorieBoekjaar[[#This Row],[Boekjaar]]=Projectbegroting!$K$1,report_B_CategorieBoekjaar[[#This Row],[CategorieCode]],0),0)</f>
        <v>0</v>
      </c>
      <c r="I1270">
        <f>IF(report_B_CategorieBoekjaar[[#This Row],[BedrijfsCode]]="001",IF(report_B_CategorieBoekjaar[[#This Row],[Boekjaar]]=Projectbegroting!$K$1,report_B_CategorieBoekjaar[[#This Row],[CategorieCode]],0),0)</f>
        <v>0</v>
      </c>
    </row>
    <row r="1271" spans="1:9" hidden="1" x14ac:dyDescent="0.3">
      <c r="A1271" t="s">
        <v>525</v>
      </c>
      <c r="B1271" s="20">
        <v>44562</v>
      </c>
      <c r="C1271" t="s">
        <v>418</v>
      </c>
      <c r="D1271" t="s">
        <v>419</v>
      </c>
      <c r="E1271" t="s">
        <v>381</v>
      </c>
      <c r="F1271">
        <v>66</v>
      </c>
      <c r="G1271">
        <v>0</v>
      </c>
      <c r="H1271">
        <f>IF(report_B_CategorieBoekjaar[[#This Row],[BedrijfsCode]]="002",IF(report_B_CategorieBoekjaar[[#This Row],[Boekjaar]]=Projectbegroting!$K$1,report_B_CategorieBoekjaar[[#This Row],[CategorieCode]],0),0)</f>
        <v>0</v>
      </c>
      <c r="I1271">
        <f>IF(report_B_CategorieBoekjaar[[#This Row],[BedrijfsCode]]="001",IF(report_B_CategorieBoekjaar[[#This Row],[Boekjaar]]=Projectbegroting!$K$1,report_B_CategorieBoekjaar[[#This Row],[CategorieCode]],0),0)</f>
        <v>0</v>
      </c>
    </row>
    <row r="1272" spans="1:9" hidden="1" x14ac:dyDescent="0.3">
      <c r="A1272" t="s">
        <v>525</v>
      </c>
      <c r="B1272" s="20">
        <v>44562</v>
      </c>
      <c r="C1272" t="s">
        <v>84</v>
      </c>
      <c r="D1272" t="s">
        <v>420</v>
      </c>
      <c r="E1272" t="s">
        <v>381</v>
      </c>
      <c r="F1272">
        <v>56</v>
      </c>
      <c r="G1272">
        <v>111</v>
      </c>
      <c r="H1272">
        <f>IF(report_B_CategorieBoekjaar[[#This Row],[BedrijfsCode]]="002",IF(report_B_CategorieBoekjaar[[#This Row],[Boekjaar]]=Projectbegroting!$K$1,report_B_CategorieBoekjaar[[#This Row],[CategorieCode]],0),0)</f>
        <v>0</v>
      </c>
      <c r="I1272">
        <f>IF(report_B_CategorieBoekjaar[[#This Row],[BedrijfsCode]]="001",IF(report_B_CategorieBoekjaar[[#This Row],[Boekjaar]]=Projectbegroting!$K$1,report_B_CategorieBoekjaar[[#This Row],[CategorieCode]],0),0)</f>
        <v>0</v>
      </c>
    </row>
    <row r="1273" spans="1:9" hidden="1" x14ac:dyDescent="0.3">
      <c r="A1273" t="s">
        <v>525</v>
      </c>
      <c r="B1273" s="20">
        <v>44562</v>
      </c>
      <c r="C1273" t="s">
        <v>170</v>
      </c>
      <c r="D1273" t="s">
        <v>421</v>
      </c>
      <c r="E1273" t="s">
        <v>384</v>
      </c>
      <c r="F1273">
        <v>0</v>
      </c>
      <c r="G1273">
        <v>0</v>
      </c>
      <c r="H1273">
        <f>IF(report_B_CategorieBoekjaar[[#This Row],[BedrijfsCode]]="002",IF(report_B_CategorieBoekjaar[[#This Row],[Boekjaar]]=Projectbegroting!$K$1,report_B_CategorieBoekjaar[[#This Row],[CategorieCode]],0),0)</f>
        <v>0</v>
      </c>
      <c r="I1273">
        <f>IF(report_B_CategorieBoekjaar[[#This Row],[BedrijfsCode]]="001",IF(report_B_CategorieBoekjaar[[#This Row],[Boekjaar]]=Projectbegroting!$K$1,report_B_CategorieBoekjaar[[#This Row],[CategorieCode]],0),0)</f>
        <v>0</v>
      </c>
    </row>
    <row r="1274" spans="1:9" hidden="1" x14ac:dyDescent="0.3">
      <c r="A1274" t="s">
        <v>525</v>
      </c>
      <c r="B1274" s="20">
        <v>44562</v>
      </c>
      <c r="C1274" t="s">
        <v>96</v>
      </c>
      <c r="D1274" t="s">
        <v>422</v>
      </c>
      <c r="E1274" t="s">
        <v>381</v>
      </c>
      <c r="F1274">
        <v>60</v>
      </c>
      <c r="G1274">
        <v>115</v>
      </c>
      <c r="H1274">
        <f>IF(report_B_CategorieBoekjaar[[#This Row],[BedrijfsCode]]="002",IF(report_B_CategorieBoekjaar[[#This Row],[Boekjaar]]=Projectbegroting!$K$1,report_B_CategorieBoekjaar[[#This Row],[CategorieCode]],0),0)</f>
        <v>0</v>
      </c>
      <c r="I1274">
        <f>IF(report_B_CategorieBoekjaar[[#This Row],[BedrijfsCode]]="001",IF(report_B_CategorieBoekjaar[[#This Row],[Boekjaar]]=Projectbegroting!$K$1,report_B_CategorieBoekjaar[[#This Row],[CategorieCode]],0),0)</f>
        <v>0</v>
      </c>
    </row>
    <row r="1275" spans="1:9" hidden="1" x14ac:dyDescent="0.3">
      <c r="A1275" t="s">
        <v>525</v>
      </c>
      <c r="B1275" s="20">
        <v>44562</v>
      </c>
      <c r="C1275" t="s">
        <v>171</v>
      </c>
      <c r="D1275" t="s">
        <v>423</v>
      </c>
      <c r="E1275" t="s">
        <v>384</v>
      </c>
      <c r="F1275">
        <v>0</v>
      </c>
      <c r="G1275">
        <v>0</v>
      </c>
      <c r="H1275">
        <f>IF(report_B_CategorieBoekjaar[[#This Row],[BedrijfsCode]]="002",IF(report_B_CategorieBoekjaar[[#This Row],[Boekjaar]]=Projectbegroting!$K$1,report_B_CategorieBoekjaar[[#This Row],[CategorieCode]],0),0)</f>
        <v>0</v>
      </c>
      <c r="I1275">
        <f>IF(report_B_CategorieBoekjaar[[#This Row],[BedrijfsCode]]="001",IF(report_B_CategorieBoekjaar[[#This Row],[Boekjaar]]=Projectbegroting!$K$1,report_B_CategorieBoekjaar[[#This Row],[CategorieCode]],0),0)</f>
        <v>0</v>
      </c>
    </row>
    <row r="1276" spans="1:9" hidden="1" x14ac:dyDescent="0.3">
      <c r="A1276" t="s">
        <v>525</v>
      </c>
      <c r="B1276" s="20">
        <v>44562</v>
      </c>
      <c r="C1276" t="s">
        <v>86</v>
      </c>
      <c r="D1276" t="s">
        <v>424</v>
      </c>
      <c r="E1276" t="s">
        <v>381</v>
      </c>
      <c r="F1276">
        <v>52</v>
      </c>
      <c r="G1276">
        <v>107</v>
      </c>
      <c r="H1276">
        <f>IF(report_B_CategorieBoekjaar[[#This Row],[BedrijfsCode]]="002",IF(report_B_CategorieBoekjaar[[#This Row],[Boekjaar]]=Projectbegroting!$K$1,report_B_CategorieBoekjaar[[#This Row],[CategorieCode]],0),0)</f>
        <v>0</v>
      </c>
      <c r="I1276">
        <f>IF(report_B_CategorieBoekjaar[[#This Row],[BedrijfsCode]]="001",IF(report_B_CategorieBoekjaar[[#This Row],[Boekjaar]]=Projectbegroting!$K$1,report_B_CategorieBoekjaar[[#This Row],[CategorieCode]],0),0)</f>
        <v>0</v>
      </c>
    </row>
    <row r="1277" spans="1:9" hidden="1" x14ac:dyDescent="0.3">
      <c r="A1277" t="s">
        <v>525</v>
      </c>
      <c r="B1277" s="20">
        <v>44562</v>
      </c>
      <c r="C1277" t="s">
        <v>172</v>
      </c>
      <c r="D1277" t="s">
        <v>425</v>
      </c>
      <c r="E1277" t="s">
        <v>384</v>
      </c>
      <c r="F1277">
        <v>0</v>
      </c>
      <c r="G1277">
        <v>0</v>
      </c>
      <c r="H1277">
        <f>IF(report_B_CategorieBoekjaar[[#This Row],[BedrijfsCode]]="002",IF(report_B_CategorieBoekjaar[[#This Row],[Boekjaar]]=Projectbegroting!$K$1,report_B_CategorieBoekjaar[[#This Row],[CategorieCode]],0),0)</f>
        <v>0</v>
      </c>
      <c r="I1277">
        <f>IF(report_B_CategorieBoekjaar[[#This Row],[BedrijfsCode]]="001",IF(report_B_CategorieBoekjaar[[#This Row],[Boekjaar]]=Projectbegroting!$K$1,report_B_CategorieBoekjaar[[#This Row],[CategorieCode]],0),0)</f>
        <v>0</v>
      </c>
    </row>
    <row r="1278" spans="1:9" hidden="1" x14ac:dyDescent="0.3">
      <c r="A1278" t="s">
        <v>525</v>
      </c>
      <c r="B1278" s="20">
        <v>44562</v>
      </c>
      <c r="C1278" t="s">
        <v>94</v>
      </c>
      <c r="D1278" t="s">
        <v>426</v>
      </c>
      <c r="E1278" t="s">
        <v>381</v>
      </c>
      <c r="F1278">
        <v>106</v>
      </c>
      <c r="G1278">
        <v>106</v>
      </c>
      <c r="H1278">
        <f>IF(report_B_CategorieBoekjaar[[#This Row],[BedrijfsCode]]="002",IF(report_B_CategorieBoekjaar[[#This Row],[Boekjaar]]=Projectbegroting!$K$1,report_B_CategorieBoekjaar[[#This Row],[CategorieCode]],0),0)</f>
        <v>0</v>
      </c>
      <c r="I1278">
        <f>IF(report_B_CategorieBoekjaar[[#This Row],[BedrijfsCode]]="001",IF(report_B_CategorieBoekjaar[[#This Row],[Boekjaar]]=Projectbegroting!$K$1,report_B_CategorieBoekjaar[[#This Row],[CategorieCode]],0),0)</f>
        <v>0</v>
      </c>
    </row>
    <row r="1279" spans="1:9" hidden="1" x14ac:dyDescent="0.3">
      <c r="A1279" t="s">
        <v>525</v>
      </c>
      <c r="B1279" s="20">
        <v>44562</v>
      </c>
      <c r="C1279" t="s">
        <v>173</v>
      </c>
      <c r="D1279" t="s">
        <v>427</v>
      </c>
      <c r="E1279" t="s">
        <v>384</v>
      </c>
      <c r="F1279">
        <v>0</v>
      </c>
      <c r="G1279">
        <v>0</v>
      </c>
      <c r="H1279">
        <f>IF(report_B_CategorieBoekjaar[[#This Row],[BedrijfsCode]]="002",IF(report_B_CategorieBoekjaar[[#This Row],[Boekjaar]]=Projectbegroting!$K$1,report_B_CategorieBoekjaar[[#This Row],[CategorieCode]],0),0)</f>
        <v>0</v>
      </c>
      <c r="I1279">
        <f>IF(report_B_CategorieBoekjaar[[#This Row],[BedrijfsCode]]="001",IF(report_B_CategorieBoekjaar[[#This Row],[Boekjaar]]=Projectbegroting!$K$1,report_B_CategorieBoekjaar[[#This Row],[CategorieCode]],0),0)</f>
        <v>0</v>
      </c>
    </row>
    <row r="1280" spans="1:9" hidden="1" x14ac:dyDescent="0.3">
      <c r="A1280" t="s">
        <v>525</v>
      </c>
      <c r="B1280" s="20">
        <v>44562</v>
      </c>
      <c r="C1280" t="s">
        <v>88</v>
      </c>
      <c r="D1280" t="s">
        <v>89</v>
      </c>
      <c r="E1280" t="s">
        <v>381</v>
      </c>
      <c r="F1280">
        <v>60</v>
      </c>
      <c r="G1280">
        <v>115</v>
      </c>
      <c r="H1280">
        <f>IF(report_B_CategorieBoekjaar[[#This Row],[BedrijfsCode]]="002",IF(report_B_CategorieBoekjaar[[#This Row],[Boekjaar]]=Projectbegroting!$K$1,report_B_CategorieBoekjaar[[#This Row],[CategorieCode]],0),0)</f>
        <v>0</v>
      </c>
      <c r="I1280">
        <f>IF(report_B_CategorieBoekjaar[[#This Row],[BedrijfsCode]]="001",IF(report_B_CategorieBoekjaar[[#This Row],[Boekjaar]]=Projectbegroting!$K$1,report_B_CategorieBoekjaar[[#This Row],[CategorieCode]],0),0)</f>
        <v>0</v>
      </c>
    </row>
    <row r="1281" spans="1:9" hidden="1" x14ac:dyDescent="0.3">
      <c r="A1281" t="s">
        <v>525</v>
      </c>
      <c r="B1281" s="20">
        <v>44562</v>
      </c>
      <c r="C1281" t="s">
        <v>174</v>
      </c>
      <c r="D1281" t="s">
        <v>428</v>
      </c>
      <c r="E1281" t="s">
        <v>384</v>
      </c>
      <c r="F1281">
        <v>0</v>
      </c>
      <c r="G1281">
        <v>0</v>
      </c>
      <c r="H1281">
        <f>IF(report_B_CategorieBoekjaar[[#This Row],[BedrijfsCode]]="002",IF(report_B_CategorieBoekjaar[[#This Row],[Boekjaar]]=Projectbegroting!$K$1,report_B_CategorieBoekjaar[[#This Row],[CategorieCode]],0),0)</f>
        <v>0</v>
      </c>
      <c r="I1281">
        <f>IF(report_B_CategorieBoekjaar[[#This Row],[BedrijfsCode]]="001",IF(report_B_CategorieBoekjaar[[#This Row],[Boekjaar]]=Projectbegroting!$K$1,report_B_CategorieBoekjaar[[#This Row],[CategorieCode]],0),0)</f>
        <v>0</v>
      </c>
    </row>
    <row r="1282" spans="1:9" hidden="1" x14ac:dyDescent="0.3">
      <c r="A1282" t="s">
        <v>525</v>
      </c>
      <c r="B1282" s="20">
        <v>44562</v>
      </c>
      <c r="C1282" t="s">
        <v>90</v>
      </c>
      <c r="D1282" t="s">
        <v>91</v>
      </c>
      <c r="E1282" t="s">
        <v>381</v>
      </c>
      <c r="F1282">
        <v>37</v>
      </c>
      <c r="G1282">
        <v>123</v>
      </c>
      <c r="H1282">
        <f>IF(report_B_CategorieBoekjaar[[#This Row],[BedrijfsCode]]="002",IF(report_B_CategorieBoekjaar[[#This Row],[Boekjaar]]=Projectbegroting!$K$1,report_B_CategorieBoekjaar[[#This Row],[CategorieCode]],0),0)</f>
        <v>0</v>
      </c>
      <c r="I1282">
        <f>IF(report_B_CategorieBoekjaar[[#This Row],[BedrijfsCode]]="001",IF(report_B_CategorieBoekjaar[[#This Row],[Boekjaar]]=Projectbegroting!$K$1,report_B_CategorieBoekjaar[[#This Row],[CategorieCode]],0),0)</f>
        <v>0</v>
      </c>
    </row>
    <row r="1283" spans="1:9" hidden="1" x14ac:dyDescent="0.3">
      <c r="A1283" t="s">
        <v>525</v>
      </c>
      <c r="B1283" s="20">
        <v>44562</v>
      </c>
      <c r="C1283" t="s">
        <v>429</v>
      </c>
      <c r="D1283" t="s">
        <v>430</v>
      </c>
      <c r="E1283" t="s">
        <v>384</v>
      </c>
      <c r="F1283">
        <v>0</v>
      </c>
      <c r="G1283">
        <v>0</v>
      </c>
      <c r="H1283">
        <f>IF(report_B_CategorieBoekjaar[[#This Row],[BedrijfsCode]]="002",IF(report_B_CategorieBoekjaar[[#This Row],[Boekjaar]]=Projectbegroting!$K$1,report_B_CategorieBoekjaar[[#This Row],[CategorieCode]],0),0)</f>
        <v>0</v>
      </c>
      <c r="I1283">
        <f>IF(report_B_CategorieBoekjaar[[#This Row],[BedrijfsCode]]="001",IF(report_B_CategorieBoekjaar[[#This Row],[Boekjaar]]=Projectbegroting!$K$1,report_B_CategorieBoekjaar[[#This Row],[CategorieCode]],0),0)</f>
        <v>0</v>
      </c>
    </row>
    <row r="1284" spans="1:9" hidden="1" x14ac:dyDescent="0.3">
      <c r="A1284" t="s">
        <v>525</v>
      </c>
      <c r="B1284" s="20">
        <v>44562</v>
      </c>
      <c r="C1284" t="s">
        <v>431</v>
      </c>
      <c r="D1284" t="s">
        <v>432</v>
      </c>
      <c r="E1284" t="s">
        <v>381</v>
      </c>
      <c r="F1284">
        <v>71</v>
      </c>
      <c r="G1284">
        <v>127</v>
      </c>
      <c r="H1284">
        <f>IF(report_B_CategorieBoekjaar[[#This Row],[BedrijfsCode]]="002",IF(report_B_CategorieBoekjaar[[#This Row],[Boekjaar]]=Projectbegroting!$K$1,report_B_CategorieBoekjaar[[#This Row],[CategorieCode]],0),0)</f>
        <v>0</v>
      </c>
      <c r="I1284">
        <f>IF(report_B_CategorieBoekjaar[[#This Row],[BedrijfsCode]]="001",IF(report_B_CategorieBoekjaar[[#This Row],[Boekjaar]]=Projectbegroting!$K$1,report_B_CategorieBoekjaar[[#This Row],[CategorieCode]],0),0)</f>
        <v>0</v>
      </c>
    </row>
    <row r="1285" spans="1:9" hidden="1" x14ac:dyDescent="0.3">
      <c r="A1285" t="s">
        <v>525</v>
      </c>
      <c r="B1285" s="20">
        <v>44562</v>
      </c>
      <c r="C1285" t="s">
        <v>433</v>
      </c>
      <c r="D1285" t="s">
        <v>434</v>
      </c>
      <c r="E1285" t="s">
        <v>384</v>
      </c>
      <c r="F1285">
        <v>0</v>
      </c>
      <c r="G1285">
        <v>0</v>
      </c>
      <c r="H1285">
        <f>IF(report_B_CategorieBoekjaar[[#This Row],[BedrijfsCode]]="002",IF(report_B_CategorieBoekjaar[[#This Row],[Boekjaar]]=Projectbegroting!$K$1,report_B_CategorieBoekjaar[[#This Row],[CategorieCode]],0),0)</f>
        <v>0</v>
      </c>
      <c r="I1285">
        <f>IF(report_B_CategorieBoekjaar[[#This Row],[BedrijfsCode]]="001",IF(report_B_CategorieBoekjaar[[#This Row],[Boekjaar]]=Projectbegroting!$K$1,report_B_CategorieBoekjaar[[#This Row],[CategorieCode]],0),0)</f>
        <v>0</v>
      </c>
    </row>
    <row r="1286" spans="1:9" hidden="1" x14ac:dyDescent="0.3">
      <c r="A1286" t="s">
        <v>525</v>
      </c>
      <c r="B1286" s="20">
        <v>44562</v>
      </c>
      <c r="C1286" t="s">
        <v>435</v>
      </c>
      <c r="D1286" t="s">
        <v>436</v>
      </c>
      <c r="E1286" t="s">
        <v>381</v>
      </c>
      <c r="F1286">
        <v>53</v>
      </c>
      <c r="G1286">
        <v>108</v>
      </c>
      <c r="H1286">
        <f>IF(report_B_CategorieBoekjaar[[#This Row],[BedrijfsCode]]="002",IF(report_B_CategorieBoekjaar[[#This Row],[Boekjaar]]=Projectbegroting!$K$1,report_B_CategorieBoekjaar[[#This Row],[CategorieCode]],0),0)</f>
        <v>0</v>
      </c>
      <c r="I1286">
        <f>IF(report_B_CategorieBoekjaar[[#This Row],[BedrijfsCode]]="001",IF(report_B_CategorieBoekjaar[[#This Row],[Boekjaar]]=Projectbegroting!$K$1,report_B_CategorieBoekjaar[[#This Row],[CategorieCode]],0),0)</f>
        <v>0</v>
      </c>
    </row>
    <row r="1287" spans="1:9" hidden="1" x14ac:dyDescent="0.3">
      <c r="A1287" t="s">
        <v>525</v>
      </c>
      <c r="B1287" s="20">
        <v>44562</v>
      </c>
      <c r="C1287" t="s">
        <v>437</v>
      </c>
      <c r="D1287" t="s">
        <v>438</v>
      </c>
      <c r="E1287" t="s">
        <v>384</v>
      </c>
      <c r="F1287">
        <v>0</v>
      </c>
      <c r="G1287">
        <v>0</v>
      </c>
      <c r="H1287">
        <f>IF(report_B_CategorieBoekjaar[[#This Row],[BedrijfsCode]]="002",IF(report_B_CategorieBoekjaar[[#This Row],[Boekjaar]]=Projectbegroting!$K$1,report_B_CategorieBoekjaar[[#This Row],[CategorieCode]],0),0)</f>
        <v>0</v>
      </c>
      <c r="I1287">
        <f>IF(report_B_CategorieBoekjaar[[#This Row],[BedrijfsCode]]="001",IF(report_B_CategorieBoekjaar[[#This Row],[Boekjaar]]=Projectbegroting!$K$1,report_B_CategorieBoekjaar[[#This Row],[CategorieCode]],0),0)</f>
        <v>0</v>
      </c>
    </row>
    <row r="1288" spans="1:9" hidden="1" x14ac:dyDescent="0.3">
      <c r="A1288" t="s">
        <v>525</v>
      </c>
      <c r="B1288" s="20">
        <v>44562</v>
      </c>
      <c r="C1288" t="s">
        <v>439</v>
      </c>
      <c r="D1288" t="s">
        <v>440</v>
      </c>
      <c r="E1288" t="s">
        <v>381</v>
      </c>
      <c r="F1288">
        <v>38</v>
      </c>
      <c r="G1288">
        <v>0</v>
      </c>
      <c r="H1288">
        <f>IF(report_B_CategorieBoekjaar[[#This Row],[BedrijfsCode]]="002",IF(report_B_CategorieBoekjaar[[#This Row],[Boekjaar]]=Projectbegroting!$K$1,report_B_CategorieBoekjaar[[#This Row],[CategorieCode]],0),0)</f>
        <v>0</v>
      </c>
      <c r="I1288">
        <f>IF(report_B_CategorieBoekjaar[[#This Row],[BedrijfsCode]]="001",IF(report_B_CategorieBoekjaar[[#This Row],[Boekjaar]]=Projectbegroting!$K$1,report_B_CategorieBoekjaar[[#This Row],[CategorieCode]],0),0)</f>
        <v>0</v>
      </c>
    </row>
    <row r="1289" spans="1:9" hidden="1" x14ac:dyDescent="0.3">
      <c r="A1289" t="s">
        <v>525</v>
      </c>
      <c r="B1289" s="20">
        <v>44562</v>
      </c>
      <c r="C1289" t="s">
        <v>441</v>
      </c>
      <c r="D1289" t="s">
        <v>442</v>
      </c>
      <c r="E1289" t="s">
        <v>381</v>
      </c>
      <c r="F1289">
        <v>50</v>
      </c>
      <c r="G1289">
        <v>105</v>
      </c>
      <c r="H1289">
        <f>IF(report_B_CategorieBoekjaar[[#This Row],[BedrijfsCode]]="002",IF(report_B_CategorieBoekjaar[[#This Row],[Boekjaar]]=Projectbegroting!$K$1,report_B_CategorieBoekjaar[[#This Row],[CategorieCode]],0),0)</f>
        <v>0</v>
      </c>
      <c r="I1289">
        <f>IF(report_B_CategorieBoekjaar[[#This Row],[BedrijfsCode]]="001",IF(report_B_CategorieBoekjaar[[#This Row],[Boekjaar]]=Projectbegroting!$K$1,report_B_CategorieBoekjaar[[#This Row],[CategorieCode]],0),0)</f>
        <v>0</v>
      </c>
    </row>
    <row r="1290" spans="1:9" hidden="1" x14ac:dyDescent="0.3">
      <c r="A1290" t="s">
        <v>525</v>
      </c>
      <c r="B1290" s="20">
        <v>44562</v>
      </c>
      <c r="C1290" t="s">
        <v>443</v>
      </c>
      <c r="D1290" t="s">
        <v>444</v>
      </c>
      <c r="E1290" t="s">
        <v>384</v>
      </c>
      <c r="F1290">
        <v>0</v>
      </c>
      <c r="G1290">
        <v>0</v>
      </c>
      <c r="H1290">
        <f>IF(report_B_CategorieBoekjaar[[#This Row],[BedrijfsCode]]="002",IF(report_B_CategorieBoekjaar[[#This Row],[Boekjaar]]=Projectbegroting!$K$1,report_B_CategorieBoekjaar[[#This Row],[CategorieCode]],0),0)</f>
        <v>0</v>
      </c>
      <c r="I1290">
        <f>IF(report_B_CategorieBoekjaar[[#This Row],[BedrijfsCode]]="001",IF(report_B_CategorieBoekjaar[[#This Row],[Boekjaar]]=Projectbegroting!$K$1,report_B_CategorieBoekjaar[[#This Row],[CategorieCode]],0),0)</f>
        <v>0</v>
      </c>
    </row>
    <row r="1291" spans="1:9" hidden="1" x14ac:dyDescent="0.3">
      <c r="A1291" t="s">
        <v>525</v>
      </c>
      <c r="B1291" s="20">
        <v>44562</v>
      </c>
      <c r="C1291" t="s">
        <v>445</v>
      </c>
      <c r="D1291" t="s">
        <v>446</v>
      </c>
      <c r="E1291" t="s">
        <v>381</v>
      </c>
      <c r="F1291">
        <v>78</v>
      </c>
      <c r="G1291">
        <v>133</v>
      </c>
      <c r="H1291">
        <f>IF(report_B_CategorieBoekjaar[[#This Row],[BedrijfsCode]]="002",IF(report_B_CategorieBoekjaar[[#This Row],[Boekjaar]]=Projectbegroting!$K$1,report_B_CategorieBoekjaar[[#This Row],[CategorieCode]],0),0)</f>
        <v>0</v>
      </c>
      <c r="I1291">
        <f>IF(report_B_CategorieBoekjaar[[#This Row],[BedrijfsCode]]="001",IF(report_B_CategorieBoekjaar[[#This Row],[Boekjaar]]=Projectbegroting!$K$1,report_B_CategorieBoekjaar[[#This Row],[CategorieCode]],0),0)</f>
        <v>0</v>
      </c>
    </row>
    <row r="1292" spans="1:9" hidden="1" x14ac:dyDescent="0.3">
      <c r="A1292" t="s">
        <v>525</v>
      </c>
      <c r="B1292" s="20">
        <v>44562</v>
      </c>
      <c r="C1292" t="s">
        <v>447</v>
      </c>
      <c r="D1292" t="s">
        <v>448</v>
      </c>
      <c r="E1292" t="s">
        <v>384</v>
      </c>
      <c r="F1292">
        <v>0</v>
      </c>
      <c r="G1292">
        <v>0</v>
      </c>
      <c r="H1292">
        <f>IF(report_B_CategorieBoekjaar[[#This Row],[BedrijfsCode]]="002",IF(report_B_CategorieBoekjaar[[#This Row],[Boekjaar]]=Projectbegroting!$K$1,report_B_CategorieBoekjaar[[#This Row],[CategorieCode]],0),0)</f>
        <v>0</v>
      </c>
      <c r="I1292">
        <f>IF(report_B_CategorieBoekjaar[[#This Row],[BedrijfsCode]]="001",IF(report_B_CategorieBoekjaar[[#This Row],[Boekjaar]]=Projectbegroting!$K$1,report_B_CategorieBoekjaar[[#This Row],[CategorieCode]],0),0)</f>
        <v>0</v>
      </c>
    </row>
    <row r="1293" spans="1:9" hidden="1" x14ac:dyDescent="0.3">
      <c r="A1293" t="s">
        <v>525</v>
      </c>
      <c r="B1293" s="20">
        <v>44562</v>
      </c>
      <c r="C1293" t="s">
        <v>449</v>
      </c>
      <c r="D1293" t="s">
        <v>450</v>
      </c>
      <c r="E1293" t="s">
        <v>381</v>
      </c>
      <c r="F1293">
        <v>36</v>
      </c>
      <c r="G1293">
        <v>91</v>
      </c>
      <c r="H1293">
        <f>IF(report_B_CategorieBoekjaar[[#This Row],[BedrijfsCode]]="002",IF(report_B_CategorieBoekjaar[[#This Row],[Boekjaar]]=Projectbegroting!$K$1,report_B_CategorieBoekjaar[[#This Row],[CategorieCode]],0),0)</f>
        <v>0</v>
      </c>
      <c r="I1293">
        <f>IF(report_B_CategorieBoekjaar[[#This Row],[BedrijfsCode]]="001",IF(report_B_CategorieBoekjaar[[#This Row],[Boekjaar]]=Projectbegroting!$K$1,report_B_CategorieBoekjaar[[#This Row],[CategorieCode]],0),0)</f>
        <v>0</v>
      </c>
    </row>
    <row r="1294" spans="1:9" hidden="1" x14ac:dyDescent="0.3">
      <c r="A1294" t="s">
        <v>525</v>
      </c>
      <c r="B1294" s="20">
        <v>44562</v>
      </c>
      <c r="C1294" t="s">
        <v>451</v>
      </c>
      <c r="D1294" t="s">
        <v>452</v>
      </c>
      <c r="E1294" t="s">
        <v>384</v>
      </c>
      <c r="F1294">
        <v>0</v>
      </c>
      <c r="G1294">
        <v>0</v>
      </c>
      <c r="H1294">
        <f>IF(report_B_CategorieBoekjaar[[#This Row],[BedrijfsCode]]="002",IF(report_B_CategorieBoekjaar[[#This Row],[Boekjaar]]=Projectbegroting!$K$1,report_B_CategorieBoekjaar[[#This Row],[CategorieCode]],0),0)</f>
        <v>0</v>
      </c>
      <c r="I1294">
        <f>IF(report_B_CategorieBoekjaar[[#This Row],[BedrijfsCode]]="001",IF(report_B_CategorieBoekjaar[[#This Row],[Boekjaar]]=Projectbegroting!$K$1,report_B_CategorieBoekjaar[[#This Row],[CategorieCode]],0),0)</f>
        <v>0</v>
      </c>
    </row>
    <row r="1295" spans="1:9" hidden="1" x14ac:dyDescent="0.3">
      <c r="A1295" t="s">
        <v>525</v>
      </c>
      <c r="B1295" s="20">
        <v>44562</v>
      </c>
      <c r="C1295" t="s">
        <v>453</v>
      </c>
      <c r="D1295" t="s">
        <v>454</v>
      </c>
      <c r="E1295" t="s">
        <v>381</v>
      </c>
      <c r="F1295">
        <v>62</v>
      </c>
      <c r="G1295">
        <v>0</v>
      </c>
      <c r="H1295">
        <f>IF(report_B_CategorieBoekjaar[[#This Row],[BedrijfsCode]]="002",IF(report_B_CategorieBoekjaar[[#This Row],[Boekjaar]]=Projectbegroting!$K$1,report_B_CategorieBoekjaar[[#This Row],[CategorieCode]],0),0)</f>
        <v>0</v>
      </c>
      <c r="I1295">
        <f>IF(report_B_CategorieBoekjaar[[#This Row],[BedrijfsCode]]="001",IF(report_B_CategorieBoekjaar[[#This Row],[Boekjaar]]=Projectbegroting!$K$1,report_B_CategorieBoekjaar[[#This Row],[CategorieCode]],0),0)</f>
        <v>0</v>
      </c>
    </row>
    <row r="1296" spans="1:9" hidden="1" x14ac:dyDescent="0.3">
      <c r="A1296" t="s">
        <v>525</v>
      </c>
      <c r="B1296" s="20">
        <v>44562</v>
      </c>
      <c r="C1296" t="s">
        <v>455</v>
      </c>
      <c r="D1296" t="s">
        <v>456</v>
      </c>
      <c r="E1296" t="s">
        <v>381</v>
      </c>
      <c r="F1296">
        <v>83</v>
      </c>
      <c r="G1296">
        <v>0</v>
      </c>
      <c r="H1296">
        <f>IF(report_B_CategorieBoekjaar[[#This Row],[BedrijfsCode]]="002",IF(report_B_CategorieBoekjaar[[#This Row],[Boekjaar]]=Projectbegroting!$K$1,report_B_CategorieBoekjaar[[#This Row],[CategorieCode]],0),0)</f>
        <v>0</v>
      </c>
      <c r="I1296">
        <f>IF(report_B_CategorieBoekjaar[[#This Row],[BedrijfsCode]]="001",IF(report_B_CategorieBoekjaar[[#This Row],[Boekjaar]]=Projectbegroting!$K$1,report_B_CategorieBoekjaar[[#This Row],[CategorieCode]],0),0)</f>
        <v>0</v>
      </c>
    </row>
    <row r="1297" spans="1:9" hidden="1" x14ac:dyDescent="0.3">
      <c r="A1297" t="s">
        <v>525</v>
      </c>
      <c r="B1297" s="20">
        <v>44562</v>
      </c>
      <c r="C1297" t="s">
        <v>457</v>
      </c>
      <c r="D1297" t="s">
        <v>458</v>
      </c>
      <c r="E1297" t="s">
        <v>384</v>
      </c>
      <c r="F1297">
        <v>0</v>
      </c>
      <c r="G1297">
        <v>0</v>
      </c>
      <c r="H1297">
        <f>IF(report_B_CategorieBoekjaar[[#This Row],[BedrijfsCode]]="002",IF(report_B_CategorieBoekjaar[[#This Row],[Boekjaar]]=Projectbegroting!$K$1,report_B_CategorieBoekjaar[[#This Row],[CategorieCode]],0),0)</f>
        <v>0</v>
      </c>
      <c r="I1297">
        <f>IF(report_B_CategorieBoekjaar[[#This Row],[BedrijfsCode]]="001",IF(report_B_CategorieBoekjaar[[#This Row],[Boekjaar]]=Projectbegroting!$K$1,report_B_CategorieBoekjaar[[#This Row],[CategorieCode]],0),0)</f>
        <v>0</v>
      </c>
    </row>
    <row r="1298" spans="1:9" hidden="1" x14ac:dyDescent="0.3">
      <c r="A1298" t="s">
        <v>525</v>
      </c>
      <c r="B1298" s="20">
        <v>44562</v>
      </c>
      <c r="C1298" t="s">
        <v>459</v>
      </c>
      <c r="D1298" t="s">
        <v>460</v>
      </c>
      <c r="E1298" t="s">
        <v>381</v>
      </c>
      <c r="F1298">
        <v>97</v>
      </c>
      <c r="G1298">
        <v>152</v>
      </c>
      <c r="H1298">
        <f>IF(report_B_CategorieBoekjaar[[#This Row],[BedrijfsCode]]="002",IF(report_B_CategorieBoekjaar[[#This Row],[Boekjaar]]=Projectbegroting!$K$1,report_B_CategorieBoekjaar[[#This Row],[CategorieCode]],0),0)</f>
        <v>0</v>
      </c>
      <c r="I1298">
        <f>IF(report_B_CategorieBoekjaar[[#This Row],[BedrijfsCode]]="001",IF(report_B_CategorieBoekjaar[[#This Row],[Boekjaar]]=Projectbegroting!$K$1,report_B_CategorieBoekjaar[[#This Row],[CategorieCode]],0),0)</f>
        <v>0</v>
      </c>
    </row>
    <row r="1299" spans="1:9" hidden="1" x14ac:dyDescent="0.3">
      <c r="A1299" t="s">
        <v>525</v>
      </c>
      <c r="B1299" s="20">
        <v>44562</v>
      </c>
      <c r="C1299" t="s">
        <v>461</v>
      </c>
      <c r="D1299" t="s">
        <v>462</v>
      </c>
      <c r="E1299" t="s">
        <v>384</v>
      </c>
      <c r="F1299">
        <v>0</v>
      </c>
      <c r="G1299">
        <v>0</v>
      </c>
      <c r="H1299">
        <f>IF(report_B_CategorieBoekjaar[[#This Row],[BedrijfsCode]]="002",IF(report_B_CategorieBoekjaar[[#This Row],[Boekjaar]]=Projectbegroting!$K$1,report_B_CategorieBoekjaar[[#This Row],[CategorieCode]],0),0)</f>
        <v>0</v>
      </c>
      <c r="I1299">
        <f>IF(report_B_CategorieBoekjaar[[#This Row],[BedrijfsCode]]="001",IF(report_B_CategorieBoekjaar[[#This Row],[Boekjaar]]=Projectbegroting!$K$1,report_B_CategorieBoekjaar[[#This Row],[CategorieCode]],0),0)</f>
        <v>0</v>
      </c>
    </row>
    <row r="1300" spans="1:9" hidden="1" x14ac:dyDescent="0.3">
      <c r="A1300" t="s">
        <v>525</v>
      </c>
      <c r="B1300" s="20">
        <v>44562</v>
      </c>
      <c r="C1300" t="s">
        <v>463</v>
      </c>
      <c r="D1300" t="s">
        <v>464</v>
      </c>
      <c r="E1300" t="s">
        <v>384</v>
      </c>
      <c r="F1300">
        <v>0</v>
      </c>
      <c r="G1300">
        <v>0</v>
      </c>
      <c r="H1300">
        <f>IF(report_B_CategorieBoekjaar[[#This Row],[BedrijfsCode]]="002",IF(report_B_CategorieBoekjaar[[#This Row],[Boekjaar]]=Projectbegroting!$K$1,report_B_CategorieBoekjaar[[#This Row],[CategorieCode]],0),0)</f>
        <v>0</v>
      </c>
      <c r="I1300">
        <f>IF(report_B_CategorieBoekjaar[[#This Row],[BedrijfsCode]]="001",IF(report_B_CategorieBoekjaar[[#This Row],[Boekjaar]]=Projectbegroting!$K$1,report_B_CategorieBoekjaar[[#This Row],[CategorieCode]],0),0)</f>
        <v>0</v>
      </c>
    </row>
    <row r="1301" spans="1:9" hidden="1" x14ac:dyDescent="0.3">
      <c r="A1301" t="s">
        <v>525</v>
      </c>
      <c r="B1301" s="20">
        <v>44562</v>
      </c>
      <c r="C1301" t="s">
        <v>465</v>
      </c>
      <c r="D1301" t="s">
        <v>466</v>
      </c>
      <c r="E1301" t="s">
        <v>381</v>
      </c>
      <c r="F1301">
        <v>35</v>
      </c>
      <c r="G1301">
        <v>90</v>
      </c>
      <c r="H1301">
        <f>IF(report_B_CategorieBoekjaar[[#This Row],[BedrijfsCode]]="002",IF(report_B_CategorieBoekjaar[[#This Row],[Boekjaar]]=Projectbegroting!$K$1,report_B_CategorieBoekjaar[[#This Row],[CategorieCode]],0),0)</f>
        <v>0</v>
      </c>
      <c r="I1301">
        <f>IF(report_B_CategorieBoekjaar[[#This Row],[BedrijfsCode]]="001",IF(report_B_CategorieBoekjaar[[#This Row],[Boekjaar]]=Projectbegroting!$K$1,report_B_CategorieBoekjaar[[#This Row],[CategorieCode]],0),0)</f>
        <v>0</v>
      </c>
    </row>
    <row r="1302" spans="1:9" hidden="1" x14ac:dyDescent="0.3">
      <c r="A1302" t="s">
        <v>525</v>
      </c>
      <c r="B1302" s="20">
        <v>44562</v>
      </c>
      <c r="C1302" t="s">
        <v>467</v>
      </c>
      <c r="D1302" t="s">
        <v>468</v>
      </c>
      <c r="E1302" t="s">
        <v>384</v>
      </c>
      <c r="F1302">
        <v>0</v>
      </c>
      <c r="G1302">
        <v>0</v>
      </c>
      <c r="H1302">
        <f>IF(report_B_CategorieBoekjaar[[#This Row],[BedrijfsCode]]="002",IF(report_B_CategorieBoekjaar[[#This Row],[Boekjaar]]=Projectbegroting!$K$1,report_B_CategorieBoekjaar[[#This Row],[CategorieCode]],0),0)</f>
        <v>0</v>
      </c>
      <c r="I1302">
        <f>IF(report_B_CategorieBoekjaar[[#This Row],[BedrijfsCode]]="001",IF(report_B_CategorieBoekjaar[[#This Row],[Boekjaar]]=Projectbegroting!$K$1,report_B_CategorieBoekjaar[[#This Row],[CategorieCode]],0),0)</f>
        <v>0</v>
      </c>
    </row>
    <row r="1303" spans="1:9" hidden="1" x14ac:dyDescent="0.3">
      <c r="A1303" t="s">
        <v>525</v>
      </c>
      <c r="B1303" s="20">
        <v>44562</v>
      </c>
      <c r="C1303" t="s">
        <v>469</v>
      </c>
      <c r="D1303" t="s">
        <v>470</v>
      </c>
      <c r="E1303" t="s">
        <v>381</v>
      </c>
      <c r="F1303">
        <v>44</v>
      </c>
      <c r="G1303">
        <v>99</v>
      </c>
      <c r="H1303">
        <f>IF(report_B_CategorieBoekjaar[[#This Row],[BedrijfsCode]]="002",IF(report_B_CategorieBoekjaar[[#This Row],[Boekjaar]]=Projectbegroting!$K$1,report_B_CategorieBoekjaar[[#This Row],[CategorieCode]],0),0)</f>
        <v>0</v>
      </c>
      <c r="I1303">
        <f>IF(report_B_CategorieBoekjaar[[#This Row],[BedrijfsCode]]="001",IF(report_B_CategorieBoekjaar[[#This Row],[Boekjaar]]=Projectbegroting!$K$1,report_B_CategorieBoekjaar[[#This Row],[CategorieCode]],0),0)</f>
        <v>0</v>
      </c>
    </row>
    <row r="1304" spans="1:9" hidden="1" x14ac:dyDescent="0.3">
      <c r="A1304" t="s">
        <v>525</v>
      </c>
      <c r="B1304" s="20">
        <v>44562</v>
      </c>
      <c r="C1304" t="s">
        <v>471</v>
      </c>
      <c r="D1304" t="s">
        <v>472</v>
      </c>
      <c r="E1304" t="s">
        <v>384</v>
      </c>
      <c r="F1304">
        <v>0</v>
      </c>
      <c r="G1304">
        <v>0</v>
      </c>
      <c r="H1304">
        <f>IF(report_B_CategorieBoekjaar[[#This Row],[BedrijfsCode]]="002",IF(report_B_CategorieBoekjaar[[#This Row],[Boekjaar]]=Projectbegroting!$K$1,report_B_CategorieBoekjaar[[#This Row],[CategorieCode]],0),0)</f>
        <v>0</v>
      </c>
      <c r="I1304">
        <f>IF(report_B_CategorieBoekjaar[[#This Row],[BedrijfsCode]]="001",IF(report_B_CategorieBoekjaar[[#This Row],[Boekjaar]]=Projectbegroting!$K$1,report_B_CategorieBoekjaar[[#This Row],[CategorieCode]],0),0)</f>
        <v>0</v>
      </c>
    </row>
    <row r="1305" spans="1:9" hidden="1" x14ac:dyDescent="0.3">
      <c r="A1305" t="s">
        <v>525</v>
      </c>
      <c r="B1305" s="20">
        <v>44562</v>
      </c>
      <c r="C1305" t="s">
        <v>62</v>
      </c>
      <c r="D1305" t="s">
        <v>473</v>
      </c>
      <c r="E1305" t="s">
        <v>381</v>
      </c>
      <c r="F1305">
        <v>47</v>
      </c>
      <c r="G1305">
        <v>0</v>
      </c>
      <c r="H1305">
        <f>IF(report_B_CategorieBoekjaar[[#This Row],[BedrijfsCode]]="002",IF(report_B_CategorieBoekjaar[[#This Row],[Boekjaar]]=Projectbegroting!$K$1,report_B_CategorieBoekjaar[[#This Row],[CategorieCode]],0),0)</f>
        <v>0</v>
      </c>
      <c r="I1305">
        <f>IF(report_B_CategorieBoekjaar[[#This Row],[BedrijfsCode]]="001",IF(report_B_CategorieBoekjaar[[#This Row],[Boekjaar]]=Projectbegroting!$K$1,report_B_CategorieBoekjaar[[#This Row],[CategorieCode]],0),0)</f>
        <v>0</v>
      </c>
    </row>
    <row r="1306" spans="1:9" hidden="1" x14ac:dyDescent="0.3">
      <c r="A1306" t="s">
        <v>525</v>
      </c>
      <c r="B1306" s="20">
        <v>44562</v>
      </c>
      <c r="C1306" t="s">
        <v>474</v>
      </c>
      <c r="D1306" t="s">
        <v>475</v>
      </c>
      <c r="E1306" t="s">
        <v>384</v>
      </c>
      <c r="F1306">
        <v>0</v>
      </c>
      <c r="G1306">
        <v>0</v>
      </c>
      <c r="H1306">
        <f>IF(report_B_CategorieBoekjaar[[#This Row],[BedrijfsCode]]="002",IF(report_B_CategorieBoekjaar[[#This Row],[Boekjaar]]=Projectbegroting!$K$1,report_B_CategorieBoekjaar[[#This Row],[CategorieCode]],0),0)</f>
        <v>0</v>
      </c>
      <c r="I1306">
        <f>IF(report_B_CategorieBoekjaar[[#This Row],[BedrijfsCode]]="001",IF(report_B_CategorieBoekjaar[[#This Row],[Boekjaar]]=Projectbegroting!$K$1,report_B_CategorieBoekjaar[[#This Row],[CategorieCode]],0),0)</f>
        <v>0</v>
      </c>
    </row>
    <row r="1307" spans="1:9" hidden="1" x14ac:dyDescent="0.3">
      <c r="A1307" t="s">
        <v>525</v>
      </c>
      <c r="B1307" s="20">
        <v>44562</v>
      </c>
      <c r="C1307" t="s">
        <v>64</v>
      </c>
      <c r="D1307" t="s">
        <v>476</v>
      </c>
      <c r="E1307" t="s">
        <v>381</v>
      </c>
      <c r="F1307">
        <v>40</v>
      </c>
      <c r="G1307">
        <v>95</v>
      </c>
      <c r="H1307">
        <f>IF(report_B_CategorieBoekjaar[[#This Row],[BedrijfsCode]]="002",IF(report_B_CategorieBoekjaar[[#This Row],[Boekjaar]]=Projectbegroting!$K$1,report_B_CategorieBoekjaar[[#This Row],[CategorieCode]],0),0)</f>
        <v>0</v>
      </c>
      <c r="I1307">
        <f>IF(report_B_CategorieBoekjaar[[#This Row],[BedrijfsCode]]="001",IF(report_B_CategorieBoekjaar[[#This Row],[Boekjaar]]=Projectbegroting!$K$1,report_B_CategorieBoekjaar[[#This Row],[CategorieCode]],0),0)</f>
        <v>0</v>
      </c>
    </row>
    <row r="1308" spans="1:9" hidden="1" x14ac:dyDescent="0.3">
      <c r="A1308" t="s">
        <v>525</v>
      </c>
      <c r="B1308" s="20">
        <v>44562</v>
      </c>
      <c r="C1308" t="s">
        <v>477</v>
      </c>
      <c r="D1308" t="s">
        <v>478</v>
      </c>
      <c r="E1308" t="s">
        <v>384</v>
      </c>
      <c r="F1308">
        <v>0</v>
      </c>
      <c r="G1308">
        <v>0</v>
      </c>
      <c r="H1308">
        <f>IF(report_B_CategorieBoekjaar[[#This Row],[BedrijfsCode]]="002",IF(report_B_CategorieBoekjaar[[#This Row],[Boekjaar]]=Projectbegroting!$K$1,report_B_CategorieBoekjaar[[#This Row],[CategorieCode]],0),0)</f>
        <v>0</v>
      </c>
      <c r="I1308">
        <f>IF(report_B_CategorieBoekjaar[[#This Row],[BedrijfsCode]]="001",IF(report_B_CategorieBoekjaar[[#This Row],[Boekjaar]]=Projectbegroting!$K$1,report_B_CategorieBoekjaar[[#This Row],[CategorieCode]],0),0)</f>
        <v>0</v>
      </c>
    </row>
    <row r="1309" spans="1:9" hidden="1" x14ac:dyDescent="0.3">
      <c r="A1309" t="s">
        <v>525</v>
      </c>
      <c r="B1309" s="20">
        <v>44562</v>
      </c>
      <c r="C1309" t="s">
        <v>80</v>
      </c>
      <c r="D1309" t="s">
        <v>81</v>
      </c>
      <c r="E1309" t="s">
        <v>381</v>
      </c>
      <c r="F1309">
        <v>66</v>
      </c>
      <c r="G1309">
        <v>0</v>
      </c>
      <c r="H1309">
        <f>IF(report_B_CategorieBoekjaar[[#This Row],[BedrijfsCode]]="002",IF(report_B_CategorieBoekjaar[[#This Row],[Boekjaar]]=Projectbegroting!$K$1,report_B_CategorieBoekjaar[[#This Row],[CategorieCode]],0),0)</f>
        <v>0</v>
      </c>
      <c r="I1309">
        <f>IF(report_B_CategorieBoekjaar[[#This Row],[BedrijfsCode]]="001",IF(report_B_CategorieBoekjaar[[#This Row],[Boekjaar]]=Projectbegroting!$K$1,report_B_CategorieBoekjaar[[#This Row],[CategorieCode]],0),0)</f>
        <v>0</v>
      </c>
    </row>
    <row r="1310" spans="1:9" hidden="1" x14ac:dyDescent="0.3">
      <c r="A1310" t="s">
        <v>525</v>
      </c>
      <c r="B1310" s="20">
        <v>44562</v>
      </c>
      <c r="C1310" t="s">
        <v>479</v>
      </c>
      <c r="D1310" t="s">
        <v>480</v>
      </c>
      <c r="E1310" t="s">
        <v>384</v>
      </c>
      <c r="F1310">
        <v>0</v>
      </c>
      <c r="G1310">
        <v>0</v>
      </c>
      <c r="H1310">
        <f>IF(report_B_CategorieBoekjaar[[#This Row],[BedrijfsCode]]="002",IF(report_B_CategorieBoekjaar[[#This Row],[Boekjaar]]=Projectbegroting!$K$1,report_B_CategorieBoekjaar[[#This Row],[CategorieCode]],0),0)</f>
        <v>0</v>
      </c>
      <c r="I1310">
        <f>IF(report_B_CategorieBoekjaar[[#This Row],[BedrijfsCode]]="001",IF(report_B_CategorieBoekjaar[[#This Row],[Boekjaar]]=Projectbegroting!$K$1,report_B_CategorieBoekjaar[[#This Row],[CategorieCode]],0),0)</f>
        <v>0</v>
      </c>
    </row>
    <row r="1311" spans="1:9" hidden="1" x14ac:dyDescent="0.3">
      <c r="A1311" t="s">
        <v>525</v>
      </c>
      <c r="B1311" s="20">
        <v>44562</v>
      </c>
      <c r="C1311" t="s">
        <v>481</v>
      </c>
      <c r="D1311" t="s">
        <v>482</v>
      </c>
      <c r="E1311" t="s">
        <v>384</v>
      </c>
      <c r="F1311">
        <v>0</v>
      </c>
      <c r="G1311">
        <v>0</v>
      </c>
      <c r="H1311">
        <f>IF(report_B_CategorieBoekjaar[[#This Row],[BedrijfsCode]]="002",IF(report_B_CategorieBoekjaar[[#This Row],[Boekjaar]]=Projectbegroting!$K$1,report_B_CategorieBoekjaar[[#This Row],[CategorieCode]],0),0)</f>
        <v>0</v>
      </c>
      <c r="I1311">
        <f>IF(report_B_CategorieBoekjaar[[#This Row],[BedrijfsCode]]="001",IF(report_B_CategorieBoekjaar[[#This Row],[Boekjaar]]=Projectbegroting!$K$1,report_B_CategorieBoekjaar[[#This Row],[CategorieCode]],0),0)</f>
        <v>0</v>
      </c>
    </row>
    <row r="1312" spans="1:9" hidden="1" x14ac:dyDescent="0.3">
      <c r="A1312" t="s">
        <v>525</v>
      </c>
      <c r="B1312" s="20">
        <v>44562</v>
      </c>
      <c r="C1312" t="s">
        <v>98</v>
      </c>
      <c r="D1312" t="s">
        <v>99</v>
      </c>
      <c r="E1312" t="s">
        <v>381</v>
      </c>
      <c r="F1312">
        <v>70</v>
      </c>
      <c r="G1312">
        <v>0</v>
      </c>
      <c r="H1312">
        <f>IF(report_B_CategorieBoekjaar[[#This Row],[BedrijfsCode]]="002",IF(report_B_CategorieBoekjaar[[#This Row],[Boekjaar]]=Projectbegroting!$K$1,report_B_CategorieBoekjaar[[#This Row],[CategorieCode]],0),0)</f>
        <v>0</v>
      </c>
      <c r="I1312">
        <f>IF(report_B_CategorieBoekjaar[[#This Row],[BedrijfsCode]]="001",IF(report_B_CategorieBoekjaar[[#This Row],[Boekjaar]]=Projectbegroting!$K$1,report_B_CategorieBoekjaar[[#This Row],[CategorieCode]],0),0)</f>
        <v>0</v>
      </c>
    </row>
    <row r="1313" spans="1:9" hidden="1" x14ac:dyDescent="0.3">
      <c r="A1313" t="s">
        <v>525</v>
      </c>
      <c r="B1313" s="20">
        <v>44562</v>
      </c>
      <c r="C1313" t="s">
        <v>483</v>
      </c>
      <c r="D1313" t="s">
        <v>484</v>
      </c>
      <c r="E1313" t="s">
        <v>381</v>
      </c>
      <c r="F1313">
        <v>134</v>
      </c>
      <c r="G1313">
        <v>134</v>
      </c>
      <c r="H1313">
        <f>IF(report_B_CategorieBoekjaar[[#This Row],[BedrijfsCode]]="002",IF(report_B_CategorieBoekjaar[[#This Row],[Boekjaar]]=Projectbegroting!$K$1,report_B_CategorieBoekjaar[[#This Row],[CategorieCode]],0),0)</f>
        <v>0</v>
      </c>
      <c r="I1313">
        <f>IF(report_B_CategorieBoekjaar[[#This Row],[BedrijfsCode]]="001",IF(report_B_CategorieBoekjaar[[#This Row],[Boekjaar]]=Projectbegroting!$K$1,report_B_CategorieBoekjaar[[#This Row],[CategorieCode]],0),0)</f>
        <v>0</v>
      </c>
    </row>
    <row r="1314" spans="1:9" hidden="1" x14ac:dyDescent="0.3">
      <c r="A1314" t="s">
        <v>525</v>
      </c>
      <c r="B1314" s="20">
        <v>44562</v>
      </c>
      <c r="C1314" t="s">
        <v>485</v>
      </c>
      <c r="D1314" t="s">
        <v>486</v>
      </c>
      <c r="E1314" t="s">
        <v>384</v>
      </c>
      <c r="F1314">
        <v>0</v>
      </c>
      <c r="G1314">
        <v>0</v>
      </c>
      <c r="H1314">
        <f>IF(report_B_CategorieBoekjaar[[#This Row],[BedrijfsCode]]="002",IF(report_B_CategorieBoekjaar[[#This Row],[Boekjaar]]=Projectbegroting!$K$1,report_B_CategorieBoekjaar[[#This Row],[CategorieCode]],0),0)</f>
        <v>0</v>
      </c>
      <c r="I1314">
        <f>IF(report_B_CategorieBoekjaar[[#This Row],[BedrijfsCode]]="001",IF(report_B_CategorieBoekjaar[[#This Row],[Boekjaar]]=Projectbegroting!$K$1,report_B_CategorieBoekjaar[[#This Row],[CategorieCode]],0),0)</f>
        <v>0</v>
      </c>
    </row>
    <row r="1315" spans="1:9" hidden="1" x14ac:dyDescent="0.3">
      <c r="A1315" t="s">
        <v>525</v>
      </c>
      <c r="B1315" s="20">
        <v>44562</v>
      </c>
      <c r="C1315" t="s">
        <v>175</v>
      </c>
      <c r="D1315" t="s">
        <v>487</v>
      </c>
      <c r="E1315" t="s">
        <v>384</v>
      </c>
      <c r="F1315">
        <v>0</v>
      </c>
      <c r="G1315">
        <v>0</v>
      </c>
      <c r="H1315">
        <f>IF(report_B_CategorieBoekjaar[[#This Row],[BedrijfsCode]]="002",IF(report_B_CategorieBoekjaar[[#This Row],[Boekjaar]]=Projectbegroting!$K$1,report_B_CategorieBoekjaar[[#This Row],[CategorieCode]],0),0)</f>
        <v>0</v>
      </c>
      <c r="I1315">
        <f>IF(report_B_CategorieBoekjaar[[#This Row],[BedrijfsCode]]="001",IF(report_B_CategorieBoekjaar[[#This Row],[Boekjaar]]=Projectbegroting!$K$1,report_B_CategorieBoekjaar[[#This Row],[CategorieCode]],0),0)</f>
        <v>0</v>
      </c>
    </row>
    <row r="1316" spans="1:9" hidden="1" x14ac:dyDescent="0.3">
      <c r="A1316" t="s">
        <v>525</v>
      </c>
      <c r="B1316" s="20">
        <v>44562</v>
      </c>
      <c r="C1316" t="s">
        <v>488</v>
      </c>
      <c r="D1316" t="s">
        <v>489</v>
      </c>
      <c r="E1316" t="s">
        <v>381</v>
      </c>
      <c r="F1316">
        <v>68</v>
      </c>
      <c r="G1316">
        <v>0</v>
      </c>
      <c r="H1316">
        <f>IF(report_B_CategorieBoekjaar[[#This Row],[BedrijfsCode]]="002",IF(report_B_CategorieBoekjaar[[#This Row],[Boekjaar]]=Projectbegroting!$K$1,report_B_CategorieBoekjaar[[#This Row],[CategorieCode]],0),0)</f>
        <v>0</v>
      </c>
      <c r="I1316">
        <f>IF(report_B_CategorieBoekjaar[[#This Row],[BedrijfsCode]]="001",IF(report_B_CategorieBoekjaar[[#This Row],[Boekjaar]]=Projectbegroting!$K$1,report_B_CategorieBoekjaar[[#This Row],[CategorieCode]],0),0)</f>
        <v>0</v>
      </c>
    </row>
    <row r="1317" spans="1:9" hidden="1" x14ac:dyDescent="0.3">
      <c r="A1317" t="s">
        <v>525</v>
      </c>
      <c r="B1317" s="20">
        <v>44562</v>
      </c>
      <c r="C1317" t="s">
        <v>490</v>
      </c>
      <c r="D1317" t="s">
        <v>491</v>
      </c>
      <c r="E1317" t="s">
        <v>384</v>
      </c>
      <c r="F1317">
        <v>0</v>
      </c>
      <c r="G1317">
        <v>0</v>
      </c>
      <c r="H1317">
        <f>IF(report_B_CategorieBoekjaar[[#This Row],[BedrijfsCode]]="002",IF(report_B_CategorieBoekjaar[[#This Row],[Boekjaar]]=Projectbegroting!$K$1,report_B_CategorieBoekjaar[[#This Row],[CategorieCode]],0),0)</f>
        <v>0</v>
      </c>
      <c r="I1317">
        <f>IF(report_B_CategorieBoekjaar[[#This Row],[BedrijfsCode]]="001",IF(report_B_CategorieBoekjaar[[#This Row],[Boekjaar]]=Projectbegroting!$K$1,report_B_CategorieBoekjaar[[#This Row],[CategorieCode]],0),0)</f>
        <v>0</v>
      </c>
    </row>
    <row r="1318" spans="1:9" hidden="1" x14ac:dyDescent="0.3">
      <c r="A1318" t="s">
        <v>525</v>
      </c>
      <c r="B1318" s="20">
        <v>44562</v>
      </c>
      <c r="C1318" t="s">
        <v>68</v>
      </c>
      <c r="D1318" t="s">
        <v>492</v>
      </c>
      <c r="E1318" t="s">
        <v>381</v>
      </c>
      <c r="F1318">
        <v>47</v>
      </c>
      <c r="G1318">
        <v>102</v>
      </c>
      <c r="H1318">
        <f>IF(report_B_CategorieBoekjaar[[#This Row],[BedrijfsCode]]="002",IF(report_B_CategorieBoekjaar[[#This Row],[Boekjaar]]=Projectbegroting!$K$1,report_B_CategorieBoekjaar[[#This Row],[CategorieCode]],0),0)</f>
        <v>0</v>
      </c>
      <c r="I1318">
        <f>IF(report_B_CategorieBoekjaar[[#This Row],[BedrijfsCode]]="001",IF(report_B_CategorieBoekjaar[[#This Row],[Boekjaar]]=Projectbegroting!$K$1,report_B_CategorieBoekjaar[[#This Row],[CategorieCode]],0),0)</f>
        <v>0</v>
      </c>
    </row>
    <row r="1319" spans="1:9" hidden="1" x14ac:dyDescent="0.3">
      <c r="A1319" t="s">
        <v>525</v>
      </c>
      <c r="B1319" s="20">
        <v>44562</v>
      </c>
      <c r="C1319" t="s">
        <v>177</v>
      </c>
      <c r="D1319" t="s">
        <v>493</v>
      </c>
      <c r="E1319" t="s">
        <v>384</v>
      </c>
      <c r="F1319">
        <v>0</v>
      </c>
      <c r="G1319">
        <v>0</v>
      </c>
      <c r="H1319">
        <f>IF(report_B_CategorieBoekjaar[[#This Row],[BedrijfsCode]]="002",IF(report_B_CategorieBoekjaar[[#This Row],[Boekjaar]]=Projectbegroting!$K$1,report_B_CategorieBoekjaar[[#This Row],[CategorieCode]],0),0)</f>
        <v>0</v>
      </c>
      <c r="I1319">
        <f>IF(report_B_CategorieBoekjaar[[#This Row],[BedrijfsCode]]="001",IF(report_B_CategorieBoekjaar[[#This Row],[Boekjaar]]=Projectbegroting!$K$1,report_B_CategorieBoekjaar[[#This Row],[CategorieCode]],0),0)</f>
        <v>0</v>
      </c>
    </row>
    <row r="1320" spans="1:9" hidden="1" x14ac:dyDescent="0.3">
      <c r="A1320" t="s">
        <v>525</v>
      </c>
      <c r="B1320" s="20">
        <v>44562</v>
      </c>
      <c r="C1320" t="s">
        <v>494</v>
      </c>
      <c r="D1320" t="s">
        <v>495</v>
      </c>
      <c r="E1320" t="s">
        <v>381</v>
      </c>
      <c r="F1320">
        <v>40</v>
      </c>
      <c r="G1320">
        <v>0</v>
      </c>
      <c r="H1320">
        <f>IF(report_B_CategorieBoekjaar[[#This Row],[BedrijfsCode]]="002",IF(report_B_CategorieBoekjaar[[#This Row],[Boekjaar]]=Projectbegroting!$K$1,report_B_CategorieBoekjaar[[#This Row],[CategorieCode]],0),0)</f>
        <v>0</v>
      </c>
      <c r="I1320">
        <f>IF(report_B_CategorieBoekjaar[[#This Row],[BedrijfsCode]]="001",IF(report_B_CategorieBoekjaar[[#This Row],[Boekjaar]]=Projectbegroting!$K$1,report_B_CategorieBoekjaar[[#This Row],[CategorieCode]],0),0)</f>
        <v>0</v>
      </c>
    </row>
    <row r="1321" spans="1:9" hidden="1" x14ac:dyDescent="0.3">
      <c r="A1321" t="s">
        <v>525</v>
      </c>
      <c r="B1321" s="20">
        <v>44562</v>
      </c>
      <c r="C1321" t="s">
        <v>496</v>
      </c>
      <c r="D1321" t="s">
        <v>497</v>
      </c>
      <c r="E1321" t="s">
        <v>384</v>
      </c>
      <c r="F1321">
        <v>0</v>
      </c>
      <c r="G1321">
        <v>0</v>
      </c>
      <c r="H1321">
        <f>IF(report_B_CategorieBoekjaar[[#This Row],[BedrijfsCode]]="002",IF(report_B_CategorieBoekjaar[[#This Row],[Boekjaar]]=Projectbegroting!$K$1,report_B_CategorieBoekjaar[[#This Row],[CategorieCode]],0),0)</f>
        <v>0</v>
      </c>
      <c r="I1321">
        <f>IF(report_B_CategorieBoekjaar[[#This Row],[BedrijfsCode]]="001",IF(report_B_CategorieBoekjaar[[#This Row],[Boekjaar]]=Projectbegroting!$K$1,report_B_CategorieBoekjaar[[#This Row],[CategorieCode]],0),0)</f>
        <v>0</v>
      </c>
    </row>
    <row r="1322" spans="1:9" hidden="1" x14ac:dyDescent="0.3">
      <c r="A1322" t="s">
        <v>525</v>
      </c>
      <c r="B1322" s="20">
        <v>44562</v>
      </c>
      <c r="C1322" t="s">
        <v>70</v>
      </c>
      <c r="D1322" t="s">
        <v>498</v>
      </c>
      <c r="E1322" t="s">
        <v>381</v>
      </c>
      <c r="F1322">
        <v>35</v>
      </c>
      <c r="G1322">
        <v>90</v>
      </c>
      <c r="H1322">
        <f>IF(report_B_CategorieBoekjaar[[#This Row],[BedrijfsCode]]="002",IF(report_B_CategorieBoekjaar[[#This Row],[Boekjaar]]=Projectbegroting!$K$1,report_B_CategorieBoekjaar[[#This Row],[CategorieCode]],0),0)</f>
        <v>0</v>
      </c>
      <c r="I1322">
        <f>IF(report_B_CategorieBoekjaar[[#This Row],[BedrijfsCode]]="001",IF(report_B_CategorieBoekjaar[[#This Row],[Boekjaar]]=Projectbegroting!$K$1,report_B_CategorieBoekjaar[[#This Row],[CategorieCode]],0),0)</f>
        <v>0</v>
      </c>
    </row>
    <row r="1323" spans="1:9" hidden="1" x14ac:dyDescent="0.3">
      <c r="A1323" t="s">
        <v>525</v>
      </c>
      <c r="B1323" s="20">
        <v>44562</v>
      </c>
      <c r="C1323" t="s">
        <v>499</v>
      </c>
      <c r="D1323" t="s">
        <v>500</v>
      </c>
      <c r="E1323" t="s">
        <v>384</v>
      </c>
      <c r="F1323">
        <v>0</v>
      </c>
      <c r="G1323">
        <v>0</v>
      </c>
      <c r="H1323">
        <f>IF(report_B_CategorieBoekjaar[[#This Row],[BedrijfsCode]]="002",IF(report_B_CategorieBoekjaar[[#This Row],[Boekjaar]]=Projectbegroting!$K$1,report_B_CategorieBoekjaar[[#This Row],[CategorieCode]],0),0)</f>
        <v>0</v>
      </c>
      <c r="I1323">
        <f>IF(report_B_CategorieBoekjaar[[#This Row],[BedrijfsCode]]="001",IF(report_B_CategorieBoekjaar[[#This Row],[Boekjaar]]=Projectbegroting!$K$1,report_B_CategorieBoekjaar[[#This Row],[CategorieCode]],0),0)</f>
        <v>0</v>
      </c>
    </row>
    <row r="1324" spans="1:9" hidden="1" x14ac:dyDescent="0.3">
      <c r="A1324" t="s">
        <v>525</v>
      </c>
      <c r="B1324" s="20">
        <v>44562</v>
      </c>
      <c r="C1324" t="s">
        <v>501</v>
      </c>
      <c r="D1324" t="s">
        <v>502</v>
      </c>
      <c r="E1324" t="s">
        <v>381</v>
      </c>
      <c r="F1324">
        <v>64</v>
      </c>
      <c r="G1324">
        <v>0</v>
      </c>
      <c r="H1324">
        <f>IF(report_B_CategorieBoekjaar[[#This Row],[BedrijfsCode]]="002",IF(report_B_CategorieBoekjaar[[#This Row],[Boekjaar]]=Projectbegroting!$K$1,report_B_CategorieBoekjaar[[#This Row],[CategorieCode]],0),0)</f>
        <v>0</v>
      </c>
      <c r="I1324">
        <f>IF(report_B_CategorieBoekjaar[[#This Row],[BedrijfsCode]]="001",IF(report_B_CategorieBoekjaar[[#This Row],[Boekjaar]]=Projectbegroting!$K$1,report_B_CategorieBoekjaar[[#This Row],[CategorieCode]],0),0)</f>
        <v>0</v>
      </c>
    </row>
    <row r="1325" spans="1:9" hidden="1" x14ac:dyDescent="0.3">
      <c r="A1325" t="s">
        <v>525</v>
      </c>
      <c r="B1325" s="20">
        <v>44562</v>
      </c>
      <c r="C1325" t="s">
        <v>503</v>
      </c>
      <c r="D1325" t="s">
        <v>504</v>
      </c>
      <c r="E1325" t="s">
        <v>384</v>
      </c>
      <c r="F1325">
        <v>0</v>
      </c>
      <c r="G1325">
        <v>0</v>
      </c>
      <c r="H1325">
        <f>IF(report_B_CategorieBoekjaar[[#This Row],[BedrijfsCode]]="002",IF(report_B_CategorieBoekjaar[[#This Row],[Boekjaar]]=Projectbegroting!$K$1,report_B_CategorieBoekjaar[[#This Row],[CategorieCode]],0),0)</f>
        <v>0</v>
      </c>
      <c r="I1325">
        <f>IF(report_B_CategorieBoekjaar[[#This Row],[BedrijfsCode]]="001",IF(report_B_CategorieBoekjaar[[#This Row],[Boekjaar]]=Projectbegroting!$K$1,report_B_CategorieBoekjaar[[#This Row],[CategorieCode]],0),0)</f>
        <v>0</v>
      </c>
    </row>
    <row r="1326" spans="1:9" hidden="1" x14ac:dyDescent="0.3">
      <c r="A1326" t="s">
        <v>525</v>
      </c>
      <c r="B1326" s="20">
        <v>44562</v>
      </c>
      <c r="C1326" t="s">
        <v>505</v>
      </c>
      <c r="D1326" t="s">
        <v>506</v>
      </c>
      <c r="E1326" t="s">
        <v>381</v>
      </c>
      <c r="F1326">
        <v>50</v>
      </c>
      <c r="G1326">
        <v>0</v>
      </c>
      <c r="H1326">
        <f>IF(report_B_CategorieBoekjaar[[#This Row],[BedrijfsCode]]="002",IF(report_B_CategorieBoekjaar[[#This Row],[Boekjaar]]=Projectbegroting!$K$1,report_B_CategorieBoekjaar[[#This Row],[CategorieCode]],0),0)</f>
        <v>0</v>
      </c>
      <c r="I1326">
        <f>IF(report_B_CategorieBoekjaar[[#This Row],[BedrijfsCode]]="001",IF(report_B_CategorieBoekjaar[[#This Row],[Boekjaar]]=Projectbegroting!$K$1,report_B_CategorieBoekjaar[[#This Row],[CategorieCode]],0),0)</f>
        <v>0</v>
      </c>
    </row>
    <row r="1327" spans="1:9" hidden="1" x14ac:dyDescent="0.3">
      <c r="A1327" t="s">
        <v>525</v>
      </c>
      <c r="B1327" s="20">
        <v>44562</v>
      </c>
      <c r="C1327" t="s">
        <v>507</v>
      </c>
      <c r="D1327" t="s">
        <v>508</v>
      </c>
      <c r="E1327" t="s">
        <v>384</v>
      </c>
      <c r="F1327">
        <v>0</v>
      </c>
      <c r="G1327">
        <v>0</v>
      </c>
      <c r="H1327">
        <f>IF(report_B_CategorieBoekjaar[[#This Row],[BedrijfsCode]]="002",IF(report_B_CategorieBoekjaar[[#This Row],[Boekjaar]]=Projectbegroting!$K$1,report_B_CategorieBoekjaar[[#This Row],[CategorieCode]],0),0)</f>
        <v>0</v>
      </c>
      <c r="I1327">
        <f>IF(report_B_CategorieBoekjaar[[#This Row],[BedrijfsCode]]="001",IF(report_B_CategorieBoekjaar[[#This Row],[Boekjaar]]=Projectbegroting!$K$1,report_B_CategorieBoekjaar[[#This Row],[CategorieCode]],0),0)</f>
        <v>0</v>
      </c>
    </row>
    <row r="1328" spans="1:9" hidden="1" x14ac:dyDescent="0.3">
      <c r="A1328" t="s">
        <v>525</v>
      </c>
      <c r="B1328" s="20">
        <v>44562</v>
      </c>
      <c r="C1328" t="s">
        <v>509</v>
      </c>
      <c r="D1328" t="s">
        <v>510</v>
      </c>
      <c r="E1328" t="s">
        <v>381</v>
      </c>
      <c r="F1328">
        <v>135</v>
      </c>
      <c r="G1328">
        <v>0</v>
      </c>
      <c r="H1328">
        <f>IF(report_B_CategorieBoekjaar[[#This Row],[BedrijfsCode]]="002",IF(report_B_CategorieBoekjaar[[#This Row],[Boekjaar]]=Projectbegroting!$K$1,report_B_CategorieBoekjaar[[#This Row],[CategorieCode]],0),0)</f>
        <v>0</v>
      </c>
      <c r="I1328">
        <f>IF(report_B_CategorieBoekjaar[[#This Row],[BedrijfsCode]]="001",IF(report_B_CategorieBoekjaar[[#This Row],[Boekjaar]]=Projectbegroting!$K$1,report_B_CategorieBoekjaar[[#This Row],[CategorieCode]],0),0)</f>
        <v>0</v>
      </c>
    </row>
    <row r="1329" spans="1:9" hidden="1" x14ac:dyDescent="0.3">
      <c r="A1329" t="s">
        <v>525</v>
      </c>
      <c r="B1329" s="20">
        <v>44562</v>
      </c>
      <c r="C1329" t="s">
        <v>511</v>
      </c>
      <c r="D1329" t="s">
        <v>512</v>
      </c>
      <c r="E1329" t="s">
        <v>381</v>
      </c>
      <c r="F1329">
        <v>0</v>
      </c>
      <c r="G1329">
        <v>0</v>
      </c>
      <c r="H1329">
        <f>IF(report_B_CategorieBoekjaar[[#This Row],[BedrijfsCode]]="002",IF(report_B_CategorieBoekjaar[[#This Row],[Boekjaar]]=Projectbegroting!$K$1,report_B_CategorieBoekjaar[[#This Row],[CategorieCode]],0),0)</f>
        <v>0</v>
      </c>
      <c r="I1329">
        <f>IF(report_B_CategorieBoekjaar[[#This Row],[BedrijfsCode]]="001",IF(report_B_CategorieBoekjaar[[#This Row],[Boekjaar]]=Projectbegroting!$K$1,report_B_CategorieBoekjaar[[#This Row],[CategorieCode]],0),0)</f>
        <v>0</v>
      </c>
    </row>
    <row r="1330" spans="1:9" hidden="1" x14ac:dyDescent="0.3">
      <c r="A1330" t="s">
        <v>525</v>
      </c>
      <c r="B1330" s="20">
        <v>44562</v>
      </c>
      <c r="C1330" t="s">
        <v>92</v>
      </c>
      <c r="D1330" t="s">
        <v>513</v>
      </c>
      <c r="E1330" t="s">
        <v>381</v>
      </c>
      <c r="F1330">
        <v>55</v>
      </c>
      <c r="G1330">
        <v>110</v>
      </c>
      <c r="H1330">
        <f>IF(report_B_CategorieBoekjaar[[#This Row],[BedrijfsCode]]="002",IF(report_B_CategorieBoekjaar[[#This Row],[Boekjaar]]=Projectbegroting!$K$1,report_B_CategorieBoekjaar[[#This Row],[CategorieCode]],0),0)</f>
        <v>0</v>
      </c>
      <c r="I1330">
        <f>IF(report_B_CategorieBoekjaar[[#This Row],[BedrijfsCode]]="001",IF(report_B_CategorieBoekjaar[[#This Row],[Boekjaar]]=Projectbegroting!$K$1,report_B_CategorieBoekjaar[[#This Row],[CategorieCode]],0),0)</f>
        <v>0</v>
      </c>
    </row>
    <row r="1331" spans="1:9" hidden="1" x14ac:dyDescent="0.3">
      <c r="A1331" t="s">
        <v>525</v>
      </c>
      <c r="B1331" s="20">
        <v>44562</v>
      </c>
      <c r="C1331" t="s">
        <v>514</v>
      </c>
      <c r="D1331" t="s">
        <v>515</v>
      </c>
      <c r="E1331" t="s">
        <v>384</v>
      </c>
      <c r="F1331">
        <v>0</v>
      </c>
      <c r="G1331">
        <v>0</v>
      </c>
      <c r="H1331">
        <f>IF(report_B_CategorieBoekjaar[[#This Row],[BedrijfsCode]]="002",IF(report_B_CategorieBoekjaar[[#This Row],[Boekjaar]]=Projectbegroting!$K$1,report_B_CategorieBoekjaar[[#This Row],[CategorieCode]],0),0)</f>
        <v>0</v>
      </c>
      <c r="I1331">
        <f>IF(report_B_CategorieBoekjaar[[#This Row],[BedrijfsCode]]="001",IF(report_B_CategorieBoekjaar[[#This Row],[Boekjaar]]=Projectbegroting!$K$1,report_B_CategorieBoekjaar[[#This Row],[CategorieCode]],0),0)</f>
        <v>0</v>
      </c>
    </row>
    <row r="1332" spans="1:9" hidden="1" x14ac:dyDescent="0.3">
      <c r="A1332" t="s">
        <v>525</v>
      </c>
      <c r="B1332" s="20">
        <v>44562</v>
      </c>
      <c r="C1332" t="s">
        <v>72</v>
      </c>
      <c r="D1332" t="s">
        <v>516</v>
      </c>
      <c r="E1332" t="s">
        <v>381</v>
      </c>
      <c r="F1332">
        <v>53</v>
      </c>
      <c r="G1332">
        <v>108</v>
      </c>
      <c r="H1332">
        <f>IF(report_B_CategorieBoekjaar[[#This Row],[BedrijfsCode]]="002",IF(report_B_CategorieBoekjaar[[#This Row],[Boekjaar]]=Projectbegroting!$K$1,report_B_CategorieBoekjaar[[#This Row],[CategorieCode]],0),0)</f>
        <v>0</v>
      </c>
      <c r="I1332">
        <f>IF(report_B_CategorieBoekjaar[[#This Row],[BedrijfsCode]]="001",IF(report_B_CategorieBoekjaar[[#This Row],[Boekjaar]]=Projectbegroting!$K$1,report_B_CategorieBoekjaar[[#This Row],[CategorieCode]],0),0)</f>
        <v>0</v>
      </c>
    </row>
    <row r="1333" spans="1:9" hidden="1" x14ac:dyDescent="0.3">
      <c r="A1333" t="s">
        <v>525</v>
      </c>
      <c r="B1333" s="20">
        <v>44562</v>
      </c>
      <c r="C1333" t="s">
        <v>517</v>
      </c>
      <c r="D1333" t="s">
        <v>518</v>
      </c>
      <c r="E1333" t="s">
        <v>384</v>
      </c>
      <c r="F1333">
        <v>0</v>
      </c>
      <c r="G1333">
        <v>0</v>
      </c>
      <c r="H1333">
        <f>IF(report_B_CategorieBoekjaar[[#This Row],[BedrijfsCode]]="002",IF(report_B_CategorieBoekjaar[[#This Row],[Boekjaar]]=Projectbegroting!$K$1,report_B_CategorieBoekjaar[[#This Row],[CategorieCode]],0),0)</f>
        <v>0</v>
      </c>
      <c r="I1333">
        <f>IF(report_B_CategorieBoekjaar[[#This Row],[BedrijfsCode]]="001",IF(report_B_CategorieBoekjaar[[#This Row],[Boekjaar]]=Projectbegroting!$K$1,report_B_CategorieBoekjaar[[#This Row],[CategorieCode]],0),0)</f>
        <v>0</v>
      </c>
    </row>
    <row r="1334" spans="1:9" hidden="1" x14ac:dyDescent="0.3">
      <c r="A1334" t="s">
        <v>525</v>
      </c>
      <c r="B1334" s="20">
        <v>44562</v>
      </c>
      <c r="C1334" t="s">
        <v>74</v>
      </c>
      <c r="D1334" t="s">
        <v>75</v>
      </c>
      <c r="E1334" t="s">
        <v>381</v>
      </c>
      <c r="F1334">
        <v>39</v>
      </c>
      <c r="G1334">
        <v>94</v>
      </c>
      <c r="H1334">
        <f>IF(report_B_CategorieBoekjaar[[#This Row],[BedrijfsCode]]="002",IF(report_B_CategorieBoekjaar[[#This Row],[Boekjaar]]=Projectbegroting!$K$1,report_B_CategorieBoekjaar[[#This Row],[CategorieCode]],0),0)</f>
        <v>0</v>
      </c>
      <c r="I1334">
        <f>IF(report_B_CategorieBoekjaar[[#This Row],[BedrijfsCode]]="001",IF(report_B_CategorieBoekjaar[[#This Row],[Boekjaar]]=Projectbegroting!$K$1,report_B_CategorieBoekjaar[[#This Row],[CategorieCode]],0),0)</f>
        <v>0</v>
      </c>
    </row>
    <row r="1335" spans="1:9" hidden="1" x14ac:dyDescent="0.3">
      <c r="A1335" t="s">
        <v>525</v>
      </c>
      <c r="B1335" s="20">
        <v>44562</v>
      </c>
      <c r="C1335" t="s">
        <v>178</v>
      </c>
      <c r="D1335" t="s">
        <v>519</v>
      </c>
      <c r="E1335" t="s">
        <v>384</v>
      </c>
      <c r="F1335">
        <v>0</v>
      </c>
      <c r="G1335">
        <v>0</v>
      </c>
      <c r="H1335">
        <f>IF(report_B_CategorieBoekjaar[[#This Row],[BedrijfsCode]]="002",IF(report_B_CategorieBoekjaar[[#This Row],[Boekjaar]]=Projectbegroting!$K$1,report_B_CategorieBoekjaar[[#This Row],[CategorieCode]],0),0)</f>
        <v>0</v>
      </c>
      <c r="I1335">
        <f>IF(report_B_CategorieBoekjaar[[#This Row],[BedrijfsCode]]="001",IF(report_B_CategorieBoekjaar[[#This Row],[Boekjaar]]=Projectbegroting!$K$1,report_B_CategorieBoekjaar[[#This Row],[CategorieCode]],0),0)</f>
        <v>0</v>
      </c>
    </row>
    <row r="1336" spans="1:9" hidden="1" x14ac:dyDescent="0.3">
      <c r="A1336" t="s">
        <v>525</v>
      </c>
      <c r="B1336" s="20">
        <v>44562</v>
      </c>
      <c r="C1336" t="s">
        <v>520</v>
      </c>
      <c r="D1336" t="s">
        <v>521</v>
      </c>
      <c r="E1336" t="s">
        <v>384</v>
      </c>
      <c r="F1336">
        <v>0</v>
      </c>
      <c r="G1336">
        <v>0</v>
      </c>
      <c r="H1336">
        <f>IF(report_B_CategorieBoekjaar[[#This Row],[BedrijfsCode]]="002",IF(report_B_CategorieBoekjaar[[#This Row],[Boekjaar]]=Projectbegroting!$K$1,report_B_CategorieBoekjaar[[#This Row],[CategorieCode]],0),0)</f>
        <v>0</v>
      </c>
      <c r="I1336">
        <f>IF(report_B_CategorieBoekjaar[[#This Row],[BedrijfsCode]]="001",IF(report_B_CategorieBoekjaar[[#This Row],[Boekjaar]]=Projectbegroting!$K$1,report_B_CategorieBoekjaar[[#This Row],[CategorieCode]],0),0)</f>
        <v>0</v>
      </c>
    </row>
    <row r="1337" spans="1:9" hidden="1" x14ac:dyDescent="0.3">
      <c r="A1337" t="s">
        <v>525</v>
      </c>
      <c r="B1337" s="20">
        <v>44562</v>
      </c>
      <c r="C1337" t="s">
        <v>522</v>
      </c>
      <c r="D1337" t="s">
        <v>523</v>
      </c>
      <c r="E1337" t="s">
        <v>381</v>
      </c>
      <c r="F1337">
        <v>75</v>
      </c>
      <c r="G1337">
        <v>0</v>
      </c>
      <c r="H1337">
        <f>IF(report_B_CategorieBoekjaar[[#This Row],[BedrijfsCode]]="002",IF(report_B_CategorieBoekjaar[[#This Row],[Boekjaar]]=Projectbegroting!$K$1,report_B_CategorieBoekjaar[[#This Row],[CategorieCode]],0),0)</f>
        <v>0</v>
      </c>
      <c r="I1337">
        <f>IF(report_B_CategorieBoekjaar[[#This Row],[BedrijfsCode]]="001",IF(report_B_CategorieBoekjaar[[#This Row],[Boekjaar]]=Projectbegroting!$K$1,report_B_CategorieBoekjaar[[#This Row],[CategorieCode]],0),0)</f>
        <v>0</v>
      </c>
    </row>
    <row r="1338" spans="1:9" hidden="1" x14ac:dyDescent="0.3">
      <c r="A1338" t="s">
        <v>525</v>
      </c>
      <c r="B1338" s="20">
        <v>44562</v>
      </c>
      <c r="C1338" t="s">
        <v>78</v>
      </c>
      <c r="D1338" t="s">
        <v>79</v>
      </c>
      <c r="E1338" t="s">
        <v>381</v>
      </c>
      <c r="F1338">
        <v>70</v>
      </c>
      <c r="G1338">
        <v>125</v>
      </c>
      <c r="H1338">
        <f>IF(report_B_CategorieBoekjaar[[#This Row],[BedrijfsCode]]="002",IF(report_B_CategorieBoekjaar[[#This Row],[Boekjaar]]=Projectbegroting!$K$1,report_B_CategorieBoekjaar[[#This Row],[CategorieCode]],0),0)</f>
        <v>0</v>
      </c>
      <c r="I1338">
        <f>IF(report_B_CategorieBoekjaar[[#This Row],[BedrijfsCode]]="001",IF(report_B_CategorieBoekjaar[[#This Row],[Boekjaar]]=Projectbegroting!$K$1,report_B_CategorieBoekjaar[[#This Row],[CategorieCode]],0),0)</f>
        <v>0</v>
      </c>
    </row>
    <row r="1339" spans="1:9" hidden="1" x14ac:dyDescent="0.3">
      <c r="A1339" t="s">
        <v>525</v>
      </c>
      <c r="B1339" s="20">
        <v>44562</v>
      </c>
      <c r="C1339" t="s">
        <v>176</v>
      </c>
      <c r="D1339" t="s">
        <v>524</v>
      </c>
      <c r="E1339" t="s">
        <v>384</v>
      </c>
      <c r="F1339">
        <v>0</v>
      </c>
      <c r="G1339">
        <v>0</v>
      </c>
      <c r="H1339">
        <f>IF(report_B_CategorieBoekjaar[[#This Row],[BedrijfsCode]]="002",IF(report_B_CategorieBoekjaar[[#This Row],[Boekjaar]]=Projectbegroting!$K$1,report_B_CategorieBoekjaar[[#This Row],[CategorieCode]],0),0)</f>
        <v>0</v>
      </c>
      <c r="I1339">
        <f>IF(report_B_CategorieBoekjaar[[#This Row],[BedrijfsCode]]="001",IF(report_B_CategorieBoekjaar[[#This Row],[Boekjaar]]=Projectbegroting!$K$1,report_B_CategorieBoekjaar[[#This Row],[CategorieCode]],0),0)</f>
        <v>0</v>
      </c>
    </row>
    <row r="1340" spans="1:9" x14ac:dyDescent="0.3">
      <c r="A1340" t="s">
        <v>330</v>
      </c>
      <c r="B1340" s="20">
        <v>44197</v>
      </c>
      <c r="C1340" t="s">
        <v>179</v>
      </c>
      <c r="D1340" t="s">
        <v>331</v>
      </c>
      <c r="E1340" t="s">
        <v>217</v>
      </c>
      <c r="F1340">
        <v>0</v>
      </c>
      <c r="G1340">
        <v>0</v>
      </c>
      <c r="H1340">
        <f>IF(report_B_CategorieBoekjaar[[#This Row],[BedrijfsCode]]="002",IF(report_B_CategorieBoekjaar[[#This Row],[Boekjaar]]=Projectbegroting!$K$1,report_B_CategorieBoekjaar[[#This Row],[CategorieCode]],0),0)</f>
        <v>0</v>
      </c>
      <c r="I1340">
        <f>IF(report_B_CategorieBoekjaar[[#This Row],[BedrijfsCode]]="001",IF(report_B_CategorieBoekjaar[[#This Row],[Boekjaar]]=Projectbegroting!$K$1,report_B_CategorieBoekjaar[[#This Row],[CategorieCode]],0),0)</f>
        <v>0</v>
      </c>
    </row>
    <row r="1341" spans="1:9" x14ac:dyDescent="0.3">
      <c r="A1341" t="s">
        <v>330</v>
      </c>
      <c r="B1341" s="20">
        <v>44197</v>
      </c>
      <c r="C1341" t="s">
        <v>180</v>
      </c>
      <c r="D1341" t="s">
        <v>332</v>
      </c>
      <c r="E1341" t="s">
        <v>217</v>
      </c>
      <c r="F1341">
        <v>0</v>
      </c>
      <c r="G1341">
        <v>0</v>
      </c>
      <c r="H1341">
        <f>IF(report_B_CategorieBoekjaar[[#This Row],[BedrijfsCode]]="002",IF(report_B_CategorieBoekjaar[[#This Row],[Boekjaar]]=Projectbegroting!$K$1,report_B_CategorieBoekjaar[[#This Row],[CategorieCode]],0),0)</f>
        <v>0</v>
      </c>
      <c r="I1341">
        <f>IF(report_B_CategorieBoekjaar[[#This Row],[BedrijfsCode]]="001",IF(report_B_CategorieBoekjaar[[#This Row],[Boekjaar]]=Projectbegroting!$K$1,report_B_CategorieBoekjaar[[#This Row],[CategorieCode]],0),0)</f>
        <v>0</v>
      </c>
    </row>
    <row r="1342" spans="1:9" x14ac:dyDescent="0.3">
      <c r="A1342" t="s">
        <v>330</v>
      </c>
      <c r="B1342" s="20">
        <v>44197</v>
      </c>
      <c r="C1342" t="s">
        <v>181</v>
      </c>
      <c r="D1342" t="s">
        <v>333</v>
      </c>
      <c r="E1342" t="s">
        <v>217</v>
      </c>
      <c r="F1342">
        <v>0</v>
      </c>
      <c r="G1342">
        <v>0</v>
      </c>
      <c r="H1342">
        <f>IF(report_B_CategorieBoekjaar[[#This Row],[BedrijfsCode]]="002",IF(report_B_CategorieBoekjaar[[#This Row],[Boekjaar]]=Projectbegroting!$K$1,report_B_CategorieBoekjaar[[#This Row],[CategorieCode]],0),0)</f>
        <v>0</v>
      </c>
      <c r="I1342">
        <f>IF(report_B_CategorieBoekjaar[[#This Row],[BedrijfsCode]]="001",IF(report_B_CategorieBoekjaar[[#This Row],[Boekjaar]]=Projectbegroting!$K$1,report_B_CategorieBoekjaar[[#This Row],[CategorieCode]],0),0)</f>
        <v>0</v>
      </c>
    </row>
    <row r="1343" spans="1:9" x14ac:dyDescent="0.3">
      <c r="A1343" t="s">
        <v>330</v>
      </c>
      <c r="B1343" s="20">
        <v>44197</v>
      </c>
      <c r="C1343" t="s">
        <v>182</v>
      </c>
      <c r="D1343" t="s">
        <v>334</v>
      </c>
      <c r="E1343" t="s">
        <v>217</v>
      </c>
      <c r="F1343">
        <v>0</v>
      </c>
      <c r="G1343">
        <v>0</v>
      </c>
      <c r="H1343">
        <f>IF(report_B_CategorieBoekjaar[[#This Row],[BedrijfsCode]]="002",IF(report_B_CategorieBoekjaar[[#This Row],[Boekjaar]]=Projectbegroting!$K$1,report_B_CategorieBoekjaar[[#This Row],[CategorieCode]],0),0)</f>
        <v>0</v>
      </c>
      <c r="I1343">
        <f>IF(report_B_CategorieBoekjaar[[#This Row],[BedrijfsCode]]="001",IF(report_B_CategorieBoekjaar[[#This Row],[Boekjaar]]=Projectbegroting!$K$1,report_B_CategorieBoekjaar[[#This Row],[CategorieCode]],0),0)</f>
        <v>0</v>
      </c>
    </row>
    <row r="1344" spans="1:9" x14ac:dyDescent="0.3">
      <c r="A1344" t="s">
        <v>330</v>
      </c>
      <c r="B1344" s="20">
        <v>44197</v>
      </c>
      <c r="C1344" t="s">
        <v>183</v>
      </c>
      <c r="D1344" t="s">
        <v>335</v>
      </c>
      <c r="E1344" t="s">
        <v>217</v>
      </c>
      <c r="F1344">
        <v>0</v>
      </c>
      <c r="G1344">
        <v>0</v>
      </c>
      <c r="H1344">
        <f>IF(report_B_CategorieBoekjaar[[#This Row],[BedrijfsCode]]="002",IF(report_B_CategorieBoekjaar[[#This Row],[Boekjaar]]=Projectbegroting!$K$1,report_B_CategorieBoekjaar[[#This Row],[CategorieCode]],0),0)</f>
        <v>0</v>
      </c>
      <c r="I1344">
        <f>IF(report_B_CategorieBoekjaar[[#This Row],[BedrijfsCode]]="001",IF(report_B_CategorieBoekjaar[[#This Row],[Boekjaar]]=Projectbegroting!$K$1,report_B_CategorieBoekjaar[[#This Row],[CategorieCode]],0),0)</f>
        <v>0</v>
      </c>
    </row>
    <row r="1345" spans="1:9" x14ac:dyDescent="0.3">
      <c r="A1345" t="s">
        <v>330</v>
      </c>
      <c r="B1345" s="20">
        <v>44197</v>
      </c>
      <c r="C1345" t="s">
        <v>184</v>
      </c>
      <c r="D1345" t="s">
        <v>336</v>
      </c>
      <c r="E1345" t="s">
        <v>217</v>
      </c>
      <c r="F1345">
        <v>0</v>
      </c>
      <c r="G1345">
        <v>0</v>
      </c>
      <c r="H1345">
        <f>IF(report_B_CategorieBoekjaar[[#This Row],[BedrijfsCode]]="002",IF(report_B_CategorieBoekjaar[[#This Row],[Boekjaar]]=Projectbegroting!$K$1,report_B_CategorieBoekjaar[[#This Row],[CategorieCode]],0),0)</f>
        <v>0</v>
      </c>
      <c r="I1345">
        <f>IF(report_B_CategorieBoekjaar[[#This Row],[BedrijfsCode]]="001",IF(report_B_CategorieBoekjaar[[#This Row],[Boekjaar]]=Projectbegroting!$K$1,report_B_CategorieBoekjaar[[#This Row],[CategorieCode]],0),0)</f>
        <v>0</v>
      </c>
    </row>
    <row r="1346" spans="1:9" x14ac:dyDescent="0.3">
      <c r="A1346" t="s">
        <v>330</v>
      </c>
      <c r="B1346" s="20">
        <v>44197</v>
      </c>
      <c r="C1346" t="s">
        <v>185</v>
      </c>
      <c r="D1346" t="s">
        <v>337</v>
      </c>
      <c r="E1346" t="s">
        <v>217</v>
      </c>
      <c r="F1346">
        <v>0</v>
      </c>
      <c r="G1346">
        <v>0</v>
      </c>
      <c r="H1346">
        <f>IF(report_B_CategorieBoekjaar[[#This Row],[BedrijfsCode]]="002",IF(report_B_CategorieBoekjaar[[#This Row],[Boekjaar]]=Projectbegroting!$K$1,report_B_CategorieBoekjaar[[#This Row],[CategorieCode]],0),0)</f>
        <v>0</v>
      </c>
      <c r="I1346">
        <f>IF(report_B_CategorieBoekjaar[[#This Row],[BedrijfsCode]]="001",IF(report_B_CategorieBoekjaar[[#This Row],[Boekjaar]]=Projectbegroting!$K$1,report_B_CategorieBoekjaar[[#This Row],[CategorieCode]],0),0)</f>
        <v>0</v>
      </c>
    </row>
    <row r="1347" spans="1:9" x14ac:dyDescent="0.3">
      <c r="A1347" t="s">
        <v>330</v>
      </c>
      <c r="B1347" s="20">
        <v>44197</v>
      </c>
      <c r="C1347" t="s">
        <v>186</v>
      </c>
      <c r="D1347" t="s">
        <v>338</v>
      </c>
      <c r="E1347" t="s">
        <v>217</v>
      </c>
      <c r="F1347">
        <v>0</v>
      </c>
      <c r="G1347">
        <v>0</v>
      </c>
      <c r="H1347">
        <f>IF(report_B_CategorieBoekjaar[[#This Row],[BedrijfsCode]]="002",IF(report_B_CategorieBoekjaar[[#This Row],[Boekjaar]]=Projectbegroting!$K$1,report_B_CategorieBoekjaar[[#This Row],[CategorieCode]],0),0)</f>
        <v>0</v>
      </c>
      <c r="I1347">
        <f>IF(report_B_CategorieBoekjaar[[#This Row],[BedrijfsCode]]="001",IF(report_B_CategorieBoekjaar[[#This Row],[Boekjaar]]=Projectbegroting!$K$1,report_B_CategorieBoekjaar[[#This Row],[CategorieCode]],0),0)</f>
        <v>0</v>
      </c>
    </row>
    <row r="1348" spans="1:9" x14ac:dyDescent="0.3">
      <c r="A1348" t="s">
        <v>330</v>
      </c>
      <c r="B1348" s="20">
        <v>44197</v>
      </c>
      <c r="C1348" t="s">
        <v>187</v>
      </c>
      <c r="D1348" t="s">
        <v>339</v>
      </c>
      <c r="E1348" t="s">
        <v>217</v>
      </c>
      <c r="F1348">
        <v>0</v>
      </c>
      <c r="G1348">
        <v>0</v>
      </c>
      <c r="H1348">
        <f>IF(report_B_CategorieBoekjaar[[#This Row],[BedrijfsCode]]="002",IF(report_B_CategorieBoekjaar[[#This Row],[Boekjaar]]=Projectbegroting!$K$1,report_B_CategorieBoekjaar[[#This Row],[CategorieCode]],0),0)</f>
        <v>0</v>
      </c>
      <c r="I1348">
        <f>IF(report_B_CategorieBoekjaar[[#This Row],[BedrijfsCode]]="001",IF(report_B_CategorieBoekjaar[[#This Row],[Boekjaar]]=Projectbegroting!$K$1,report_B_CategorieBoekjaar[[#This Row],[CategorieCode]],0),0)</f>
        <v>0</v>
      </c>
    </row>
    <row r="1349" spans="1:9" x14ac:dyDescent="0.3">
      <c r="A1349" t="s">
        <v>330</v>
      </c>
      <c r="B1349" s="20">
        <v>44197</v>
      </c>
      <c r="C1349" t="s">
        <v>188</v>
      </c>
      <c r="D1349" t="s">
        <v>340</v>
      </c>
      <c r="E1349" t="s">
        <v>217</v>
      </c>
      <c r="F1349">
        <v>0</v>
      </c>
      <c r="G1349">
        <v>0</v>
      </c>
      <c r="H1349">
        <f>IF(report_B_CategorieBoekjaar[[#This Row],[BedrijfsCode]]="002",IF(report_B_CategorieBoekjaar[[#This Row],[Boekjaar]]=Projectbegroting!$K$1,report_B_CategorieBoekjaar[[#This Row],[CategorieCode]],0),0)</f>
        <v>0</v>
      </c>
      <c r="I1349">
        <f>IF(report_B_CategorieBoekjaar[[#This Row],[BedrijfsCode]]="001",IF(report_B_CategorieBoekjaar[[#This Row],[Boekjaar]]=Projectbegroting!$K$1,report_B_CategorieBoekjaar[[#This Row],[CategorieCode]],0),0)</f>
        <v>0</v>
      </c>
    </row>
    <row r="1350" spans="1:9" x14ac:dyDescent="0.3">
      <c r="A1350" t="s">
        <v>330</v>
      </c>
      <c r="B1350" s="20">
        <v>44197</v>
      </c>
      <c r="C1350" t="s">
        <v>189</v>
      </c>
      <c r="D1350" t="s">
        <v>341</v>
      </c>
      <c r="E1350" t="s">
        <v>217</v>
      </c>
      <c r="F1350">
        <v>0</v>
      </c>
      <c r="G1350">
        <v>0</v>
      </c>
      <c r="H1350">
        <f>IF(report_B_CategorieBoekjaar[[#This Row],[BedrijfsCode]]="002",IF(report_B_CategorieBoekjaar[[#This Row],[Boekjaar]]=Projectbegroting!$K$1,report_B_CategorieBoekjaar[[#This Row],[CategorieCode]],0),0)</f>
        <v>0</v>
      </c>
      <c r="I1350">
        <f>IF(report_B_CategorieBoekjaar[[#This Row],[BedrijfsCode]]="001",IF(report_B_CategorieBoekjaar[[#This Row],[Boekjaar]]=Projectbegroting!$K$1,report_B_CategorieBoekjaar[[#This Row],[CategorieCode]],0),0)</f>
        <v>0</v>
      </c>
    </row>
    <row r="1351" spans="1:9" x14ac:dyDescent="0.3">
      <c r="A1351" t="s">
        <v>330</v>
      </c>
      <c r="B1351" s="20">
        <v>44197</v>
      </c>
      <c r="C1351" t="s">
        <v>190</v>
      </c>
      <c r="D1351" t="s">
        <v>342</v>
      </c>
      <c r="E1351" t="s">
        <v>217</v>
      </c>
      <c r="F1351">
        <v>0</v>
      </c>
      <c r="G1351">
        <v>0</v>
      </c>
      <c r="H1351">
        <f>IF(report_B_CategorieBoekjaar[[#This Row],[BedrijfsCode]]="002",IF(report_B_CategorieBoekjaar[[#This Row],[Boekjaar]]=Projectbegroting!$K$1,report_B_CategorieBoekjaar[[#This Row],[CategorieCode]],0),0)</f>
        <v>0</v>
      </c>
      <c r="I1351">
        <f>IF(report_B_CategorieBoekjaar[[#This Row],[BedrijfsCode]]="001",IF(report_B_CategorieBoekjaar[[#This Row],[Boekjaar]]=Projectbegroting!$K$1,report_B_CategorieBoekjaar[[#This Row],[CategorieCode]],0),0)</f>
        <v>0</v>
      </c>
    </row>
    <row r="1352" spans="1:9" x14ac:dyDescent="0.3">
      <c r="A1352" t="s">
        <v>330</v>
      </c>
      <c r="B1352" s="20">
        <v>44197</v>
      </c>
      <c r="C1352" t="s">
        <v>191</v>
      </c>
      <c r="D1352" t="s">
        <v>343</v>
      </c>
      <c r="E1352" t="s">
        <v>217</v>
      </c>
      <c r="F1352">
        <v>0</v>
      </c>
      <c r="G1352">
        <v>0</v>
      </c>
      <c r="H1352">
        <f>IF(report_B_CategorieBoekjaar[[#This Row],[BedrijfsCode]]="002",IF(report_B_CategorieBoekjaar[[#This Row],[Boekjaar]]=Projectbegroting!$K$1,report_B_CategorieBoekjaar[[#This Row],[CategorieCode]],0),0)</f>
        <v>0</v>
      </c>
      <c r="I1352">
        <f>IF(report_B_CategorieBoekjaar[[#This Row],[BedrijfsCode]]="001",IF(report_B_CategorieBoekjaar[[#This Row],[Boekjaar]]=Projectbegroting!$K$1,report_B_CategorieBoekjaar[[#This Row],[CategorieCode]],0),0)</f>
        <v>0</v>
      </c>
    </row>
    <row r="1353" spans="1:9" x14ac:dyDescent="0.3">
      <c r="A1353" t="s">
        <v>330</v>
      </c>
      <c r="B1353" s="20">
        <v>44197</v>
      </c>
      <c r="C1353" t="s">
        <v>192</v>
      </c>
      <c r="D1353" t="s">
        <v>344</v>
      </c>
      <c r="E1353" t="s">
        <v>217</v>
      </c>
      <c r="F1353">
        <v>0</v>
      </c>
      <c r="G1353">
        <v>0</v>
      </c>
      <c r="H1353">
        <f>IF(report_B_CategorieBoekjaar[[#This Row],[BedrijfsCode]]="002",IF(report_B_CategorieBoekjaar[[#This Row],[Boekjaar]]=Projectbegroting!$K$1,report_B_CategorieBoekjaar[[#This Row],[CategorieCode]],0),0)</f>
        <v>0</v>
      </c>
      <c r="I1353">
        <f>IF(report_B_CategorieBoekjaar[[#This Row],[BedrijfsCode]]="001",IF(report_B_CategorieBoekjaar[[#This Row],[Boekjaar]]=Projectbegroting!$K$1,report_B_CategorieBoekjaar[[#This Row],[CategorieCode]],0),0)</f>
        <v>0</v>
      </c>
    </row>
    <row r="1354" spans="1:9" x14ac:dyDescent="0.3">
      <c r="A1354" t="s">
        <v>330</v>
      </c>
      <c r="B1354" s="20">
        <v>44197</v>
      </c>
      <c r="C1354" t="s">
        <v>193</v>
      </c>
      <c r="D1354" t="s">
        <v>345</v>
      </c>
      <c r="E1354" t="s">
        <v>217</v>
      </c>
      <c r="F1354">
        <v>0</v>
      </c>
      <c r="G1354">
        <v>0</v>
      </c>
      <c r="H1354">
        <f>IF(report_B_CategorieBoekjaar[[#This Row],[BedrijfsCode]]="002",IF(report_B_CategorieBoekjaar[[#This Row],[Boekjaar]]=Projectbegroting!$K$1,report_B_CategorieBoekjaar[[#This Row],[CategorieCode]],0),0)</f>
        <v>0</v>
      </c>
      <c r="I1354">
        <f>IF(report_B_CategorieBoekjaar[[#This Row],[BedrijfsCode]]="001",IF(report_B_CategorieBoekjaar[[#This Row],[Boekjaar]]=Projectbegroting!$K$1,report_B_CategorieBoekjaar[[#This Row],[CategorieCode]],0),0)</f>
        <v>0</v>
      </c>
    </row>
    <row r="1355" spans="1:9" x14ac:dyDescent="0.3">
      <c r="A1355" t="s">
        <v>330</v>
      </c>
      <c r="B1355" s="20">
        <v>44197</v>
      </c>
      <c r="C1355" t="s">
        <v>194</v>
      </c>
      <c r="D1355" t="s">
        <v>346</v>
      </c>
      <c r="E1355" t="s">
        <v>217</v>
      </c>
      <c r="F1355">
        <v>0</v>
      </c>
      <c r="G1355">
        <v>0</v>
      </c>
      <c r="H1355">
        <f>IF(report_B_CategorieBoekjaar[[#This Row],[BedrijfsCode]]="002",IF(report_B_CategorieBoekjaar[[#This Row],[Boekjaar]]=Projectbegroting!$K$1,report_B_CategorieBoekjaar[[#This Row],[CategorieCode]],0),0)</f>
        <v>0</v>
      </c>
      <c r="I1355">
        <f>IF(report_B_CategorieBoekjaar[[#This Row],[BedrijfsCode]]="001",IF(report_B_CategorieBoekjaar[[#This Row],[Boekjaar]]=Projectbegroting!$K$1,report_B_CategorieBoekjaar[[#This Row],[CategorieCode]],0),0)</f>
        <v>0</v>
      </c>
    </row>
    <row r="1356" spans="1:9" x14ac:dyDescent="0.3">
      <c r="A1356" t="s">
        <v>330</v>
      </c>
      <c r="B1356" s="20">
        <v>44197</v>
      </c>
      <c r="C1356" t="s">
        <v>195</v>
      </c>
      <c r="D1356" t="s">
        <v>347</v>
      </c>
      <c r="E1356" t="s">
        <v>217</v>
      </c>
      <c r="F1356">
        <v>0</v>
      </c>
      <c r="G1356">
        <v>0</v>
      </c>
      <c r="H1356">
        <f>IF(report_B_CategorieBoekjaar[[#This Row],[BedrijfsCode]]="002",IF(report_B_CategorieBoekjaar[[#This Row],[Boekjaar]]=Projectbegroting!$K$1,report_B_CategorieBoekjaar[[#This Row],[CategorieCode]],0),0)</f>
        <v>0</v>
      </c>
      <c r="I1356">
        <f>IF(report_B_CategorieBoekjaar[[#This Row],[BedrijfsCode]]="001",IF(report_B_CategorieBoekjaar[[#This Row],[Boekjaar]]=Projectbegroting!$K$1,report_B_CategorieBoekjaar[[#This Row],[CategorieCode]],0),0)</f>
        <v>0</v>
      </c>
    </row>
    <row r="1357" spans="1:9" x14ac:dyDescent="0.3">
      <c r="A1357" t="s">
        <v>330</v>
      </c>
      <c r="B1357" s="20">
        <v>44197</v>
      </c>
      <c r="C1357" t="s">
        <v>196</v>
      </c>
      <c r="D1357" t="s">
        <v>348</v>
      </c>
      <c r="E1357" t="s">
        <v>217</v>
      </c>
      <c r="F1357">
        <v>0</v>
      </c>
      <c r="G1357">
        <v>0</v>
      </c>
      <c r="H1357">
        <f>IF(report_B_CategorieBoekjaar[[#This Row],[BedrijfsCode]]="002",IF(report_B_CategorieBoekjaar[[#This Row],[Boekjaar]]=Projectbegroting!$K$1,report_B_CategorieBoekjaar[[#This Row],[CategorieCode]],0),0)</f>
        <v>0</v>
      </c>
      <c r="I1357">
        <f>IF(report_B_CategorieBoekjaar[[#This Row],[BedrijfsCode]]="001",IF(report_B_CategorieBoekjaar[[#This Row],[Boekjaar]]=Projectbegroting!$K$1,report_B_CategorieBoekjaar[[#This Row],[CategorieCode]],0),0)</f>
        <v>0</v>
      </c>
    </row>
    <row r="1358" spans="1:9" x14ac:dyDescent="0.3">
      <c r="A1358" t="s">
        <v>330</v>
      </c>
      <c r="B1358" s="20">
        <v>44197</v>
      </c>
      <c r="C1358" t="s">
        <v>349</v>
      </c>
      <c r="D1358" t="s">
        <v>350</v>
      </c>
      <c r="E1358" t="s">
        <v>217</v>
      </c>
      <c r="F1358">
        <v>0</v>
      </c>
      <c r="G1358">
        <v>0</v>
      </c>
      <c r="H1358">
        <f>IF(report_B_CategorieBoekjaar[[#This Row],[BedrijfsCode]]="002",IF(report_B_CategorieBoekjaar[[#This Row],[Boekjaar]]=Projectbegroting!$K$1,report_B_CategorieBoekjaar[[#This Row],[CategorieCode]],0),0)</f>
        <v>0</v>
      </c>
      <c r="I1358">
        <f>IF(report_B_CategorieBoekjaar[[#This Row],[BedrijfsCode]]="001",IF(report_B_CategorieBoekjaar[[#This Row],[Boekjaar]]=Projectbegroting!$K$1,report_B_CategorieBoekjaar[[#This Row],[CategorieCode]],0),0)</f>
        <v>0</v>
      </c>
    </row>
    <row r="1359" spans="1:9" x14ac:dyDescent="0.3">
      <c r="A1359" t="s">
        <v>330</v>
      </c>
      <c r="B1359" s="20">
        <v>44197</v>
      </c>
      <c r="C1359" t="s">
        <v>197</v>
      </c>
      <c r="D1359" t="s">
        <v>351</v>
      </c>
      <c r="E1359" t="s">
        <v>217</v>
      </c>
      <c r="F1359">
        <v>0</v>
      </c>
      <c r="G1359">
        <v>0</v>
      </c>
      <c r="H1359">
        <f>IF(report_B_CategorieBoekjaar[[#This Row],[BedrijfsCode]]="002",IF(report_B_CategorieBoekjaar[[#This Row],[Boekjaar]]=Projectbegroting!$K$1,report_B_CategorieBoekjaar[[#This Row],[CategorieCode]],0),0)</f>
        <v>0</v>
      </c>
      <c r="I1359">
        <f>IF(report_B_CategorieBoekjaar[[#This Row],[BedrijfsCode]]="001",IF(report_B_CategorieBoekjaar[[#This Row],[Boekjaar]]=Projectbegroting!$K$1,report_B_CategorieBoekjaar[[#This Row],[CategorieCode]],0),0)</f>
        <v>0</v>
      </c>
    </row>
    <row r="1360" spans="1:9" x14ac:dyDescent="0.3">
      <c r="A1360" t="s">
        <v>330</v>
      </c>
      <c r="B1360" s="20">
        <v>44197</v>
      </c>
      <c r="C1360" t="s">
        <v>198</v>
      </c>
      <c r="D1360" t="s">
        <v>352</v>
      </c>
      <c r="E1360" t="s">
        <v>217</v>
      </c>
      <c r="F1360">
        <v>0</v>
      </c>
      <c r="G1360">
        <v>0</v>
      </c>
      <c r="H1360">
        <f>IF(report_B_CategorieBoekjaar[[#This Row],[BedrijfsCode]]="002",IF(report_B_CategorieBoekjaar[[#This Row],[Boekjaar]]=Projectbegroting!$K$1,report_B_CategorieBoekjaar[[#This Row],[CategorieCode]],0),0)</f>
        <v>0</v>
      </c>
      <c r="I1360">
        <f>IF(report_B_CategorieBoekjaar[[#This Row],[BedrijfsCode]]="001",IF(report_B_CategorieBoekjaar[[#This Row],[Boekjaar]]=Projectbegroting!$K$1,report_B_CategorieBoekjaar[[#This Row],[CategorieCode]],0),0)</f>
        <v>0</v>
      </c>
    </row>
    <row r="1361" spans="1:9" x14ac:dyDescent="0.3">
      <c r="A1361" t="s">
        <v>330</v>
      </c>
      <c r="B1361" s="20">
        <v>44197</v>
      </c>
      <c r="C1361" t="s">
        <v>353</v>
      </c>
      <c r="D1361" t="s">
        <v>354</v>
      </c>
      <c r="E1361" t="s">
        <v>217</v>
      </c>
      <c r="F1361">
        <v>0</v>
      </c>
      <c r="G1361">
        <v>0</v>
      </c>
      <c r="H1361">
        <f>IF(report_B_CategorieBoekjaar[[#This Row],[BedrijfsCode]]="002",IF(report_B_CategorieBoekjaar[[#This Row],[Boekjaar]]=Projectbegroting!$K$1,report_B_CategorieBoekjaar[[#This Row],[CategorieCode]],0),0)</f>
        <v>0</v>
      </c>
      <c r="I1361">
        <f>IF(report_B_CategorieBoekjaar[[#This Row],[BedrijfsCode]]="001",IF(report_B_CategorieBoekjaar[[#This Row],[Boekjaar]]=Projectbegroting!$K$1,report_B_CategorieBoekjaar[[#This Row],[CategorieCode]],0),0)</f>
        <v>0</v>
      </c>
    </row>
    <row r="1362" spans="1:9" x14ac:dyDescent="0.3">
      <c r="A1362" t="s">
        <v>330</v>
      </c>
      <c r="B1362" s="20">
        <v>44197</v>
      </c>
      <c r="C1362" t="s">
        <v>199</v>
      </c>
      <c r="D1362" t="s">
        <v>355</v>
      </c>
      <c r="E1362" t="s">
        <v>217</v>
      </c>
      <c r="F1362">
        <v>0</v>
      </c>
      <c r="G1362">
        <v>0</v>
      </c>
      <c r="H1362">
        <f>IF(report_B_CategorieBoekjaar[[#This Row],[BedrijfsCode]]="002",IF(report_B_CategorieBoekjaar[[#This Row],[Boekjaar]]=Projectbegroting!$K$1,report_B_CategorieBoekjaar[[#This Row],[CategorieCode]],0),0)</f>
        <v>0</v>
      </c>
      <c r="I1362">
        <f>IF(report_B_CategorieBoekjaar[[#This Row],[BedrijfsCode]]="001",IF(report_B_CategorieBoekjaar[[#This Row],[Boekjaar]]=Projectbegroting!$K$1,report_B_CategorieBoekjaar[[#This Row],[CategorieCode]],0),0)</f>
        <v>0</v>
      </c>
    </row>
    <row r="1363" spans="1:9" x14ac:dyDescent="0.3">
      <c r="A1363" t="s">
        <v>330</v>
      </c>
      <c r="B1363" s="20">
        <v>44197</v>
      </c>
      <c r="C1363" t="s">
        <v>200</v>
      </c>
      <c r="D1363" t="s">
        <v>356</v>
      </c>
      <c r="E1363" t="s">
        <v>217</v>
      </c>
      <c r="F1363">
        <v>0</v>
      </c>
      <c r="G1363">
        <v>0</v>
      </c>
      <c r="H1363">
        <f>IF(report_B_CategorieBoekjaar[[#This Row],[BedrijfsCode]]="002",IF(report_B_CategorieBoekjaar[[#This Row],[Boekjaar]]=Projectbegroting!$K$1,report_B_CategorieBoekjaar[[#This Row],[CategorieCode]],0),0)</f>
        <v>0</v>
      </c>
      <c r="I1363">
        <f>IF(report_B_CategorieBoekjaar[[#This Row],[BedrijfsCode]]="001",IF(report_B_CategorieBoekjaar[[#This Row],[Boekjaar]]=Projectbegroting!$K$1,report_B_CategorieBoekjaar[[#This Row],[CategorieCode]],0),0)</f>
        <v>0</v>
      </c>
    </row>
    <row r="1364" spans="1:9" x14ac:dyDescent="0.3">
      <c r="A1364" t="s">
        <v>330</v>
      </c>
      <c r="B1364" s="20">
        <v>44197</v>
      </c>
      <c r="C1364" t="s">
        <v>201</v>
      </c>
      <c r="D1364" t="s">
        <v>357</v>
      </c>
      <c r="E1364" t="s">
        <v>217</v>
      </c>
      <c r="F1364">
        <v>0</v>
      </c>
      <c r="G1364">
        <v>0</v>
      </c>
      <c r="H1364">
        <f>IF(report_B_CategorieBoekjaar[[#This Row],[BedrijfsCode]]="002",IF(report_B_CategorieBoekjaar[[#This Row],[Boekjaar]]=Projectbegroting!$K$1,report_B_CategorieBoekjaar[[#This Row],[CategorieCode]],0),0)</f>
        <v>0</v>
      </c>
      <c r="I1364">
        <f>IF(report_B_CategorieBoekjaar[[#This Row],[BedrijfsCode]]="001",IF(report_B_CategorieBoekjaar[[#This Row],[Boekjaar]]=Projectbegroting!$K$1,report_B_CategorieBoekjaar[[#This Row],[CategorieCode]],0),0)</f>
        <v>0</v>
      </c>
    </row>
    <row r="1365" spans="1:9" x14ac:dyDescent="0.3">
      <c r="A1365" t="s">
        <v>330</v>
      </c>
      <c r="B1365" s="20">
        <v>44197</v>
      </c>
      <c r="C1365" t="s">
        <v>202</v>
      </c>
      <c r="D1365" t="s">
        <v>358</v>
      </c>
      <c r="E1365" t="s">
        <v>217</v>
      </c>
      <c r="F1365">
        <v>0</v>
      </c>
      <c r="G1365">
        <v>0</v>
      </c>
      <c r="H1365">
        <f>IF(report_B_CategorieBoekjaar[[#This Row],[BedrijfsCode]]="002",IF(report_B_CategorieBoekjaar[[#This Row],[Boekjaar]]=Projectbegroting!$K$1,report_B_CategorieBoekjaar[[#This Row],[CategorieCode]],0),0)</f>
        <v>0</v>
      </c>
      <c r="I1365">
        <f>IF(report_B_CategorieBoekjaar[[#This Row],[BedrijfsCode]]="001",IF(report_B_CategorieBoekjaar[[#This Row],[Boekjaar]]=Projectbegroting!$K$1,report_B_CategorieBoekjaar[[#This Row],[CategorieCode]],0),0)</f>
        <v>0</v>
      </c>
    </row>
    <row r="1366" spans="1:9" x14ac:dyDescent="0.3">
      <c r="A1366" t="s">
        <v>330</v>
      </c>
      <c r="B1366" s="20">
        <v>44197</v>
      </c>
      <c r="C1366" t="s">
        <v>203</v>
      </c>
      <c r="D1366" t="s">
        <v>359</v>
      </c>
      <c r="E1366" t="s">
        <v>217</v>
      </c>
      <c r="F1366">
        <v>0</v>
      </c>
      <c r="G1366">
        <v>0</v>
      </c>
      <c r="H1366">
        <f>IF(report_B_CategorieBoekjaar[[#This Row],[BedrijfsCode]]="002",IF(report_B_CategorieBoekjaar[[#This Row],[Boekjaar]]=Projectbegroting!$K$1,report_B_CategorieBoekjaar[[#This Row],[CategorieCode]],0),0)</f>
        <v>0</v>
      </c>
      <c r="I1366">
        <f>IF(report_B_CategorieBoekjaar[[#This Row],[BedrijfsCode]]="001",IF(report_B_CategorieBoekjaar[[#This Row],[Boekjaar]]=Projectbegroting!$K$1,report_B_CategorieBoekjaar[[#This Row],[CategorieCode]],0),0)</f>
        <v>0</v>
      </c>
    </row>
    <row r="1367" spans="1:9" x14ac:dyDescent="0.3">
      <c r="A1367" t="s">
        <v>330</v>
      </c>
      <c r="B1367" s="20">
        <v>44197</v>
      </c>
      <c r="C1367" t="s">
        <v>204</v>
      </c>
      <c r="D1367" t="s">
        <v>360</v>
      </c>
      <c r="E1367" t="s">
        <v>217</v>
      </c>
      <c r="F1367">
        <v>0</v>
      </c>
      <c r="G1367">
        <v>0</v>
      </c>
      <c r="H1367">
        <f>IF(report_B_CategorieBoekjaar[[#This Row],[BedrijfsCode]]="002",IF(report_B_CategorieBoekjaar[[#This Row],[Boekjaar]]=Projectbegroting!$K$1,report_B_CategorieBoekjaar[[#This Row],[CategorieCode]],0),0)</f>
        <v>0</v>
      </c>
      <c r="I1367">
        <f>IF(report_B_CategorieBoekjaar[[#This Row],[BedrijfsCode]]="001",IF(report_B_CategorieBoekjaar[[#This Row],[Boekjaar]]=Projectbegroting!$K$1,report_B_CategorieBoekjaar[[#This Row],[CategorieCode]],0),0)</f>
        <v>0</v>
      </c>
    </row>
    <row r="1368" spans="1:9" x14ac:dyDescent="0.3">
      <c r="A1368" t="s">
        <v>330</v>
      </c>
      <c r="B1368" s="20">
        <v>44197</v>
      </c>
      <c r="C1368" t="s">
        <v>205</v>
      </c>
      <c r="D1368" t="s">
        <v>361</v>
      </c>
      <c r="E1368" t="s">
        <v>217</v>
      </c>
      <c r="F1368">
        <v>0</v>
      </c>
      <c r="G1368">
        <v>0</v>
      </c>
      <c r="H1368">
        <f>IF(report_B_CategorieBoekjaar[[#This Row],[BedrijfsCode]]="002",IF(report_B_CategorieBoekjaar[[#This Row],[Boekjaar]]=Projectbegroting!$K$1,report_B_CategorieBoekjaar[[#This Row],[CategorieCode]],0),0)</f>
        <v>0</v>
      </c>
      <c r="I1368">
        <f>IF(report_B_CategorieBoekjaar[[#This Row],[BedrijfsCode]]="001",IF(report_B_CategorieBoekjaar[[#This Row],[Boekjaar]]=Projectbegroting!$K$1,report_B_CategorieBoekjaar[[#This Row],[CategorieCode]],0),0)</f>
        <v>0</v>
      </c>
    </row>
    <row r="1369" spans="1:9" x14ac:dyDescent="0.3">
      <c r="A1369" t="s">
        <v>330</v>
      </c>
      <c r="B1369" s="20">
        <v>44197</v>
      </c>
      <c r="C1369" t="s">
        <v>206</v>
      </c>
      <c r="D1369" t="s">
        <v>362</v>
      </c>
      <c r="E1369" t="s">
        <v>217</v>
      </c>
      <c r="F1369">
        <v>0</v>
      </c>
      <c r="G1369">
        <v>0</v>
      </c>
      <c r="H1369">
        <f>IF(report_B_CategorieBoekjaar[[#This Row],[BedrijfsCode]]="002",IF(report_B_CategorieBoekjaar[[#This Row],[Boekjaar]]=Projectbegroting!$K$1,report_B_CategorieBoekjaar[[#This Row],[CategorieCode]],0),0)</f>
        <v>0</v>
      </c>
      <c r="I1369">
        <f>IF(report_B_CategorieBoekjaar[[#This Row],[BedrijfsCode]]="001",IF(report_B_CategorieBoekjaar[[#This Row],[Boekjaar]]=Projectbegroting!$K$1,report_B_CategorieBoekjaar[[#This Row],[CategorieCode]],0),0)</f>
        <v>0</v>
      </c>
    </row>
    <row r="1370" spans="1:9" x14ac:dyDescent="0.3">
      <c r="A1370" t="s">
        <v>330</v>
      </c>
      <c r="B1370" s="20">
        <v>44197</v>
      </c>
      <c r="C1370" t="s">
        <v>363</v>
      </c>
      <c r="D1370" t="s">
        <v>364</v>
      </c>
      <c r="E1370" t="s">
        <v>217</v>
      </c>
      <c r="F1370">
        <v>0</v>
      </c>
      <c r="G1370">
        <v>0</v>
      </c>
      <c r="H1370">
        <f>IF(report_B_CategorieBoekjaar[[#This Row],[BedrijfsCode]]="002",IF(report_B_CategorieBoekjaar[[#This Row],[Boekjaar]]=Projectbegroting!$K$1,report_B_CategorieBoekjaar[[#This Row],[CategorieCode]],0),0)</f>
        <v>0</v>
      </c>
      <c r="I1370">
        <f>IF(report_B_CategorieBoekjaar[[#This Row],[BedrijfsCode]]="001",IF(report_B_CategorieBoekjaar[[#This Row],[Boekjaar]]=Projectbegroting!$K$1,report_B_CategorieBoekjaar[[#This Row],[CategorieCode]],0),0)</f>
        <v>0</v>
      </c>
    </row>
    <row r="1371" spans="1:9" x14ac:dyDescent="0.3">
      <c r="A1371" t="s">
        <v>330</v>
      </c>
      <c r="B1371" s="20">
        <v>44197</v>
      </c>
      <c r="C1371" t="s">
        <v>207</v>
      </c>
      <c r="D1371" t="s">
        <v>365</v>
      </c>
      <c r="E1371" t="s">
        <v>217</v>
      </c>
      <c r="F1371">
        <v>0</v>
      </c>
      <c r="G1371">
        <v>0</v>
      </c>
      <c r="H1371">
        <f>IF(report_B_CategorieBoekjaar[[#This Row],[BedrijfsCode]]="002",IF(report_B_CategorieBoekjaar[[#This Row],[Boekjaar]]=Projectbegroting!$K$1,report_B_CategorieBoekjaar[[#This Row],[CategorieCode]],0),0)</f>
        <v>0</v>
      </c>
      <c r="I1371">
        <f>IF(report_B_CategorieBoekjaar[[#This Row],[BedrijfsCode]]="001",IF(report_B_CategorieBoekjaar[[#This Row],[Boekjaar]]=Projectbegroting!$K$1,report_B_CategorieBoekjaar[[#This Row],[CategorieCode]],0),0)</f>
        <v>0</v>
      </c>
    </row>
    <row r="1372" spans="1:9" x14ac:dyDescent="0.3">
      <c r="A1372" t="s">
        <v>330</v>
      </c>
      <c r="B1372" s="20">
        <v>44197</v>
      </c>
      <c r="C1372" t="s">
        <v>208</v>
      </c>
      <c r="D1372" t="s">
        <v>366</v>
      </c>
      <c r="E1372" t="s">
        <v>217</v>
      </c>
      <c r="F1372">
        <v>0</v>
      </c>
      <c r="G1372">
        <v>0</v>
      </c>
      <c r="H1372">
        <f>IF(report_B_CategorieBoekjaar[[#This Row],[BedrijfsCode]]="002",IF(report_B_CategorieBoekjaar[[#This Row],[Boekjaar]]=Projectbegroting!$K$1,report_B_CategorieBoekjaar[[#This Row],[CategorieCode]],0),0)</f>
        <v>0</v>
      </c>
      <c r="I1372">
        <f>IF(report_B_CategorieBoekjaar[[#This Row],[BedrijfsCode]]="001",IF(report_B_CategorieBoekjaar[[#This Row],[Boekjaar]]=Projectbegroting!$K$1,report_B_CategorieBoekjaar[[#This Row],[CategorieCode]],0),0)</f>
        <v>0</v>
      </c>
    </row>
    <row r="1373" spans="1:9" x14ac:dyDescent="0.3">
      <c r="A1373" t="s">
        <v>330</v>
      </c>
      <c r="B1373" s="20">
        <v>44197</v>
      </c>
      <c r="C1373" t="s">
        <v>209</v>
      </c>
      <c r="D1373" t="s">
        <v>367</v>
      </c>
      <c r="E1373" t="s">
        <v>217</v>
      </c>
      <c r="F1373">
        <v>0</v>
      </c>
      <c r="G1373">
        <v>0</v>
      </c>
      <c r="H1373">
        <f>IF(report_B_CategorieBoekjaar[[#This Row],[BedrijfsCode]]="002",IF(report_B_CategorieBoekjaar[[#This Row],[Boekjaar]]=Projectbegroting!$K$1,report_B_CategorieBoekjaar[[#This Row],[CategorieCode]],0),0)</f>
        <v>0</v>
      </c>
      <c r="I1373">
        <f>IF(report_B_CategorieBoekjaar[[#This Row],[BedrijfsCode]]="001",IF(report_B_CategorieBoekjaar[[#This Row],[Boekjaar]]=Projectbegroting!$K$1,report_B_CategorieBoekjaar[[#This Row],[CategorieCode]],0),0)</f>
        <v>0</v>
      </c>
    </row>
    <row r="1374" spans="1:9" x14ac:dyDescent="0.3">
      <c r="A1374" t="s">
        <v>330</v>
      </c>
      <c r="B1374" s="20">
        <v>44197</v>
      </c>
      <c r="C1374" t="s">
        <v>210</v>
      </c>
      <c r="D1374" t="s">
        <v>368</v>
      </c>
      <c r="E1374" t="s">
        <v>217</v>
      </c>
      <c r="F1374">
        <v>0</v>
      </c>
      <c r="G1374">
        <v>0</v>
      </c>
      <c r="H1374">
        <f>IF(report_B_CategorieBoekjaar[[#This Row],[BedrijfsCode]]="002",IF(report_B_CategorieBoekjaar[[#This Row],[Boekjaar]]=Projectbegroting!$K$1,report_B_CategorieBoekjaar[[#This Row],[CategorieCode]],0),0)</f>
        <v>0</v>
      </c>
      <c r="I1374">
        <f>IF(report_B_CategorieBoekjaar[[#This Row],[BedrijfsCode]]="001",IF(report_B_CategorieBoekjaar[[#This Row],[Boekjaar]]=Projectbegroting!$K$1,report_B_CategorieBoekjaar[[#This Row],[CategorieCode]],0),0)</f>
        <v>0</v>
      </c>
    </row>
    <row r="1375" spans="1:9" x14ac:dyDescent="0.3">
      <c r="A1375" t="s">
        <v>330</v>
      </c>
      <c r="B1375" s="20">
        <v>44197</v>
      </c>
      <c r="C1375" t="s">
        <v>369</v>
      </c>
      <c r="D1375" t="s">
        <v>370</v>
      </c>
      <c r="E1375" t="s">
        <v>217</v>
      </c>
      <c r="F1375">
        <v>0</v>
      </c>
      <c r="G1375">
        <v>0</v>
      </c>
      <c r="H1375">
        <f>IF(report_B_CategorieBoekjaar[[#This Row],[BedrijfsCode]]="002",IF(report_B_CategorieBoekjaar[[#This Row],[Boekjaar]]=Projectbegroting!$K$1,report_B_CategorieBoekjaar[[#This Row],[CategorieCode]],0),0)</f>
        <v>0</v>
      </c>
      <c r="I1375">
        <f>IF(report_B_CategorieBoekjaar[[#This Row],[BedrijfsCode]]="001",IF(report_B_CategorieBoekjaar[[#This Row],[Boekjaar]]=Projectbegroting!$K$1,report_B_CategorieBoekjaar[[#This Row],[CategorieCode]],0),0)</f>
        <v>0</v>
      </c>
    </row>
    <row r="1376" spans="1:9" x14ac:dyDescent="0.3">
      <c r="A1376" t="s">
        <v>330</v>
      </c>
      <c r="B1376" s="20">
        <v>44197</v>
      </c>
      <c r="C1376" t="s">
        <v>371</v>
      </c>
      <c r="D1376" t="s">
        <v>372</v>
      </c>
      <c r="E1376" t="s">
        <v>217</v>
      </c>
      <c r="F1376">
        <v>0</v>
      </c>
      <c r="G1376">
        <v>0</v>
      </c>
      <c r="H1376">
        <f>IF(report_B_CategorieBoekjaar[[#This Row],[BedrijfsCode]]="002",IF(report_B_CategorieBoekjaar[[#This Row],[Boekjaar]]=Projectbegroting!$K$1,report_B_CategorieBoekjaar[[#This Row],[CategorieCode]],0),0)</f>
        <v>0</v>
      </c>
      <c r="I1376">
        <f>IF(report_B_CategorieBoekjaar[[#This Row],[BedrijfsCode]]="001",IF(report_B_CategorieBoekjaar[[#This Row],[Boekjaar]]=Projectbegroting!$K$1,report_B_CategorieBoekjaar[[#This Row],[CategorieCode]],0),0)</f>
        <v>0</v>
      </c>
    </row>
    <row r="1377" spans="1:9" x14ac:dyDescent="0.3">
      <c r="A1377" t="s">
        <v>330</v>
      </c>
      <c r="B1377" s="20">
        <v>44197</v>
      </c>
      <c r="C1377" t="s">
        <v>373</v>
      </c>
      <c r="D1377" t="s">
        <v>374</v>
      </c>
      <c r="E1377" t="s">
        <v>217</v>
      </c>
      <c r="F1377">
        <v>0</v>
      </c>
      <c r="G1377">
        <v>0</v>
      </c>
      <c r="H1377">
        <f>IF(report_B_CategorieBoekjaar[[#This Row],[BedrijfsCode]]="002",IF(report_B_CategorieBoekjaar[[#This Row],[Boekjaar]]=Projectbegroting!$K$1,report_B_CategorieBoekjaar[[#This Row],[CategorieCode]],0),0)</f>
        <v>0</v>
      </c>
      <c r="I1377">
        <f>IF(report_B_CategorieBoekjaar[[#This Row],[BedrijfsCode]]="001",IF(report_B_CategorieBoekjaar[[#This Row],[Boekjaar]]=Projectbegroting!$K$1,report_B_CategorieBoekjaar[[#This Row],[CategorieCode]],0),0)</f>
        <v>0</v>
      </c>
    </row>
    <row r="1378" spans="1:9" x14ac:dyDescent="0.3">
      <c r="A1378" t="s">
        <v>330</v>
      </c>
      <c r="B1378" s="20">
        <v>44197</v>
      </c>
      <c r="C1378" t="s">
        <v>375</v>
      </c>
      <c r="D1378" t="s">
        <v>376</v>
      </c>
      <c r="E1378" t="s">
        <v>217</v>
      </c>
      <c r="F1378">
        <v>0</v>
      </c>
      <c r="G1378">
        <v>0</v>
      </c>
      <c r="H1378">
        <f>IF(report_B_CategorieBoekjaar[[#This Row],[BedrijfsCode]]="002",IF(report_B_CategorieBoekjaar[[#This Row],[Boekjaar]]=Projectbegroting!$K$1,report_B_CategorieBoekjaar[[#This Row],[CategorieCode]],0),0)</f>
        <v>0</v>
      </c>
      <c r="I1378">
        <f>IF(report_B_CategorieBoekjaar[[#This Row],[BedrijfsCode]]="001",IF(report_B_CategorieBoekjaar[[#This Row],[Boekjaar]]=Projectbegroting!$K$1,report_B_CategorieBoekjaar[[#This Row],[CategorieCode]],0),0)</f>
        <v>0</v>
      </c>
    </row>
    <row r="1379" spans="1:9" x14ac:dyDescent="0.3">
      <c r="A1379" t="s">
        <v>330</v>
      </c>
      <c r="B1379" s="20">
        <v>44197</v>
      </c>
      <c r="C1379" t="s">
        <v>377</v>
      </c>
      <c r="D1379" t="s">
        <v>378</v>
      </c>
      <c r="E1379" t="s">
        <v>217</v>
      </c>
      <c r="F1379">
        <v>0</v>
      </c>
      <c r="G1379">
        <v>0</v>
      </c>
      <c r="H1379">
        <f>IF(report_B_CategorieBoekjaar[[#This Row],[BedrijfsCode]]="002",IF(report_B_CategorieBoekjaar[[#This Row],[Boekjaar]]=Projectbegroting!$K$1,report_B_CategorieBoekjaar[[#This Row],[CategorieCode]],0),0)</f>
        <v>0</v>
      </c>
      <c r="I1379">
        <f>IF(report_B_CategorieBoekjaar[[#This Row],[BedrijfsCode]]="001",IF(report_B_CategorieBoekjaar[[#This Row],[Boekjaar]]=Projectbegroting!$K$1,report_B_CategorieBoekjaar[[#This Row],[CategorieCode]],0),0)</f>
        <v>0</v>
      </c>
    </row>
    <row r="1380" spans="1:9" x14ac:dyDescent="0.3">
      <c r="A1380" t="s">
        <v>330</v>
      </c>
      <c r="B1380" s="20">
        <v>44197</v>
      </c>
      <c r="C1380" t="s">
        <v>379</v>
      </c>
      <c r="D1380" t="s">
        <v>380</v>
      </c>
      <c r="E1380" t="s">
        <v>381</v>
      </c>
      <c r="F1380">
        <v>42</v>
      </c>
      <c r="G1380">
        <v>70</v>
      </c>
      <c r="H1380">
        <f>IF(report_B_CategorieBoekjaar[[#This Row],[BedrijfsCode]]="002",IF(report_B_CategorieBoekjaar[[#This Row],[Boekjaar]]=Projectbegroting!$K$1,report_B_CategorieBoekjaar[[#This Row],[CategorieCode]],0),0)</f>
        <v>0</v>
      </c>
      <c r="I1380">
        <f>IF(report_B_CategorieBoekjaar[[#This Row],[BedrijfsCode]]="001",IF(report_B_CategorieBoekjaar[[#This Row],[Boekjaar]]=Projectbegroting!$K$1,report_B_CategorieBoekjaar[[#This Row],[CategorieCode]],0),0)</f>
        <v>0</v>
      </c>
    </row>
    <row r="1381" spans="1:9" x14ac:dyDescent="0.3">
      <c r="A1381" t="s">
        <v>330</v>
      </c>
      <c r="B1381" s="20">
        <v>44197</v>
      </c>
      <c r="C1381" t="s">
        <v>382</v>
      </c>
      <c r="D1381" t="s">
        <v>383</v>
      </c>
      <c r="E1381" t="s">
        <v>384</v>
      </c>
      <c r="F1381">
        <v>0</v>
      </c>
      <c r="G1381">
        <v>0</v>
      </c>
      <c r="H1381">
        <f>IF(report_B_CategorieBoekjaar[[#This Row],[BedrijfsCode]]="002",IF(report_B_CategorieBoekjaar[[#This Row],[Boekjaar]]=Projectbegroting!$K$1,report_B_CategorieBoekjaar[[#This Row],[CategorieCode]],0),0)</f>
        <v>0</v>
      </c>
      <c r="I1381">
        <f>IF(report_B_CategorieBoekjaar[[#This Row],[BedrijfsCode]]="001",IF(report_B_CategorieBoekjaar[[#This Row],[Boekjaar]]=Projectbegroting!$K$1,report_B_CategorieBoekjaar[[#This Row],[CategorieCode]],0),0)</f>
        <v>0</v>
      </c>
    </row>
    <row r="1382" spans="1:9" x14ac:dyDescent="0.3">
      <c r="A1382" t="s">
        <v>330</v>
      </c>
      <c r="B1382" s="20">
        <v>44197</v>
      </c>
      <c r="C1382" t="s">
        <v>385</v>
      </c>
      <c r="D1382" t="s">
        <v>386</v>
      </c>
      <c r="E1382" t="s">
        <v>381</v>
      </c>
      <c r="F1382">
        <v>68</v>
      </c>
      <c r="G1382">
        <v>97</v>
      </c>
      <c r="H1382">
        <f>IF(report_B_CategorieBoekjaar[[#This Row],[BedrijfsCode]]="002",IF(report_B_CategorieBoekjaar[[#This Row],[Boekjaar]]=Projectbegroting!$K$1,report_B_CategorieBoekjaar[[#This Row],[CategorieCode]],0),0)</f>
        <v>0</v>
      </c>
      <c r="I1382">
        <f>IF(report_B_CategorieBoekjaar[[#This Row],[BedrijfsCode]]="001",IF(report_B_CategorieBoekjaar[[#This Row],[Boekjaar]]=Projectbegroting!$K$1,report_B_CategorieBoekjaar[[#This Row],[CategorieCode]],0),0)</f>
        <v>0</v>
      </c>
    </row>
    <row r="1383" spans="1:9" x14ac:dyDescent="0.3">
      <c r="A1383" t="s">
        <v>330</v>
      </c>
      <c r="B1383" s="20">
        <v>44197</v>
      </c>
      <c r="C1383" t="s">
        <v>387</v>
      </c>
      <c r="D1383" t="s">
        <v>388</v>
      </c>
      <c r="E1383" t="s">
        <v>384</v>
      </c>
      <c r="F1383">
        <v>0</v>
      </c>
      <c r="G1383">
        <v>0</v>
      </c>
      <c r="H1383">
        <f>IF(report_B_CategorieBoekjaar[[#This Row],[BedrijfsCode]]="002",IF(report_B_CategorieBoekjaar[[#This Row],[Boekjaar]]=Projectbegroting!$K$1,report_B_CategorieBoekjaar[[#This Row],[CategorieCode]],0),0)</f>
        <v>0</v>
      </c>
      <c r="I1383">
        <f>IF(report_B_CategorieBoekjaar[[#This Row],[BedrijfsCode]]="001",IF(report_B_CategorieBoekjaar[[#This Row],[Boekjaar]]=Projectbegroting!$K$1,report_B_CategorieBoekjaar[[#This Row],[CategorieCode]],0),0)</f>
        <v>0</v>
      </c>
    </row>
    <row r="1384" spans="1:9" x14ac:dyDescent="0.3">
      <c r="A1384" t="s">
        <v>330</v>
      </c>
      <c r="B1384" s="20">
        <v>44197</v>
      </c>
      <c r="C1384" t="s">
        <v>52</v>
      </c>
      <c r="D1384" t="s">
        <v>53</v>
      </c>
      <c r="E1384" t="s">
        <v>381</v>
      </c>
      <c r="F1384">
        <v>69</v>
      </c>
      <c r="G1384">
        <v>0</v>
      </c>
      <c r="H1384">
        <f>IF(report_B_CategorieBoekjaar[[#This Row],[BedrijfsCode]]="002",IF(report_B_CategorieBoekjaar[[#This Row],[Boekjaar]]=Projectbegroting!$K$1,report_B_CategorieBoekjaar[[#This Row],[CategorieCode]],0),0)</f>
        <v>0</v>
      </c>
      <c r="I1384">
        <f>IF(report_B_CategorieBoekjaar[[#This Row],[BedrijfsCode]]="001",IF(report_B_CategorieBoekjaar[[#This Row],[Boekjaar]]=Projectbegroting!$K$1,report_B_CategorieBoekjaar[[#This Row],[CategorieCode]],0),0)</f>
        <v>0</v>
      </c>
    </row>
    <row r="1385" spans="1:9" x14ac:dyDescent="0.3">
      <c r="A1385" t="s">
        <v>330</v>
      </c>
      <c r="B1385" s="20">
        <v>44197</v>
      </c>
      <c r="C1385" t="s">
        <v>389</v>
      </c>
      <c r="D1385" t="s">
        <v>390</v>
      </c>
      <c r="E1385" t="s">
        <v>384</v>
      </c>
      <c r="F1385">
        <v>0</v>
      </c>
      <c r="G1385">
        <v>0</v>
      </c>
      <c r="H1385">
        <f>IF(report_B_CategorieBoekjaar[[#This Row],[BedrijfsCode]]="002",IF(report_B_CategorieBoekjaar[[#This Row],[Boekjaar]]=Projectbegroting!$K$1,report_B_CategorieBoekjaar[[#This Row],[CategorieCode]],0),0)</f>
        <v>0</v>
      </c>
      <c r="I1385">
        <f>IF(report_B_CategorieBoekjaar[[#This Row],[BedrijfsCode]]="001",IF(report_B_CategorieBoekjaar[[#This Row],[Boekjaar]]=Projectbegroting!$K$1,report_B_CategorieBoekjaar[[#This Row],[CategorieCode]],0),0)</f>
        <v>0</v>
      </c>
    </row>
    <row r="1386" spans="1:9" x14ac:dyDescent="0.3">
      <c r="A1386" t="s">
        <v>330</v>
      </c>
      <c r="B1386" s="20">
        <v>44197</v>
      </c>
      <c r="C1386" t="s">
        <v>391</v>
      </c>
      <c r="D1386" t="s">
        <v>392</v>
      </c>
      <c r="E1386" t="s">
        <v>381</v>
      </c>
      <c r="F1386">
        <v>56</v>
      </c>
      <c r="G1386">
        <v>0</v>
      </c>
      <c r="H1386">
        <f>IF(report_B_CategorieBoekjaar[[#This Row],[BedrijfsCode]]="002",IF(report_B_CategorieBoekjaar[[#This Row],[Boekjaar]]=Projectbegroting!$K$1,report_B_CategorieBoekjaar[[#This Row],[CategorieCode]],0),0)</f>
        <v>0</v>
      </c>
      <c r="I1386">
        <f>IF(report_B_CategorieBoekjaar[[#This Row],[BedrijfsCode]]="001",IF(report_B_CategorieBoekjaar[[#This Row],[Boekjaar]]=Projectbegroting!$K$1,report_B_CategorieBoekjaar[[#This Row],[CategorieCode]],0),0)</f>
        <v>0</v>
      </c>
    </row>
    <row r="1387" spans="1:9" x14ac:dyDescent="0.3">
      <c r="A1387" t="s">
        <v>330</v>
      </c>
      <c r="B1387" s="20">
        <v>44197</v>
      </c>
      <c r="C1387" t="s">
        <v>393</v>
      </c>
      <c r="D1387" t="s">
        <v>394</v>
      </c>
      <c r="E1387" t="s">
        <v>384</v>
      </c>
      <c r="F1387">
        <v>0</v>
      </c>
      <c r="G1387">
        <v>0</v>
      </c>
      <c r="H1387">
        <f>IF(report_B_CategorieBoekjaar[[#This Row],[BedrijfsCode]]="002",IF(report_B_CategorieBoekjaar[[#This Row],[Boekjaar]]=Projectbegroting!$K$1,report_B_CategorieBoekjaar[[#This Row],[CategorieCode]],0),0)</f>
        <v>0</v>
      </c>
      <c r="I1387">
        <f>IF(report_B_CategorieBoekjaar[[#This Row],[BedrijfsCode]]="001",IF(report_B_CategorieBoekjaar[[#This Row],[Boekjaar]]=Projectbegroting!$K$1,report_B_CategorieBoekjaar[[#This Row],[CategorieCode]],0),0)</f>
        <v>0</v>
      </c>
    </row>
    <row r="1388" spans="1:9" x14ac:dyDescent="0.3">
      <c r="A1388" t="s">
        <v>330</v>
      </c>
      <c r="B1388" s="20">
        <v>44197</v>
      </c>
      <c r="C1388" t="s">
        <v>395</v>
      </c>
      <c r="D1388" t="s">
        <v>396</v>
      </c>
      <c r="E1388" t="s">
        <v>381</v>
      </c>
      <c r="F1388">
        <v>54</v>
      </c>
      <c r="G1388">
        <v>0</v>
      </c>
      <c r="H1388">
        <f>IF(report_B_CategorieBoekjaar[[#This Row],[BedrijfsCode]]="002",IF(report_B_CategorieBoekjaar[[#This Row],[Boekjaar]]=Projectbegroting!$K$1,report_B_CategorieBoekjaar[[#This Row],[CategorieCode]],0),0)</f>
        <v>0</v>
      </c>
      <c r="I1388">
        <f>IF(report_B_CategorieBoekjaar[[#This Row],[BedrijfsCode]]="001",IF(report_B_CategorieBoekjaar[[#This Row],[Boekjaar]]=Projectbegroting!$K$1,report_B_CategorieBoekjaar[[#This Row],[CategorieCode]],0),0)</f>
        <v>0</v>
      </c>
    </row>
    <row r="1389" spans="1:9" x14ac:dyDescent="0.3">
      <c r="A1389" t="s">
        <v>330</v>
      </c>
      <c r="B1389" s="20">
        <v>44197</v>
      </c>
      <c r="C1389" t="s">
        <v>397</v>
      </c>
      <c r="D1389" t="s">
        <v>398</v>
      </c>
      <c r="E1389" t="s">
        <v>384</v>
      </c>
      <c r="F1389">
        <v>0</v>
      </c>
      <c r="G1389">
        <v>0</v>
      </c>
      <c r="H1389">
        <f>IF(report_B_CategorieBoekjaar[[#This Row],[BedrijfsCode]]="002",IF(report_B_CategorieBoekjaar[[#This Row],[Boekjaar]]=Projectbegroting!$K$1,report_B_CategorieBoekjaar[[#This Row],[CategorieCode]],0),0)</f>
        <v>0</v>
      </c>
      <c r="I1389">
        <f>IF(report_B_CategorieBoekjaar[[#This Row],[BedrijfsCode]]="001",IF(report_B_CategorieBoekjaar[[#This Row],[Boekjaar]]=Projectbegroting!$K$1,report_B_CategorieBoekjaar[[#This Row],[CategorieCode]],0),0)</f>
        <v>0</v>
      </c>
    </row>
    <row r="1390" spans="1:9" x14ac:dyDescent="0.3">
      <c r="A1390" t="s">
        <v>330</v>
      </c>
      <c r="B1390" s="20">
        <v>44197</v>
      </c>
      <c r="C1390" t="s">
        <v>54</v>
      </c>
      <c r="D1390" t="s">
        <v>399</v>
      </c>
      <c r="E1390" t="s">
        <v>381</v>
      </c>
      <c r="F1390">
        <v>51</v>
      </c>
      <c r="G1390">
        <v>79</v>
      </c>
      <c r="H1390">
        <f>IF(report_B_CategorieBoekjaar[[#This Row],[BedrijfsCode]]="002",IF(report_B_CategorieBoekjaar[[#This Row],[Boekjaar]]=Projectbegroting!$K$1,report_B_CategorieBoekjaar[[#This Row],[CategorieCode]],0),0)</f>
        <v>0</v>
      </c>
      <c r="I1390">
        <f>IF(report_B_CategorieBoekjaar[[#This Row],[BedrijfsCode]]="001",IF(report_B_CategorieBoekjaar[[#This Row],[Boekjaar]]=Projectbegroting!$K$1,report_B_CategorieBoekjaar[[#This Row],[CategorieCode]],0),0)</f>
        <v>0</v>
      </c>
    </row>
    <row r="1391" spans="1:9" x14ac:dyDescent="0.3">
      <c r="A1391" t="s">
        <v>330</v>
      </c>
      <c r="B1391" s="20">
        <v>44197</v>
      </c>
      <c r="C1391" t="s">
        <v>400</v>
      </c>
      <c r="D1391" t="s">
        <v>401</v>
      </c>
      <c r="E1391" t="s">
        <v>384</v>
      </c>
      <c r="F1391">
        <v>0</v>
      </c>
      <c r="G1391">
        <v>0</v>
      </c>
      <c r="H1391">
        <f>IF(report_B_CategorieBoekjaar[[#This Row],[BedrijfsCode]]="002",IF(report_B_CategorieBoekjaar[[#This Row],[Boekjaar]]=Projectbegroting!$K$1,report_B_CategorieBoekjaar[[#This Row],[CategorieCode]],0),0)</f>
        <v>0</v>
      </c>
      <c r="I1391">
        <f>IF(report_B_CategorieBoekjaar[[#This Row],[BedrijfsCode]]="001",IF(report_B_CategorieBoekjaar[[#This Row],[Boekjaar]]=Projectbegroting!$K$1,report_B_CategorieBoekjaar[[#This Row],[CategorieCode]],0),0)</f>
        <v>0</v>
      </c>
    </row>
    <row r="1392" spans="1:9" x14ac:dyDescent="0.3">
      <c r="A1392" t="s">
        <v>330</v>
      </c>
      <c r="B1392" s="20">
        <v>44197</v>
      </c>
      <c r="C1392" t="s">
        <v>56</v>
      </c>
      <c r="D1392" t="s">
        <v>402</v>
      </c>
      <c r="E1392" t="s">
        <v>381</v>
      </c>
      <c r="F1392">
        <v>64</v>
      </c>
      <c r="G1392">
        <v>0</v>
      </c>
      <c r="H1392">
        <f>IF(report_B_CategorieBoekjaar[[#This Row],[BedrijfsCode]]="002",IF(report_B_CategorieBoekjaar[[#This Row],[Boekjaar]]=Projectbegroting!$K$1,report_B_CategorieBoekjaar[[#This Row],[CategorieCode]],0),0)</f>
        <v>0</v>
      </c>
      <c r="I1392">
        <f>IF(report_B_CategorieBoekjaar[[#This Row],[BedrijfsCode]]="001",IF(report_B_CategorieBoekjaar[[#This Row],[Boekjaar]]=Projectbegroting!$K$1,report_B_CategorieBoekjaar[[#This Row],[CategorieCode]],0),0)</f>
        <v>0</v>
      </c>
    </row>
    <row r="1393" spans="1:9" x14ac:dyDescent="0.3">
      <c r="A1393" t="s">
        <v>330</v>
      </c>
      <c r="B1393" s="20">
        <v>44197</v>
      </c>
      <c r="C1393" t="s">
        <v>403</v>
      </c>
      <c r="D1393" t="s">
        <v>404</v>
      </c>
      <c r="E1393" t="s">
        <v>384</v>
      </c>
      <c r="F1393">
        <v>0</v>
      </c>
      <c r="G1393">
        <v>0</v>
      </c>
      <c r="H1393">
        <f>IF(report_B_CategorieBoekjaar[[#This Row],[BedrijfsCode]]="002",IF(report_B_CategorieBoekjaar[[#This Row],[Boekjaar]]=Projectbegroting!$K$1,report_B_CategorieBoekjaar[[#This Row],[CategorieCode]],0),0)</f>
        <v>0</v>
      </c>
      <c r="I1393">
        <f>IF(report_B_CategorieBoekjaar[[#This Row],[BedrijfsCode]]="001",IF(report_B_CategorieBoekjaar[[#This Row],[Boekjaar]]=Projectbegroting!$K$1,report_B_CategorieBoekjaar[[#This Row],[CategorieCode]],0),0)</f>
        <v>0</v>
      </c>
    </row>
    <row r="1394" spans="1:9" x14ac:dyDescent="0.3">
      <c r="A1394" t="s">
        <v>330</v>
      </c>
      <c r="B1394" s="20">
        <v>44197</v>
      </c>
      <c r="C1394" t="s">
        <v>405</v>
      </c>
      <c r="D1394" t="s">
        <v>16</v>
      </c>
      <c r="E1394" t="s">
        <v>381</v>
      </c>
      <c r="F1394">
        <v>52</v>
      </c>
      <c r="G1394">
        <v>0</v>
      </c>
      <c r="H1394">
        <f>IF(report_B_CategorieBoekjaar[[#This Row],[BedrijfsCode]]="002",IF(report_B_CategorieBoekjaar[[#This Row],[Boekjaar]]=Projectbegroting!$K$1,report_B_CategorieBoekjaar[[#This Row],[CategorieCode]],0),0)</f>
        <v>0</v>
      </c>
      <c r="I1394">
        <f>IF(report_B_CategorieBoekjaar[[#This Row],[BedrijfsCode]]="001",IF(report_B_CategorieBoekjaar[[#This Row],[Boekjaar]]=Projectbegroting!$K$1,report_B_CategorieBoekjaar[[#This Row],[CategorieCode]],0),0)</f>
        <v>0</v>
      </c>
    </row>
    <row r="1395" spans="1:9" x14ac:dyDescent="0.3">
      <c r="A1395" t="s">
        <v>330</v>
      </c>
      <c r="B1395" s="20">
        <v>44197</v>
      </c>
      <c r="C1395" t="s">
        <v>58</v>
      </c>
      <c r="D1395" t="s">
        <v>406</v>
      </c>
      <c r="E1395" t="s">
        <v>381</v>
      </c>
      <c r="F1395">
        <v>50</v>
      </c>
      <c r="G1395">
        <v>0</v>
      </c>
      <c r="H1395">
        <f>IF(report_B_CategorieBoekjaar[[#This Row],[BedrijfsCode]]="002",IF(report_B_CategorieBoekjaar[[#This Row],[Boekjaar]]=Projectbegroting!$K$1,report_B_CategorieBoekjaar[[#This Row],[CategorieCode]],0),0)</f>
        <v>0</v>
      </c>
      <c r="I1395">
        <f>IF(report_B_CategorieBoekjaar[[#This Row],[BedrijfsCode]]="001",IF(report_B_CategorieBoekjaar[[#This Row],[Boekjaar]]=Projectbegroting!$K$1,report_B_CategorieBoekjaar[[#This Row],[CategorieCode]],0),0)</f>
        <v>0</v>
      </c>
    </row>
    <row r="1396" spans="1:9" x14ac:dyDescent="0.3">
      <c r="A1396" t="s">
        <v>330</v>
      </c>
      <c r="B1396" s="20">
        <v>44197</v>
      </c>
      <c r="C1396" t="s">
        <v>407</v>
      </c>
      <c r="D1396" t="s">
        <v>408</v>
      </c>
      <c r="E1396" t="s">
        <v>384</v>
      </c>
      <c r="F1396">
        <v>0</v>
      </c>
      <c r="G1396">
        <v>0</v>
      </c>
      <c r="H1396">
        <f>IF(report_B_CategorieBoekjaar[[#This Row],[BedrijfsCode]]="002",IF(report_B_CategorieBoekjaar[[#This Row],[Boekjaar]]=Projectbegroting!$K$1,report_B_CategorieBoekjaar[[#This Row],[CategorieCode]],0),0)</f>
        <v>0</v>
      </c>
      <c r="I1396">
        <f>IF(report_B_CategorieBoekjaar[[#This Row],[BedrijfsCode]]="001",IF(report_B_CategorieBoekjaar[[#This Row],[Boekjaar]]=Projectbegroting!$K$1,report_B_CategorieBoekjaar[[#This Row],[CategorieCode]],0),0)</f>
        <v>0</v>
      </c>
    </row>
    <row r="1397" spans="1:9" x14ac:dyDescent="0.3">
      <c r="A1397" t="s">
        <v>330</v>
      </c>
      <c r="B1397" s="20">
        <v>44197</v>
      </c>
      <c r="C1397" t="s">
        <v>60</v>
      </c>
      <c r="D1397" t="s">
        <v>61</v>
      </c>
      <c r="E1397" t="s">
        <v>381</v>
      </c>
      <c r="F1397">
        <v>65</v>
      </c>
      <c r="G1397">
        <v>94</v>
      </c>
      <c r="H1397">
        <f>IF(report_B_CategorieBoekjaar[[#This Row],[BedrijfsCode]]="002",IF(report_B_CategorieBoekjaar[[#This Row],[Boekjaar]]=Projectbegroting!$K$1,report_B_CategorieBoekjaar[[#This Row],[CategorieCode]],0),0)</f>
        <v>0</v>
      </c>
      <c r="I1397">
        <f>IF(report_B_CategorieBoekjaar[[#This Row],[BedrijfsCode]]="001",IF(report_B_CategorieBoekjaar[[#This Row],[Boekjaar]]=Projectbegroting!$K$1,report_B_CategorieBoekjaar[[#This Row],[CategorieCode]],0),0)</f>
        <v>0</v>
      </c>
    </row>
    <row r="1398" spans="1:9" x14ac:dyDescent="0.3">
      <c r="A1398" t="s">
        <v>330</v>
      </c>
      <c r="B1398" s="20">
        <v>44197</v>
      </c>
      <c r="C1398" t="s">
        <v>168</v>
      </c>
      <c r="D1398" t="s">
        <v>409</v>
      </c>
      <c r="E1398" t="s">
        <v>384</v>
      </c>
      <c r="F1398">
        <v>0</v>
      </c>
      <c r="G1398">
        <v>0</v>
      </c>
      <c r="H1398">
        <f>IF(report_B_CategorieBoekjaar[[#This Row],[BedrijfsCode]]="002",IF(report_B_CategorieBoekjaar[[#This Row],[Boekjaar]]=Projectbegroting!$K$1,report_B_CategorieBoekjaar[[#This Row],[CategorieCode]],0),0)</f>
        <v>0</v>
      </c>
      <c r="I1398">
        <f>IF(report_B_CategorieBoekjaar[[#This Row],[BedrijfsCode]]="001",IF(report_B_CategorieBoekjaar[[#This Row],[Boekjaar]]=Projectbegroting!$K$1,report_B_CategorieBoekjaar[[#This Row],[CategorieCode]],0),0)</f>
        <v>0</v>
      </c>
    </row>
    <row r="1399" spans="1:9" x14ac:dyDescent="0.3">
      <c r="A1399" t="s">
        <v>330</v>
      </c>
      <c r="B1399" s="20">
        <v>44197</v>
      </c>
      <c r="C1399" t="s">
        <v>410</v>
      </c>
      <c r="D1399" t="s">
        <v>411</v>
      </c>
      <c r="E1399" t="s">
        <v>381</v>
      </c>
      <c r="F1399">
        <v>34</v>
      </c>
      <c r="G1399">
        <v>0</v>
      </c>
      <c r="H1399">
        <f>IF(report_B_CategorieBoekjaar[[#This Row],[BedrijfsCode]]="002",IF(report_B_CategorieBoekjaar[[#This Row],[Boekjaar]]=Projectbegroting!$K$1,report_B_CategorieBoekjaar[[#This Row],[CategorieCode]],0),0)</f>
        <v>0</v>
      </c>
      <c r="I1399">
        <f>IF(report_B_CategorieBoekjaar[[#This Row],[BedrijfsCode]]="001",IF(report_B_CategorieBoekjaar[[#This Row],[Boekjaar]]=Projectbegroting!$K$1,report_B_CategorieBoekjaar[[#This Row],[CategorieCode]],0),0)</f>
        <v>0</v>
      </c>
    </row>
    <row r="1400" spans="1:9" x14ac:dyDescent="0.3">
      <c r="A1400" t="s">
        <v>330</v>
      </c>
      <c r="B1400" s="20">
        <v>44197</v>
      </c>
      <c r="C1400" t="s">
        <v>412</v>
      </c>
      <c r="D1400" t="s">
        <v>413</v>
      </c>
      <c r="E1400" t="s">
        <v>381</v>
      </c>
      <c r="F1400">
        <v>37</v>
      </c>
      <c r="G1400">
        <v>0</v>
      </c>
      <c r="H1400">
        <f>IF(report_B_CategorieBoekjaar[[#This Row],[BedrijfsCode]]="002",IF(report_B_CategorieBoekjaar[[#This Row],[Boekjaar]]=Projectbegroting!$K$1,report_B_CategorieBoekjaar[[#This Row],[CategorieCode]],0),0)</f>
        <v>0</v>
      </c>
      <c r="I1400">
        <f>IF(report_B_CategorieBoekjaar[[#This Row],[BedrijfsCode]]="001",IF(report_B_CategorieBoekjaar[[#This Row],[Boekjaar]]=Projectbegroting!$K$1,report_B_CategorieBoekjaar[[#This Row],[CategorieCode]],0),0)</f>
        <v>0</v>
      </c>
    </row>
    <row r="1401" spans="1:9" x14ac:dyDescent="0.3">
      <c r="A1401" t="s">
        <v>330</v>
      </c>
      <c r="B1401" s="20">
        <v>44197</v>
      </c>
      <c r="C1401" t="s">
        <v>414</v>
      </c>
      <c r="D1401" t="s">
        <v>415</v>
      </c>
      <c r="E1401" t="s">
        <v>384</v>
      </c>
      <c r="F1401">
        <v>0</v>
      </c>
      <c r="G1401">
        <v>0</v>
      </c>
      <c r="H1401">
        <f>IF(report_B_CategorieBoekjaar[[#This Row],[BedrijfsCode]]="002",IF(report_B_CategorieBoekjaar[[#This Row],[Boekjaar]]=Projectbegroting!$K$1,report_B_CategorieBoekjaar[[#This Row],[CategorieCode]],0),0)</f>
        <v>0</v>
      </c>
      <c r="I1401">
        <f>IF(report_B_CategorieBoekjaar[[#This Row],[BedrijfsCode]]="001",IF(report_B_CategorieBoekjaar[[#This Row],[Boekjaar]]=Projectbegroting!$K$1,report_B_CategorieBoekjaar[[#This Row],[CategorieCode]],0),0)</f>
        <v>0</v>
      </c>
    </row>
    <row r="1402" spans="1:9" x14ac:dyDescent="0.3">
      <c r="A1402" t="s">
        <v>330</v>
      </c>
      <c r="B1402" s="20">
        <v>44197</v>
      </c>
      <c r="C1402" t="s">
        <v>82</v>
      </c>
      <c r="D1402" t="s">
        <v>416</v>
      </c>
      <c r="E1402" t="s">
        <v>381</v>
      </c>
      <c r="F1402">
        <v>73</v>
      </c>
      <c r="G1402">
        <v>102</v>
      </c>
      <c r="H1402">
        <f>IF(report_B_CategorieBoekjaar[[#This Row],[BedrijfsCode]]="002",IF(report_B_CategorieBoekjaar[[#This Row],[Boekjaar]]=Projectbegroting!$K$1,report_B_CategorieBoekjaar[[#This Row],[CategorieCode]],0),0)</f>
        <v>0</v>
      </c>
      <c r="I1402">
        <f>IF(report_B_CategorieBoekjaar[[#This Row],[BedrijfsCode]]="001",IF(report_B_CategorieBoekjaar[[#This Row],[Boekjaar]]=Projectbegroting!$K$1,report_B_CategorieBoekjaar[[#This Row],[CategorieCode]],0),0)</f>
        <v>0</v>
      </c>
    </row>
    <row r="1403" spans="1:9" x14ac:dyDescent="0.3">
      <c r="A1403" t="s">
        <v>330</v>
      </c>
      <c r="B1403" s="20">
        <v>44197</v>
      </c>
      <c r="C1403" t="s">
        <v>169</v>
      </c>
      <c r="D1403" t="s">
        <v>417</v>
      </c>
      <c r="E1403" t="s">
        <v>384</v>
      </c>
      <c r="F1403">
        <v>0</v>
      </c>
      <c r="G1403">
        <v>0</v>
      </c>
      <c r="H1403">
        <f>IF(report_B_CategorieBoekjaar[[#This Row],[BedrijfsCode]]="002",IF(report_B_CategorieBoekjaar[[#This Row],[Boekjaar]]=Projectbegroting!$K$1,report_B_CategorieBoekjaar[[#This Row],[CategorieCode]],0),0)</f>
        <v>0</v>
      </c>
      <c r="I1403">
        <f>IF(report_B_CategorieBoekjaar[[#This Row],[BedrijfsCode]]="001",IF(report_B_CategorieBoekjaar[[#This Row],[Boekjaar]]=Projectbegroting!$K$1,report_B_CategorieBoekjaar[[#This Row],[CategorieCode]],0),0)</f>
        <v>0</v>
      </c>
    </row>
    <row r="1404" spans="1:9" x14ac:dyDescent="0.3">
      <c r="A1404" t="s">
        <v>330</v>
      </c>
      <c r="B1404" s="20">
        <v>44197</v>
      </c>
      <c r="C1404" t="s">
        <v>418</v>
      </c>
      <c r="D1404" t="s">
        <v>419</v>
      </c>
      <c r="E1404" t="s">
        <v>381</v>
      </c>
      <c r="F1404">
        <v>66</v>
      </c>
      <c r="G1404">
        <v>102</v>
      </c>
      <c r="H1404">
        <f>IF(report_B_CategorieBoekjaar[[#This Row],[BedrijfsCode]]="002",IF(report_B_CategorieBoekjaar[[#This Row],[Boekjaar]]=Projectbegroting!$K$1,report_B_CategorieBoekjaar[[#This Row],[CategorieCode]],0),0)</f>
        <v>0</v>
      </c>
      <c r="I1404">
        <f>IF(report_B_CategorieBoekjaar[[#This Row],[BedrijfsCode]]="001",IF(report_B_CategorieBoekjaar[[#This Row],[Boekjaar]]=Projectbegroting!$K$1,report_B_CategorieBoekjaar[[#This Row],[CategorieCode]],0),0)</f>
        <v>0</v>
      </c>
    </row>
    <row r="1405" spans="1:9" x14ac:dyDescent="0.3">
      <c r="A1405" t="s">
        <v>330</v>
      </c>
      <c r="B1405" s="20">
        <v>44197</v>
      </c>
      <c r="C1405" t="s">
        <v>84</v>
      </c>
      <c r="D1405" t="s">
        <v>420</v>
      </c>
      <c r="E1405" t="s">
        <v>381</v>
      </c>
      <c r="F1405">
        <v>55</v>
      </c>
      <c r="G1405">
        <v>84</v>
      </c>
      <c r="H1405">
        <f>IF(report_B_CategorieBoekjaar[[#This Row],[BedrijfsCode]]="002",IF(report_B_CategorieBoekjaar[[#This Row],[Boekjaar]]=Projectbegroting!$K$1,report_B_CategorieBoekjaar[[#This Row],[CategorieCode]],0),0)</f>
        <v>0</v>
      </c>
      <c r="I1405">
        <f>IF(report_B_CategorieBoekjaar[[#This Row],[BedrijfsCode]]="001",IF(report_B_CategorieBoekjaar[[#This Row],[Boekjaar]]=Projectbegroting!$K$1,report_B_CategorieBoekjaar[[#This Row],[CategorieCode]],0),0)</f>
        <v>0</v>
      </c>
    </row>
    <row r="1406" spans="1:9" x14ac:dyDescent="0.3">
      <c r="A1406" t="s">
        <v>330</v>
      </c>
      <c r="B1406" s="20">
        <v>44197</v>
      </c>
      <c r="C1406" t="s">
        <v>170</v>
      </c>
      <c r="D1406" t="s">
        <v>421</v>
      </c>
      <c r="E1406" t="s">
        <v>384</v>
      </c>
      <c r="F1406">
        <v>0</v>
      </c>
      <c r="G1406">
        <v>0</v>
      </c>
      <c r="H1406">
        <f>IF(report_B_CategorieBoekjaar[[#This Row],[BedrijfsCode]]="002",IF(report_B_CategorieBoekjaar[[#This Row],[Boekjaar]]=Projectbegroting!$K$1,report_B_CategorieBoekjaar[[#This Row],[CategorieCode]],0),0)</f>
        <v>0</v>
      </c>
      <c r="I1406">
        <f>IF(report_B_CategorieBoekjaar[[#This Row],[BedrijfsCode]]="001",IF(report_B_CategorieBoekjaar[[#This Row],[Boekjaar]]=Projectbegroting!$K$1,report_B_CategorieBoekjaar[[#This Row],[CategorieCode]],0),0)</f>
        <v>0</v>
      </c>
    </row>
    <row r="1407" spans="1:9" x14ac:dyDescent="0.3">
      <c r="A1407" t="s">
        <v>330</v>
      </c>
      <c r="B1407" s="20">
        <v>44197</v>
      </c>
      <c r="C1407" t="s">
        <v>96</v>
      </c>
      <c r="D1407" t="s">
        <v>422</v>
      </c>
      <c r="E1407" t="s">
        <v>381</v>
      </c>
      <c r="F1407">
        <v>58</v>
      </c>
      <c r="G1407">
        <v>87</v>
      </c>
      <c r="H1407">
        <f>IF(report_B_CategorieBoekjaar[[#This Row],[BedrijfsCode]]="002",IF(report_B_CategorieBoekjaar[[#This Row],[Boekjaar]]=Projectbegroting!$K$1,report_B_CategorieBoekjaar[[#This Row],[CategorieCode]],0),0)</f>
        <v>0</v>
      </c>
      <c r="I1407">
        <f>IF(report_B_CategorieBoekjaar[[#This Row],[BedrijfsCode]]="001",IF(report_B_CategorieBoekjaar[[#This Row],[Boekjaar]]=Projectbegroting!$K$1,report_B_CategorieBoekjaar[[#This Row],[CategorieCode]],0),0)</f>
        <v>0</v>
      </c>
    </row>
    <row r="1408" spans="1:9" x14ac:dyDescent="0.3">
      <c r="A1408" t="s">
        <v>330</v>
      </c>
      <c r="B1408" s="20">
        <v>44197</v>
      </c>
      <c r="C1408" t="s">
        <v>171</v>
      </c>
      <c r="D1408" t="s">
        <v>423</v>
      </c>
      <c r="E1408" t="s">
        <v>384</v>
      </c>
      <c r="F1408">
        <v>0</v>
      </c>
      <c r="G1408">
        <v>0</v>
      </c>
      <c r="H1408">
        <f>IF(report_B_CategorieBoekjaar[[#This Row],[BedrijfsCode]]="002",IF(report_B_CategorieBoekjaar[[#This Row],[Boekjaar]]=Projectbegroting!$K$1,report_B_CategorieBoekjaar[[#This Row],[CategorieCode]],0),0)</f>
        <v>0</v>
      </c>
      <c r="I1408">
        <f>IF(report_B_CategorieBoekjaar[[#This Row],[BedrijfsCode]]="001",IF(report_B_CategorieBoekjaar[[#This Row],[Boekjaar]]=Projectbegroting!$K$1,report_B_CategorieBoekjaar[[#This Row],[CategorieCode]],0),0)</f>
        <v>0</v>
      </c>
    </row>
    <row r="1409" spans="1:9" x14ac:dyDescent="0.3">
      <c r="A1409" t="s">
        <v>330</v>
      </c>
      <c r="B1409" s="20">
        <v>44197</v>
      </c>
      <c r="C1409" t="s">
        <v>86</v>
      </c>
      <c r="D1409" t="s">
        <v>424</v>
      </c>
      <c r="E1409" t="s">
        <v>381</v>
      </c>
      <c r="F1409">
        <v>50</v>
      </c>
      <c r="G1409">
        <v>76</v>
      </c>
      <c r="H1409">
        <f>IF(report_B_CategorieBoekjaar[[#This Row],[BedrijfsCode]]="002",IF(report_B_CategorieBoekjaar[[#This Row],[Boekjaar]]=Projectbegroting!$K$1,report_B_CategorieBoekjaar[[#This Row],[CategorieCode]],0),0)</f>
        <v>0</v>
      </c>
      <c r="I1409">
        <f>IF(report_B_CategorieBoekjaar[[#This Row],[BedrijfsCode]]="001",IF(report_B_CategorieBoekjaar[[#This Row],[Boekjaar]]=Projectbegroting!$K$1,report_B_CategorieBoekjaar[[#This Row],[CategorieCode]],0),0)</f>
        <v>0</v>
      </c>
    </row>
    <row r="1410" spans="1:9" x14ac:dyDescent="0.3">
      <c r="A1410" t="s">
        <v>330</v>
      </c>
      <c r="B1410" s="20">
        <v>44197</v>
      </c>
      <c r="C1410" t="s">
        <v>172</v>
      </c>
      <c r="D1410" t="s">
        <v>425</v>
      </c>
      <c r="E1410" t="s">
        <v>384</v>
      </c>
      <c r="F1410">
        <v>0</v>
      </c>
      <c r="G1410">
        <v>0</v>
      </c>
      <c r="H1410">
        <f>IF(report_B_CategorieBoekjaar[[#This Row],[BedrijfsCode]]="002",IF(report_B_CategorieBoekjaar[[#This Row],[Boekjaar]]=Projectbegroting!$K$1,report_B_CategorieBoekjaar[[#This Row],[CategorieCode]],0),0)</f>
        <v>0</v>
      </c>
      <c r="I1410">
        <f>IF(report_B_CategorieBoekjaar[[#This Row],[BedrijfsCode]]="001",IF(report_B_CategorieBoekjaar[[#This Row],[Boekjaar]]=Projectbegroting!$K$1,report_B_CategorieBoekjaar[[#This Row],[CategorieCode]],0),0)</f>
        <v>0</v>
      </c>
    </row>
    <row r="1411" spans="1:9" x14ac:dyDescent="0.3">
      <c r="A1411" t="s">
        <v>330</v>
      </c>
      <c r="B1411" s="20">
        <v>44197</v>
      </c>
      <c r="C1411" t="s">
        <v>173</v>
      </c>
      <c r="D1411" t="s">
        <v>427</v>
      </c>
      <c r="E1411" t="s">
        <v>384</v>
      </c>
      <c r="F1411">
        <v>0</v>
      </c>
      <c r="G1411">
        <v>0</v>
      </c>
      <c r="H1411">
        <f>IF(report_B_CategorieBoekjaar[[#This Row],[BedrijfsCode]]="002",IF(report_B_CategorieBoekjaar[[#This Row],[Boekjaar]]=Projectbegroting!$K$1,report_B_CategorieBoekjaar[[#This Row],[CategorieCode]],0),0)</f>
        <v>0</v>
      </c>
      <c r="I1411">
        <f>IF(report_B_CategorieBoekjaar[[#This Row],[BedrijfsCode]]="001",IF(report_B_CategorieBoekjaar[[#This Row],[Boekjaar]]=Projectbegroting!$K$1,report_B_CategorieBoekjaar[[#This Row],[CategorieCode]],0),0)</f>
        <v>0</v>
      </c>
    </row>
    <row r="1412" spans="1:9" x14ac:dyDescent="0.3">
      <c r="A1412" t="s">
        <v>330</v>
      </c>
      <c r="B1412" s="20">
        <v>44197</v>
      </c>
      <c r="C1412" t="s">
        <v>88</v>
      </c>
      <c r="D1412" t="s">
        <v>89</v>
      </c>
      <c r="E1412" t="s">
        <v>381</v>
      </c>
      <c r="F1412">
        <v>66</v>
      </c>
      <c r="G1412">
        <v>95</v>
      </c>
      <c r="H1412">
        <f>IF(report_B_CategorieBoekjaar[[#This Row],[BedrijfsCode]]="002",IF(report_B_CategorieBoekjaar[[#This Row],[Boekjaar]]=Projectbegroting!$K$1,report_B_CategorieBoekjaar[[#This Row],[CategorieCode]],0),0)</f>
        <v>0</v>
      </c>
      <c r="I1412">
        <f>IF(report_B_CategorieBoekjaar[[#This Row],[BedrijfsCode]]="001",IF(report_B_CategorieBoekjaar[[#This Row],[Boekjaar]]=Projectbegroting!$K$1,report_B_CategorieBoekjaar[[#This Row],[CategorieCode]],0),0)</f>
        <v>0</v>
      </c>
    </row>
    <row r="1413" spans="1:9" x14ac:dyDescent="0.3">
      <c r="A1413" t="s">
        <v>330</v>
      </c>
      <c r="B1413" s="20">
        <v>44197</v>
      </c>
      <c r="C1413" t="s">
        <v>174</v>
      </c>
      <c r="D1413" t="s">
        <v>428</v>
      </c>
      <c r="E1413" t="s">
        <v>384</v>
      </c>
      <c r="F1413">
        <v>0</v>
      </c>
      <c r="G1413">
        <v>0</v>
      </c>
      <c r="H1413">
        <f>IF(report_B_CategorieBoekjaar[[#This Row],[BedrijfsCode]]="002",IF(report_B_CategorieBoekjaar[[#This Row],[Boekjaar]]=Projectbegroting!$K$1,report_B_CategorieBoekjaar[[#This Row],[CategorieCode]],0),0)</f>
        <v>0</v>
      </c>
      <c r="I1413">
        <f>IF(report_B_CategorieBoekjaar[[#This Row],[BedrijfsCode]]="001",IF(report_B_CategorieBoekjaar[[#This Row],[Boekjaar]]=Projectbegroting!$K$1,report_B_CategorieBoekjaar[[#This Row],[CategorieCode]],0),0)</f>
        <v>0</v>
      </c>
    </row>
    <row r="1414" spans="1:9" x14ac:dyDescent="0.3">
      <c r="A1414" t="s">
        <v>330</v>
      </c>
      <c r="B1414" s="20">
        <v>44197</v>
      </c>
      <c r="C1414" t="s">
        <v>90</v>
      </c>
      <c r="D1414" t="s">
        <v>91</v>
      </c>
      <c r="E1414" t="s">
        <v>381</v>
      </c>
      <c r="F1414">
        <v>36</v>
      </c>
      <c r="G1414">
        <v>68</v>
      </c>
      <c r="H1414">
        <f>IF(report_B_CategorieBoekjaar[[#This Row],[BedrijfsCode]]="002",IF(report_B_CategorieBoekjaar[[#This Row],[Boekjaar]]=Projectbegroting!$K$1,report_B_CategorieBoekjaar[[#This Row],[CategorieCode]],0),0)</f>
        <v>0</v>
      </c>
      <c r="I1414">
        <f>IF(report_B_CategorieBoekjaar[[#This Row],[BedrijfsCode]]="001",IF(report_B_CategorieBoekjaar[[#This Row],[Boekjaar]]=Projectbegroting!$K$1,report_B_CategorieBoekjaar[[#This Row],[CategorieCode]],0),0)</f>
        <v>0</v>
      </c>
    </row>
    <row r="1415" spans="1:9" x14ac:dyDescent="0.3">
      <c r="A1415" t="s">
        <v>330</v>
      </c>
      <c r="B1415" s="20">
        <v>44197</v>
      </c>
      <c r="C1415" t="s">
        <v>429</v>
      </c>
      <c r="D1415" t="s">
        <v>430</v>
      </c>
      <c r="E1415" t="s">
        <v>384</v>
      </c>
      <c r="F1415">
        <v>0</v>
      </c>
      <c r="G1415">
        <v>0</v>
      </c>
      <c r="H1415">
        <f>IF(report_B_CategorieBoekjaar[[#This Row],[BedrijfsCode]]="002",IF(report_B_CategorieBoekjaar[[#This Row],[Boekjaar]]=Projectbegroting!$K$1,report_B_CategorieBoekjaar[[#This Row],[CategorieCode]],0),0)</f>
        <v>0</v>
      </c>
      <c r="I1415">
        <f>IF(report_B_CategorieBoekjaar[[#This Row],[BedrijfsCode]]="001",IF(report_B_CategorieBoekjaar[[#This Row],[Boekjaar]]=Projectbegroting!$K$1,report_B_CategorieBoekjaar[[#This Row],[CategorieCode]],0),0)</f>
        <v>0</v>
      </c>
    </row>
    <row r="1416" spans="1:9" x14ac:dyDescent="0.3">
      <c r="A1416" t="s">
        <v>330</v>
      </c>
      <c r="B1416" s="20">
        <v>44197</v>
      </c>
      <c r="C1416" t="s">
        <v>431</v>
      </c>
      <c r="D1416" t="s">
        <v>432</v>
      </c>
      <c r="E1416" t="s">
        <v>381</v>
      </c>
      <c r="F1416">
        <v>66</v>
      </c>
      <c r="G1416">
        <v>95</v>
      </c>
      <c r="H1416">
        <f>IF(report_B_CategorieBoekjaar[[#This Row],[BedrijfsCode]]="002",IF(report_B_CategorieBoekjaar[[#This Row],[Boekjaar]]=Projectbegroting!$K$1,report_B_CategorieBoekjaar[[#This Row],[CategorieCode]],0),0)</f>
        <v>0</v>
      </c>
      <c r="I1416">
        <f>IF(report_B_CategorieBoekjaar[[#This Row],[BedrijfsCode]]="001",IF(report_B_CategorieBoekjaar[[#This Row],[Boekjaar]]=Projectbegroting!$K$1,report_B_CategorieBoekjaar[[#This Row],[CategorieCode]],0),0)</f>
        <v>0</v>
      </c>
    </row>
    <row r="1417" spans="1:9" x14ac:dyDescent="0.3">
      <c r="A1417" t="s">
        <v>330</v>
      </c>
      <c r="B1417" s="20">
        <v>44197</v>
      </c>
      <c r="C1417" t="s">
        <v>433</v>
      </c>
      <c r="D1417" t="s">
        <v>434</v>
      </c>
      <c r="E1417" t="s">
        <v>384</v>
      </c>
      <c r="F1417">
        <v>0</v>
      </c>
      <c r="G1417">
        <v>0</v>
      </c>
      <c r="H1417">
        <f>IF(report_B_CategorieBoekjaar[[#This Row],[BedrijfsCode]]="002",IF(report_B_CategorieBoekjaar[[#This Row],[Boekjaar]]=Projectbegroting!$K$1,report_B_CategorieBoekjaar[[#This Row],[CategorieCode]],0),0)</f>
        <v>0</v>
      </c>
      <c r="I1417">
        <f>IF(report_B_CategorieBoekjaar[[#This Row],[BedrijfsCode]]="001",IF(report_B_CategorieBoekjaar[[#This Row],[Boekjaar]]=Projectbegroting!$K$1,report_B_CategorieBoekjaar[[#This Row],[CategorieCode]],0),0)</f>
        <v>0</v>
      </c>
    </row>
    <row r="1418" spans="1:9" x14ac:dyDescent="0.3">
      <c r="A1418" t="s">
        <v>330</v>
      </c>
      <c r="B1418" s="20">
        <v>44197</v>
      </c>
      <c r="C1418" t="s">
        <v>435</v>
      </c>
      <c r="D1418" t="s">
        <v>436</v>
      </c>
      <c r="E1418" t="s">
        <v>381</v>
      </c>
      <c r="F1418">
        <v>52</v>
      </c>
      <c r="G1418">
        <v>0</v>
      </c>
      <c r="H1418">
        <f>IF(report_B_CategorieBoekjaar[[#This Row],[BedrijfsCode]]="002",IF(report_B_CategorieBoekjaar[[#This Row],[Boekjaar]]=Projectbegroting!$K$1,report_B_CategorieBoekjaar[[#This Row],[CategorieCode]],0),0)</f>
        <v>0</v>
      </c>
      <c r="I1418">
        <f>IF(report_B_CategorieBoekjaar[[#This Row],[BedrijfsCode]]="001",IF(report_B_CategorieBoekjaar[[#This Row],[Boekjaar]]=Projectbegroting!$K$1,report_B_CategorieBoekjaar[[#This Row],[CategorieCode]],0),0)</f>
        <v>0</v>
      </c>
    </row>
    <row r="1419" spans="1:9" x14ac:dyDescent="0.3">
      <c r="A1419" t="s">
        <v>330</v>
      </c>
      <c r="B1419" s="20">
        <v>44197</v>
      </c>
      <c r="C1419" t="s">
        <v>437</v>
      </c>
      <c r="D1419" t="s">
        <v>438</v>
      </c>
      <c r="E1419" t="s">
        <v>384</v>
      </c>
      <c r="F1419">
        <v>0</v>
      </c>
      <c r="G1419">
        <v>0</v>
      </c>
      <c r="H1419">
        <f>IF(report_B_CategorieBoekjaar[[#This Row],[BedrijfsCode]]="002",IF(report_B_CategorieBoekjaar[[#This Row],[Boekjaar]]=Projectbegroting!$K$1,report_B_CategorieBoekjaar[[#This Row],[CategorieCode]],0),0)</f>
        <v>0</v>
      </c>
      <c r="I1419">
        <f>IF(report_B_CategorieBoekjaar[[#This Row],[BedrijfsCode]]="001",IF(report_B_CategorieBoekjaar[[#This Row],[Boekjaar]]=Projectbegroting!$K$1,report_B_CategorieBoekjaar[[#This Row],[CategorieCode]],0),0)</f>
        <v>0</v>
      </c>
    </row>
    <row r="1420" spans="1:9" x14ac:dyDescent="0.3">
      <c r="A1420" t="s">
        <v>330</v>
      </c>
      <c r="B1420" s="20">
        <v>44197</v>
      </c>
      <c r="C1420" t="s">
        <v>439</v>
      </c>
      <c r="D1420" t="s">
        <v>440</v>
      </c>
      <c r="E1420" t="s">
        <v>381</v>
      </c>
      <c r="F1420">
        <v>35</v>
      </c>
      <c r="G1420">
        <v>0</v>
      </c>
      <c r="H1420">
        <f>IF(report_B_CategorieBoekjaar[[#This Row],[BedrijfsCode]]="002",IF(report_B_CategorieBoekjaar[[#This Row],[Boekjaar]]=Projectbegroting!$K$1,report_B_CategorieBoekjaar[[#This Row],[CategorieCode]],0),0)</f>
        <v>0</v>
      </c>
      <c r="I1420">
        <f>IF(report_B_CategorieBoekjaar[[#This Row],[BedrijfsCode]]="001",IF(report_B_CategorieBoekjaar[[#This Row],[Boekjaar]]=Projectbegroting!$K$1,report_B_CategorieBoekjaar[[#This Row],[CategorieCode]],0),0)</f>
        <v>0</v>
      </c>
    </row>
    <row r="1421" spans="1:9" x14ac:dyDescent="0.3">
      <c r="A1421" t="s">
        <v>330</v>
      </c>
      <c r="B1421" s="20">
        <v>44197</v>
      </c>
      <c r="C1421" t="s">
        <v>441</v>
      </c>
      <c r="D1421" t="s">
        <v>442</v>
      </c>
      <c r="E1421" t="s">
        <v>381</v>
      </c>
      <c r="F1421">
        <v>51</v>
      </c>
      <c r="G1421">
        <v>0</v>
      </c>
      <c r="H1421">
        <f>IF(report_B_CategorieBoekjaar[[#This Row],[BedrijfsCode]]="002",IF(report_B_CategorieBoekjaar[[#This Row],[Boekjaar]]=Projectbegroting!$K$1,report_B_CategorieBoekjaar[[#This Row],[CategorieCode]],0),0)</f>
        <v>0</v>
      </c>
      <c r="I1421">
        <f>IF(report_B_CategorieBoekjaar[[#This Row],[BedrijfsCode]]="001",IF(report_B_CategorieBoekjaar[[#This Row],[Boekjaar]]=Projectbegroting!$K$1,report_B_CategorieBoekjaar[[#This Row],[CategorieCode]],0),0)</f>
        <v>0</v>
      </c>
    </row>
    <row r="1422" spans="1:9" x14ac:dyDescent="0.3">
      <c r="A1422" t="s">
        <v>330</v>
      </c>
      <c r="B1422" s="20">
        <v>44197</v>
      </c>
      <c r="C1422" t="s">
        <v>443</v>
      </c>
      <c r="D1422" t="s">
        <v>444</v>
      </c>
      <c r="E1422" t="s">
        <v>384</v>
      </c>
      <c r="F1422">
        <v>0</v>
      </c>
      <c r="G1422">
        <v>0</v>
      </c>
      <c r="H1422">
        <f>IF(report_B_CategorieBoekjaar[[#This Row],[BedrijfsCode]]="002",IF(report_B_CategorieBoekjaar[[#This Row],[Boekjaar]]=Projectbegroting!$K$1,report_B_CategorieBoekjaar[[#This Row],[CategorieCode]],0),0)</f>
        <v>0</v>
      </c>
      <c r="I1422">
        <f>IF(report_B_CategorieBoekjaar[[#This Row],[BedrijfsCode]]="001",IF(report_B_CategorieBoekjaar[[#This Row],[Boekjaar]]=Projectbegroting!$K$1,report_B_CategorieBoekjaar[[#This Row],[CategorieCode]],0),0)</f>
        <v>0</v>
      </c>
    </row>
    <row r="1423" spans="1:9" x14ac:dyDescent="0.3">
      <c r="A1423" t="s">
        <v>330</v>
      </c>
      <c r="B1423" s="20">
        <v>44197</v>
      </c>
      <c r="C1423" t="s">
        <v>445</v>
      </c>
      <c r="D1423" t="s">
        <v>446</v>
      </c>
      <c r="E1423" t="s">
        <v>381</v>
      </c>
      <c r="F1423">
        <v>80</v>
      </c>
      <c r="G1423">
        <v>105</v>
      </c>
      <c r="H1423">
        <f>IF(report_B_CategorieBoekjaar[[#This Row],[BedrijfsCode]]="002",IF(report_B_CategorieBoekjaar[[#This Row],[Boekjaar]]=Projectbegroting!$K$1,report_B_CategorieBoekjaar[[#This Row],[CategorieCode]],0),0)</f>
        <v>0</v>
      </c>
      <c r="I1423">
        <f>IF(report_B_CategorieBoekjaar[[#This Row],[BedrijfsCode]]="001",IF(report_B_CategorieBoekjaar[[#This Row],[Boekjaar]]=Projectbegroting!$K$1,report_B_CategorieBoekjaar[[#This Row],[CategorieCode]],0),0)</f>
        <v>0</v>
      </c>
    </row>
    <row r="1424" spans="1:9" x14ac:dyDescent="0.3">
      <c r="A1424" t="s">
        <v>330</v>
      </c>
      <c r="B1424" s="20">
        <v>44197</v>
      </c>
      <c r="C1424" t="s">
        <v>447</v>
      </c>
      <c r="D1424" t="s">
        <v>448</v>
      </c>
      <c r="E1424" t="s">
        <v>384</v>
      </c>
      <c r="F1424">
        <v>0</v>
      </c>
      <c r="G1424">
        <v>0</v>
      </c>
      <c r="H1424">
        <f>IF(report_B_CategorieBoekjaar[[#This Row],[BedrijfsCode]]="002",IF(report_B_CategorieBoekjaar[[#This Row],[Boekjaar]]=Projectbegroting!$K$1,report_B_CategorieBoekjaar[[#This Row],[CategorieCode]],0),0)</f>
        <v>0</v>
      </c>
      <c r="I1424">
        <f>IF(report_B_CategorieBoekjaar[[#This Row],[BedrijfsCode]]="001",IF(report_B_CategorieBoekjaar[[#This Row],[Boekjaar]]=Projectbegroting!$K$1,report_B_CategorieBoekjaar[[#This Row],[CategorieCode]],0),0)</f>
        <v>0</v>
      </c>
    </row>
    <row r="1425" spans="1:9" x14ac:dyDescent="0.3">
      <c r="A1425" t="s">
        <v>330</v>
      </c>
      <c r="B1425" s="20">
        <v>44197</v>
      </c>
      <c r="C1425" t="s">
        <v>449</v>
      </c>
      <c r="D1425" t="s">
        <v>450</v>
      </c>
      <c r="E1425" t="s">
        <v>381</v>
      </c>
      <c r="F1425">
        <v>35</v>
      </c>
      <c r="G1425">
        <v>0</v>
      </c>
      <c r="H1425">
        <f>IF(report_B_CategorieBoekjaar[[#This Row],[BedrijfsCode]]="002",IF(report_B_CategorieBoekjaar[[#This Row],[Boekjaar]]=Projectbegroting!$K$1,report_B_CategorieBoekjaar[[#This Row],[CategorieCode]],0),0)</f>
        <v>0</v>
      </c>
      <c r="I1425">
        <f>IF(report_B_CategorieBoekjaar[[#This Row],[BedrijfsCode]]="001",IF(report_B_CategorieBoekjaar[[#This Row],[Boekjaar]]=Projectbegroting!$K$1,report_B_CategorieBoekjaar[[#This Row],[CategorieCode]],0),0)</f>
        <v>0</v>
      </c>
    </row>
    <row r="1426" spans="1:9" x14ac:dyDescent="0.3">
      <c r="A1426" t="s">
        <v>330</v>
      </c>
      <c r="B1426" s="20">
        <v>44197</v>
      </c>
      <c r="C1426" t="s">
        <v>451</v>
      </c>
      <c r="D1426" t="s">
        <v>452</v>
      </c>
      <c r="E1426" t="s">
        <v>384</v>
      </c>
      <c r="F1426">
        <v>0</v>
      </c>
      <c r="G1426">
        <v>0</v>
      </c>
      <c r="H1426">
        <f>IF(report_B_CategorieBoekjaar[[#This Row],[BedrijfsCode]]="002",IF(report_B_CategorieBoekjaar[[#This Row],[Boekjaar]]=Projectbegroting!$K$1,report_B_CategorieBoekjaar[[#This Row],[CategorieCode]],0),0)</f>
        <v>0</v>
      </c>
      <c r="I1426">
        <f>IF(report_B_CategorieBoekjaar[[#This Row],[BedrijfsCode]]="001",IF(report_B_CategorieBoekjaar[[#This Row],[Boekjaar]]=Projectbegroting!$K$1,report_B_CategorieBoekjaar[[#This Row],[CategorieCode]],0),0)</f>
        <v>0</v>
      </c>
    </row>
    <row r="1427" spans="1:9" x14ac:dyDescent="0.3">
      <c r="A1427" t="s">
        <v>330</v>
      </c>
      <c r="B1427" s="20">
        <v>44197</v>
      </c>
      <c r="C1427" t="s">
        <v>453</v>
      </c>
      <c r="D1427" t="s">
        <v>454</v>
      </c>
      <c r="E1427" t="s">
        <v>381</v>
      </c>
      <c r="F1427">
        <v>61</v>
      </c>
      <c r="G1427">
        <v>86</v>
      </c>
      <c r="H1427">
        <f>IF(report_B_CategorieBoekjaar[[#This Row],[BedrijfsCode]]="002",IF(report_B_CategorieBoekjaar[[#This Row],[Boekjaar]]=Projectbegroting!$K$1,report_B_CategorieBoekjaar[[#This Row],[CategorieCode]],0),0)</f>
        <v>0</v>
      </c>
      <c r="I1427">
        <f>IF(report_B_CategorieBoekjaar[[#This Row],[BedrijfsCode]]="001",IF(report_B_CategorieBoekjaar[[#This Row],[Boekjaar]]=Projectbegroting!$K$1,report_B_CategorieBoekjaar[[#This Row],[CategorieCode]],0),0)</f>
        <v>0</v>
      </c>
    </row>
    <row r="1428" spans="1:9" x14ac:dyDescent="0.3">
      <c r="A1428" t="s">
        <v>330</v>
      </c>
      <c r="B1428" s="20">
        <v>44197</v>
      </c>
      <c r="C1428" t="s">
        <v>455</v>
      </c>
      <c r="D1428" t="s">
        <v>456</v>
      </c>
      <c r="E1428" t="s">
        <v>381</v>
      </c>
      <c r="F1428">
        <v>79</v>
      </c>
      <c r="G1428">
        <v>119</v>
      </c>
      <c r="H1428">
        <f>IF(report_B_CategorieBoekjaar[[#This Row],[BedrijfsCode]]="002",IF(report_B_CategorieBoekjaar[[#This Row],[Boekjaar]]=Projectbegroting!$K$1,report_B_CategorieBoekjaar[[#This Row],[CategorieCode]],0),0)</f>
        <v>0</v>
      </c>
      <c r="I1428">
        <f>IF(report_B_CategorieBoekjaar[[#This Row],[BedrijfsCode]]="001",IF(report_B_CategorieBoekjaar[[#This Row],[Boekjaar]]=Projectbegroting!$K$1,report_B_CategorieBoekjaar[[#This Row],[CategorieCode]],0),0)</f>
        <v>0</v>
      </c>
    </row>
    <row r="1429" spans="1:9" x14ac:dyDescent="0.3">
      <c r="A1429" t="s">
        <v>330</v>
      </c>
      <c r="B1429" s="20">
        <v>44197</v>
      </c>
      <c r="C1429" t="s">
        <v>457</v>
      </c>
      <c r="D1429" t="s">
        <v>458</v>
      </c>
      <c r="E1429" t="s">
        <v>384</v>
      </c>
      <c r="F1429">
        <v>0</v>
      </c>
      <c r="G1429">
        <v>0</v>
      </c>
      <c r="H1429">
        <f>IF(report_B_CategorieBoekjaar[[#This Row],[BedrijfsCode]]="002",IF(report_B_CategorieBoekjaar[[#This Row],[Boekjaar]]=Projectbegroting!$K$1,report_B_CategorieBoekjaar[[#This Row],[CategorieCode]],0),0)</f>
        <v>0</v>
      </c>
      <c r="I1429">
        <f>IF(report_B_CategorieBoekjaar[[#This Row],[BedrijfsCode]]="001",IF(report_B_CategorieBoekjaar[[#This Row],[Boekjaar]]=Projectbegroting!$K$1,report_B_CategorieBoekjaar[[#This Row],[CategorieCode]],0),0)</f>
        <v>0</v>
      </c>
    </row>
    <row r="1430" spans="1:9" x14ac:dyDescent="0.3">
      <c r="A1430" t="s">
        <v>330</v>
      </c>
      <c r="B1430" s="20">
        <v>44197</v>
      </c>
      <c r="C1430" t="s">
        <v>459</v>
      </c>
      <c r="D1430" t="s">
        <v>460</v>
      </c>
      <c r="E1430" t="s">
        <v>381</v>
      </c>
      <c r="F1430">
        <v>94</v>
      </c>
      <c r="G1430">
        <v>134</v>
      </c>
      <c r="H1430">
        <f>IF(report_B_CategorieBoekjaar[[#This Row],[BedrijfsCode]]="002",IF(report_B_CategorieBoekjaar[[#This Row],[Boekjaar]]=Projectbegroting!$K$1,report_B_CategorieBoekjaar[[#This Row],[CategorieCode]],0),0)</f>
        <v>0</v>
      </c>
      <c r="I1430">
        <f>IF(report_B_CategorieBoekjaar[[#This Row],[BedrijfsCode]]="001",IF(report_B_CategorieBoekjaar[[#This Row],[Boekjaar]]=Projectbegroting!$K$1,report_B_CategorieBoekjaar[[#This Row],[CategorieCode]],0),0)</f>
        <v>0</v>
      </c>
    </row>
    <row r="1431" spans="1:9" x14ac:dyDescent="0.3">
      <c r="A1431" t="s">
        <v>330</v>
      </c>
      <c r="B1431" s="20">
        <v>44197</v>
      </c>
      <c r="C1431" t="s">
        <v>461</v>
      </c>
      <c r="D1431" t="s">
        <v>462</v>
      </c>
      <c r="E1431" t="s">
        <v>384</v>
      </c>
      <c r="F1431">
        <v>0</v>
      </c>
      <c r="G1431">
        <v>0</v>
      </c>
      <c r="H1431">
        <f>IF(report_B_CategorieBoekjaar[[#This Row],[BedrijfsCode]]="002",IF(report_B_CategorieBoekjaar[[#This Row],[Boekjaar]]=Projectbegroting!$K$1,report_B_CategorieBoekjaar[[#This Row],[CategorieCode]],0),0)</f>
        <v>0</v>
      </c>
      <c r="I1431">
        <f>IF(report_B_CategorieBoekjaar[[#This Row],[BedrijfsCode]]="001",IF(report_B_CategorieBoekjaar[[#This Row],[Boekjaar]]=Projectbegroting!$K$1,report_B_CategorieBoekjaar[[#This Row],[CategorieCode]],0),0)</f>
        <v>0</v>
      </c>
    </row>
    <row r="1432" spans="1:9" x14ac:dyDescent="0.3">
      <c r="A1432" t="s">
        <v>330</v>
      </c>
      <c r="B1432" s="20">
        <v>44197</v>
      </c>
      <c r="C1432" t="s">
        <v>463</v>
      </c>
      <c r="D1432" t="s">
        <v>464</v>
      </c>
      <c r="E1432" t="s">
        <v>384</v>
      </c>
      <c r="F1432">
        <v>0</v>
      </c>
      <c r="G1432">
        <v>0</v>
      </c>
      <c r="H1432">
        <f>IF(report_B_CategorieBoekjaar[[#This Row],[BedrijfsCode]]="002",IF(report_B_CategorieBoekjaar[[#This Row],[Boekjaar]]=Projectbegroting!$K$1,report_B_CategorieBoekjaar[[#This Row],[CategorieCode]],0),0)</f>
        <v>0</v>
      </c>
      <c r="I1432">
        <f>IF(report_B_CategorieBoekjaar[[#This Row],[BedrijfsCode]]="001",IF(report_B_CategorieBoekjaar[[#This Row],[Boekjaar]]=Projectbegroting!$K$1,report_B_CategorieBoekjaar[[#This Row],[CategorieCode]],0),0)</f>
        <v>0</v>
      </c>
    </row>
    <row r="1433" spans="1:9" x14ac:dyDescent="0.3">
      <c r="A1433" t="s">
        <v>330</v>
      </c>
      <c r="B1433" s="20">
        <v>44197</v>
      </c>
      <c r="C1433" t="s">
        <v>465</v>
      </c>
      <c r="D1433" t="s">
        <v>466</v>
      </c>
      <c r="E1433" t="s">
        <v>381</v>
      </c>
      <c r="F1433">
        <v>33</v>
      </c>
      <c r="G1433">
        <v>0</v>
      </c>
      <c r="H1433">
        <f>IF(report_B_CategorieBoekjaar[[#This Row],[BedrijfsCode]]="002",IF(report_B_CategorieBoekjaar[[#This Row],[Boekjaar]]=Projectbegroting!$K$1,report_B_CategorieBoekjaar[[#This Row],[CategorieCode]],0),0)</f>
        <v>0</v>
      </c>
      <c r="I1433">
        <f>IF(report_B_CategorieBoekjaar[[#This Row],[BedrijfsCode]]="001",IF(report_B_CategorieBoekjaar[[#This Row],[Boekjaar]]=Projectbegroting!$K$1,report_B_CategorieBoekjaar[[#This Row],[CategorieCode]],0),0)</f>
        <v>0</v>
      </c>
    </row>
    <row r="1434" spans="1:9" x14ac:dyDescent="0.3">
      <c r="A1434" t="s">
        <v>330</v>
      </c>
      <c r="B1434" s="20">
        <v>44197</v>
      </c>
      <c r="C1434" t="s">
        <v>467</v>
      </c>
      <c r="D1434" t="s">
        <v>468</v>
      </c>
      <c r="E1434" t="s">
        <v>384</v>
      </c>
      <c r="F1434">
        <v>0</v>
      </c>
      <c r="G1434">
        <v>0</v>
      </c>
      <c r="H1434">
        <f>IF(report_B_CategorieBoekjaar[[#This Row],[BedrijfsCode]]="002",IF(report_B_CategorieBoekjaar[[#This Row],[Boekjaar]]=Projectbegroting!$K$1,report_B_CategorieBoekjaar[[#This Row],[CategorieCode]],0),0)</f>
        <v>0</v>
      </c>
      <c r="I1434">
        <f>IF(report_B_CategorieBoekjaar[[#This Row],[BedrijfsCode]]="001",IF(report_B_CategorieBoekjaar[[#This Row],[Boekjaar]]=Projectbegroting!$K$1,report_B_CategorieBoekjaar[[#This Row],[CategorieCode]],0),0)</f>
        <v>0</v>
      </c>
    </row>
    <row r="1435" spans="1:9" x14ac:dyDescent="0.3">
      <c r="A1435" t="s">
        <v>330</v>
      </c>
      <c r="B1435" s="20">
        <v>44197</v>
      </c>
      <c r="C1435" t="s">
        <v>469</v>
      </c>
      <c r="D1435" t="s">
        <v>470</v>
      </c>
      <c r="E1435" t="s">
        <v>381</v>
      </c>
      <c r="F1435">
        <v>43</v>
      </c>
      <c r="G1435">
        <v>74</v>
      </c>
      <c r="H1435">
        <f>IF(report_B_CategorieBoekjaar[[#This Row],[BedrijfsCode]]="002",IF(report_B_CategorieBoekjaar[[#This Row],[Boekjaar]]=Projectbegroting!$K$1,report_B_CategorieBoekjaar[[#This Row],[CategorieCode]],0),0)</f>
        <v>0</v>
      </c>
      <c r="I1435">
        <f>IF(report_B_CategorieBoekjaar[[#This Row],[BedrijfsCode]]="001",IF(report_B_CategorieBoekjaar[[#This Row],[Boekjaar]]=Projectbegroting!$K$1,report_B_CategorieBoekjaar[[#This Row],[CategorieCode]],0),0)</f>
        <v>0</v>
      </c>
    </row>
    <row r="1436" spans="1:9" x14ac:dyDescent="0.3">
      <c r="A1436" t="s">
        <v>330</v>
      </c>
      <c r="B1436" s="20">
        <v>44197</v>
      </c>
      <c r="C1436" t="s">
        <v>471</v>
      </c>
      <c r="D1436" t="s">
        <v>472</v>
      </c>
      <c r="E1436" t="s">
        <v>384</v>
      </c>
      <c r="F1436">
        <v>0</v>
      </c>
      <c r="G1436">
        <v>0</v>
      </c>
      <c r="H1436">
        <f>IF(report_B_CategorieBoekjaar[[#This Row],[BedrijfsCode]]="002",IF(report_B_CategorieBoekjaar[[#This Row],[Boekjaar]]=Projectbegroting!$K$1,report_B_CategorieBoekjaar[[#This Row],[CategorieCode]],0),0)</f>
        <v>0</v>
      </c>
      <c r="I1436">
        <f>IF(report_B_CategorieBoekjaar[[#This Row],[BedrijfsCode]]="001",IF(report_B_CategorieBoekjaar[[#This Row],[Boekjaar]]=Projectbegroting!$K$1,report_B_CategorieBoekjaar[[#This Row],[CategorieCode]],0),0)</f>
        <v>0</v>
      </c>
    </row>
    <row r="1437" spans="1:9" x14ac:dyDescent="0.3">
      <c r="A1437" t="s">
        <v>330</v>
      </c>
      <c r="B1437" s="20">
        <v>44197</v>
      </c>
      <c r="C1437" t="s">
        <v>62</v>
      </c>
      <c r="D1437" t="s">
        <v>473</v>
      </c>
      <c r="E1437" t="s">
        <v>381</v>
      </c>
      <c r="F1437">
        <v>44</v>
      </c>
      <c r="G1437">
        <v>0</v>
      </c>
      <c r="H1437">
        <f>IF(report_B_CategorieBoekjaar[[#This Row],[BedrijfsCode]]="002",IF(report_B_CategorieBoekjaar[[#This Row],[Boekjaar]]=Projectbegroting!$K$1,report_B_CategorieBoekjaar[[#This Row],[CategorieCode]],0),0)</f>
        <v>0</v>
      </c>
      <c r="I1437">
        <f>IF(report_B_CategorieBoekjaar[[#This Row],[BedrijfsCode]]="001",IF(report_B_CategorieBoekjaar[[#This Row],[Boekjaar]]=Projectbegroting!$K$1,report_B_CategorieBoekjaar[[#This Row],[CategorieCode]],0),0)</f>
        <v>0</v>
      </c>
    </row>
    <row r="1438" spans="1:9" x14ac:dyDescent="0.3">
      <c r="A1438" t="s">
        <v>330</v>
      </c>
      <c r="B1438" s="20">
        <v>44197</v>
      </c>
      <c r="C1438" t="s">
        <v>474</v>
      </c>
      <c r="D1438" t="s">
        <v>475</v>
      </c>
      <c r="E1438" t="s">
        <v>384</v>
      </c>
      <c r="F1438">
        <v>0</v>
      </c>
      <c r="G1438">
        <v>0</v>
      </c>
      <c r="H1438">
        <f>IF(report_B_CategorieBoekjaar[[#This Row],[BedrijfsCode]]="002",IF(report_B_CategorieBoekjaar[[#This Row],[Boekjaar]]=Projectbegroting!$K$1,report_B_CategorieBoekjaar[[#This Row],[CategorieCode]],0),0)</f>
        <v>0</v>
      </c>
      <c r="I1438">
        <f>IF(report_B_CategorieBoekjaar[[#This Row],[BedrijfsCode]]="001",IF(report_B_CategorieBoekjaar[[#This Row],[Boekjaar]]=Projectbegroting!$K$1,report_B_CategorieBoekjaar[[#This Row],[CategorieCode]],0),0)</f>
        <v>0</v>
      </c>
    </row>
    <row r="1439" spans="1:9" x14ac:dyDescent="0.3">
      <c r="A1439" t="s">
        <v>330</v>
      </c>
      <c r="B1439" s="20">
        <v>44197</v>
      </c>
      <c r="C1439" t="s">
        <v>64</v>
      </c>
      <c r="D1439" t="s">
        <v>476</v>
      </c>
      <c r="E1439" t="s">
        <v>381</v>
      </c>
      <c r="F1439">
        <v>39</v>
      </c>
      <c r="G1439">
        <v>0</v>
      </c>
      <c r="H1439">
        <f>IF(report_B_CategorieBoekjaar[[#This Row],[BedrijfsCode]]="002",IF(report_B_CategorieBoekjaar[[#This Row],[Boekjaar]]=Projectbegroting!$K$1,report_B_CategorieBoekjaar[[#This Row],[CategorieCode]],0),0)</f>
        <v>0</v>
      </c>
      <c r="I1439">
        <f>IF(report_B_CategorieBoekjaar[[#This Row],[BedrijfsCode]]="001",IF(report_B_CategorieBoekjaar[[#This Row],[Boekjaar]]=Projectbegroting!$K$1,report_B_CategorieBoekjaar[[#This Row],[CategorieCode]],0),0)</f>
        <v>0</v>
      </c>
    </row>
    <row r="1440" spans="1:9" x14ac:dyDescent="0.3">
      <c r="A1440" t="s">
        <v>330</v>
      </c>
      <c r="B1440" s="20">
        <v>44197</v>
      </c>
      <c r="C1440" t="s">
        <v>477</v>
      </c>
      <c r="D1440" t="s">
        <v>478</v>
      </c>
      <c r="E1440" t="s">
        <v>384</v>
      </c>
      <c r="F1440">
        <v>0</v>
      </c>
      <c r="G1440">
        <v>0</v>
      </c>
      <c r="H1440">
        <f>IF(report_B_CategorieBoekjaar[[#This Row],[BedrijfsCode]]="002",IF(report_B_CategorieBoekjaar[[#This Row],[Boekjaar]]=Projectbegroting!$K$1,report_B_CategorieBoekjaar[[#This Row],[CategorieCode]],0),0)</f>
        <v>0</v>
      </c>
      <c r="I1440">
        <f>IF(report_B_CategorieBoekjaar[[#This Row],[BedrijfsCode]]="001",IF(report_B_CategorieBoekjaar[[#This Row],[Boekjaar]]=Projectbegroting!$K$1,report_B_CategorieBoekjaar[[#This Row],[CategorieCode]],0),0)</f>
        <v>0</v>
      </c>
    </row>
    <row r="1441" spans="1:9" x14ac:dyDescent="0.3">
      <c r="A1441" t="s">
        <v>330</v>
      </c>
      <c r="B1441" s="20">
        <v>44197</v>
      </c>
      <c r="C1441" t="s">
        <v>80</v>
      </c>
      <c r="D1441" t="s">
        <v>81</v>
      </c>
      <c r="E1441" t="s">
        <v>381</v>
      </c>
      <c r="F1441">
        <v>66</v>
      </c>
      <c r="G1441">
        <v>0</v>
      </c>
      <c r="H1441">
        <f>IF(report_B_CategorieBoekjaar[[#This Row],[BedrijfsCode]]="002",IF(report_B_CategorieBoekjaar[[#This Row],[Boekjaar]]=Projectbegroting!$K$1,report_B_CategorieBoekjaar[[#This Row],[CategorieCode]],0),0)</f>
        <v>0</v>
      </c>
      <c r="I1441">
        <f>IF(report_B_CategorieBoekjaar[[#This Row],[BedrijfsCode]]="001",IF(report_B_CategorieBoekjaar[[#This Row],[Boekjaar]]=Projectbegroting!$K$1,report_B_CategorieBoekjaar[[#This Row],[CategorieCode]],0),0)</f>
        <v>0</v>
      </c>
    </row>
    <row r="1442" spans="1:9" x14ac:dyDescent="0.3">
      <c r="A1442" t="s">
        <v>330</v>
      </c>
      <c r="B1442" s="20">
        <v>44197</v>
      </c>
      <c r="C1442" t="s">
        <v>479</v>
      </c>
      <c r="D1442" t="s">
        <v>480</v>
      </c>
      <c r="E1442" t="s">
        <v>384</v>
      </c>
      <c r="F1442">
        <v>0</v>
      </c>
      <c r="G1442">
        <v>0</v>
      </c>
      <c r="H1442">
        <f>IF(report_B_CategorieBoekjaar[[#This Row],[BedrijfsCode]]="002",IF(report_B_CategorieBoekjaar[[#This Row],[Boekjaar]]=Projectbegroting!$K$1,report_B_CategorieBoekjaar[[#This Row],[CategorieCode]],0),0)</f>
        <v>0</v>
      </c>
      <c r="I1442">
        <f>IF(report_B_CategorieBoekjaar[[#This Row],[BedrijfsCode]]="001",IF(report_B_CategorieBoekjaar[[#This Row],[Boekjaar]]=Projectbegroting!$K$1,report_B_CategorieBoekjaar[[#This Row],[CategorieCode]],0),0)</f>
        <v>0</v>
      </c>
    </row>
    <row r="1443" spans="1:9" x14ac:dyDescent="0.3">
      <c r="A1443" t="s">
        <v>330</v>
      </c>
      <c r="B1443" s="20">
        <v>44197</v>
      </c>
      <c r="C1443" t="s">
        <v>481</v>
      </c>
      <c r="D1443" t="s">
        <v>482</v>
      </c>
      <c r="E1443" t="s">
        <v>384</v>
      </c>
      <c r="F1443">
        <v>0</v>
      </c>
      <c r="G1443">
        <v>0</v>
      </c>
      <c r="H1443">
        <f>IF(report_B_CategorieBoekjaar[[#This Row],[BedrijfsCode]]="002",IF(report_B_CategorieBoekjaar[[#This Row],[Boekjaar]]=Projectbegroting!$K$1,report_B_CategorieBoekjaar[[#This Row],[CategorieCode]],0),0)</f>
        <v>0</v>
      </c>
      <c r="I1443">
        <f>IF(report_B_CategorieBoekjaar[[#This Row],[BedrijfsCode]]="001",IF(report_B_CategorieBoekjaar[[#This Row],[Boekjaar]]=Projectbegroting!$K$1,report_B_CategorieBoekjaar[[#This Row],[CategorieCode]],0),0)</f>
        <v>0</v>
      </c>
    </row>
    <row r="1444" spans="1:9" x14ac:dyDescent="0.3">
      <c r="A1444" t="s">
        <v>330</v>
      </c>
      <c r="B1444" s="20">
        <v>44197</v>
      </c>
      <c r="C1444" t="s">
        <v>98</v>
      </c>
      <c r="D1444" t="s">
        <v>99</v>
      </c>
      <c r="E1444" t="s">
        <v>381</v>
      </c>
      <c r="F1444">
        <v>56</v>
      </c>
      <c r="G1444">
        <v>94</v>
      </c>
      <c r="H1444">
        <f>IF(report_B_CategorieBoekjaar[[#This Row],[BedrijfsCode]]="002",IF(report_B_CategorieBoekjaar[[#This Row],[Boekjaar]]=Projectbegroting!$K$1,report_B_CategorieBoekjaar[[#This Row],[CategorieCode]],0),0)</f>
        <v>0</v>
      </c>
      <c r="I1444">
        <f>IF(report_B_CategorieBoekjaar[[#This Row],[BedrijfsCode]]="001",IF(report_B_CategorieBoekjaar[[#This Row],[Boekjaar]]=Projectbegroting!$K$1,report_B_CategorieBoekjaar[[#This Row],[CategorieCode]],0),0)</f>
        <v>0</v>
      </c>
    </row>
    <row r="1445" spans="1:9" x14ac:dyDescent="0.3">
      <c r="A1445" t="s">
        <v>330</v>
      </c>
      <c r="B1445" s="20">
        <v>44197</v>
      </c>
      <c r="C1445" t="s">
        <v>485</v>
      </c>
      <c r="D1445" t="s">
        <v>486</v>
      </c>
      <c r="E1445" t="s">
        <v>384</v>
      </c>
      <c r="F1445">
        <v>0</v>
      </c>
      <c r="G1445">
        <v>0</v>
      </c>
      <c r="H1445">
        <f>IF(report_B_CategorieBoekjaar[[#This Row],[BedrijfsCode]]="002",IF(report_B_CategorieBoekjaar[[#This Row],[Boekjaar]]=Projectbegroting!$K$1,report_B_CategorieBoekjaar[[#This Row],[CategorieCode]],0),0)</f>
        <v>0</v>
      </c>
      <c r="I1445">
        <f>IF(report_B_CategorieBoekjaar[[#This Row],[BedrijfsCode]]="001",IF(report_B_CategorieBoekjaar[[#This Row],[Boekjaar]]=Projectbegroting!$K$1,report_B_CategorieBoekjaar[[#This Row],[CategorieCode]],0),0)</f>
        <v>0</v>
      </c>
    </row>
    <row r="1446" spans="1:9" x14ac:dyDescent="0.3">
      <c r="A1446" t="s">
        <v>330</v>
      </c>
      <c r="B1446" s="20">
        <v>44197</v>
      </c>
      <c r="C1446" t="s">
        <v>175</v>
      </c>
      <c r="D1446" t="s">
        <v>487</v>
      </c>
      <c r="E1446" t="s">
        <v>384</v>
      </c>
      <c r="F1446">
        <v>0</v>
      </c>
      <c r="G1446">
        <v>0</v>
      </c>
      <c r="H1446">
        <f>IF(report_B_CategorieBoekjaar[[#This Row],[BedrijfsCode]]="002",IF(report_B_CategorieBoekjaar[[#This Row],[Boekjaar]]=Projectbegroting!$K$1,report_B_CategorieBoekjaar[[#This Row],[CategorieCode]],0),0)</f>
        <v>0</v>
      </c>
      <c r="I1446">
        <f>IF(report_B_CategorieBoekjaar[[#This Row],[BedrijfsCode]]="001",IF(report_B_CategorieBoekjaar[[#This Row],[Boekjaar]]=Projectbegroting!$K$1,report_B_CategorieBoekjaar[[#This Row],[CategorieCode]],0),0)</f>
        <v>0</v>
      </c>
    </row>
    <row r="1447" spans="1:9" x14ac:dyDescent="0.3">
      <c r="A1447" t="s">
        <v>330</v>
      </c>
      <c r="B1447" s="20">
        <v>44197</v>
      </c>
      <c r="C1447" t="s">
        <v>488</v>
      </c>
      <c r="D1447" t="s">
        <v>489</v>
      </c>
      <c r="E1447" t="s">
        <v>381</v>
      </c>
      <c r="F1447">
        <v>68</v>
      </c>
      <c r="G1447">
        <v>98</v>
      </c>
      <c r="H1447">
        <f>IF(report_B_CategorieBoekjaar[[#This Row],[BedrijfsCode]]="002",IF(report_B_CategorieBoekjaar[[#This Row],[Boekjaar]]=Projectbegroting!$K$1,report_B_CategorieBoekjaar[[#This Row],[CategorieCode]],0),0)</f>
        <v>0</v>
      </c>
      <c r="I1447">
        <f>IF(report_B_CategorieBoekjaar[[#This Row],[BedrijfsCode]]="001",IF(report_B_CategorieBoekjaar[[#This Row],[Boekjaar]]=Projectbegroting!$K$1,report_B_CategorieBoekjaar[[#This Row],[CategorieCode]],0),0)</f>
        <v>0</v>
      </c>
    </row>
    <row r="1448" spans="1:9" x14ac:dyDescent="0.3">
      <c r="A1448" t="s">
        <v>330</v>
      </c>
      <c r="B1448" s="20">
        <v>44197</v>
      </c>
      <c r="C1448" t="s">
        <v>490</v>
      </c>
      <c r="D1448" t="s">
        <v>491</v>
      </c>
      <c r="E1448" t="s">
        <v>384</v>
      </c>
      <c r="F1448">
        <v>0</v>
      </c>
      <c r="G1448">
        <v>0</v>
      </c>
      <c r="H1448">
        <f>IF(report_B_CategorieBoekjaar[[#This Row],[BedrijfsCode]]="002",IF(report_B_CategorieBoekjaar[[#This Row],[Boekjaar]]=Projectbegroting!$K$1,report_B_CategorieBoekjaar[[#This Row],[CategorieCode]],0),0)</f>
        <v>0</v>
      </c>
      <c r="I1448">
        <f>IF(report_B_CategorieBoekjaar[[#This Row],[BedrijfsCode]]="001",IF(report_B_CategorieBoekjaar[[#This Row],[Boekjaar]]=Projectbegroting!$K$1,report_B_CategorieBoekjaar[[#This Row],[CategorieCode]],0),0)</f>
        <v>0</v>
      </c>
    </row>
    <row r="1449" spans="1:9" x14ac:dyDescent="0.3">
      <c r="A1449" t="s">
        <v>330</v>
      </c>
      <c r="B1449" s="20">
        <v>44197</v>
      </c>
      <c r="C1449" t="s">
        <v>68</v>
      </c>
      <c r="D1449" t="s">
        <v>492</v>
      </c>
      <c r="E1449" t="s">
        <v>381</v>
      </c>
      <c r="F1449">
        <v>44</v>
      </c>
      <c r="G1449">
        <v>82</v>
      </c>
      <c r="H1449">
        <f>IF(report_B_CategorieBoekjaar[[#This Row],[BedrijfsCode]]="002",IF(report_B_CategorieBoekjaar[[#This Row],[Boekjaar]]=Projectbegroting!$K$1,report_B_CategorieBoekjaar[[#This Row],[CategorieCode]],0),0)</f>
        <v>0</v>
      </c>
      <c r="I1449">
        <f>IF(report_B_CategorieBoekjaar[[#This Row],[BedrijfsCode]]="001",IF(report_B_CategorieBoekjaar[[#This Row],[Boekjaar]]=Projectbegroting!$K$1,report_B_CategorieBoekjaar[[#This Row],[CategorieCode]],0),0)</f>
        <v>0</v>
      </c>
    </row>
    <row r="1450" spans="1:9" x14ac:dyDescent="0.3">
      <c r="A1450" t="s">
        <v>330</v>
      </c>
      <c r="B1450" s="20">
        <v>44197</v>
      </c>
      <c r="C1450" t="s">
        <v>177</v>
      </c>
      <c r="D1450" t="s">
        <v>493</v>
      </c>
      <c r="E1450" t="s">
        <v>384</v>
      </c>
      <c r="F1450">
        <v>0</v>
      </c>
      <c r="G1450">
        <v>0</v>
      </c>
      <c r="H1450">
        <f>IF(report_B_CategorieBoekjaar[[#This Row],[BedrijfsCode]]="002",IF(report_B_CategorieBoekjaar[[#This Row],[Boekjaar]]=Projectbegroting!$K$1,report_B_CategorieBoekjaar[[#This Row],[CategorieCode]],0),0)</f>
        <v>0</v>
      </c>
      <c r="I1450">
        <f>IF(report_B_CategorieBoekjaar[[#This Row],[BedrijfsCode]]="001",IF(report_B_CategorieBoekjaar[[#This Row],[Boekjaar]]=Projectbegroting!$K$1,report_B_CategorieBoekjaar[[#This Row],[CategorieCode]],0),0)</f>
        <v>0</v>
      </c>
    </row>
    <row r="1451" spans="1:9" x14ac:dyDescent="0.3">
      <c r="A1451" t="s">
        <v>330</v>
      </c>
      <c r="B1451" s="20">
        <v>44197</v>
      </c>
      <c r="C1451" t="s">
        <v>494</v>
      </c>
      <c r="D1451" t="s">
        <v>495</v>
      </c>
      <c r="E1451" t="s">
        <v>381</v>
      </c>
      <c r="F1451">
        <v>39</v>
      </c>
      <c r="G1451">
        <v>77</v>
      </c>
      <c r="H1451">
        <f>IF(report_B_CategorieBoekjaar[[#This Row],[BedrijfsCode]]="002",IF(report_B_CategorieBoekjaar[[#This Row],[Boekjaar]]=Projectbegroting!$K$1,report_B_CategorieBoekjaar[[#This Row],[CategorieCode]],0),0)</f>
        <v>0</v>
      </c>
      <c r="I1451">
        <f>IF(report_B_CategorieBoekjaar[[#This Row],[BedrijfsCode]]="001",IF(report_B_CategorieBoekjaar[[#This Row],[Boekjaar]]=Projectbegroting!$K$1,report_B_CategorieBoekjaar[[#This Row],[CategorieCode]],0),0)</f>
        <v>0</v>
      </c>
    </row>
    <row r="1452" spans="1:9" x14ac:dyDescent="0.3">
      <c r="A1452" t="s">
        <v>330</v>
      </c>
      <c r="B1452" s="20">
        <v>44197</v>
      </c>
      <c r="C1452" t="s">
        <v>496</v>
      </c>
      <c r="D1452" t="s">
        <v>497</v>
      </c>
      <c r="E1452" t="s">
        <v>384</v>
      </c>
      <c r="F1452">
        <v>0</v>
      </c>
      <c r="G1452">
        <v>0</v>
      </c>
      <c r="H1452">
        <f>IF(report_B_CategorieBoekjaar[[#This Row],[BedrijfsCode]]="002",IF(report_B_CategorieBoekjaar[[#This Row],[Boekjaar]]=Projectbegroting!$K$1,report_B_CategorieBoekjaar[[#This Row],[CategorieCode]],0),0)</f>
        <v>0</v>
      </c>
      <c r="I1452">
        <f>IF(report_B_CategorieBoekjaar[[#This Row],[BedrijfsCode]]="001",IF(report_B_CategorieBoekjaar[[#This Row],[Boekjaar]]=Projectbegroting!$K$1,report_B_CategorieBoekjaar[[#This Row],[CategorieCode]],0),0)</f>
        <v>0</v>
      </c>
    </row>
    <row r="1453" spans="1:9" x14ac:dyDescent="0.3">
      <c r="A1453" t="s">
        <v>330</v>
      </c>
      <c r="B1453" s="20">
        <v>44197</v>
      </c>
      <c r="C1453" t="s">
        <v>70</v>
      </c>
      <c r="D1453" t="s">
        <v>498</v>
      </c>
      <c r="E1453" t="s">
        <v>381</v>
      </c>
      <c r="F1453">
        <v>35</v>
      </c>
      <c r="G1453">
        <v>0</v>
      </c>
      <c r="H1453">
        <f>IF(report_B_CategorieBoekjaar[[#This Row],[BedrijfsCode]]="002",IF(report_B_CategorieBoekjaar[[#This Row],[Boekjaar]]=Projectbegroting!$K$1,report_B_CategorieBoekjaar[[#This Row],[CategorieCode]],0),0)</f>
        <v>0</v>
      </c>
      <c r="I1453">
        <f>IF(report_B_CategorieBoekjaar[[#This Row],[BedrijfsCode]]="001",IF(report_B_CategorieBoekjaar[[#This Row],[Boekjaar]]=Projectbegroting!$K$1,report_B_CategorieBoekjaar[[#This Row],[CategorieCode]],0),0)</f>
        <v>0</v>
      </c>
    </row>
    <row r="1454" spans="1:9" x14ac:dyDescent="0.3">
      <c r="A1454" t="s">
        <v>330</v>
      </c>
      <c r="B1454" s="20">
        <v>44197</v>
      </c>
      <c r="C1454" t="s">
        <v>499</v>
      </c>
      <c r="D1454" t="s">
        <v>500</v>
      </c>
      <c r="E1454" t="s">
        <v>384</v>
      </c>
      <c r="F1454">
        <v>0</v>
      </c>
      <c r="G1454">
        <v>0</v>
      </c>
      <c r="H1454">
        <f>IF(report_B_CategorieBoekjaar[[#This Row],[BedrijfsCode]]="002",IF(report_B_CategorieBoekjaar[[#This Row],[Boekjaar]]=Projectbegroting!$K$1,report_B_CategorieBoekjaar[[#This Row],[CategorieCode]],0),0)</f>
        <v>0</v>
      </c>
      <c r="I1454">
        <f>IF(report_B_CategorieBoekjaar[[#This Row],[BedrijfsCode]]="001",IF(report_B_CategorieBoekjaar[[#This Row],[Boekjaar]]=Projectbegroting!$K$1,report_B_CategorieBoekjaar[[#This Row],[CategorieCode]],0),0)</f>
        <v>0</v>
      </c>
    </row>
    <row r="1455" spans="1:9" x14ac:dyDescent="0.3">
      <c r="A1455" t="s">
        <v>330</v>
      </c>
      <c r="B1455" s="20">
        <v>44197</v>
      </c>
      <c r="C1455" t="s">
        <v>501</v>
      </c>
      <c r="D1455" t="s">
        <v>502</v>
      </c>
      <c r="E1455" t="s">
        <v>381</v>
      </c>
      <c r="F1455">
        <v>59</v>
      </c>
      <c r="G1455">
        <v>98</v>
      </c>
      <c r="H1455">
        <f>IF(report_B_CategorieBoekjaar[[#This Row],[BedrijfsCode]]="002",IF(report_B_CategorieBoekjaar[[#This Row],[Boekjaar]]=Projectbegroting!$K$1,report_B_CategorieBoekjaar[[#This Row],[CategorieCode]],0),0)</f>
        <v>0</v>
      </c>
      <c r="I1455">
        <f>IF(report_B_CategorieBoekjaar[[#This Row],[BedrijfsCode]]="001",IF(report_B_CategorieBoekjaar[[#This Row],[Boekjaar]]=Projectbegroting!$K$1,report_B_CategorieBoekjaar[[#This Row],[CategorieCode]],0),0)</f>
        <v>0</v>
      </c>
    </row>
    <row r="1456" spans="1:9" x14ac:dyDescent="0.3">
      <c r="A1456" t="s">
        <v>330</v>
      </c>
      <c r="B1456" s="20">
        <v>44197</v>
      </c>
      <c r="C1456" t="s">
        <v>503</v>
      </c>
      <c r="D1456" t="s">
        <v>504</v>
      </c>
      <c r="E1456" t="s">
        <v>384</v>
      </c>
      <c r="F1456">
        <v>0</v>
      </c>
      <c r="G1456">
        <v>0</v>
      </c>
      <c r="H1456">
        <f>IF(report_B_CategorieBoekjaar[[#This Row],[BedrijfsCode]]="002",IF(report_B_CategorieBoekjaar[[#This Row],[Boekjaar]]=Projectbegroting!$K$1,report_B_CategorieBoekjaar[[#This Row],[CategorieCode]],0),0)</f>
        <v>0</v>
      </c>
      <c r="I1456">
        <f>IF(report_B_CategorieBoekjaar[[#This Row],[BedrijfsCode]]="001",IF(report_B_CategorieBoekjaar[[#This Row],[Boekjaar]]=Projectbegroting!$K$1,report_B_CategorieBoekjaar[[#This Row],[CategorieCode]],0),0)</f>
        <v>0</v>
      </c>
    </row>
    <row r="1457" spans="1:9" x14ac:dyDescent="0.3">
      <c r="A1457" t="s">
        <v>330</v>
      </c>
      <c r="B1457" s="20">
        <v>44197</v>
      </c>
      <c r="C1457" t="s">
        <v>505</v>
      </c>
      <c r="D1457" t="s">
        <v>506</v>
      </c>
      <c r="E1457" t="s">
        <v>381</v>
      </c>
      <c r="F1457">
        <v>50</v>
      </c>
      <c r="G1457">
        <v>0</v>
      </c>
      <c r="H1457">
        <f>IF(report_B_CategorieBoekjaar[[#This Row],[BedrijfsCode]]="002",IF(report_B_CategorieBoekjaar[[#This Row],[Boekjaar]]=Projectbegroting!$K$1,report_B_CategorieBoekjaar[[#This Row],[CategorieCode]],0),0)</f>
        <v>0</v>
      </c>
      <c r="I1457">
        <f>IF(report_B_CategorieBoekjaar[[#This Row],[BedrijfsCode]]="001",IF(report_B_CategorieBoekjaar[[#This Row],[Boekjaar]]=Projectbegroting!$K$1,report_B_CategorieBoekjaar[[#This Row],[CategorieCode]],0),0)</f>
        <v>0</v>
      </c>
    </row>
    <row r="1458" spans="1:9" x14ac:dyDescent="0.3">
      <c r="A1458" t="s">
        <v>330</v>
      </c>
      <c r="B1458" s="20">
        <v>44197</v>
      </c>
      <c r="C1458" t="s">
        <v>507</v>
      </c>
      <c r="D1458" t="s">
        <v>508</v>
      </c>
      <c r="E1458" t="s">
        <v>384</v>
      </c>
      <c r="F1458">
        <v>0</v>
      </c>
      <c r="G1458">
        <v>0</v>
      </c>
      <c r="H1458">
        <f>IF(report_B_CategorieBoekjaar[[#This Row],[BedrijfsCode]]="002",IF(report_B_CategorieBoekjaar[[#This Row],[Boekjaar]]=Projectbegroting!$K$1,report_B_CategorieBoekjaar[[#This Row],[CategorieCode]],0),0)</f>
        <v>0</v>
      </c>
      <c r="I1458">
        <f>IF(report_B_CategorieBoekjaar[[#This Row],[BedrijfsCode]]="001",IF(report_B_CategorieBoekjaar[[#This Row],[Boekjaar]]=Projectbegroting!$K$1,report_B_CategorieBoekjaar[[#This Row],[CategorieCode]],0),0)</f>
        <v>0</v>
      </c>
    </row>
    <row r="1459" spans="1:9" x14ac:dyDescent="0.3">
      <c r="A1459" t="s">
        <v>330</v>
      </c>
      <c r="B1459" s="20">
        <v>44197</v>
      </c>
      <c r="C1459" t="s">
        <v>509</v>
      </c>
      <c r="D1459" t="s">
        <v>510</v>
      </c>
      <c r="E1459" t="s">
        <v>381</v>
      </c>
      <c r="F1459">
        <v>154</v>
      </c>
      <c r="G1459">
        <v>0</v>
      </c>
      <c r="H1459">
        <f>IF(report_B_CategorieBoekjaar[[#This Row],[BedrijfsCode]]="002",IF(report_B_CategorieBoekjaar[[#This Row],[Boekjaar]]=Projectbegroting!$K$1,report_B_CategorieBoekjaar[[#This Row],[CategorieCode]],0),0)</f>
        <v>0</v>
      </c>
      <c r="I1459">
        <f>IF(report_B_CategorieBoekjaar[[#This Row],[BedrijfsCode]]="001",IF(report_B_CategorieBoekjaar[[#This Row],[Boekjaar]]=Projectbegroting!$K$1,report_B_CategorieBoekjaar[[#This Row],[CategorieCode]],0),0)</f>
        <v>0</v>
      </c>
    </row>
    <row r="1460" spans="1:9" x14ac:dyDescent="0.3">
      <c r="A1460" t="s">
        <v>330</v>
      </c>
      <c r="B1460" s="20">
        <v>44197</v>
      </c>
      <c r="C1460" t="s">
        <v>511</v>
      </c>
      <c r="D1460" t="s">
        <v>512</v>
      </c>
      <c r="E1460" t="s">
        <v>381</v>
      </c>
      <c r="F1460">
        <v>0</v>
      </c>
      <c r="G1460">
        <v>0</v>
      </c>
      <c r="H1460">
        <f>IF(report_B_CategorieBoekjaar[[#This Row],[BedrijfsCode]]="002",IF(report_B_CategorieBoekjaar[[#This Row],[Boekjaar]]=Projectbegroting!$K$1,report_B_CategorieBoekjaar[[#This Row],[CategorieCode]],0),0)</f>
        <v>0</v>
      </c>
      <c r="I1460">
        <f>IF(report_B_CategorieBoekjaar[[#This Row],[BedrijfsCode]]="001",IF(report_B_CategorieBoekjaar[[#This Row],[Boekjaar]]=Projectbegroting!$K$1,report_B_CategorieBoekjaar[[#This Row],[CategorieCode]],0),0)</f>
        <v>0</v>
      </c>
    </row>
    <row r="1461" spans="1:9" x14ac:dyDescent="0.3">
      <c r="A1461" t="s">
        <v>330</v>
      </c>
      <c r="B1461" s="20">
        <v>44197</v>
      </c>
      <c r="C1461" t="s">
        <v>92</v>
      </c>
      <c r="D1461" t="s">
        <v>513</v>
      </c>
      <c r="E1461" t="s">
        <v>381</v>
      </c>
      <c r="F1461">
        <v>62</v>
      </c>
      <c r="G1461">
        <v>91</v>
      </c>
      <c r="H1461">
        <f>IF(report_B_CategorieBoekjaar[[#This Row],[BedrijfsCode]]="002",IF(report_B_CategorieBoekjaar[[#This Row],[Boekjaar]]=Projectbegroting!$K$1,report_B_CategorieBoekjaar[[#This Row],[CategorieCode]],0),0)</f>
        <v>0</v>
      </c>
      <c r="I1461">
        <f>IF(report_B_CategorieBoekjaar[[#This Row],[BedrijfsCode]]="001",IF(report_B_CategorieBoekjaar[[#This Row],[Boekjaar]]=Projectbegroting!$K$1,report_B_CategorieBoekjaar[[#This Row],[CategorieCode]],0),0)</f>
        <v>0</v>
      </c>
    </row>
    <row r="1462" spans="1:9" x14ac:dyDescent="0.3">
      <c r="A1462" t="s">
        <v>330</v>
      </c>
      <c r="B1462" s="20">
        <v>44197</v>
      </c>
      <c r="C1462" t="s">
        <v>514</v>
      </c>
      <c r="D1462" t="s">
        <v>515</v>
      </c>
      <c r="E1462" t="s">
        <v>384</v>
      </c>
      <c r="F1462">
        <v>0</v>
      </c>
      <c r="G1462">
        <v>0</v>
      </c>
      <c r="H1462">
        <f>IF(report_B_CategorieBoekjaar[[#This Row],[BedrijfsCode]]="002",IF(report_B_CategorieBoekjaar[[#This Row],[Boekjaar]]=Projectbegroting!$K$1,report_B_CategorieBoekjaar[[#This Row],[CategorieCode]],0),0)</f>
        <v>0</v>
      </c>
      <c r="I1462">
        <f>IF(report_B_CategorieBoekjaar[[#This Row],[BedrijfsCode]]="001",IF(report_B_CategorieBoekjaar[[#This Row],[Boekjaar]]=Projectbegroting!$K$1,report_B_CategorieBoekjaar[[#This Row],[CategorieCode]],0),0)</f>
        <v>0</v>
      </c>
    </row>
    <row r="1463" spans="1:9" x14ac:dyDescent="0.3">
      <c r="A1463" t="s">
        <v>330</v>
      </c>
      <c r="B1463" s="20">
        <v>44197</v>
      </c>
      <c r="C1463" t="s">
        <v>72</v>
      </c>
      <c r="D1463" t="s">
        <v>516</v>
      </c>
      <c r="E1463" t="s">
        <v>381</v>
      </c>
      <c r="F1463">
        <v>48</v>
      </c>
      <c r="G1463">
        <v>70</v>
      </c>
      <c r="H1463">
        <f>IF(report_B_CategorieBoekjaar[[#This Row],[BedrijfsCode]]="002",IF(report_B_CategorieBoekjaar[[#This Row],[Boekjaar]]=Projectbegroting!$K$1,report_B_CategorieBoekjaar[[#This Row],[CategorieCode]],0),0)</f>
        <v>0</v>
      </c>
      <c r="I1463">
        <f>IF(report_B_CategorieBoekjaar[[#This Row],[BedrijfsCode]]="001",IF(report_B_CategorieBoekjaar[[#This Row],[Boekjaar]]=Projectbegroting!$K$1,report_B_CategorieBoekjaar[[#This Row],[CategorieCode]],0),0)</f>
        <v>0</v>
      </c>
    </row>
    <row r="1464" spans="1:9" x14ac:dyDescent="0.3">
      <c r="A1464" t="s">
        <v>330</v>
      </c>
      <c r="B1464" s="20">
        <v>44197</v>
      </c>
      <c r="C1464" t="s">
        <v>517</v>
      </c>
      <c r="D1464" t="s">
        <v>518</v>
      </c>
      <c r="E1464" t="s">
        <v>384</v>
      </c>
      <c r="F1464">
        <v>0</v>
      </c>
      <c r="G1464">
        <v>0</v>
      </c>
      <c r="H1464">
        <f>IF(report_B_CategorieBoekjaar[[#This Row],[BedrijfsCode]]="002",IF(report_B_CategorieBoekjaar[[#This Row],[Boekjaar]]=Projectbegroting!$K$1,report_B_CategorieBoekjaar[[#This Row],[CategorieCode]],0),0)</f>
        <v>0</v>
      </c>
      <c r="I1464">
        <f>IF(report_B_CategorieBoekjaar[[#This Row],[BedrijfsCode]]="001",IF(report_B_CategorieBoekjaar[[#This Row],[Boekjaar]]=Projectbegroting!$K$1,report_B_CategorieBoekjaar[[#This Row],[CategorieCode]],0),0)</f>
        <v>0</v>
      </c>
    </row>
    <row r="1465" spans="1:9" x14ac:dyDescent="0.3">
      <c r="A1465" t="s">
        <v>330</v>
      </c>
      <c r="B1465" s="20">
        <v>44197</v>
      </c>
      <c r="C1465" t="s">
        <v>74</v>
      </c>
      <c r="D1465" t="s">
        <v>75</v>
      </c>
      <c r="E1465" t="s">
        <v>381</v>
      </c>
      <c r="F1465">
        <v>38</v>
      </c>
      <c r="G1465">
        <v>67</v>
      </c>
      <c r="H1465">
        <f>IF(report_B_CategorieBoekjaar[[#This Row],[BedrijfsCode]]="002",IF(report_B_CategorieBoekjaar[[#This Row],[Boekjaar]]=Projectbegroting!$K$1,report_B_CategorieBoekjaar[[#This Row],[CategorieCode]],0),0)</f>
        <v>0</v>
      </c>
      <c r="I1465">
        <f>IF(report_B_CategorieBoekjaar[[#This Row],[BedrijfsCode]]="001",IF(report_B_CategorieBoekjaar[[#This Row],[Boekjaar]]=Projectbegroting!$K$1,report_B_CategorieBoekjaar[[#This Row],[CategorieCode]],0),0)</f>
        <v>0</v>
      </c>
    </row>
    <row r="1466" spans="1:9" x14ac:dyDescent="0.3">
      <c r="A1466" t="s">
        <v>330</v>
      </c>
      <c r="B1466" s="20">
        <v>44197</v>
      </c>
      <c r="C1466" t="s">
        <v>178</v>
      </c>
      <c r="D1466" t="s">
        <v>519</v>
      </c>
      <c r="E1466" t="s">
        <v>384</v>
      </c>
      <c r="F1466">
        <v>0</v>
      </c>
      <c r="G1466">
        <v>0</v>
      </c>
      <c r="H1466">
        <f>IF(report_B_CategorieBoekjaar[[#This Row],[BedrijfsCode]]="002",IF(report_B_CategorieBoekjaar[[#This Row],[Boekjaar]]=Projectbegroting!$K$1,report_B_CategorieBoekjaar[[#This Row],[CategorieCode]],0),0)</f>
        <v>0</v>
      </c>
      <c r="I1466">
        <f>IF(report_B_CategorieBoekjaar[[#This Row],[BedrijfsCode]]="001",IF(report_B_CategorieBoekjaar[[#This Row],[Boekjaar]]=Projectbegroting!$K$1,report_B_CategorieBoekjaar[[#This Row],[CategorieCode]],0),0)</f>
        <v>0</v>
      </c>
    </row>
    <row r="1467" spans="1:9" x14ac:dyDescent="0.3">
      <c r="A1467" t="s">
        <v>330</v>
      </c>
      <c r="B1467" s="20">
        <v>44197</v>
      </c>
      <c r="C1467" t="s">
        <v>520</v>
      </c>
      <c r="D1467" t="s">
        <v>521</v>
      </c>
      <c r="E1467" t="s">
        <v>384</v>
      </c>
      <c r="F1467">
        <v>0</v>
      </c>
      <c r="G1467">
        <v>0</v>
      </c>
      <c r="H1467">
        <f>IF(report_B_CategorieBoekjaar[[#This Row],[BedrijfsCode]]="002",IF(report_B_CategorieBoekjaar[[#This Row],[Boekjaar]]=Projectbegroting!$K$1,report_B_CategorieBoekjaar[[#This Row],[CategorieCode]],0),0)</f>
        <v>0</v>
      </c>
      <c r="I1467">
        <f>IF(report_B_CategorieBoekjaar[[#This Row],[BedrijfsCode]]="001",IF(report_B_CategorieBoekjaar[[#This Row],[Boekjaar]]=Projectbegroting!$K$1,report_B_CategorieBoekjaar[[#This Row],[CategorieCode]],0),0)</f>
        <v>0</v>
      </c>
    </row>
    <row r="1468" spans="1:9" x14ac:dyDescent="0.3">
      <c r="A1468" t="s">
        <v>330</v>
      </c>
      <c r="B1468" s="20">
        <v>44197</v>
      </c>
      <c r="C1468" t="s">
        <v>522</v>
      </c>
      <c r="D1468" t="s">
        <v>523</v>
      </c>
      <c r="E1468" t="s">
        <v>381</v>
      </c>
      <c r="F1468">
        <v>75</v>
      </c>
      <c r="G1468">
        <v>0</v>
      </c>
      <c r="H1468">
        <f>IF(report_B_CategorieBoekjaar[[#This Row],[BedrijfsCode]]="002",IF(report_B_CategorieBoekjaar[[#This Row],[Boekjaar]]=Projectbegroting!$K$1,report_B_CategorieBoekjaar[[#This Row],[CategorieCode]],0),0)</f>
        <v>0</v>
      </c>
      <c r="I1468">
        <f>IF(report_B_CategorieBoekjaar[[#This Row],[BedrijfsCode]]="001",IF(report_B_CategorieBoekjaar[[#This Row],[Boekjaar]]=Projectbegroting!$K$1,report_B_CategorieBoekjaar[[#This Row],[CategorieCode]],0),0)</f>
        <v>0</v>
      </c>
    </row>
    <row r="1469" spans="1:9" x14ac:dyDescent="0.3">
      <c r="A1469" t="s">
        <v>330</v>
      </c>
      <c r="B1469" s="20">
        <v>44197</v>
      </c>
      <c r="C1469" t="s">
        <v>78</v>
      </c>
      <c r="D1469" t="s">
        <v>79</v>
      </c>
      <c r="E1469" t="s">
        <v>381</v>
      </c>
      <c r="F1469">
        <v>66</v>
      </c>
      <c r="G1469">
        <v>105</v>
      </c>
      <c r="H1469">
        <f>IF(report_B_CategorieBoekjaar[[#This Row],[BedrijfsCode]]="002",IF(report_B_CategorieBoekjaar[[#This Row],[Boekjaar]]=Projectbegroting!$K$1,report_B_CategorieBoekjaar[[#This Row],[CategorieCode]],0),0)</f>
        <v>0</v>
      </c>
      <c r="I1469">
        <f>IF(report_B_CategorieBoekjaar[[#This Row],[BedrijfsCode]]="001",IF(report_B_CategorieBoekjaar[[#This Row],[Boekjaar]]=Projectbegroting!$K$1,report_B_CategorieBoekjaar[[#This Row],[CategorieCode]],0),0)</f>
        <v>0</v>
      </c>
    </row>
    <row r="1470" spans="1:9" x14ac:dyDescent="0.3">
      <c r="A1470" t="s">
        <v>330</v>
      </c>
      <c r="B1470" s="20">
        <v>44197</v>
      </c>
      <c r="C1470" t="s">
        <v>176</v>
      </c>
      <c r="D1470" t="s">
        <v>524</v>
      </c>
      <c r="E1470" t="s">
        <v>384</v>
      </c>
      <c r="F1470">
        <v>0</v>
      </c>
      <c r="G1470">
        <v>0</v>
      </c>
      <c r="H1470">
        <f>IF(report_B_CategorieBoekjaar[[#This Row],[BedrijfsCode]]="002",IF(report_B_CategorieBoekjaar[[#This Row],[Boekjaar]]=Projectbegroting!$K$1,report_B_CategorieBoekjaar[[#This Row],[CategorieCode]],0),0)</f>
        <v>0</v>
      </c>
      <c r="I1470">
        <f>IF(report_B_CategorieBoekjaar[[#This Row],[BedrijfsCode]]="001",IF(report_B_CategorieBoekjaar[[#This Row],[Boekjaar]]=Projectbegroting!$K$1,report_B_CategorieBoekjaar[[#This Row],[CategorieCode]],0),0)</f>
        <v>0</v>
      </c>
    </row>
    <row r="1471" spans="1:9" hidden="1" x14ac:dyDescent="0.3">
      <c r="A1471" t="s">
        <v>525</v>
      </c>
      <c r="B1471" s="20">
        <v>44197</v>
      </c>
      <c r="C1471" t="s">
        <v>179</v>
      </c>
      <c r="D1471" t="s">
        <v>331</v>
      </c>
      <c r="E1471" t="s">
        <v>217</v>
      </c>
      <c r="F1471">
        <v>0</v>
      </c>
      <c r="G1471">
        <v>0</v>
      </c>
      <c r="H1471">
        <f>IF(report_B_CategorieBoekjaar[[#This Row],[BedrijfsCode]]="002",IF(report_B_CategorieBoekjaar[[#This Row],[Boekjaar]]=Projectbegroting!$K$1,report_B_CategorieBoekjaar[[#This Row],[CategorieCode]],0),0)</f>
        <v>0</v>
      </c>
      <c r="I1471">
        <f>IF(report_B_CategorieBoekjaar[[#This Row],[BedrijfsCode]]="001",IF(report_B_CategorieBoekjaar[[#This Row],[Boekjaar]]=Projectbegroting!$K$1,report_B_CategorieBoekjaar[[#This Row],[CategorieCode]],0),0)</f>
        <v>0</v>
      </c>
    </row>
    <row r="1472" spans="1:9" hidden="1" x14ac:dyDescent="0.3">
      <c r="A1472" t="s">
        <v>525</v>
      </c>
      <c r="B1472" s="20">
        <v>44197</v>
      </c>
      <c r="C1472" t="s">
        <v>180</v>
      </c>
      <c r="D1472" t="s">
        <v>332</v>
      </c>
      <c r="E1472" t="s">
        <v>217</v>
      </c>
      <c r="F1472">
        <v>0</v>
      </c>
      <c r="G1472">
        <v>0</v>
      </c>
      <c r="H1472">
        <f>IF(report_B_CategorieBoekjaar[[#This Row],[BedrijfsCode]]="002",IF(report_B_CategorieBoekjaar[[#This Row],[Boekjaar]]=Projectbegroting!$K$1,report_B_CategorieBoekjaar[[#This Row],[CategorieCode]],0),0)</f>
        <v>0</v>
      </c>
      <c r="I1472">
        <f>IF(report_B_CategorieBoekjaar[[#This Row],[BedrijfsCode]]="001",IF(report_B_CategorieBoekjaar[[#This Row],[Boekjaar]]=Projectbegroting!$K$1,report_B_CategorieBoekjaar[[#This Row],[CategorieCode]],0),0)</f>
        <v>0</v>
      </c>
    </row>
    <row r="1473" spans="1:9" hidden="1" x14ac:dyDescent="0.3">
      <c r="A1473" t="s">
        <v>525</v>
      </c>
      <c r="B1473" s="20">
        <v>44197</v>
      </c>
      <c r="C1473" t="s">
        <v>181</v>
      </c>
      <c r="D1473" t="s">
        <v>333</v>
      </c>
      <c r="E1473" t="s">
        <v>217</v>
      </c>
      <c r="F1473">
        <v>0</v>
      </c>
      <c r="G1473">
        <v>0</v>
      </c>
      <c r="H1473">
        <f>IF(report_B_CategorieBoekjaar[[#This Row],[BedrijfsCode]]="002",IF(report_B_CategorieBoekjaar[[#This Row],[Boekjaar]]=Projectbegroting!$K$1,report_B_CategorieBoekjaar[[#This Row],[CategorieCode]],0),0)</f>
        <v>0</v>
      </c>
      <c r="I1473">
        <f>IF(report_B_CategorieBoekjaar[[#This Row],[BedrijfsCode]]="001",IF(report_B_CategorieBoekjaar[[#This Row],[Boekjaar]]=Projectbegroting!$K$1,report_B_CategorieBoekjaar[[#This Row],[CategorieCode]],0),0)</f>
        <v>0</v>
      </c>
    </row>
    <row r="1474" spans="1:9" hidden="1" x14ac:dyDescent="0.3">
      <c r="A1474" t="s">
        <v>525</v>
      </c>
      <c r="B1474" s="20">
        <v>44197</v>
      </c>
      <c r="C1474" t="s">
        <v>182</v>
      </c>
      <c r="D1474" t="s">
        <v>334</v>
      </c>
      <c r="E1474" t="s">
        <v>217</v>
      </c>
      <c r="F1474">
        <v>0</v>
      </c>
      <c r="G1474">
        <v>0</v>
      </c>
      <c r="H1474">
        <f>IF(report_B_CategorieBoekjaar[[#This Row],[BedrijfsCode]]="002",IF(report_B_CategorieBoekjaar[[#This Row],[Boekjaar]]=Projectbegroting!$K$1,report_B_CategorieBoekjaar[[#This Row],[CategorieCode]],0),0)</f>
        <v>0</v>
      </c>
      <c r="I1474">
        <f>IF(report_B_CategorieBoekjaar[[#This Row],[BedrijfsCode]]="001",IF(report_B_CategorieBoekjaar[[#This Row],[Boekjaar]]=Projectbegroting!$K$1,report_B_CategorieBoekjaar[[#This Row],[CategorieCode]],0),0)</f>
        <v>0</v>
      </c>
    </row>
    <row r="1475" spans="1:9" hidden="1" x14ac:dyDescent="0.3">
      <c r="A1475" t="s">
        <v>525</v>
      </c>
      <c r="B1475" s="20">
        <v>44197</v>
      </c>
      <c r="C1475" t="s">
        <v>183</v>
      </c>
      <c r="D1475" t="s">
        <v>335</v>
      </c>
      <c r="E1475" t="s">
        <v>217</v>
      </c>
      <c r="F1475">
        <v>0</v>
      </c>
      <c r="G1475">
        <v>0</v>
      </c>
      <c r="H1475">
        <f>IF(report_B_CategorieBoekjaar[[#This Row],[BedrijfsCode]]="002",IF(report_B_CategorieBoekjaar[[#This Row],[Boekjaar]]=Projectbegroting!$K$1,report_B_CategorieBoekjaar[[#This Row],[CategorieCode]],0),0)</f>
        <v>0</v>
      </c>
      <c r="I1475">
        <f>IF(report_B_CategorieBoekjaar[[#This Row],[BedrijfsCode]]="001",IF(report_B_CategorieBoekjaar[[#This Row],[Boekjaar]]=Projectbegroting!$K$1,report_B_CategorieBoekjaar[[#This Row],[CategorieCode]],0),0)</f>
        <v>0</v>
      </c>
    </row>
    <row r="1476" spans="1:9" hidden="1" x14ac:dyDescent="0.3">
      <c r="A1476" t="s">
        <v>525</v>
      </c>
      <c r="B1476" s="20">
        <v>44197</v>
      </c>
      <c r="C1476" t="s">
        <v>184</v>
      </c>
      <c r="D1476" t="s">
        <v>336</v>
      </c>
      <c r="E1476" t="s">
        <v>217</v>
      </c>
      <c r="F1476">
        <v>0</v>
      </c>
      <c r="G1476">
        <v>0</v>
      </c>
      <c r="H1476">
        <f>IF(report_B_CategorieBoekjaar[[#This Row],[BedrijfsCode]]="002",IF(report_B_CategorieBoekjaar[[#This Row],[Boekjaar]]=Projectbegroting!$K$1,report_B_CategorieBoekjaar[[#This Row],[CategorieCode]],0),0)</f>
        <v>0</v>
      </c>
      <c r="I1476">
        <f>IF(report_B_CategorieBoekjaar[[#This Row],[BedrijfsCode]]="001",IF(report_B_CategorieBoekjaar[[#This Row],[Boekjaar]]=Projectbegroting!$K$1,report_B_CategorieBoekjaar[[#This Row],[CategorieCode]],0),0)</f>
        <v>0</v>
      </c>
    </row>
    <row r="1477" spans="1:9" hidden="1" x14ac:dyDescent="0.3">
      <c r="A1477" t="s">
        <v>525</v>
      </c>
      <c r="B1477" s="20">
        <v>44197</v>
      </c>
      <c r="C1477" t="s">
        <v>185</v>
      </c>
      <c r="D1477" t="s">
        <v>337</v>
      </c>
      <c r="E1477" t="s">
        <v>217</v>
      </c>
      <c r="F1477">
        <v>0</v>
      </c>
      <c r="G1477">
        <v>0</v>
      </c>
      <c r="H1477">
        <f>IF(report_B_CategorieBoekjaar[[#This Row],[BedrijfsCode]]="002",IF(report_B_CategorieBoekjaar[[#This Row],[Boekjaar]]=Projectbegroting!$K$1,report_B_CategorieBoekjaar[[#This Row],[CategorieCode]],0),0)</f>
        <v>0</v>
      </c>
      <c r="I1477">
        <f>IF(report_B_CategorieBoekjaar[[#This Row],[BedrijfsCode]]="001",IF(report_B_CategorieBoekjaar[[#This Row],[Boekjaar]]=Projectbegroting!$K$1,report_B_CategorieBoekjaar[[#This Row],[CategorieCode]],0),0)</f>
        <v>0</v>
      </c>
    </row>
    <row r="1478" spans="1:9" hidden="1" x14ac:dyDescent="0.3">
      <c r="A1478" t="s">
        <v>525</v>
      </c>
      <c r="B1478" s="20">
        <v>44197</v>
      </c>
      <c r="C1478" t="s">
        <v>186</v>
      </c>
      <c r="D1478" t="s">
        <v>338</v>
      </c>
      <c r="E1478" t="s">
        <v>217</v>
      </c>
      <c r="F1478">
        <v>0</v>
      </c>
      <c r="G1478">
        <v>0</v>
      </c>
      <c r="H1478">
        <f>IF(report_B_CategorieBoekjaar[[#This Row],[BedrijfsCode]]="002",IF(report_B_CategorieBoekjaar[[#This Row],[Boekjaar]]=Projectbegroting!$K$1,report_B_CategorieBoekjaar[[#This Row],[CategorieCode]],0),0)</f>
        <v>0</v>
      </c>
      <c r="I1478">
        <f>IF(report_B_CategorieBoekjaar[[#This Row],[BedrijfsCode]]="001",IF(report_B_CategorieBoekjaar[[#This Row],[Boekjaar]]=Projectbegroting!$K$1,report_B_CategorieBoekjaar[[#This Row],[CategorieCode]],0),0)</f>
        <v>0</v>
      </c>
    </row>
    <row r="1479" spans="1:9" hidden="1" x14ac:dyDescent="0.3">
      <c r="A1479" t="s">
        <v>525</v>
      </c>
      <c r="B1479" s="20">
        <v>44197</v>
      </c>
      <c r="C1479" t="s">
        <v>187</v>
      </c>
      <c r="D1479" t="s">
        <v>339</v>
      </c>
      <c r="E1479" t="s">
        <v>217</v>
      </c>
      <c r="F1479">
        <v>0</v>
      </c>
      <c r="G1479">
        <v>0</v>
      </c>
      <c r="H1479">
        <f>IF(report_B_CategorieBoekjaar[[#This Row],[BedrijfsCode]]="002",IF(report_B_CategorieBoekjaar[[#This Row],[Boekjaar]]=Projectbegroting!$K$1,report_B_CategorieBoekjaar[[#This Row],[CategorieCode]],0),0)</f>
        <v>0</v>
      </c>
      <c r="I1479">
        <f>IF(report_B_CategorieBoekjaar[[#This Row],[BedrijfsCode]]="001",IF(report_B_CategorieBoekjaar[[#This Row],[Boekjaar]]=Projectbegroting!$K$1,report_B_CategorieBoekjaar[[#This Row],[CategorieCode]],0),0)</f>
        <v>0</v>
      </c>
    </row>
    <row r="1480" spans="1:9" hidden="1" x14ac:dyDescent="0.3">
      <c r="A1480" t="s">
        <v>525</v>
      </c>
      <c r="B1480" s="20">
        <v>44197</v>
      </c>
      <c r="C1480" t="s">
        <v>188</v>
      </c>
      <c r="D1480" t="s">
        <v>340</v>
      </c>
      <c r="E1480" t="s">
        <v>217</v>
      </c>
      <c r="F1480">
        <v>0</v>
      </c>
      <c r="G1480">
        <v>0</v>
      </c>
      <c r="H1480">
        <f>IF(report_B_CategorieBoekjaar[[#This Row],[BedrijfsCode]]="002",IF(report_B_CategorieBoekjaar[[#This Row],[Boekjaar]]=Projectbegroting!$K$1,report_B_CategorieBoekjaar[[#This Row],[CategorieCode]],0),0)</f>
        <v>0</v>
      </c>
      <c r="I1480">
        <f>IF(report_B_CategorieBoekjaar[[#This Row],[BedrijfsCode]]="001",IF(report_B_CategorieBoekjaar[[#This Row],[Boekjaar]]=Projectbegroting!$K$1,report_B_CategorieBoekjaar[[#This Row],[CategorieCode]],0),0)</f>
        <v>0</v>
      </c>
    </row>
    <row r="1481" spans="1:9" hidden="1" x14ac:dyDescent="0.3">
      <c r="A1481" t="s">
        <v>525</v>
      </c>
      <c r="B1481" s="20">
        <v>44197</v>
      </c>
      <c r="C1481" t="s">
        <v>189</v>
      </c>
      <c r="D1481" t="s">
        <v>341</v>
      </c>
      <c r="E1481" t="s">
        <v>217</v>
      </c>
      <c r="F1481">
        <v>0</v>
      </c>
      <c r="G1481">
        <v>0</v>
      </c>
      <c r="H1481">
        <f>IF(report_B_CategorieBoekjaar[[#This Row],[BedrijfsCode]]="002",IF(report_B_CategorieBoekjaar[[#This Row],[Boekjaar]]=Projectbegroting!$K$1,report_B_CategorieBoekjaar[[#This Row],[CategorieCode]],0),0)</f>
        <v>0</v>
      </c>
      <c r="I1481">
        <f>IF(report_B_CategorieBoekjaar[[#This Row],[BedrijfsCode]]="001",IF(report_B_CategorieBoekjaar[[#This Row],[Boekjaar]]=Projectbegroting!$K$1,report_B_CategorieBoekjaar[[#This Row],[CategorieCode]],0),0)</f>
        <v>0</v>
      </c>
    </row>
    <row r="1482" spans="1:9" hidden="1" x14ac:dyDescent="0.3">
      <c r="A1482" t="s">
        <v>525</v>
      </c>
      <c r="B1482" s="20">
        <v>44197</v>
      </c>
      <c r="C1482" t="s">
        <v>190</v>
      </c>
      <c r="D1482" t="s">
        <v>342</v>
      </c>
      <c r="E1482" t="s">
        <v>217</v>
      </c>
      <c r="F1482">
        <v>0</v>
      </c>
      <c r="G1482">
        <v>0</v>
      </c>
      <c r="H1482">
        <f>IF(report_B_CategorieBoekjaar[[#This Row],[BedrijfsCode]]="002",IF(report_B_CategorieBoekjaar[[#This Row],[Boekjaar]]=Projectbegroting!$K$1,report_B_CategorieBoekjaar[[#This Row],[CategorieCode]],0),0)</f>
        <v>0</v>
      </c>
      <c r="I1482">
        <f>IF(report_B_CategorieBoekjaar[[#This Row],[BedrijfsCode]]="001",IF(report_B_CategorieBoekjaar[[#This Row],[Boekjaar]]=Projectbegroting!$K$1,report_B_CategorieBoekjaar[[#This Row],[CategorieCode]],0),0)</f>
        <v>0</v>
      </c>
    </row>
    <row r="1483" spans="1:9" hidden="1" x14ac:dyDescent="0.3">
      <c r="A1483" t="s">
        <v>525</v>
      </c>
      <c r="B1483" s="20">
        <v>44197</v>
      </c>
      <c r="C1483" t="s">
        <v>191</v>
      </c>
      <c r="D1483" t="s">
        <v>343</v>
      </c>
      <c r="E1483" t="s">
        <v>217</v>
      </c>
      <c r="F1483">
        <v>0</v>
      </c>
      <c r="G1483">
        <v>0</v>
      </c>
      <c r="H1483">
        <f>IF(report_B_CategorieBoekjaar[[#This Row],[BedrijfsCode]]="002",IF(report_B_CategorieBoekjaar[[#This Row],[Boekjaar]]=Projectbegroting!$K$1,report_B_CategorieBoekjaar[[#This Row],[CategorieCode]],0),0)</f>
        <v>0</v>
      </c>
      <c r="I1483">
        <f>IF(report_B_CategorieBoekjaar[[#This Row],[BedrijfsCode]]="001",IF(report_B_CategorieBoekjaar[[#This Row],[Boekjaar]]=Projectbegroting!$K$1,report_B_CategorieBoekjaar[[#This Row],[CategorieCode]],0),0)</f>
        <v>0</v>
      </c>
    </row>
    <row r="1484" spans="1:9" hidden="1" x14ac:dyDescent="0.3">
      <c r="A1484" t="s">
        <v>525</v>
      </c>
      <c r="B1484" s="20">
        <v>44197</v>
      </c>
      <c r="C1484" t="s">
        <v>192</v>
      </c>
      <c r="D1484" t="s">
        <v>344</v>
      </c>
      <c r="E1484" t="s">
        <v>217</v>
      </c>
      <c r="F1484">
        <v>0</v>
      </c>
      <c r="G1484">
        <v>0</v>
      </c>
      <c r="H1484">
        <f>IF(report_B_CategorieBoekjaar[[#This Row],[BedrijfsCode]]="002",IF(report_B_CategorieBoekjaar[[#This Row],[Boekjaar]]=Projectbegroting!$K$1,report_B_CategorieBoekjaar[[#This Row],[CategorieCode]],0),0)</f>
        <v>0</v>
      </c>
      <c r="I1484">
        <f>IF(report_B_CategorieBoekjaar[[#This Row],[BedrijfsCode]]="001",IF(report_B_CategorieBoekjaar[[#This Row],[Boekjaar]]=Projectbegroting!$K$1,report_B_CategorieBoekjaar[[#This Row],[CategorieCode]],0),0)</f>
        <v>0</v>
      </c>
    </row>
    <row r="1485" spans="1:9" hidden="1" x14ac:dyDescent="0.3">
      <c r="A1485" t="s">
        <v>525</v>
      </c>
      <c r="B1485" s="20">
        <v>44197</v>
      </c>
      <c r="C1485" t="s">
        <v>193</v>
      </c>
      <c r="D1485" t="s">
        <v>345</v>
      </c>
      <c r="E1485" t="s">
        <v>217</v>
      </c>
      <c r="F1485">
        <v>0</v>
      </c>
      <c r="G1485">
        <v>0</v>
      </c>
      <c r="H1485">
        <f>IF(report_B_CategorieBoekjaar[[#This Row],[BedrijfsCode]]="002",IF(report_B_CategorieBoekjaar[[#This Row],[Boekjaar]]=Projectbegroting!$K$1,report_B_CategorieBoekjaar[[#This Row],[CategorieCode]],0),0)</f>
        <v>0</v>
      </c>
      <c r="I1485">
        <f>IF(report_B_CategorieBoekjaar[[#This Row],[BedrijfsCode]]="001",IF(report_B_CategorieBoekjaar[[#This Row],[Boekjaar]]=Projectbegroting!$K$1,report_B_CategorieBoekjaar[[#This Row],[CategorieCode]],0),0)</f>
        <v>0</v>
      </c>
    </row>
    <row r="1486" spans="1:9" hidden="1" x14ac:dyDescent="0.3">
      <c r="A1486" t="s">
        <v>525</v>
      </c>
      <c r="B1486" s="20">
        <v>44197</v>
      </c>
      <c r="C1486" t="s">
        <v>194</v>
      </c>
      <c r="D1486" t="s">
        <v>346</v>
      </c>
      <c r="E1486" t="s">
        <v>217</v>
      </c>
      <c r="F1486">
        <v>0</v>
      </c>
      <c r="G1486">
        <v>0</v>
      </c>
      <c r="H1486">
        <f>IF(report_B_CategorieBoekjaar[[#This Row],[BedrijfsCode]]="002",IF(report_B_CategorieBoekjaar[[#This Row],[Boekjaar]]=Projectbegroting!$K$1,report_B_CategorieBoekjaar[[#This Row],[CategorieCode]],0),0)</f>
        <v>0</v>
      </c>
      <c r="I1486">
        <f>IF(report_B_CategorieBoekjaar[[#This Row],[BedrijfsCode]]="001",IF(report_B_CategorieBoekjaar[[#This Row],[Boekjaar]]=Projectbegroting!$K$1,report_B_CategorieBoekjaar[[#This Row],[CategorieCode]],0),0)</f>
        <v>0</v>
      </c>
    </row>
    <row r="1487" spans="1:9" hidden="1" x14ac:dyDescent="0.3">
      <c r="A1487" t="s">
        <v>525</v>
      </c>
      <c r="B1487" s="20">
        <v>44197</v>
      </c>
      <c r="C1487" t="s">
        <v>195</v>
      </c>
      <c r="D1487" t="s">
        <v>347</v>
      </c>
      <c r="E1487" t="s">
        <v>217</v>
      </c>
      <c r="F1487">
        <v>0</v>
      </c>
      <c r="G1487">
        <v>0</v>
      </c>
      <c r="H1487">
        <f>IF(report_B_CategorieBoekjaar[[#This Row],[BedrijfsCode]]="002",IF(report_B_CategorieBoekjaar[[#This Row],[Boekjaar]]=Projectbegroting!$K$1,report_B_CategorieBoekjaar[[#This Row],[CategorieCode]],0),0)</f>
        <v>0</v>
      </c>
      <c r="I1487">
        <f>IF(report_B_CategorieBoekjaar[[#This Row],[BedrijfsCode]]="001",IF(report_B_CategorieBoekjaar[[#This Row],[Boekjaar]]=Projectbegroting!$K$1,report_B_CategorieBoekjaar[[#This Row],[CategorieCode]],0),0)</f>
        <v>0</v>
      </c>
    </row>
    <row r="1488" spans="1:9" hidden="1" x14ac:dyDescent="0.3">
      <c r="A1488" t="s">
        <v>525</v>
      </c>
      <c r="B1488" s="20">
        <v>44197</v>
      </c>
      <c r="C1488" t="s">
        <v>196</v>
      </c>
      <c r="D1488" t="s">
        <v>348</v>
      </c>
      <c r="E1488" t="s">
        <v>217</v>
      </c>
      <c r="F1488">
        <v>0</v>
      </c>
      <c r="G1488">
        <v>0</v>
      </c>
      <c r="H1488">
        <f>IF(report_B_CategorieBoekjaar[[#This Row],[BedrijfsCode]]="002",IF(report_B_CategorieBoekjaar[[#This Row],[Boekjaar]]=Projectbegroting!$K$1,report_B_CategorieBoekjaar[[#This Row],[CategorieCode]],0),0)</f>
        <v>0</v>
      </c>
      <c r="I1488">
        <f>IF(report_B_CategorieBoekjaar[[#This Row],[BedrijfsCode]]="001",IF(report_B_CategorieBoekjaar[[#This Row],[Boekjaar]]=Projectbegroting!$K$1,report_B_CategorieBoekjaar[[#This Row],[CategorieCode]],0),0)</f>
        <v>0</v>
      </c>
    </row>
    <row r="1489" spans="1:9" hidden="1" x14ac:dyDescent="0.3">
      <c r="A1489" t="s">
        <v>525</v>
      </c>
      <c r="B1489" s="20">
        <v>44197</v>
      </c>
      <c r="C1489" t="s">
        <v>349</v>
      </c>
      <c r="D1489" t="s">
        <v>350</v>
      </c>
      <c r="E1489" t="s">
        <v>217</v>
      </c>
      <c r="F1489">
        <v>0</v>
      </c>
      <c r="G1489">
        <v>0</v>
      </c>
      <c r="H1489">
        <f>IF(report_B_CategorieBoekjaar[[#This Row],[BedrijfsCode]]="002",IF(report_B_CategorieBoekjaar[[#This Row],[Boekjaar]]=Projectbegroting!$K$1,report_B_CategorieBoekjaar[[#This Row],[CategorieCode]],0),0)</f>
        <v>0</v>
      </c>
      <c r="I1489">
        <f>IF(report_B_CategorieBoekjaar[[#This Row],[BedrijfsCode]]="001",IF(report_B_CategorieBoekjaar[[#This Row],[Boekjaar]]=Projectbegroting!$K$1,report_B_CategorieBoekjaar[[#This Row],[CategorieCode]],0),0)</f>
        <v>0</v>
      </c>
    </row>
    <row r="1490" spans="1:9" hidden="1" x14ac:dyDescent="0.3">
      <c r="A1490" t="s">
        <v>525</v>
      </c>
      <c r="B1490" s="20">
        <v>44197</v>
      </c>
      <c r="C1490" t="s">
        <v>197</v>
      </c>
      <c r="D1490" t="s">
        <v>351</v>
      </c>
      <c r="E1490" t="s">
        <v>217</v>
      </c>
      <c r="F1490">
        <v>0</v>
      </c>
      <c r="G1490">
        <v>0</v>
      </c>
      <c r="H1490">
        <f>IF(report_B_CategorieBoekjaar[[#This Row],[BedrijfsCode]]="002",IF(report_B_CategorieBoekjaar[[#This Row],[Boekjaar]]=Projectbegroting!$K$1,report_B_CategorieBoekjaar[[#This Row],[CategorieCode]],0),0)</f>
        <v>0</v>
      </c>
      <c r="I1490">
        <f>IF(report_B_CategorieBoekjaar[[#This Row],[BedrijfsCode]]="001",IF(report_B_CategorieBoekjaar[[#This Row],[Boekjaar]]=Projectbegroting!$K$1,report_B_CategorieBoekjaar[[#This Row],[CategorieCode]],0),0)</f>
        <v>0</v>
      </c>
    </row>
    <row r="1491" spans="1:9" hidden="1" x14ac:dyDescent="0.3">
      <c r="A1491" t="s">
        <v>525</v>
      </c>
      <c r="B1491" s="20">
        <v>44197</v>
      </c>
      <c r="C1491" t="s">
        <v>198</v>
      </c>
      <c r="D1491" t="s">
        <v>352</v>
      </c>
      <c r="E1491" t="s">
        <v>217</v>
      </c>
      <c r="F1491">
        <v>0</v>
      </c>
      <c r="G1491">
        <v>0</v>
      </c>
      <c r="H1491">
        <f>IF(report_B_CategorieBoekjaar[[#This Row],[BedrijfsCode]]="002",IF(report_B_CategorieBoekjaar[[#This Row],[Boekjaar]]=Projectbegroting!$K$1,report_B_CategorieBoekjaar[[#This Row],[CategorieCode]],0),0)</f>
        <v>0</v>
      </c>
      <c r="I1491">
        <f>IF(report_B_CategorieBoekjaar[[#This Row],[BedrijfsCode]]="001",IF(report_B_CategorieBoekjaar[[#This Row],[Boekjaar]]=Projectbegroting!$K$1,report_B_CategorieBoekjaar[[#This Row],[CategorieCode]],0),0)</f>
        <v>0</v>
      </c>
    </row>
    <row r="1492" spans="1:9" hidden="1" x14ac:dyDescent="0.3">
      <c r="A1492" t="s">
        <v>525</v>
      </c>
      <c r="B1492" s="20">
        <v>44197</v>
      </c>
      <c r="C1492" t="s">
        <v>353</v>
      </c>
      <c r="D1492" t="s">
        <v>354</v>
      </c>
      <c r="E1492" t="s">
        <v>217</v>
      </c>
      <c r="F1492">
        <v>0</v>
      </c>
      <c r="G1492">
        <v>0</v>
      </c>
      <c r="H1492">
        <f>IF(report_B_CategorieBoekjaar[[#This Row],[BedrijfsCode]]="002",IF(report_B_CategorieBoekjaar[[#This Row],[Boekjaar]]=Projectbegroting!$K$1,report_B_CategorieBoekjaar[[#This Row],[CategorieCode]],0),0)</f>
        <v>0</v>
      </c>
      <c r="I1492">
        <f>IF(report_B_CategorieBoekjaar[[#This Row],[BedrijfsCode]]="001",IF(report_B_CategorieBoekjaar[[#This Row],[Boekjaar]]=Projectbegroting!$K$1,report_B_CategorieBoekjaar[[#This Row],[CategorieCode]],0),0)</f>
        <v>0</v>
      </c>
    </row>
    <row r="1493" spans="1:9" hidden="1" x14ac:dyDescent="0.3">
      <c r="A1493" t="s">
        <v>525</v>
      </c>
      <c r="B1493" s="20">
        <v>44197</v>
      </c>
      <c r="C1493" t="s">
        <v>199</v>
      </c>
      <c r="D1493" t="s">
        <v>355</v>
      </c>
      <c r="E1493" t="s">
        <v>217</v>
      </c>
      <c r="F1493">
        <v>0</v>
      </c>
      <c r="G1493">
        <v>0</v>
      </c>
      <c r="H1493">
        <f>IF(report_B_CategorieBoekjaar[[#This Row],[BedrijfsCode]]="002",IF(report_B_CategorieBoekjaar[[#This Row],[Boekjaar]]=Projectbegroting!$K$1,report_B_CategorieBoekjaar[[#This Row],[CategorieCode]],0),0)</f>
        <v>0</v>
      </c>
      <c r="I1493">
        <f>IF(report_B_CategorieBoekjaar[[#This Row],[BedrijfsCode]]="001",IF(report_B_CategorieBoekjaar[[#This Row],[Boekjaar]]=Projectbegroting!$K$1,report_B_CategorieBoekjaar[[#This Row],[CategorieCode]],0),0)</f>
        <v>0</v>
      </c>
    </row>
    <row r="1494" spans="1:9" hidden="1" x14ac:dyDescent="0.3">
      <c r="A1494" t="s">
        <v>525</v>
      </c>
      <c r="B1494" s="20">
        <v>44197</v>
      </c>
      <c r="C1494" t="s">
        <v>200</v>
      </c>
      <c r="D1494" t="s">
        <v>356</v>
      </c>
      <c r="E1494" t="s">
        <v>217</v>
      </c>
      <c r="F1494">
        <v>0</v>
      </c>
      <c r="G1494">
        <v>0</v>
      </c>
      <c r="H1494">
        <f>IF(report_B_CategorieBoekjaar[[#This Row],[BedrijfsCode]]="002",IF(report_B_CategorieBoekjaar[[#This Row],[Boekjaar]]=Projectbegroting!$K$1,report_B_CategorieBoekjaar[[#This Row],[CategorieCode]],0),0)</f>
        <v>0</v>
      </c>
      <c r="I1494">
        <f>IF(report_B_CategorieBoekjaar[[#This Row],[BedrijfsCode]]="001",IF(report_B_CategorieBoekjaar[[#This Row],[Boekjaar]]=Projectbegroting!$K$1,report_B_CategorieBoekjaar[[#This Row],[CategorieCode]],0),0)</f>
        <v>0</v>
      </c>
    </row>
    <row r="1495" spans="1:9" hidden="1" x14ac:dyDescent="0.3">
      <c r="A1495" t="s">
        <v>525</v>
      </c>
      <c r="B1495" s="20">
        <v>44197</v>
      </c>
      <c r="C1495" t="s">
        <v>201</v>
      </c>
      <c r="D1495" t="s">
        <v>357</v>
      </c>
      <c r="E1495" t="s">
        <v>217</v>
      </c>
      <c r="F1495">
        <v>0</v>
      </c>
      <c r="G1495">
        <v>0</v>
      </c>
      <c r="H1495">
        <f>IF(report_B_CategorieBoekjaar[[#This Row],[BedrijfsCode]]="002",IF(report_B_CategorieBoekjaar[[#This Row],[Boekjaar]]=Projectbegroting!$K$1,report_B_CategorieBoekjaar[[#This Row],[CategorieCode]],0),0)</f>
        <v>0</v>
      </c>
      <c r="I1495">
        <f>IF(report_B_CategorieBoekjaar[[#This Row],[BedrijfsCode]]="001",IF(report_B_CategorieBoekjaar[[#This Row],[Boekjaar]]=Projectbegroting!$K$1,report_B_CategorieBoekjaar[[#This Row],[CategorieCode]],0),0)</f>
        <v>0</v>
      </c>
    </row>
    <row r="1496" spans="1:9" hidden="1" x14ac:dyDescent="0.3">
      <c r="A1496" t="s">
        <v>525</v>
      </c>
      <c r="B1496" s="20">
        <v>44197</v>
      </c>
      <c r="C1496" t="s">
        <v>202</v>
      </c>
      <c r="D1496" t="s">
        <v>358</v>
      </c>
      <c r="E1496" t="s">
        <v>217</v>
      </c>
      <c r="F1496">
        <v>0</v>
      </c>
      <c r="G1496">
        <v>0</v>
      </c>
      <c r="H1496">
        <f>IF(report_B_CategorieBoekjaar[[#This Row],[BedrijfsCode]]="002",IF(report_B_CategorieBoekjaar[[#This Row],[Boekjaar]]=Projectbegroting!$K$1,report_B_CategorieBoekjaar[[#This Row],[CategorieCode]],0),0)</f>
        <v>0</v>
      </c>
      <c r="I1496">
        <f>IF(report_B_CategorieBoekjaar[[#This Row],[BedrijfsCode]]="001",IF(report_B_CategorieBoekjaar[[#This Row],[Boekjaar]]=Projectbegroting!$K$1,report_B_CategorieBoekjaar[[#This Row],[CategorieCode]],0),0)</f>
        <v>0</v>
      </c>
    </row>
    <row r="1497" spans="1:9" hidden="1" x14ac:dyDescent="0.3">
      <c r="A1497" t="s">
        <v>525</v>
      </c>
      <c r="B1497" s="20">
        <v>44197</v>
      </c>
      <c r="C1497" t="s">
        <v>203</v>
      </c>
      <c r="D1497" t="s">
        <v>359</v>
      </c>
      <c r="E1497" t="s">
        <v>217</v>
      </c>
      <c r="F1497">
        <v>0</v>
      </c>
      <c r="G1497">
        <v>0</v>
      </c>
      <c r="H1497">
        <f>IF(report_B_CategorieBoekjaar[[#This Row],[BedrijfsCode]]="002",IF(report_B_CategorieBoekjaar[[#This Row],[Boekjaar]]=Projectbegroting!$K$1,report_B_CategorieBoekjaar[[#This Row],[CategorieCode]],0),0)</f>
        <v>0</v>
      </c>
      <c r="I1497">
        <f>IF(report_B_CategorieBoekjaar[[#This Row],[BedrijfsCode]]="001",IF(report_B_CategorieBoekjaar[[#This Row],[Boekjaar]]=Projectbegroting!$K$1,report_B_CategorieBoekjaar[[#This Row],[CategorieCode]],0),0)</f>
        <v>0</v>
      </c>
    </row>
    <row r="1498" spans="1:9" hidden="1" x14ac:dyDescent="0.3">
      <c r="A1498" t="s">
        <v>525</v>
      </c>
      <c r="B1498" s="20">
        <v>44197</v>
      </c>
      <c r="C1498" t="s">
        <v>204</v>
      </c>
      <c r="D1498" t="s">
        <v>360</v>
      </c>
      <c r="E1498" t="s">
        <v>217</v>
      </c>
      <c r="F1498">
        <v>0</v>
      </c>
      <c r="G1498">
        <v>0</v>
      </c>
      <c r="H1498">
        <f>IF(report_B_CategorieBoekjaar[[#This Row],[BedrijfsCode]]="002",IF(report_B_CategorieBoekjaar[[#This Row],[Boekjaar]]=Projectbegroting!$K$1,report_B_CategorieBoekjaar[[#This Row],[CategorieCode]],0),0)</f>
        <v>0</v>
      </c>
      <c r="I1498">
        <f>IF(report_B_CategorieBoekjaar[[#This Row],[BedrijfsCode]]="001",IF(report_B_CategorieBoekjaar[[#This Row],[Boekjaar]]=Projectbegroting!$K$1,report_B_CategorieBoekjaar[[#This Row],[CategorieCode]],0),0)</f>
        <v>0</v>
      </c>
    </row>
    <row r="1499" spans="1:9" hidden="1" x14ac:dyDescent="0.3">
      <c r="A1499" t="s">
        <v>525</v>
      </c>
      <c r="B1499" s="20">
        <v>44197</v>
      </c>
      <c r="C1499" t="s">
        <v>205</v>
      </c>
      <c r="D1499" t="s">
        <v>361</v>
      </c>
      <c r="E1499" t="s">
        <v>217</v>
      </c>
      <c r="F1499">
        <v>0</v>
      </c>
      <c r="G1499">
        <v>0</v>
      </c>
      <c r="H1499">
        <f>IF(report_B_CategorieBoekjaar[[#This Row],[BedrijfsCode]]="002",IF(report_B_CategorieBoekjaar[[#This Row],[Boekjaar]]=Projectbegroting!$K$1,report_B_CategorieBoekjaar[[#This Row],[CategorieCode]],0),0)</f>
        <v>0</v>
      </c>
      <c r="I1499">
        <f>IF(report_B_CategorieBoekjaar[[#This Row],[BedrijfsCode]]="001",IF(report_B_CategorieBoekjaar[[#This Row],[Boekjaar]]=Projectbegroting!$K$1,report_B_CategorieBoekjaar[[#This Row],[CategorieCode]],0),0)</f>
        <v>0</v>
      </c>
    </row>
    <row r="1500" spans="1:9" hidden="1" x14ac:dyDescent="0.3">
      <c r="A1500" t="s">
        <v>525</v>
      </c>
      <c r="B1500" s="20">
        <v>44197</v>
      </c>
      <c r="C1500" t="s">
        <v>206</v>
      </c>
      <c r="D1500" t="s">
        <v>362</v>
      </c>
      <c r="E1500" t="s">
        <v>217</v>
      </c>
      <c r="F1500">
        <v>0</v>
      </c>
      <c r="G1500">
        <v>0</v>
      </c>
      <c r="H1500">
        <f>IF(report_B_CategorieBoekjaar[[#This Row],[BedrijfsCode]]="002",IF(report_B_CategorieBoekjaar[[#This Row],[Boekjaar]]=Projectbegroting!$K$1,report_B_CategorieBoekjaar[[#This Row],[CategorieCode]],0),0)</f>
        <v>0</v>
      </c>
      <c r="I1500">
        <f>IF(report_B_CategorieBoekjaar[[#This Row],[BedrijfsCode]]="001",IF(report_B_CategorieBoekjaar[[#This Row],[Boekjaar]]=Projectbegroting!$K$1,report_B_CategorieBoekjaar[[#This Row],[CategorieCode]],0),0)</f>
        <v>0</v>
      </c>
    </row>
    <row r="1501" spans="1:9" hidden="1" x14ac:dyDescent="0.3">
      <c r="A1501" t="s">
        <v>525</v>
      </c>
      <c r="B1501" s="20">
        <v>44197</v>
      </c>
      <c r="C1501" t="s">
        <v>363</v>
      </c>
      <c r="D1501" t="s">
        <v>364</v>
      </c>
      <c r="E1501" t="s">
        <v>217</v>
      </c>
      <c r="F1501">
        <v>0</v>
      </c>
      <c r="G1501">
        <v>0</v>
      </c>
      <c r="H1501">
        <f>IF(report_B_CategorieBoekjaar[[#This Row],[BedrijfsCode]]="002",IF(report_B_CategorieBoekjaar[[#This Row],[Boekjaar]]=Projectbegroting!$K$1,report_B_CategorieBoekjaar[[#This Row],[CategorieCode]],0),0)</f>
        <v>0</v>
      </c>
      <c r="I1501">
        <f>IF(report_B_CategorieBoekjaar[[#This Row],[BedrijfsCode]]="001",IF(report_B_CategorieBoekjaar[[#This Row],[Boekjaar]]=Projectbegroting!$K$1,report_B_CategorieBoekjaar[[#This Row],[CategorieCode]],0),0)</f>
        <v>0</v>
      </c>
    </row>
    <row r="1502" spans="1:9" hidden="1" x14ac:dyDescent="0.3">
      <c r="A1502" t="s">
        <v>525</v>
      </c>
      <c r="B1502" s="20">
        <v>44197</v>
      </c>
      <c r="C1502" t="s">
        <v>207</v>
      </c>
      <c r="D1502" t="s">
        <v>365</v>
      </c>
      <c r="E1502" t="s">
        <v>217</v>
      </c>
      <c r="F1502">
        <v>0</v>
      </c>
      <c r="G1502">
        <v>0</v>
      </c>
      <c r="H1502">
        <f>IF(report_B_CategorieBoekjaar[[#This Row],[BedrijfsCode]]="002",IF(report_B_CategorieBoekjaar[[#This Row],[Boekjaar]]=Projectbegroting!$K$1,report_B_CategorieBoekjaar[[#This Row],[CategorieCode]],0),0)</f>
        <v>0</v>
      </c>
      <c r="I1502">
        <f>IF(report_B_CategorieBoekjaar[[#This Row],[BedrijfsCode]]="001",IF(report_B_CategorieBoekjaar[[#This Row],[Boekjaar]]=Projectbegroting!$K$1,report_B_CategorieBoekjaar[[#This Row],[CategorieCode]],0),0)</f>
        <v>0</v>
      </c>
    </row>
    <row r="1503" spans="1:9" hidden="1" x14ac:dyDescent="0.3">
      <c r="A1503" t="s">
        <v>525</v>
      </c>
      <c r="B1503" s="20">
        <v>44197</v>
      </c>
      <c r="C1503" t="s">
        <v>208</v>
      </c>
      <c r="D1503" t="s">
        <v>366</v>
      </c>
      <c r="E1503" t="s">
        <v>217</v>
      </c>
      <c r="F1503">
        <v>0</v>
      </c>
      <c r="G1503">
        <v>0</v>
      </c>
      <c r="H1503">
        <f>IF(report_B_CategorieBoekjaar[[#This Row],[BedrijfsCode]]="002",IF(report_B_CategorieBoekjaar[[#This Row],[Boekjaar]]=Projectbegroting!$K$1,report_B_CategorieBoekjaar[[#This Row],[CategorieCode]],0),0)</f>
        <v>0</v>
      </c>
      <c r="I1503">
        <f>IF(report_B_CategorieBoekjaar[[#This Row],[BedrijfsCode]]="001",IF(report_B_CategorieBoekjaar[[#This Row],[Boekjaar]]=Projectbegroting!$K$1,report_B_CategorieBoekjaar[[#This Row],[CategorieCode]],0),0)</f>
        <v>0</v>
      </c>
    </row>
    <row r="1504" spans="1:9" hidden="1" x14ac:dyDescent="0.3">
      <c r="A1504" t="s">
        <v>525</v>
      </c>
      <c r="B1504" s="20">
        <v>44197</v>
      </c>
      <c r="C1504" t="s">
        <v>209</v>
      </c>
      <c r="D1504" t="s">
        <v>367</v>
      </c>
      <c r="E1504" t="s">
        <v>217</v>
      </c>
      <c r="F1504">
        <v>0</v>
      </c>
      <c r="G1504">
        <v>0</v>
      </c>
      <c r="H1504">
        <f>IF(report_B_CategorieBoekjaar[[#This Row],[BedrijfsCode]]="002",IF(report_B_CategorieBoekjaar[[#This Row],[Boekjaar]]=Projectbegroting!$K$1,report_B_CategorieBoekjaar[[#This Row],[CategorieCode]],0),0)</f>
        <v>0</v>
      </c>
      <c r="I1504">
        <f>IF(report_B_CategorieBoekjaar[[#This Row],[BedrijfsCode]]="001",IF(report_B_CategorieBoekjaar[[#This Row],[Boekjaar]]=Projectbegroting!$K$1,report_B_CategorieBoekjaar[[#This Row],[CategorieCode]],0),0)</f>
        <v>0</v>
      </c>
    </row>
    <row r="1505" spans="1:9" hidden="1" x14ac:dyDescent="0.3">
      <c r="A1505" t="s">
        <v>525</v>
      </c>
      <c r="B1505" s="20">
        <v>44197</v>
      </c>
      <c r="C1505" t="s">
        <v>210</v>
      </c>
      <c r="D1505" t="s">
        <v>368</v>
      </c>
      <c r="E1505" t="s">
        <v>217</v>
      </c>
      <c r="F1505">
        <v>0</v>
      </c>
      <c r="G1505">
        <v>0</v>
      </c>
      <c r="H1505">
        <f>IF(report_B_CategorieBoekjaar[[#This Row],[BedrijfsCode]]="002",IF(report_B_CategorieBoekjaar[[#This Row],[Boekjaar]]=Projectbegroting!$K$1,report_B_CategorieBoekjaar[[#This Row],[CategorieCode]],0),0)</f>
        <v>0</v>
      </c>
      <c r="I1505">
        <f>IF(report_B_CategorieBoekjaar[[#This Row],[BedrijfsCode]]="001",IF(report_B_CategorieBoekjaar[[#This Row],[Boekjaar]]=Projectbegroting!$K$1,report_B_CategorieBoekjaar[[#This Row],[CategorieCode]],0),0)</f>
        <v>0</v>
      </c>
    </row>
    <row r="1506" spans="1:9" hidden="1" x14ac:dyDescent="0.3">
      <c r="A1506" t="s">
        <v>525</v>
      </c>
      <c r="B1506" s="20">
        <v>44197</v>
      </c>
      <c r="C1506" t="s">
        <v>369</v>
      </c>
      <c r="D1506" t="s">
        <v>370</v>
      </c>
      <c r="E1506" t="s">
        <v>217</v>
      </c>
      <c r="F1506">
        <v>0</v>
      </c>
      <c r="G1506">
        <v>0</v>
      </c>
      <c r="H1506">
        <f>IF(report_B_CategorieBoekjaar[[#This Row],[BedrijfsCode]]="002",IF(report_B_CategorieBoekjaar[[#This Row],[Boekjaar]]=Projectbegroting!$K$1,report_B_CategorieBoekjaar[[#This Row],[CategorieCode]],0),0)</f>
        <v>0</v>
      </c>
      <c r="I1506">
        <f>IF(report_B_CategorieBoekjaar[[#This Row],[BedrijfsCode]]="001",IF(report_B_CategorieBoekjaar[[#This Row],[Boekjaar]]=Projectbegroting!$K$1,report_B_CategorieBoekjaar[[#This Row],[CategorieCode]],0),0)</f>
        <v>0</v>
      </c>
    </row>
    <row r="1507" spans="1:9" hidden="1" x14ac:dyDescent="0.3">
      <c r="A1507" t="s">
        <v>525</v>
      </c>
      <c r="B1507" s="20">
        <v>44197</v>
      </c>
      <c r="C1507" t="s">
        <v>371</v>
      </c>
      <c r="D1507" t="s">
        <v>372</v>
      </c>
      <c r="E1507" t="s">
        <v>217</v>
      </c>
      <c r="F1507">
        <v>0</v>
      </c>
      <c r="G1507">
        <v>0</v>
      </c>
      <c r="H1507">
        <f>IF(report_B_CategorieBoekjaar[[#This Row],[BedrijfsCode]]="002",IF(report_B_CategorieBoekjaar[[#This Row],[Boekjaar]]=Projectbegroting!$K$1,report_B_CategorieBoekjaar[[#This Row],[CategorieCode]],0),0)</f>
        <v>0</v>
      </c>
      <c r="I1507">
        <f>IF(report_B_CategorieBoekjaar[[#This Row],[BedrijfsCode]]="001",IF(report_B_CategorieBoekjaar[[#This Row],[Boekjaar]]=Projectbegroting!$K$1,report_B_CategorieBoekjaar[[#This Row],[CategorieCode]],0),0)</f>
        <v>0</v>
      </c>
    </row>
    <row r="1508" spans="1:9" hidden="1" x14ac:dyDescent="0.3">
      <c r="A1508" t="s">
        <v>525</v>
      </c>
      <c r="B1508" s="20">
        <v>44197</v>
      </c>
      <c r="C1508" t="s">
        <v>373</v>
      </c>
      <c r="D1508" t="s">
        <v>374</v>
      </c>
      <c r="E1508" t="s">
        <v>217</v>
      </c>
      <c r="F1508">
        <v>0</v>
      </c>
      <c r="G1508">
        <v>0</v>
      </c>
      <c r="H1508">
        <f>IF(report_B_CategorieBoekjaar[[#This Row],[BedrijfsCode]]="002",IF(report_B_CategorieBoekjaar[[#This Row],[Boekjaar]]=Projectbegroting!$K$1,report_B_CategorieBoekjaar[[#This Row],[CategorieCode]],0),0)</f>
        <v>0</v>
      </c>
      <c r="I1508">
        <f>IF(report_B_CategorieBoekjaar[[#This Row],[BedrijfsCode]]="001",IF(report_B_CategorieBoekjaar[[#This Row],[Boekjaar]]=Projectbegroting!$K$1,report_B_CategorieBoekjaar[[#This Row],[CategorieCode]],0),0)</f>
        <v>0</v>
      </c>
    </row>
    <row r="1509" spans="1:9" hidden="1" x14ac:dyDescent="0.3">
      <c r="A1509" t="s">
        <v>525</v>
      </c>
      <c r="B1509" s="20">
        <v>44197</v>
      </c>
      <c r="C1509" t="s">
        <v>375</v>
      </c>
      <c r="D1509" t="s">
        <v>376</v>
      </c>
      <c r="E1509" t="s">
        <v>217</v>
      </c>
      <c r="F1509">
        <v>0</v>
      </c>
      <c r="G1509">
        <v>0</v>
      </c>
      <c r="H1509">
        <f>IF(report_B_CategorieBoekjaar[[#This Row],[BedrijfsCode]]="002",IF(report_B_CategorieBoekjaar[[#This Row],[Boekjaar]]=Projectbegroting!$K$1,report_B_CategorieBoekjaar[[#This Row],[CategorieCode]],0),0)</f>
        <v>0</v>
      </c>
      <c r="I1509">
        <f>IF(report_B_CategorieBoekjaar[[#This Row],[BedrijfsCode]]="001",IF(report_B_CategorieBoekjaar[[#This Row],[Boekjaar]]=Projectbegroting!$K$1,report_B_CategorieBoekjaar[[#This Row],[CategorieCode]],0),0)</f>
        <v>0</v>
      </c>
    </row>
    <row r="1510" spans="1:9" hidden="1" x14ac:dyDescent="0.3">
      <c r="A1510" t="s">
        <v>525</v>
      </c>
      <c r="B1510" s="20">
        <v>44197</v>
      </c>
      <c r="C1510" t="s">
        <v>377</v>
      </c>
      <c r="D1510" t="s">
        <v>378</v>
      </c>
      <c r="E1510" t="s">
        <v>217</v>
      </c>
      <c r="F1510">
        <v>0</v>
      </c>
      <c r="G1510">
        <v>0</v>
      </c>
      <c r="H1510">
        <f>IF(report_B_CategorieBoekjaar[[#This Row],[BedrijfsCode]]="002",IF(report_B_CategorieBoekjaar[[#This Row],[Boekjaar]]=Projectbegroting!$K$1,report_B_CategorieBoekjaar[[#This Row],[CategorieCode]],0),0)</f>
        <v>0</v>
      </c>
      <c r="I1510">
        <f>IF(report_B_CategorieBoekjaar[[#This Row],[BedrijfsCode]]="001",IF(report_B_CategorieBoekjaar[[#This Row],[Boekjaar]]=Projectbegroting!$K$1,report_B_CategorieBoekjaar[[#This Row],[CategorieCode]],0),0)</f>
        <v>0</v>
      </c>
    </row>
    <row r="1511" spans="1:9" hidden="1" x14ac:dyDescent="0.3">
      <c r="A1511" t="s">
        <v>525</v>
      </c>
      <c r="B1511" s="20">
        <v>44197</v>
      </c>
      <c r="C1511" t="s">
        <v>379</v>
      </c>
      <c r="D1511" t="s">
        <v>380</v>
      </c>
      <c r="E1511" t="s">
        <v>381</v>
      </c>
      <c r="F1511">
        <v>42</v>
      </c>
      <c r="G1511">
        <v>97</v>
      </c>
      <c r="H1511">
        <f>IF(report_B_CategorieBoekjaar[[#This Row],[BedrijfsCode]]="002",IF(report_B_CategorieBoekjaar[[#This Row],[Boekjaar]]=Projectbegroting!$K$1,report_B_CategorieBoekjaar[[#This Row],[CategorieCode]],0),0)</f>
        <v>0</v>
      </c>
      <c r="I1511">
        <f>IF(report_B_CategorieBoekjaar[[#This Row],[BedrijfsCode]]="001",IF(report_B_CategorieBoekjaar[[#This Row],[Boekjaar]]=Projectbegroting!$K$1,report_B_CategorieBoekjaar[[#This Row],[CategorieCode]],0),0)</f>
        <v>0</v>
      </c>
    </row>
    <row r="1512" spans="1:9" hidden="1" x14ac:dyDescent="0.3">
      <c r="A1512" t="s">
        <v>525</v>
      </c>
      <c r="B1512" s="20">
        <v>44197</v>
      </c>
      <c r="C1512" t="s">
        <v>382</v>
      </c>
      <c r="D1512" t="s">
        <v>383</v>
      </c>
      <c r="E1512" t="s">
        <v>384</v>
      </c>
      <c r="F1512">
        <v>0</v>
      </c>
      <c r="G1512">
        <v>0</v>
      </c>
      <c r="H1512">
        <f>IF(report_B_CategorieBoekjaar[[#This Row],[BedrijfsCode]]="002",IF(report_B_CategorieBoekjaar[[#This Row],[Boekjaar]]=Projectbegroting!$K$1,report_B_CategorieBoekjaar[[#This Row],[CategorieCode]],0),0)</f>
        <v>0</v>
      </c>
      <c r="I1512">
        <f>IF(report_B_CategorieBoekjaar[[#This Row],[BedrijfsCode]]="001",IF(report_B_CategorieBoekjaar[[#This Row],[Boekjaar]]=Projectbegroting!$K$1,report_B_CategorieBoekjaar[[#This Row],[CategorieCode]],0),0)</f>
        <v>0</v>
      </c>
    </row>
    <row r="1513" spans="1:9" hidden="1" x14ac:dyDescent="0.3">
      <c r="A1513" t="s">
        <v>525</v>
      </c>
      <c r="B1513" s="20">
        <v>44197</v>
      </c>
      <c r="C1513" t="s">
        <v>385</v>
      </c>
      <c r="D1513" t="s">
        <v>386</v>
      </c>
      <c r="E1513" t="s">
        <v>381</v>
      </c>
      <c r="F1513">
        <v>68</v>
      </c>
      <c r="G1513">
        <v>123</v>
      </c>
      <c r="H1513">
        <f>IF(report_B_CategorieBoekjaar[[#This Row],[BedrijfsCode]]="002",IF(report_B_CategorieBoekjaar[[#This Row],[Boekjaar]]=Projectbegroting!$K$1,report_B_CategorieBoekjaar[[#This Row],[CategorieCode]],0),0)</f>
        <v>0</v>
      </c>
      <c r="I1513">
        <f>IF(report_B_CategorieBoekjaar[[#This Row],[BedrijfsCode]]="001",IF(report_B_CategorieBoekjaar[[#This Row],[Boekjaar]]=Projectbegroting!$K$1,report_B_CategorieBoekjaar[[#This Row],[CategorieCode]],0),0)</f>
        <v>0</v>
      </c>
    </row>
    <row r="1514" spans="1:9" hidden="1" x14ac:dyDescent="0.3">
      <c r="A1514" t="s">
        <v>525</v>
      </c>
      <c r="B1514" s="20">
        <v>44197</v>
      </c>
      <c r="C1514" t="s">
        <v>387</v>
      </c>
      <c r="D1514" t="s">
        <v>388</v>
      </c>
      <c r="E1514" t="s">
        <v>384</v>
      </c>
      <c r="F1514">
        <v>0</v>
      </c>
      <c r="G1514">
        <v>0</v>
      </c>
      <c r="H1514">
        <f>IF(report_B_CategorieBoekjaar[[#This Row],[BedrijfsCode]]="002",IF(report_B_CategorieBoekjaar[[#This Row],[Boekjaar]]=Projectbegroting!$K$1,report_B_CategorieBoekjaar[[#This Row],[CategorieCode]],0),0)</f>
        <v>0</v>
      </c>
      <c r="I1514">
        <f>IF(report_B_CategorieBoekjaar[[#This Row],[BedrijfsCode]]="001",IF(report_B_CategorieBoekjaar[[#This Row],[Boekjaar]]=Projectbegroting!$K$1,report_B_CategorieBoekjaar[[#This Row],[CategorieCode]],0),0)</f>
        <v>0</v>
      </c>
    </row>
    <row r="1515" spans="1:9" hidden="1" x14ac:dyDescent="0.3">
      <c r="A1515" t="s">
        <v>525</v>
      </c>
      <c r="B1515" s="20">
        <v>44197</v>
      </c>
      <c r="C1515" t="s">
        <v>52</v>
      </c>
      <c r="D1515" t="s">
        <v>53</v>
      </c>
      <c r="E1515" t="s">
        <v>381</v>
      </c>
      <c r="F1515">
        <v>69</v>
      </c>
      <c r="G1515">
        <v>115</v>
      </c>
      <c r="H1515">
        <f>IF(report_B_CategorieBoekjaar[[#This Row],[BedrijfsCode]]="002",IF(report_B_CategorieBoekjaar[[#This Row],[Boekjaar]]=Projectbegroting!$K$1,report_B_CategorieBoekjaar[[#This Row],[CategorieCode]],0),0)</f>
        <v>0</v>
      </c>
      <c r="I1515">
        <f>IF(report_B_CategorieBoekjaar[[#This Row],[BedrijfsCode]]="001",IF(report_B_CategorieBoekjaar[[#This Row],[Boekjaar]]=Projectbegroting!$K$1,report_B_CategorieBoekjaar[[#This Row],[CategorieCode]],0),0)</f>
        <v>0</v>
      </c>
    </row>
    <row r="1516" spans="1:9" hidden="1" x14ac:dyDescent="0.3">
      <c r="A1516" t="s">
        <v>525</v>
      </c>
      <c r="B1516" s="20">
        <v>44197</v>
      </c>
      <c r="C1516" t="s">
        <v>389</v>
      </c>
      <c r="D1516" t="s">
        <v>390</v>
      </c>
      <c r="E1516" t="s">
        <v>384</v>
      </c>
      <c r="F1516">
        <v>0</v>
      </c>
      <c r="G1516">
        <v>0</v>
      </c>
      <c r="H1516">
        <f>IF(report_B_CategorieBoekjaar[[#This Row],[BedrijfsCode]]="002",IF(report_B_CategorieBoekjaar[[#This Row],[Boekjaar]]=Projectbegroting!$K$1,report_B_CategorieBoekjaar[[#This Row],[CategorieCode]],0),0)</f>
        <v>0</v>
      </c>
      <c r="I1516">
        <f>IF(report_B_CategorieBoekjaar[[#This Row],[BedrijfsCode]]="001",IF(report_B_CategorieBoekjaar[[#This Row],[Boekjaar]]=Projectbegroting!$K$1,report_B_CategorieBoekjaar[[#This Row],[CategorieCode]],0),0)</f>
        <v>0</v>
      </c>
    </row>
    <row r="1517" spans="1:9" hidden="1" x14ac:dyDescent="0.3">
      <c r="A1517" t="s">
        <v>525</v>
      </c>
      <c r="B1517" s="20">
        <v>44197</v>
      </c>
      <c r="C1517" t="s">
        <v>391</v>
      </c>
      <c r="D1517" t="s">
        <v>392</v>
      </c>
      <c r="E1517" t="s">
        <v>381</v>
      </c>
      <c r="F1517">
        <v>56</v>
      </c>
      <c r="G1517">
        <v>0</v>
      </c>
      <c r="H1517">
        <f>IF(report_B_CategorieBoekjaar[[#This Row],[BedrijfsCode]]="002",IF(report_B_CategorieBoekjaar[[#This Row],[Boekjaar]]=Projectbegroting!$K$1,report_B_CategorieBoekjaar[[#This Row],[CategorieCode]],0),0)</f>
        <v>0</v>
      </c>
      <c r="I1517">
        <f>IF(report_B_CategorieBoekjaar[[#This Row],[BedrijfsCode]]="001",IF(report_B_CategorieBoekjaar[[#This Row],[Boekjaar]]=Projectbegroting!$K$1,report_B_CategorieBoekjaar[[#This Row],[CategorieCode]],0),0)</f>
        <v>0</v>
      </c>
    </row>
    <row r="1518" spans="1:9" hidden="1" x14ac:dyDescent="0.3">
      <c r="A1518" t="s">
        <v>525</v>
      </c>
      <c r="B1518" s="20">
        <v>44197</v>
      </c>
      <c r="C1518" t="s">
        <v>393</v>
      </c>
      <c r="D1518" t="s">
        <v>394</v>
      </c>
      <c r="E1518" t="s">
        <v>384</v>
      </c>
      <c r="F1518">
        <v>0</v>
      </c>
      <c r="G1518">
        <v>0</v>
      </c>
      <c r="H1518">
        <f>IF(report_B_CategorieBoekjaar[[#This Row],[BedrijfsCode]]="002",IF(report_B_CategorieBoekjaar[[#This Row],[Boekjaar]]=Projectbegroting!$K$1,report_B_CategorieBoekjaar[[#This Row],[CategorieCode]],0),0)</f>
        <v>0</v>
      </c>
      <c r="I1518">
        <f>IF(report_B_CategorieBoekjaar[[#This Row],[BedrijfsCode]]="001",IF(report_B_CategorieBoekjaar[[#This Row],[Boekjaar]]=Projectbegroting!$K$1,report_B_CategorieBoekjaar[[#This Row],[CategorieCode]],0),0)</f>
        <v>0</v>
      </c>
    </row>
    <row r="1519" spans="1:9" hidden="1" x14ac:dyDescent="0.3">
      <c r="A1519" t="s">
        <v>525</v>
      </c>
      <c r="B1519" s="20">
        <v>44197</v>
      </c>
      <c r="C1519" t="s">
        <v>395</v>
      </c>
      <c r="D1519" t="s">
        <v>396</v>
      </c>
      <c r="E1519" t="s">
        <v>381</v>
      </c>
      <c r="F1519">
        <v>54</v>
      </c>
      <c r="G1519">
        <v>0</v>
      </c>
      <c r="H1519">
        <f>IF(report_B_CategorieBoekjaar[[#This Row],[BedrijfsCode]]="002",IF(report_B_CategorieBoekjaar[[#This Row],[Boekjaar]]=Projectbegroting!$K$1,report_B_CategorieBoekjaar[[#This Row],[CategorieCode]],0),0)</f>
        <v>0</v>
      </c>
      <c r="I1519">
        <f>IF(report_B_CategorieBoekjaar[[#This Row],[BedrijfsCode]]="001",IF(report_B_CategorieBoekjaar[[#This Row],[Boekjaar]]=Projectbegroting!$K$1,report_B_CategorieBoekjaar[[#This Row],[CategorieCode]],0),0)</f>
        <v>0</v>
      </c>
    </row>
    <row r="1520" spans="1:9" hidden="1" x14ac:dyDescent="0.3">
      <c r="A1520" t="s">
        <v>525</v>
      </c>
      <c r="B1520" s="20">
        <v>44197</v>
      </c>
      <c r="C1520" t="s">
        <v>397</v>
      </c>
      <c r="D1520" t="s">
        <v>398</v>
      </c>
      <c r="E1520" t="s">
        <v>384</v>
      </c>
      <c r="F1520">
        <v>0</v>
      </c>
      <c r="G1520">
        <v>0</v>
      </c>
      <c r="H1520">
        <f>IF(report_B_CategorieBoekjaar[[#This Row],[BedrijfsCode]]="002",IF(report_B_CategorieBoekjaar[[#This Row],[Boekjaar]]=Projectbegroting!$K$1,report_B_CategorieBoekjaar[[#This Row],[CategorieCode]],0),0)</f>
        <v>0</v>
      </c>
      <c r="I1520">
        <f>IF(report_B_CategorieBoekjaar[[#This Row],[BedrijfsCode]]="001",IF(report_B_CategorieBoekjaar[[#This Row],[Boekjaar]]=Projectbegroting!$K$1,report_B_CategorieBoekjaar[[#This Row],[CategorieCode]],0),0)</f>
        <v>0</v>
      </c>
    </row>
    <row r="1521" spans="1:9" hidden="1" x14ac:dyDescent="0.3">
      <c r="A1521" t="s">
        <v>525</v>
      </c>
      <c r="B1521" s="20">
        <v>44197</v>
      </c>
      <c r="C1521" t="s">
        <v>54</v>
      </c>
      <c r="D1521" t="s">
        <v>399</v>
      </c>
      <c r="E1521" t="s">
        <v>381</v>
      </c>
      <c r="F1521">
        <v>51</v>
      </c>
      <c r="G1521">
        <v>106</v>
      </c>
      <c r="H1521">
        <f>IF(report_B_CategorieBoekjaar[[#This Row],[BedrijfsCode]]="002",IF(report_B_CategorieBoekjaar[[#This Row],[Boekjaar]]=Projectbegroting!$K$1,report_B_CategorieBoekjaar[[#This Row],[CategorieCode]],0),0)</f>
        <v>0</v>
      </c>
      <c r="I1521">
        <f>IF(report_B_CategorieBoekjaar[[#This Row],[BedrijfsCode]]="001",IF(report_B_CategorieBoekjaar[[#This Row],[Boekjaar]]=Projectbegroting!$K$1,report_B_CategorieBoekjaar[[#This Row],[CategorieCode]],0),0)</f>
        <v>0</v>
      </c>
    </row>
    <row r="1522" spans="1:9" hidden="1" x14ac:dyDescent="0.3">
      <c r="A1522" t="s">
        <v>525</v>
      </c>
      <c r="B1522" s="20">
        <v>44197</v>
      </c>
      <c r="C1522" t="s">
        <v>400</v>
      </c>
      <c r="D1522" t="s">
        <v>401</v>
      </c>
      <c r="E1522" t="s">
        <v>384</v>
      </c>
      <c r="F1522">
        <v>0</v>
      </c>
      <c r="G1522">
        <v>0</v>
      </c>
      <c r="H1522">
        <f>IF(report_B_CategorieBoekjaar[[#This Row],[BedrijfsCode]]="002",IF(report_B_CategorieBoekjaar[[#This Row],[Boekjaar]]=Projectbegroting!$K$1,report_B_CategorieBoekjaar[[#This Row],[CategorieCode]],0),0)</f>
        <v>0</v>
      </c>
      <c r="I1522">
        <f>IF(report_B_CategorieBoekjaar[[#This Row],[BedrijfsCode]]="001",IF(report_B_CategorieBoekjaar[[#This Row],[Boekjaar]]=Projectbegroting!$K$1,report_B_CategorieBoekjaar[[#This Row],[CategorieCode]],0),0)</f>
        <v>0</v>
      </c>
    </row>
    <row r="1523" spans="1:9" hidden="1" x14ac:dyDescent="0.3">
      <c r="A1523" t="s">
        <v>525</v>
      </c>
      <c r="B1523" s="20">
        <v>44197</v>
      </c>
      <c r="C1523" t="s">
        <v>56</v>
      </c>
      <c r="D1523" t="s">
        <v>402</v>
      </c>
      <c r="E1523" t="s">
        <v>381</v>
      </c>
      <c r="F1523">
        <v>64</v>
      </c>
      <c r="G1523">
        <v>0</v>
      </c>
      <c r="H1523">
        <f>IF(report_B_CategorieBoekjaar[[#This Row],[BedrijfsCode]]="002",IF(report_B_CategorieBoekjaar[[#This Row],[Boekjaar]]=Projectbegroting!$K$1,report_B_CategorieBoekjaar[[#This Row],[CategorieCode]],0),0)</f>
        <v>0</v>
      </c>
      <c r="I1523">
        <f>IF(report_B_CategorieBoekjaar[[#This Row],[BedrijfsCode]]="001",IF(report_B_CategorieBoekjaar[[#This Row],[Boekjaar]]=Projectbegroting!$K$1,report_B_CategorieBoekjaar[[#This Row],[CategorieCode]],0),0)</f>
        <v>0</v>
      </c>
    </row>
    <row r="1524" spans="1:9" hidden="1" x14ac:dyDescent="0.3">
      <c r="A1524" t="s">
        <v>525</v>
      </c>
      <c r="B1524" s="20">
        <v>44197</v>
      </c>
      <c r="C1524" t="s">
        <v>403</v>
      </c>
      <c r="D1524" t="s">
        <v>404</v>
      </c>
      <c r="E1524" t="s">
        <v>384</v>
      </c>
      <c r="F1524">
        <v>0</v>
      </c>
      <c r="G1524">
        <v>0</v>
      </c>
      <c r="H1524">
        <f>IF(report_B_CategorieBoekjaar[[#This Row],[BedrijfsCode]]="002",IF(report_B_CategorieBoekjaar[[#This Row],[Boekjaar]]=Projectbegroting!$K$1,report_B_CategorieBoekjaar[[#This Row],[CategorieCode]],0),0)</f>
        <v>0</v>
      </c>
      <c r="I1524">
        <f>IF(report_B_CategorieBoekjaar[[#This Row],[BedrijfsCode]]="001",IF(report_B_CategorieBoekjaar[[#This Row],[Boekjaar]]=Projectbegroting!$K$1,report_B_CategorieBoekjaar[[#This Row],[CategorieCode]],0),0)</f>
        <v>0</v>
      </c>
    </row>
    <row r="1525" spans="1:9" hidden="1" x14ac:dyDescent="0.3">
      <c r="A1525" t="s">
        <v>525</v>
      </c>
      <c r="B1525" s="20">
        <v>44197</v>
      </c>
      <c r="C1525" t="s">
        <v>405</v>
      </c>
      <c r="D1525" t="s">
        <v>16</v>
      </c>
      <c r="E1525" t="s">
        <v>381</v>
      </c>
      <c r="F1525">
        <v>52</v>
      </c>
      <c r="G1525">
        <v>0</v>
      </c>
      <c r="H1525">
        <f>IF(report_B_CategorieBoekjaar[[#This Row],[BedrijfsCode]]="002",IF(report_B_CategorieBoekjaar[[#This Row],[Boekjaar]]=Projectbegroting!$K$1,report_B_CategorieBoekjaar[[#This Row],[CategorieCode]],0),0)</f>
        <v>0</v>
      </c>
      <c r="I1525">
        <f>IF(report_B_CategorieBoekjaar[[#This Row],[BedrijfsCode]]="001",IF(report_B_CategorieBoekjaar[[#This Row],[Boekjaar]]=Projectbegroting!$K$1,report_B_CategorieBoekjaar[[#This Row],[CategorieCode]],0),0)</f>
        <v>0</v>
      </c>
    </row>
    <row r="1526" spans="1:9" hidden="1" x14ac:dyDescent="0.3">
      <c r="A1526" t="s">
        <v>525</v>
      </c>
      <c r="B1526" s="20">
        <v>44197</v>
      </c>
      <c r="C1526" t="s">
        <v>58</v>
      </c>
      <c r="D1526" t="s">
        <v>406</v>
      </c>
      <c r="E1526" t="s">
        <v>381</v>
      </c>
      <c r="F1526">
        <v>50</v>
      </c>
      <c r="G1526">
        <v>0</v>
      </c>
      <c r="H1526">
        <f>IF(report_B_CategorieBoekjaar[[#This Row],[BedrijfsCode]]="002",IF(report_B_CategorieBoekjaar[[#This Row],[Boekjaar]]=Projectbegroting!$K$1,report_B_CategorieBoekjaar[[#This Row],[CategorieCode]],0),0)</f>
        <v>0</v>
      </c>
      <c r="I1526">
        <f>IF(report_B_CategorieBoekjaar[[#This Row],[BedrijfsCode]]="001",IF(report_B_CategorieBoekjaar[[#This Row],[Boekjaar]]=Projectbegroting!$K$1,report_B_CategorieBoekjaar[[#This Row],[CategorieCode]],0),0)</f>
        <v>0</v>
      </c>
    </row>
    <row r="1527" spans="1:9" hidden="1" x14ac:dyDescent="0.3">
      <c r="A1527" t="s">
        <v>525</v>
      </c>
      <c r="B1527" s="20">
        <v>44197</v>
      </c>
      <c r="C1527" t="s">
        <v>407</v>
      </c>
      <c r="D1527" t="s">
        <v>408</v>
      </c>
      <c r="E1527" t="s">
        <v>384</v>
      </c>
      <c r="F1527">
        <v>0</v>
      </c>
      <c r="G1527">
        <v>0</v>
      </c>
      <c r="H1527">
        <f>IF(report_B_CategorieBoekjaar[[#This Row],[BedrijfsCode]]="002",IF(report_B_CategorieBoekjaar[[#This Row],[Boekjaar]]=Projectbegroting!$K$1,report_B_CategorieBoekjaar[[#This Row],[CategorieCode]],0),0)</f>
        <v>0</v>
      </c>
      <c r="I1527">
        <f>IF(report_B_CategorieBoekjaar[[#This Row],[BedrijfsCode]]="001",IF(report_B_CategorieBoekjaar[[#This Row],[Boekjaar]]=Projectbegroting!$K$1,report_B_CategorieBoekjaar[[#This Row],[CategorieCode]],0),0)</f>
        <v>0</v>
      </c>
    </row>
    <row r="1528" spans="1:9" hidden="1" x14ac:dyDescent="0.3">
      <c r="A1528" t="s">
        <v>525</v>
      </c>
      <c r="B1528" s="20">
        <v>44197</v>
      </c>
      <c r="C1528" t="s">
        <v>60</v>
      </c>
      <c r="D1528" t="s">
        <v>61</v>
      </c>
      <c r="E1528" t="s">
        <v>381</v>
      </c>
      <c r="F1528">
        <v>65</v>
      </c>
      <c r="G1528">
        <v>120</v>
      </c>
      <c r="H1528">
        <f>IF(report_B_CategorieBoekjaar[[#This Row],[BedrijfsCode]]="002",IF(report_B_CategorieBoekjaar[[#This Row],[Boekjaar]]=Projectbegroting!$K$1,report_B_CategorieBoekjaar[[#This Row],[CategorieCode]],0),0)</f>
        <v>0</v>
      </c>
      <c r="I1528">
        <f>IF(report_B_CategorieBoekjaar[[#This Row],[BedrijfsCode]]="001",IF(report_B_CategorieBoekjaar[[#This Row],[Boekjaar]]=Projectbegroting!$K$1,report_B_CategorieBoekjaar[[#This Row],[CategorieCode]],0),0)</f>
        <v>0</v>
      </c>
    </row>
    <row r="1529" spans="1:9" hidden="1" x14ac:dyDescent="0.3">
      <c r="A1529" t="s">
        <v>525</v>
      </c>
      <c r="B1529" s="20">
        <v>44197</v>
      </c>
      <c r="C1529" t="s">
        <v>168</v>
      </c>
      <c r="D1529" t="s">
        <v>409</v>
      </c>
      <c r="E1529" t="s">
        <v>384</v>
      </c>
      <c r="F1529">
        <v>0</v>
      </c>
      <c r="G1529">
        <v>0</v>
      </c>
      <c r="H1529">
        <f>IF(report_B_CategorieBoekjaar[[#This Row],[BedrijfsCode]]="002",IF(report_B_CategorieBoekjaar[[#This Row],[Boekjaar]]=Projectbegroting!$K$1,report_B_CategorieBoekjaar[[#This Row],[CategorieCode]],0),0)</f>
        <v>0</v>
      </c>
      <c r="I1529">
        <f>IF(report_B_CategorieBoekjaar[[#This Row],[BedrijfsCode]]="001",IF(report_B_CategorieBoekjaar[[#This Row],[Boekjaar]]=Projectbegroting!$K$1,report_B_CategorieBoekjaar[[#This Row],[CategorieCode]],0),0)</f>
        <v>0</v>
      </c>
    </row>
    <row r="1530" spans="1:9" hidden="1" x14ac:dyDescent="0.3">
      <c r="A1530" t="s">
        <v>525</v>
      </c>
      <c r="B1530" s="20">
        <v>44197</v>
      </c>
      <c r="C1530" t="s">
        <v>410</v>
      </c>
      <c r="D1530" t="s">
        <v>411</v>
      </c>
      <c r="E1530" t="s">
        <v>381</v>
      </c>
      <c r="F1530">
        <v>34</v>
      </c>
      <c r="G1530">
        <v>0</v>
      </c>
      <c r="H1530">
        <f>IF(report_B_CategorieBoekjaar[[#This Row],[BedrijfsCode]]="002",IF(report_B_CategorieBoekjaar[[#This Row],[Boekjaar]]=Projectbegroting!$K$1,report_B_CategorieBoekjaar[[#This Row],[CategorieCode]],0),0)</f>
        <v>0</v>
      </c>
      <c r="I1530">
        <f>IF(report_B_CategorieBoekjaar[[#This Row],[BedrijfsCode]]="001",IF(report_B_CategorieBoekjaar[[#This Row],[Boekjaar]]=Projectbegroting!$K$1,report_B_CategorieBoekjaar[[#This Row],[CategorieCode]],0),0)</f>
        <v>0</v>
      </c>
    </row>
    <row r="1531" spans="1:9" hidden="1" x14ac:dyDescent="0.3">
      <c r="A1531" t="s">
        <v>525</v>
      </c>
      <c r="B1531" s="20">
        <v>44197</v>
      </c>
      <c r="C1531" t="s">
        <v>412</v>
      </c>
      <c r="D1531" t="s">
        <v>413</v>
      </c>
      <c r="E1531" t="s">
        <v>381</v>
      </c>
      <c r="F1531">
        <v>37</v>
      </c>
      <c r="G1531">
        <v>92</v>
      </c>
      <c r="H1531">
        <f>IF(report_B_CategorieBoekjaar[[#This Row],[BedrijfsCode]]="002",IF(report_B_CategorieBoekjaar[[#This Row],[Boekjaar]]=Projectbegroting!$K$1,report_B_CategorieBoekjaar[[#This Row],[CategorieCode]],0),0)</f>
        <v>0</v>
      </c>
      <c r="I1531">
        <f>IF(report_B_CategorieBoekjaar[[#This Row],[BedrijfsCode]]="001",IF(report_B_CategorieBoekjaar[[#This Row],[Boekjaar]]=Projectbegroting!$K$1,report_B_CategorieBoekjaar[[#This Row],[CategorieCode]],0),0)</f>
        <v>0</v>
      </c>
    </row>
    <row r="1532" spans="1:9" hidden="1" x14ac:dyDescent="0.3">
      <c r="A1532" t="s">
        <v>525</v>
      </c>
      <c r="B1532" s="20">
        <v>44197</v>
      </c>
      <c r="C1532" t="s">
        <v>414</v>
      </c>
      <c r="D1532" t="s">
        <v>415</v>
      </c>
      <c r="E1532" t="s">
        <v>384</v>
      </c>
      <c r="F1532">
        <v>0</v>
      </c>
      <c r="G1532">
        <v>0</v>
      </c>
      <c r="H1532">
        <f>IF(report_B_CategorieBoekjaar[[#This Row],[BedrijfsCode]]="002",IF(report_B_CategorieBoekjaar[[#This Row],[Boekjaar]]=Projectbegroting!$K$1,report_B_CategorieBoekjaar[[#This Row],[CategorieCode]],0),0)</f>
        <v>0</v>
      </c>
      <c r="I1532">
        <f>IF(report_B_CategorieBoekjaar[[#This Row],[BedrijfsCode]]="001",IF(report_B_CategorieBoekjaar[[#This Row],[Boekjaar]]=Projectbegroting!$K$1,report_B_CategorieBoekjaar[[#This Row],[CategorieCode]],0),0)</f>
        <v>0</v>
      </c>
    </row>
    <row r="1533" spans="1:9" hidden="1" x14ac:dyDescent="0.3">
      <c r="A1533" t="s">
        <v>525</v>
      </c>
      <c r="B1533" s="20">
        <v>44197</v>
      </c>
      <c r="C1533" t="s">
        <v>82</v>
      </c>
      <c r="D1533" t="s">
        <v>416</v>
      </c>
      <c r="E1533" t="s">
        <v>381</v>
      </c>
      <c r="F1533">
        <v>73</v>
      </c>
      <c r="G1533">
        <v>0</v>
      </c>
      <c r="H1533">
        <f>IF(report_B_CategorieBoekjaar[[#This Row],[BedrijfsCode]]="002",IF(report_B_CategorieBoekjaar[[#This Row],[Boekjaar]]=Projectbegroting!$K$1,report_B_CategorieBoekjaar[[#This Row],[CategorieCode]],0),0)</f>
        <v>0</v>
      </c>
      <c r="I1533">
        <f>IF(report_B_CategorieBoekjaar[[#This Row],[BedrijfsCode]]="001",IF(report_B_CategorieBoekjaar[[#This Row],[Boekjaar]]=Projectbegroting!$K$1,report_B_CategorieBoekjaar[[#This Row],[CategorieCode]],0),0)</f>
        <v>0</v>
      </c>
    </row>
    <row r="1534" spans="1:9" hidden="1" x14ac:dyDescent="0.3">
      <c r="A1534" t="s">
        <v>525</v>
      </c>
      <c r="B1534" s="20">
        <v>44197</v>
      </c>
      <c r="C1534" t="s">
        <v>169</v>
      </c>
      <c r="D1534" t="s">
        <v>417</v>
      </c>
      <c r="E1534" t="s">
        <v>384</v>
      </c>
      <c r="F1534">
        <v>0</v>
      </c>
      <c r="G1534">
        <v>0</v>
      </c>
      <c r="H1534">
        <f>IF(report_B_CategorieBoekjaar[[#This Row],[BedrijfsCode]]="002",IF(report_B_CategorieBoekjaar[[#This Row],[Boekjaar]]=Projectbegroting!$K$1,report_B_CategorieBoekjaar[[#This Row],[CategorieCode]],0),0)</f>
        <v>0</v>
      </c>
      <c r="I1534">
        <f>IF(report_B_CategorieBoekjaar[[#This Row],[BedrijfsCode]]="001",IF(report_B_CategorieBoekjaar[[#This Row],[Boekjaar]]=Projectbegroting!$K$1,report_B_CategorieBoekjaar[[#This Row],[CategorieCode]],0),0)</f>
        <v>0</v>
      </c>
    </row>
    <row r="1535" spans="1:9" hidden="1" x14ac:dyDescent="0.3">
      <c r="A1535" t="s">
        <v>525</v>
      </c>
      <c r="B1535" s="20">
        <v>44197</v>
      </c>
      <c r="C1535" t="s">
        <v>418</v>
      </c>
      <c r="D1535" t="s">
        <v>419</v>
      </c>
      <c r="E1535" t="s">
        <v>381</v>
      </c>
      <c r="F1535">
        <v>66</v>
      </c>
      <c r="G1535">
        <v>0</v>
      </c>
      <c r="H1535">
        <f>IF(report_B_CategorieBoekjaar[[#This Row],[BedrijfsCode]]="002",IF(report_B_CategorieBoekjaar[[#This Row],[Boekjaar]]=Projectbegroting!$K$1,report_B_CategorieBoekjaar[[#This Row],[CategorieCode]],0),0)</f>
        <v>0</v>
      </c>
      <c r="I1535">
        <f>IF(report_B_CategorieBoekjaar[[#This Row],[BedrijfsCode]]="001",IF(report_B_CategorieBoekjaar[[#This Row],[Boekjaar]]=Projectbegroting!$K$1,report_B_CategorieBoekjaar[[#This Row],[CategorieCode]],0),0)</f>
        <v>0</v>
      </c>
    </row>
    <row r="1536" spans="1:9" hidden="1" x14ac:dyDescent="0.3">
      <c r="A1536" t="s">
        <v>525</v>
      </c>
      <c r="B1536" s="20">
        <v>44197</v>
      </c>
      <c r="C1536" t="s">
        <v>84</v>
      </c>
      <c r="D1536" t="s">
        <v>420</v>
      </c>
      <c r="E1536" t="s">
        <v>381</v>
      </c>
      <c r="F1536">
        <v>55</v>
      </c>
      <c r="G1536">
        <v>110</v>
      </c>
      <c r="H1536">
        <f>IF(report_B_CategorieBoekjaar[[#This Row],[BedrijfsCode]]="002",IF(report_B_CategorieBoekjaar[[#This Row],[Boekjaar]]=Projectbegroting!$K$1,report_B_CategorieBoekjaar[[#This Row],[CategorieCode]],0),0)</f>
        <v>0</v>
      </c>
      <c r="I1536">
        <f>IF(report_B_CategorieBoekjaar[[#This Row],[BedrijfsCode]]="001",IF(report_B_CategorieBoekjaar[[#This Row],[Boekjaar]]=Projectbegroting!$K$1,report_B_CategorieBoekjaar[[#This Row],[CategorieCode]],0),0)</f>
        <v>0</v>
      </c>
    </row>
    <row r="1537" spans="1:9" hidden="1" x14ac:dyDescent="0.3">
      <c r="A1537" t="s">
        <v>525</v>
      </c>
      <c r="B1537" s="20">
        <v>44197</v>
      </c>
      <c r="C1537" t="s">
        <v>170</v>
      </c>
      <c r="D1537" t="s">
        <v>421</v>
      </c>
      <c r="E1537" t="s">
        <v>384</v>
      </c>
      <c r="F1537">
        <v>0</v>
      </c>
      <c r="G1537">
        <v>0</v>
      </c>
      <c r="H1537">
        <f>IF(report_B_CategorieBoekjaar[[#This Row],[BedrijfsCode]]="002",IF(report_B_CategorieBoekjaar[[#This Row],[Boekjaar]]=Projectbegroting!$K$1,report_B_CategorieBoekjaar[[#This Row],[CategorieCode]],0),0)</f>
        <v>0</v>
      </c>
      <c r="I1537">
        <f>IF(report_B_CategorieBoekjaar[[#This Row],[BedrijfsCode]]="001",IF(report_B_CategorieBoekjaar[[#This Row],[Boekjaar]]=Projectbegroting!$K$1,report_B_CategorieBoekjaar[[#This Row],[CategorieCode]],0),0)</f>
        <v>0</v>
      </c>
    </row>
    <row r="1538" spans="1:9" hidden="1" x14ac:dyDescent="0.3">
      <c r="A1538" t="s">
        <v>525</v>
      </c>
      <c r="B1538" s="20">
        <v>44197</v>
      </c>
      <c r="C1538" t="s">
        <v>96</v>
      </c>
      <c r="D1538" t="s">
        <v>422</v>
      </c>
      <c r="E1538" t="s">
        <v>381</v>
      </c>
      <c r="F1538">
        <v>58</v>
      </c>
      <c r="G1538">
        <v>113</v>
      </c>
      <c r="H1538">
        <f>IF(report_B_CategorieBoekjaar[[#This Row],[BedrijfsCode]]="002",IF(report_B_CategorieBoekjaar[[#This Row],[Boekjaar]]=Projectbegroting!$K$1,report_B_CategorieBoekjaar[[#This Row],[CategorieCode]],0),0)</f>
        <v>0</v>
      </c>
      <c r="I1538">
        <f>IF(report_B_CategorieBoekjaar[[#This Row],[BedrijfsCode]]="001",IF(report_B_CategorieBoekjaar[[#This Row],[Boekjaar]]=Projectbegroting!$K$1,report_B_CategorieBoekjaar[[#This Row],[CategorieCode]],0),0)</f>
        <v>0</v>
      </c>
    </row>
    <row r="1539" spans="1:9" hidden="1" x14ac:dyDescent="0.3">
      <c r="A1539" t="s">
        <v>525</v>
      </c>
      <c r="B1539" s="20">
        <v>44197</v>
      </c>
      <c r="C1539" t="s">
        <v>171</v>
      </c>
      <c r="D1539" t="s">
        <v>423</v>
      </c>
      <c r="E1539" t="s">
        <v>384</v>
      </c>
      <c r="F1539">
        <v>0</v>
      </c>
      <c r="G1539">
        <v>0</v>
      </c>
      <c r="H1539">
        <f>IF(report_B_CategorieBoekjaar[[#This Row],[BedrijfsCode]]="002",IF(report_B_CategorieBoekjaar[[#This Row],[Boekjaar]]=Projectbegroting!$K$1,report_B_CategorieBoekjaar[[#This Row],[CategorieCode]],0),0)</f>
        <v>0</v>
      </c>
      <c r="I1539">
        <f>IF(report_B_CategorieBoekjaar[[#This Row],[BedrijfsCode]]="001",IF(report_B_CategorieBoekjaar[[#This Row],[Boekjaar]]=Projectbegroting!$K$1,report_B_CategorieBoekjaar[[#This Row],[CategorieCode]],0),0)</f>
        <v>0</v>
      </c>
    </row>
    <row r="1540" spans="1:9" hidden="1" x14ac:dyDescent="0.3">
      <c r="A1540" t="s">
        <v>525</v>
      </c>
      <c r="B1540" s="20">
        <v>44197</v>
      </c>
      <c r="C1540" t="s">
        <v>86</v>
      </c>
      <c r="D1540" t="s">
        <v>424</v>
      </c>
      <c r="E1540" t="s">
        <v>381</v>
      </c>
      <c r="F1540">
        <v>50</v>
      </c>
      <c r="G1540">
        <v>105</v>
      </c>
      <c r="H1540">
        <f>IF(report_B_CategorieBoekjaar[[#This Row],[BedrijfsCode]]="002",IF(report_B_CategorieBoekjaar[[#This Row],[Boekjaar]]=Projectbegroting!$K$1,report_B_CategorieBoekjaar[[#This Row],[CategorieCode]],0),0)</f>
        <v>0</v>
      </c>
      <c r="I1540">
        <f>IF(report_B_CategorieBoekjaar[[#This Row],[BedrijfsCode]]="001",IF(report_B_CategorieBoekjaar[[#This Row],[Boekjaar]]=Projectbegroting!$K$1,report_B_CategorieBoekjaar[[#This Row],[CategorieCode]],0),0)</f>
        <v>0</v>
      </c>
    </row>
    <row r="1541" spans="1:9" hidden="1" x14ac:dyDescent="0.3">
      <c r="A1541" t="s">
        <v>525</v>
      </c>
      <c r="B1541" s="20">
        <v>44197</v>
      </c>
      <c r="C1541" t="s">
        <v>172</v>
      </c>
      <c r="D1541" t="s">
        <v>425</v>
      </c>
      <c r="E1541" t="s">
        <v>384</v>
      </c>
      <c r="F1541">
        <v>0</v>
      </c>
      <c r="G1541">
        <v>0</v>
      </c>
      <c r="H1541">
        <f>IF(report_B_CategorieBoekjaar[[#This Row],[BedrijfsCode]]="002",IF(report_B_CategorieBoekjaar[[#This Row],[Boekjaar]]=Projectbegroting!$K$1,report_B_CategorieBoekjaar[[#This Row],[CategorieCode]],0),0)</f>
        <v>0</v>
      </c>
      <c r="I1541">
        <f>IF(report_B_CategorieBoekjaar[[#This Row],[BedrijfsCode]]="001",IF(report_B_CategorieBoekjaar[[#This Row],[Boekjaar]]=Projectbegroting!$K$1,report_B_CategorieBoekjaar[[#This Row],[CategorieCode]],0),0)</f>
        <v>0</v>
      </c>
    </row>
    <row r="1542" spans="1:9" hidden="1" x14ac:dyDescent="0.3">
      <c r="A1542" t="s">
        <v>525</v>
      </c>
      <c r="B1542" s="20">
        <v>44197</v>
      </c>
      <c r="C1542" t="s">
        <v>173</v>
      </c>
      <c r="D1542" t="s">
        <v>427</v>
      </c>
      <c r="E1542" t="s">
        <v>384</v>
      </c>
      <c r="F1542">
        <v>0</v>
      </c>
      <c r="G1542">
        <v>0</v>
      </c>
      <c r="H1542">
        <f>IF(report_B_CategorieBoekjaar[[#This Row],[BedrijfsCode]]="002",IF(report_B_CategorieBoekjaar[[#This Row],[Boekjaar]]=Projectbegroting!$K$1,report_B_CategorieBoekjaar[[#This Row],[CategorieCode]],0),0)</f>
        <v>0</v>
      </c>
      <c r="I1542">
        <f>IF(report_B_CategorieBoekjaar[[#This Row],[BedrijfsCode]]="001",IF(report_B_CategorieBoekjaar[[#This Row],[Boekjaar]]=Projectbegroting!$K$1,report_B_CategorieBoekjaar[[#This Row],[CategorieCode]],0),0)</f>
        <v>0</v>
      </c>
    </row>
    <row r="1543" spans="1:9" hidden="1" x14ac:dyDescent="0.3">
      <c r="A1543" t="s">
        <v>525</v>
      </c>
      <c r="B1543" s="20">
        <v>44197</v>
      </c>
      <c r="C1543" t="s">
        <v>88</v>
      </c>
      <c r="D1543" t="s">
        <v>89</v>
      </c>
      <c r="E1543" t="s">
        <v>381</v>
      </c>
      <c r="F1543">
        <v>66</v>
      </c>
      <c r="G1543">
        <v>121</v>
      </c>
      <c r="H1543">
        <f>IF(report_B_CategorieBoekjaar[[#This Row],[BedrijfsCode]]="002",IF(report_B_CategorieBoekjaar[[#This Row],[Boekjaar]]=Projectbegroting!$K$1,report_B_CategorieBoekjaar[[#This Row],[CategorieCode]],0),0)</f>
        <v>0</v>
      </c>
      <c r="I1543">
        <f>IF(report_B_CategorieBoekjaar[[#This Row],[BedrijfsCode]]="001",IF(report_B_CategorieBoekjaar[[#This Row],[Boekjaar]]=Projectbegroting!$K$1,report_B_CategorieBoekjaar[[#This Row],[CategorieCode]],0),0)</f>
        <v>0</v>
      </c>
    </row>
    <row r="1544" spans="1:9" hidden="1" x14ac:dyDescent="0.3">
      <c r="A1544" t="s">
        <v>525</v>
      </c>
      <c r="B1544" s="20">
        <v>44197</v>
      </c>
      <c r="C1544" t="s">
        <v>174</v>
      </c>
      <c r="D1544" t="s">
        <v>428</v>
      </c>
      <c r="E1544" t="s">
        <v>384</v>
      </c>
      <c r="F1544">
        <v>0</v>
      </c>
      <c r="G1544">
        <v>0</v>
      </c>
      <c r="H1544">
        <f>IF(report_B_CategorieBoekjaar[[#This Row],[BedrijfsCode]]="002",IF(report_B_CategorieBoekjaar[[#This Row],[Boekjaar]]=Projectbegroting!$K$1,report_B_CategorieBoekjaar[[#This Row],[CategorieCode]],0),0)</f>
        <v>0</v>
      </c>
      <c r="I1544">
        <f>IF(report_B_CategorieBoekjaar[[#This Row],[BedrijfsCode]]="001",IF(report_B_CategorieBoekjaar[[#This Row],[Boekjaar]]=Projectbegroting!$K$1,report_B_CategorieBoekjaar[[#This Row],[CategorieCode]],0),0)</f>
        <v>0</v>
      </c>
    </row>
    <row r="1545" spans="1:9" hidden="1" x14ac:dyDescent="0.3">
      <c r="A1545" t="s">
        <v>525</v>
      </c>
      <c r="B1545" s="20">
        <v>44197</v>
      </c>
      <c r="C1545" t="s">
        <v>90</v>
      </c>
      <c r="D1545" t="s">
        <v>91</v>
      </c>
      <c r="E1545" t="s">
        <v>381</v>
      </c>
      <c r="F1545">
        <v>36</v>
      </c>
      <c r="G1545">
        <v>123</v>
      </c>
      <c r="H1545">
        <f>IF(report_B_CategorieBoekjaar[[#This Row],[BedrijfsCode]]="002",IF(report_B_CategorieBoekjaar[[#This Row],[Boekjaar]]=Projectbegroting!$K$1,report_B_CategorieBoekjaar[[#This Row],[CategorieCode]],0),0)</f>
        <v>0</v>
      </c>
      <c r="I1545">
        <f>IF(report_B_CategorieBoekjaar[[#This Row],[BedrijfsCode]]="001",IF(report_B_CategorieBoekjaar[[#This Row],[Boekjaar]]=Projectbegroting!$K$1,report_B_CategorieBoekjaar[[#This Row],[CategorieCode]],0),0)</f>
        <v>0</v>
      </c>
    </row>
    <row r="1546" spans="1:9" hidden="1" x14ac:dyDescent="0.3">
      <c r="A1546" t="s">
        <v>525</v>
      </c>
      <c r="B1546" s="20">
        <v>44197</v>
      </c>
      <c r="C1546" t="s">
        <v>429</v>
      </c>
      <c r="D1546" t="s">
        <v>430</v>
      </c>
      <c r="E1546" t="s">
        <v>384</v>
      </c>
      <c r="F1546">
        <v>0</v>
      </c>
      <c r="G1546">
        <v>0</v>
      </c>
      <c r="H1546">
        <f>IF(report_B_CategorieBoekjaar[[#This Row],[BedrijfsCode]]="002",IF(report_B_CategorieBoekjaar[[#This Row],[Boekjaar]]=Projectbegroting!$K$1,report_B_CategorieBoekjaar[[#This Row],[CategorieCode]],0),0)</f>
        <v>0</v>
      </c>
      <c r="I1546">
        <f>IF(report_B_CategorieBoekjaar[[#This Row],[BedrijfsCode]]="001",IF(report_B_CategorieBoekjaar[[#This Row],[Boekjaar]]=Projectbegroting!$K$1,report_B_CategorieBoekjaar[[#This Row],[CategorieCode]],0),0)</f>
        <v>0</v>
      </c>
    </row>
    <row r="1547" spans="1:9" hidden="1" x14ac:dyDescent="0.3">
      <c r="A1547" t="s">
        <v>525</v>
      </c>
      <c r="B1547" s="20">
        <v>44197</v>
      </c>
      <c r="C1547" t="s">
        <v>431</v>
      </c>
      <c r="D1547" t="s">
        <v>432</v>
      </c>
      <c r="E1547" t="s">
        <v>381</v>
      </c>
      <c r="F1547">
        <v>66</v>
      </c>
      <c r="G1547">
        <v>127</v>
      </c>
      <c r="H1547">
        <f>IF(report_B_CategorieBoekjaar[[#This Row],[BedrijfsCode]]="002",IF(report_B_CategorieBoekjaar[[#This Row],[Boekjaar]]=Projectbegroting!$K$1,report_B_CategorieBoekjaar[[#This Row],[CategorieCode]],0),0)</f>
        <v>0</v>
      </c>
      <c r="I1547">
        <f>IF(report_B_CategorieBoekjaar[[#This Row],[BedrijfsCode]]="001",IF(report_B_CategorieBoekjaar[[#This Row],[Boekjaar]]=Projectbegroting!$K$1,report_B_CategorieBoekjaar[[#This Row],[CategorieCode]],0),0)</f>
        <v>0</v>
      </c>
    </row>
    <row r="1548" spans="1:9" hidden="1" x14ac:dyDescent="0.3">
      <c r="A1548" t="s">
        <v>525</v>
      </c>
      <c r="B1548" s="20">
        <v>44197</v>
      </c>
      <c r="C1548" t="s">
        <v>433</v>
      </c>
      <c r="D1548" t="s">
        <v>434</v>
      </c>
      <c r="E1548" t="s">
        <v>384</v>
      </c>
      <c r="F1548">
        <v>0</v>
      </c>
      <c r="G1548">
        <v>0</v>
      </c>
      <c r="H1548">
        <f>IF(report_B_CategorieBoekjaar[[#This Row],[BedrijfsCode]]="002",IF(report_B_CategorieBoekjaar[[#This Row],[Boekjaar]]=Projectbegroting!$K$1,report_B_CategorieBoekjaar[[#This Row],[CategorieCode]],0),0)</f>
        <v>0</v>
      </c>
      <c r="I1548">
        <f>IF(report_B_CategorieBoekjaar[[#This Row],[BedrijfsCode]]="001",IF(report_B_CategorieBoekjaar[[#This Row],[Boekjaar]]=Projectbegroting!$K$1,report_B_CategorieBoekjaar[[#This Row],[CategorieCode]],0),0)</f>
        <v>0</v>
      </c>
    </row>
    <row r="1549" spans="1:9" hidden="1" x14ac:dyDescent="0.3">
      <c r="A1549" t="s">
        <v>525</v>
      </c>
      <c r="B1549" s="20">
        <v>44197</v>
      </c>
      <c r="C1549" t="s">
        <v>435</v>
      </c>
      <c r="D1549" t="s">
        <v>436</v>
      </c>
      <c r="E1549" t="s">
        <v>381</v>
      </c>
      <c r="F1549">
        <v>52</v>
      </c>
      <c r="G1549">
        <v>107</v>
      </c>
      <c r="H1549">
        <f>IF(report_B_CategorieBoekjaar[[#This Row],[BedrijfsCode]]="002",IF(report_B_CategorieBoekjaar[[#This Row],[Boekjaar]]=Projectbegroting!$K$1,report_B_CategorieBoekjaar[[#This Row],[CategorieCode]],0),0)</f>
        <v>0</v>
      </c>
      <c r="I1549">
        <f>IF(report_B_CategorieBoekjaar[[#This Row],[BedrijfsCode]]="001",IF(report_B_CategorieBoekjaar[[#This Row],[Boekjaar]]=Projectbegroting!$K$1,report_B_CategorieBoekjaar[[#This Row],[CategorieCode]],0),0)</f>
        <v>0</v>
      </c>
    </row>
    <row r="1550" spans="1:9" hidden="1" x14ac:dyDescent="0.3">
      <c r="A1550" t="s">
        <v>525</v>
      </c>
      <c r="B1550" s="20">
        <v>44197</v>
      </c>
      <c r="C1550" t="s">
        <v>437</v>
      </c>
      <c r="D1550" t="s">
        <v>438</v>
      </c>
      <c r="E1550" t="s">
        <v>384</v>
      </c>
      <c r="F1550">
        <v>0</v>
      </c>
      <c r="G1550">
        <v>0</v>
      </c>
      <c r="H1550">
        <f>IF(report_B_CategorieBoekjaar[[#This Row],[BedrijfsCode]]="002",IF(report_B_CategorieBoekjaar[[#This Row],[Boekjaar]]=Projectbegroting!$K$1,report_B_CategorieBoekjaar[[#This Row],[CategorieCode]],0),0)</f>
        <v>0</v>
      </c>
      <c r="I1550">
        <f>IF(report_B_CategorieBoekjaar[[#This Row],[BedrijfsCode]]="001",IF(report_B_CategorieBoekjaar[[#This Row],[Boekjaar]]=Projectbegroting!$K$1,report_B_CategorieBoekjaar[[#This Row],[CategorieCode]],0),0)</f>
        <v>0</v>
      </c>
    </row>
    <row r="1551" spans="1:9" hidden="1" x14ac:dyDescent="0.3">
      <c r="A1551" t="s">
        <v>525</v>
      </c>
      <c r="B1551" s="20">
        <v>44197</v>
      </c>
      <c r="C1551" t="s">
        <v>439</v>
      </c>
      <c r="D1551" t="s">
        <v>440</v>
      </c>
      <c r="E1551" t="s">
        <v>381</v>
      </c>
      <c r="F1551">
        <v>35</v>
      </c>
      <c r="G1551">
        <v>0</v>
      </c>
      <c r="H1551">
        <f>IF(report_B_CategorieBoekjaar[[#This Row],[BedrijfsCode]]="002",IF(report_B_CategorieBoekjaar[[#This Row],[Boekjaar]]=Projectbegroting!$K$1,report_B_CategorieBoekjaar[[#This Row],[CategorieCode]],0),0)</f>
        <v>0</v>
      </c>
      <c r="I1551">
        <f>IF(report_B_CategorieBoekjaar[[#This Row],[BedrijfsCode]]="001",IF(report_B_CategorieBoekjaar[[#This Row],[Boekjaar]]=Projectbegroting!$K$1,report_B_CategorieBoekjaar[[#This Row],[CategorieCode]],0),0)</f>
        <v>0</v>
      </c>
    </row>
    <row r="1552" spans="1:9" hidden="1" x14ac:dyDescent="0.3">
      <c r="A1552" t="s">
        <v>525</v>
      </c>
      <c r="B1552" s="20">
        <v>44197</v>
      </c>
      <c r="C1552" t="s">
        <v>441</v>
      </c>
      <c r="D1552" t="s">
        <v>442</v>
      </c>
      <c r="E1552" t="s">
        <v>381</v>
      </c>
      <c r="F1552">
        <v>51</v>
      </c>
      <c r="G1552">
        <v>106</v>
      </c>
      <c r="H1552">
        <f>IF(report_B_CategorieBoekjaar[[#This Row],[BedrijfsCode]]="002",IF(report_B_CategorieBoekjaar[[#This Row],[Boekjaar]]=Projectbegroting!$K$1,report_B_CategorieBoekjaar[[#This Row],[CategorieCode]],0),0)</f>
        <v>0</v>
      </c>
      <c r="I1552">
        <f>IF(report_B_CategorieBoekjaar[[#This Row],[BedrijfsCode]]="001",IF(report_B_CategorieBoekjaar[[#This Row],[Boekjaar]]=Projectbegroting!$K$1,report_B_CategorieBoekjaar[[#This Row],[CategorieCode]],0),0)</f>
        <v>0</v>
      </c>
    </row>
    <row r="1553" spans="1:9" hidden="1" x14ac:dyDescent="0.3">
      <c r="A1553" t="s">
        <v>525</v>
      </c>
      <c r="B1553" s="20">
        <v>44197</v>
      </c>
      <c r="C1553" t="s">
        <v>443</v>
      </c>
      <c r="D1553" t="s">
        <v>444</v>
      </c>
      <c r="E1553" t="s">
        <v>384</v>
      </c>
      <c r="F1553">
        <v>0</v>
      </c>
      <c r="G1553">
        <v>0</v>
      </c>
      <c r="H1553">
        <f>IF(report_B_CategorieBoekjaar[[#This Row],[BedrijfsCode]]="002",IF(report_B_CategorieBoekjaar[[#This Row],[Boekjaar]]=Projectbegroting!$K$1,report_B_CategorieBoekjaar[[#This Row],[CategorieCode]],0),0)</f>
        <v>0</v>
      </c>
      <c r="I1553">
        <f>IF(report_B_CategorieBoekjaar[[#This Row],[BedrijfsCode]]="001",IF(report_B_CategorieBoekjaar[[#This Row],[Boekjaar]]=Projectbegroting!$K$1,report_B_CategorieBoekjaar[[#This Row],[CategorieCode]],0),0)</f>
        <v>0</v>
      </c>
    </row>
    <row r="1554" spans="1:9" hidden="1" x14ac:dyDescent="0.3">
      <c r="A1554" t="s">
        <v>525</v>
      </c>
      <c r="B1554" s="20">
        <v>44197</v>
      </c>
      <c r="C1554" t="s">
        <v>445</v>
      </c>
      <c r="D1554" t="s">
        <v>446</v>
      </c>
      <c r="E1554" t="s">
        <v>381</v>
      </c>
      <c r="F1554">
        <v>80</v>
      </c>
      <c r="G1554">
        <v>135</v>
      </c>
      <c r="H1554">
        <f>IF(report_B_CategorieBoekjaar[[#This Row],[BedrijfsCode]]="002",IF(report_B_CategorieBoekjaar[[#This Row],[Boekjaar]]=Projectbegroting!$K$1,report_B_CategorieBoekjaar[[#This Row],[CategorieCode]],0),0)</f>
        <v>0</v>
      </c>
      <c r="I1554">
        <f>IF(report_B_CategorieBoekjaar[[#This Row],[BedrijfsCode]]="001",IF(report_B_CategorieBoekjaar[[#This Row],[Boekjaar]]=Projectbegroting!$K$1,report_B_CategorieBoekjaar[[#This Row],[CategorieCode]],0),0)</f>
        <v>0</v>
      </c>
    </row>
    <row r="1555" spans="1:9" hidden="1" x14ac:dyDescent="0.3">
      <c r="A1555" t="s">
        <v>525</v>
      </c>
      <c r="B1555" s="20">
        <v>44197</v>
      </c>
      <c r="C1555" t="s">
        <v>447</v>
      </c>
      <c r="D1555" t="s">
        <v>448</v>
      </c>
      <c r="E1555" t="s">
        <v>384</v>
      </c>
      <c r="F1555">
        <v>0</v>
      </c>
      <c r="G1555">
        <v>0</v>
      </c>
      <c r="H1555">
        <f>IF(report_B_CategorieBoekjaar[[#This Row],[BedrijfsCode]]="002",IF(report_B_CategorieBoekjaar[[#This Row],[Boekjaar]]=Projectbegroting!$K$1,report_B_CategorieBoekjaar[[#This Row],[CategorieCode]],0),0)</f>
        <v>0</v>
      </c>
      <c r="I1555">
        <f>IF(report_B_CategorieBoekjaar[[#This Row],[BedrijfsCode]]="001",IF(report_B_CategorieBoekjaar[[#This Row],[Boekjaar]]=Projectbegroting!$K$1,report_B_CategorieBoekjaar[[#This Row],[CategorieCode]],0),0)</f>
        <v>0</v>
      </c>
    </row>
    <row r="1556" spans="1:9" hidden="1" x14ac:dyDescent="0.3">
      <c r="A1556" t="s">
        <v>525</v>
      </c>
      <c r="B1556" s="20">
        <v>44197</v>
      </c>
      <c r="C1556" t="s">
        <v>449</v>
      </c>
      <c r="D1556" t="s">
        <v>450</v>
      </c>
      <c r="E1556" t="s">
        <v>381</v>
      </c>
      <c r="F1556">
        <v>35</v>
      </c>
      <c r="G1556">
        <v>90</v>
      </c>
      <c r="H1556">
        <f>IF(report_B_CategorieBoekjaar[[#This Row],[BedrijfsCode]]="002",IF(report_B_CategorieBoekjaar[[#This Row],[Boekjaar]]=Projectbegroting!$K$1,report_B_CategorieBoekjaar[[#This Row],[CategorieCode]],0),0)</f>
        <v>0</v>
      </c>
      <c r="I1556">
        <f>IF(report_B_CategorieBoekjaar[[#This Row],[BedrijfsCode]]="001",IF(report_B_CategorieBoekjaar[[#This Row],[Boekjaar]]=Projectbegroting!$K$1,report_B_CategorieBoekjaar[[#This Row],[CategorieCode]],0),0)</f>
        <v>0</v>
      </c>
    </row>
    <row r="1557" spans="1:9" hidden="1" x14ac:dyDescent="0.3">
      <c r="A1557" t="s">
        <v>525</v>
      </c>
      <c r="B1557" s="20">
        <v>44197</v>
      </c>
      <c r="C1557" t="s">
        <v>451</v>
      </c>
      <c r="D1557" t="s">
        <v>452</v>
      </c>
      <c r="E1557" t="s">
        <v>384</v>
      </c>
      <c r="F1557">
        <v>0</v>
      </c>
      <c r="G1557">
        <v>0</v>
      </c>
      <c r="H1557">
        <f>IF(report_B_CategorieBoekjaar[[#This Row],[BedrijfsCode]]="002",IF(report_B_CategorieBoekjaar[[#This Row],[Boekjaar]]=Projectbegroting!$K$1,report_B_CategorieBoekjaar[[#This Row],[CategorieCode]],0),0)</f>
        <v>0</v>
      </c>
      <c r="I1557">
        <f>IF(report_B_CategorieBoekjaar[[#This Row],[BedrijfsCode]]="001",IF(report_B_CategorieBoekjaar[[#This Row],[Boekjaar]]=Projectbegroting!$K$1,report_B_CategorieBoekjaar[[#This Row],[CategorieCode]],0),0)</f>
        <v>0</v>
      </c>
    </row>
    <row r="1558" spans="1:9" hidden="1" x14ac:dyDescent="0.3">
      <c r="A1558" t="s">
        <v>525</v>
      </c>
      <c r="B1558" s="20">
        <v>44197</v>
      </c>
      <c r="C1558" t="s">
        <v>453</v>
      </c>
      <c r="D1558" t="s">
        <v>454</v>
      </c>
      <c r="E1558" t="s">
        <v>381</v>
      </c>
      <c r="F1558">
        <v>61</v>
      </c>
      <c r="G1558">
        <v>0</v>
      </c>
      <c r="H1558">
        <f>IF(report_B_CategorieBoekjaar[[#This Row],[BedrijfsCode]]="002",IF(report_B_CategorieBoekjaar[[#This Row],[Boekjaar]]=Projectbegroting!$K$1,report_B_CategorieBoekjaar[[#This Row],[CategorieCode]],0),0)</f>
        <v>0</v>
      </c>
      <c r="I1558">
        <f>IF(report_B_CategorieBoekjaar[[#This Row],[BedrijfsCode]]="001",IF(report_B_CategorieBoekjaar[[#This Row],[Boekjaar]]=Projectbegroting!$K$1,report_B_CategorieBoekjaar[[#This Row],[CategorieCode]],0),0)</f>
        <v>0</v>
      </c>
    </row>
    <row r="1559" spans="1:9" hidden="1" x14ac:dyDescent="0.3">
      <c r="A1559" t="s">
        <v>525</v>
      </c>
      <c r="B1559" s="20">
        <v>44197</v>
      </c>
      <c r="C1559" t="s">
        <v>455</v>
      </c>
      <c r="D1559" t="s">
        <v>456</v>
      </c>
      <c r="E1559" t="s">
        <v>381</v>
      </c>
      <c r="F1559">
        <v>79</v>
      </c>
      <c r="G1559">
        <v>0</v>
      </c>
      <c r="H1559">
        <f>IF(report_B_CategorieBoekjaar[[#This Row],[BedrijfsCode]]="002",IF(report_B_CategorieBoekjaar[[#This Row],[Boekjaar]]=Projectbegroting!$K$1,report_B_CategorieBoekjaar[[#This Row],[CategorieCode]],0),0)</f>
        <v>0</v>
      </c>
      <c r="I1559">
        <f>IF(report_B_CategorieBoekjaar[[#This Row],[BedrijfsCode]]="001",IF(report_B_CategorieBoekjaar[[#This Row],[Boekjaar]]=Projectbegroting!$K$1,report_B_CategorieBoekjaar[[#This Row],[CategorieCode]],0),0)</f>
        <v>0</v>
      </c>
    </row>
    <row r="1560" spans="1:9" hidden="1" x14ac:dyDescent="0.3">
      <c r="A1560" t="s">
        <v>525</v>
      </c>
      <c r="B1560" s="20">
        <v>44197</v>
      </c>
      <c r="C1560" t="s">
        <v>457</v>
      </c>
      <c r="D1560" t="s">
        <v>458</v>
      </c>
      <c r="E1560" t="s">
        <v>384</v>
      </c>
      <c r="F1560">
        <v>0</v>
      </c>
      <c r="G1560">
        <v>0</v>
      </c>
      <c r="H1560">
        <f>IF(report_B_CategorieBoekjaar[[#This Row],[BedrijfsCode]]="002",IF(report_B_CategorieBoekjaar[[#This Row],[Boekjaar]]=Projectbegroting!$K$1,report_B_CategorieBoekjaar[[#This Row],[CategorieCode]],0),0)</f>
        <v>0</v>
      </c>
      <c r="I1560">
        <f>IF(report_B_CategorieBoekjaar[[#This Row],[BedrijfsCode]]="001",IF(report_B_CategorieBoekjaar[[#This Row],[Boekjaar]]=Projectbegroting!$K$1,report_B_CategorieBoekjaar[[#This Row],[CategorieCode]],0),0)</f>
        <v>0</v>
      </c>
    </row>
    <row r="1561" spans="1:9" hidden="1" x14ac:dyDescent="0.3">
      <c r="A1561" t="s">
        <v>525</v>
      </c>
      <c r="B1561" s="20">
        <v>44197</v>
      </c>
      <c r="C1561" t="s">
        <v>459</v>
      </c>
      <c r="D1561" t="s">
        <v>460</v>
      </c>
      <c r="E1561" t="s">
        <v>381</v>
      </c>
      <c r="F1561">
        <v>94</v>
      </c>
      <c r="G1561">
        <v>0</v>
      </c>
      <c r="H1561">
        <f>IF(report_B_CategorieBoekjaar[[#This Row],[BedrijfsCode]]="002",IF(report_B_CategorieBoekjaar[[#This Row],[Boekjaar]]=Projectbegroting!$K$1,report_B_CategorieBoekjaar[[#This Row],[CategorieCode]],0),0)</f>
        <v>0</v>
      </c>
      <c r="I1561">
        <f>IF(report_B_CategorieBoekjaar[[#This Row],[BedrijfsCode]]="001",IF(report_B_CategorieBoekjaar[[#This Row],[Boekjaar]]=Projectbegroting!$K$1,report_B_CategorieBoekjaar[[#This Row],[CategorieCode]],0),0)</f>
        <v>0</v>
      </c>
    </row>
    <row r="1562" spans="1:9" hidden="1" x14ac:dyDescent="0.3">
      <c r="A1562" t="s">
        <v>525</v>
      </c>
      <c r="B1562" s="20">
        <v>44197</v>
      </c>
      <c r="C1562" t="s">
        <v>461</v>
      </c>
      <c r="D1562" t="s">
        <v>462</v>
      </c>
      <c r="E1562" t="s">
        <v>384</v>
      </c>
      <c r="F1562">
        <v>0</v>
      </c>
      <c r="G1562">
        <v>0</v>
      </c>
      <c r="H1562">
        <f>IF(report_B_CategorieBoekjaar[[#This Row],[BedrijfsCode]]="002",IF(report_B_CategorieBoekjaar[[#This Row],[Boekjaar]]=Projectbegroting!$K$1,report_B_CategorieBoekjaar[[#This Row],[CategorieCode]],0),0)</f>
        <v>0</v>
      </c>
      <c r="I1562">
        <f>IF(report_B_CategorieBoekjaar[[#This Row],[BedrijfsCode]]="001",IF(report_B_CategorieBoekjaar[[#This Row],[Boekjaar]]=Projectbegroting!$K$1,report_B_CategorieBoekjaar[[#This Row],[CategorieCode]],0),0)</f>
        <v>0</v>
      </c>
    </row>
    <row r="1563" spans="1:9" hidden="1" x14ac:dyDescent="0.3">
      <c r="A1563" t="s">
        <v>525</v>
      </c>
      <c r="B1563" s="20">
        <v>44197</v>
      </c>
      <c r="C1563" t="s">
        <v>463</v>
      </c>
      <c r="D1563" t="s">
        <v>464</v>
      </c>
      <c r="E1563" t="s">
        <v>384</v>
      </c>
      <c r="F1563">
        <v>0</v>
      </c>
      <c r="G1563">
        <v>0</v>
      </c>
      <c r="H1563">
        <f>IF(report_B_CategorieBoekjaar[[#This Row],[BedrijfsCode]]="002",IF(report_B_CategorieBoekjaar[[#This Row],[Boekjaar]]=Projectbegroting!$K$1,report_B_CategorieBoekjaar[[#This Row],[CategorieCode]],0),0)</f>
        <v>0</v>
      </c>
      <c r="I1563">
        <f>IF(report_B_CategorieBoekjaar[[#This Row],[BedrijfsCode]]="001",IF(report_B_CategorieBoekjaar[[#This Row],[Boekjaar]]=Projectbegroting!$K$1,report_B_CategorieBoekjaar[[#This Row],[CategorieCode]],0),0)</f>
        <v>0</v>
      </c>
    </row>
    <row r="1564" spans="1:9" hidden="1" x14ac:dyDescent="0.3">
      <c r="A1564" t="s">
        <v>525</v>
      </c>
      <c r="B1564" s="20">
        <v>44197</v>
      </c>
      <c r="C1564" t="s">
        <v>465</v>
      </c>
      <c r="D1564" t="s">
        <v>466</v>
      </c>
      <c r="E1564" t="s">
        <v>381</v>
      </c>
      <c r="F1564">
        <v>33</v>
      </c>
      <c r="G1564">
        <v>88</v>
      </c>
      <c r="H1564">
        <f>IF(report_B_CategorieBoekjaar[[#This Row],[BedrijfsCode]]="002",IF(report_B_CategorieBoekjaar[[#This Row],[Boekjaar]]=Projectbegroting!$K$1,report_B_CategorieBoekjaar[[#This Row],[CategorieCode]],0),0)</f>
        <v>0</v>
      </c>
      <c r="I1564">
        <f>IF(report_B_CategorieBoekjaar[[#This Row],[BedrijfsCode]]="001",IF(report_B_CategorieBoekjaar[[#This Row],[Boekjaar]]=Projectbegroting!$K$1,report_B_CategorieBoekjaar[[#This Row],[CategorieCode]],0),0)</f>
        <v>0</v>
      </c>
    </row>
    <row r="1565" spans="1:9" hidden="1" x14ac:dyDescent="0.3">
      <c r="A1565" t="s">
        <v>525</v>
      </c>
      <c r="B1565" s="20">
        <v>44197</v>
      </c>
      <c r="C1565" t="s">
        <v>467</v>
      </c>
      <c r="D1565" t="s">
        <v>468</v>
      </c>
      <c r="E1565" t="s">
        <v>384</v>
      </c>
      <c r="F1565">
        <v>0</v>
      </c>
      <c r="G1565">
        <v>0</v>
      </c>
      <c r="H1565">
        <f>IF(report_B_CategorieBoekjaar[[#This Row],[BedrijfsCode]]="002",IF(report_B_CategorieBoekjaar[[#This Row],[Boekjaar]]=Projectbegroting!$K$1,report_B_CategorieBoekjaar[[#This Row],[CategorieCode]],0),0)</f>
        <v>0</v>
      </c>
      <c r="I1565">
        <f>IF(report_B_CategorieBoekjaar[[#This Row],[BedrijfsCode]]="001",IF(report_B_CategorieBoekjaar[[#This Row],[Boekjaar]]=Projectbegroting!$K$1,report_B_CategorieBoekjaar[[#This Row],[CategorieCode]],0),0)</f>
        <v>0</v>
      </c>
    </row>
    <row r="1566" spans="1:9" hidden="1" x14ac:dyDescent="0.3">
      <c r="A1566" t="s">
        <v>525</v>
      </c>
      <c r="B1566" s="20">
        <v>44197</v>
      </c>
      <c r="C1566" t="s">
        <v>469</v>
      </c>
      <c r="D1566" t="s">
        <v>470</v>
      </c>
      <c r="E1566" t="s">
        <v>381</v>
      </c>
      <c r="F1566">
        <v>43</v>
      </c>
      <c r="G1566">
        <v>98</v>
      </c>
      <c r="H1566">
        <f>IF(report_B_CategorieBoekjaar[[#This Row],[BedrijfsCode]]="002",IF(report_B_CategorieBoekjaar[[#This Row],[Boekjaar]]=Projectbegroting!$K$1,report_B_CategorieBoekjaar[[#This Row],[CategorieCode]],0),0)</f>
        <v>0</v>
      </c>
      <c r="I1566">
        <f>IF(report_B_CategorieBoekjaar[[#This Row],[BedrijfsCode]]="001",IF(report_B_CategorieBoekjaar[[#This Row],[Boekjaar]]=Projectbegroting!$K$1,report_B_CategorieBoekjaar[[#This Row],[CategorieCode]],0),0)</f>
        <v>0</v>
      </c>
    </row>
    <row r="1567" spans="1:9" hidden="1" x14ac:dyDescent="0.3">
      <c r="A1567" t="s">
        <v>525</v>
      </c>
      <c r="B1567" s="20">
        <v>44197</v>
      </c>
      <c r="C1567" t="s">
        <v>471</v>
      </c>
      <c r="D1567" t="s">
        <v>472</v>
      </c>
      <c r="E1567" t="s">
        <v>384</v>
      </c>
      <c r="F1567">
        <v>0</v>
      </c>
      <c r="G1567">
        <v>0</v>
      </c>
      <c r="H1567">
        <f>IF(report_B_CategorieBoekjaar[[#This Row],[BedrijfsCode]]="002",IF(report_B_CategorieBoekjaar[[#This Row],[Boekjaar]]=Projectbegroting!$K$1,report_B_CategorieBoekjaar[[#This Row],[CategorieCode]],0),0)</f>
        <v>0</v>
      </c>
      <c r="I1567">
        <f>IF(report_B_CategorieBoekjaar[[#This Row],[BedrijfsCode]]="001",IF(report_B_CategorieBoekjaar[[#This Row],[Boekjaar]]=Projectbegroting!$K$1,report_B_CategorieBoekjaar[[#This Row],[CategorieCode]],0),0)</f>
        <v>0</v>
      </c>
    </row>
    <row r="1568" spans="1:9" hidden="1" x14ac:dyDescent="0.3">
      <c r="A1568" t="s">
        <v>525</v>
      </c>
      <c r="B1568" s="20">
        <v>44197</v>
      </c>
      <c r="C1568" t="s">
        <v>62</v>
      </c>
      <c r="D1568" t="s">
        <v>473</v>
      </c>
      <c r="E1568" t="s">
        <v>381</v>
      </c>
      <c r="F1568">
        <v>44</v>
      </c>
      <c r="G1568">
        <v>0</v>
      </c>
      <c r="H1568">
        <f>IF(report_B_CategorieBoekjaar[[#This Row],[BedrijfsCode]]="002",IF(report_B_CategorieBoekjaar[[#This Row],[Boekjaar]]=Projectbegroting!$K$1,report_B_CategorieBoekjaar[[#This Row],[CategorieCode]],0),0)</f>
        <v>0</v>
      </c>
      <c r="I1568">
        <f>IF(report_B_CategorieBoekjaar[[#This Row],[BedrijfsCode]]="001",IF(report_B_CategorieBoekjaar[[#This Row],[Boekjaar]]=Projectbegroting!$K$1,report_B_CategorieBoekjaar[[#This Row],[CategorieCode]],0),0)</f>
        <v>0</v>
      </c>
    </row>
    <row r="1569" spans="1:9" hidden="1" x14ac:dyDescent="0.3">
      <c r="A1569" t="s">
        <v>525</v>
      </c>
      <c r="B1569" s="20">
        <v>44197</v>
      </c>
      <c r="C1569" t="s">
        <v>474</v>
      </c>
      <c r="D1569" t="s">
        <v>475</v>
      </c>
      <c r="E1569" t="s">
        <v>384</v>
      </c>
      <c r="F1569">
        <v>0</v>
      </c>
      <c r="G1569">
        <v>0</v>
      </c>
      <c r="H1569">
        <f>IF(report_B_CategorieBoekjaar[[#This Row],[BedrijfsCode]]="002",IF(report_B_CategorieBoekjaar[[#This Row],[Boekjaar]]=Projectbegroting!$K$1,report_B_CategorieBoekjaar[[#This Row],[CategorieCode]],0),0)</f>
        <v>0</v>
      </c>
      <c r="I1569">
        <f>IF(report_B_CategorieBoekjaar[[#This Row],[BedrijfsCode]]="001",IF(report_B_CategorieBoekjaar[[#This Row],[Boekjaar]]=Projectbegroting!$K$1,report_B_CategorieBoekjaar[[#This Row],[CategorieCode]],0),0)</f>
        <v>0</v>
      </c>
    </row>
    <row r="1570" spans="1:9" hidden="1" x14ac:dyDescent="0.3">
      <c r="A1570" t="s">
        <v>525</v>
      </c>
      <c r="B1570" s="20">
        <v>44197</v>
      </c>
      <c r="C1570" t="s">
        <v>64</v>
      </c>
      <c r="D1570" t="s">
        <v>476</v>
      </c>
      <c r="E1570" t="s">
        <v>381</v>
      </c>
      <c r="F1570">
        <v>39</v>
      </c>
      <c r="G1570">
        <v>94</v>
      </c>
      <c r="H1570">
        <f>IF(report_B_CategorieBoekjaar[[#This Row],[BedrijfsCode]]="002",IF(report_B_CategorieBoekjaar[[#This Row],[Boekjaar]]=Projectbegroting!$K$1,report_B_CategorieBoekjaar[[#This Row],[CategorieCode]],0),0)</f>
        <v>0</v>
      </c>
      <c r="I1570">
        <f>IF(report_B_CategorieBoekjaar[[#This Row],[BedrijfsCode]]="001",IF(report_B_CategorieBoekjaar[[#This Row],[Boekjaar]]=Projectbegroting!$K$1,report_B_CategorieBoekjaar[[#This Row],[CategorieCode]],0),0)</f>
        <v>0</v>
      </c>
    </row>
    <row r="1571" spans="1:9" hidden="1" x14ac:dyDescent="0.3">
      <c r="A1571" t="s">
        <v>525</v>
      </c>
      <c r="B1571" s="20">
        <v>44197</v>
      </c>
      <c r="C1571" t="s">
        <v>477</v>
      </c>
      <c r="D1571" t="s">
        <v>478</v>
      </c>
      <c r="E1571" t="s">
        <v>384</v>
      </c>
      <c r="F1571">
        <v>0</v>
      </c>
      <c r="G1571">
        <v>0</v>
      </c>
      <c r="H1571">
        <f>IF(report_B_CategorieBoekjaar[[#This Row],[BedrijfsCode]]="002",IF(report_B_CategorieBoekjaar[[#This Row],[Boekjaar]]=Projectbegroting!$K$1,report_B_CategorieBoekjaar[[#This Row],[CategorieCode]],0),0)</f>
        <v>0</v>
      </c>
      <c r="I1571">
        <f>IF(report_B_CategorieBoekjaar[[#This Row],[BedrijfsCode]]="001",IF(report_B_CategorieBoekjaar[[#This Row],[Boekjaar]]=Projectbegroting!$K$1,report_B_CategorieBoekjaar[[#This Row],[CategorieCode]],0),0)</f>
        <v>0</v>
      </c>
    </row>
    <row r="1572" spans="1:9" hidden="1" x14ac:dyDescent="0.3">
      <c r="A1572" t="s">
        <v>525</v>
      </c>
      <c r="B1572" s="20">
        <v>44197</v>
      </c>
      <c r="C1572" t="s">
        <v>80</v>
      </c>
      <c r="D1572" t="s">
        <v>81</v>
      </c>
      <c r="E1572" t="s">
        <v>381</v>
      </c>
      <c r="F1572">
        <v>66</v>
      </c>
      <c r="G1572">
        <v>0</v>
      </c>
      <c r="H1572">
        <f>IF(report_B_CategorieBoekjaar[[#This Row],[BedrijfsCode]]="002",IF(report_B_CategorieBoekjaar[[#This Row],[Boekjaar]]=Projectbegroting!$K$1,report_B_CategorieBoekjaar[[#This Row],[CategorieCode]],0),0)</f>
        <v>0</v>
      </c>
      <c r="I1572">
        <f>IF(report_B_CategorieBoekjaar[[#This Row],[BedrijfsCode]]="001",IF(report_B_CategorieBoekjaar[[#This Row],[Boekjaar]]=Projectbegroting!$K$1,report_B_CategorieBoekjaar[[#This Row],[CategorieCode]],0),0)</f>
        <v>0</v>
      </c>
    </row>
    <row r="1573" spans="1:9" hidden="1" x14ac:dyDescent="0.3">
      <c r="A1573" t="s">
        <v>525</v>
      </c>
      <c r="B1573" s="20">
        <v>44197</v>
      </c>
      <c r="C1573" t="s">
        <v>479</v>
      </c>
      <c r="D1573" t="s">
        <v>480</v>
      </c>
      <c r="E1573" t="s">
        <v>384</v>
      </c>
      <c r="F1573">
        <v>0</v>
      </c>
      <c r="G1573">
        <v>0</v>
      </c>
      <c r="H1573">
        <f>IF(report_B_CategorieBoekjaar[[#This Row],[BedrijfsCode]]="002",IF(report_B_CategorieBoekjaar[[#This Row],[Boekjaar]]=Projectbegroting!$K$1,report_B_CategorieBoekjaar[[#This Row],[CategorieCode]],0),0)</f>
        <v>0</v>
      </c>
      <c r="I1573">
        <f>IF(report_B_CategorieBoekjaar[[#This Row],[BedrijfsCode]]="001",IF(report_B_CategorieBoekjaar[[#This Row],[Boekjaar]]=Projectbegroting!$K$1,report_B_CategorieBoekjaar[[#This Row],[CategorieCode]],0),0)</f>
        <v>0</v>
      </c>
    </row>
    <row r="1574" spans="1:9" hidden="1" x14ac:dyDescent="0.3">
      <c r="A1574" t="s">
        <v>525</v>
      </c>
      <c r="B1574" s="20">
        <v>44197</v>
      </c>
      <c r="C1574" t="s">
        <v>481</v>
      </c>
      <c r="D1574" t="s">
        <v>482</v>
      </c>
      <c r="E1574" t="s">
        <v>384</v>
      </c>
      <c r="F1574">
        <v>0</v>
      </c>
      <c r="G1574">
        <v>0</v>
      </c>
      <c r="H1574">
        <f>IF(report_B_CategorieBoekjaar[[#This Row],[BedrijfsCode]]="002",IF(report_B_CategorieBoekjaar[[#This Row],[Boekjaar]]=Projectbegroting!$K$1,report_B_CategorieBoekjaar[[#This Row],[CategorieCode]],0),0)</f>
        <v>0</v>
      </c>
      <c r="I1574">
        <f>IF(report_B_CategorieBoekjaar[[#This Row],[BedrijfsCode]]="001",IF(report_B_CategorieBoekjaar[[#This Row],[Boekjaar]]=Projectbegroting!$K$1,report_B_CategorieBoekjaar[[#This Row],[CategorieCode]],0),0)</f>
        <v>0</v>
      </c>
    </row>
    <row r="1575" spans="1:9" hidden="1" x14ac:dyDescent="0.3">
      <c r="A1575" t="s">
        <v>525</v>
      </c>
      <c r="B1575" s="20">
        <v>44197</v>
      </c>
      <c r="C1575" t="s">
        <v>98</v>
      </c>
      <c r="D1575" t="s">
        <v>99</v>
      </c>
      <c r="E1575" t="s">
        <v>381</v>
      </c>
      <c r="F1575">
        <v>56</v>
      </c>
      <c r="G1575">
        <v>0</v>
      </c>
      <c r="H1575">
        <f>IF(report_B_CategorieBoekjaar[[#This Row],[BedrijfsCode]]="002",IF(report_B_CategorieBoekjaar[[#This Row],[Boekjaar]]=Projectbegroting!$K$1,report_B_CategorieBoekjaar[[#This Row],[CategorieCode]],0),0)</f>
        <v>0</v>
      </c>
      <c r="I1575">
        <f>IF(report_B_CategorieBoekjaar[[#This Row],[BedrijfsCode]]="001",IF(report_B_CategorieBoekjaar[[#This Row],[Boekjaar]]=Projectbegroting!$K$1,report_B_CategorieBoekjaar[[#This Row],[CategorieCode]],0),0)</f>
        <v>0</v>
      </c>
    </row>
    <row r="1576" spans="1:9" hidden="1" x14ac:dyDescent="0.3">
      <c r="A1576" t="s">
        <v>525</v>
      </c>
      <c r="B1576" s="20">
        <v>44197</v>
      </c>
      <c r="C1576" t="s">
        <v>485</v>
      </c>
      <c r="D1576" t="s">
        <v>486</v>
      </c>
      <c r="E1576" t="s">
        <v>384</v>
      </c>
      <c r="F1576">
        <v>0</v>
      </c>
      <c r="G1576">
        <v>0</v>
      </c>
      <c r="H1576">
        <f>IF(report_B_CategorieBoekjaar[[#This Row],[BedrijfsCode]]="002",IF(report_B_CategorieBoekjaar[[#This Row],[Boekjaar]]=Projectbegroting!$K$1,report_B_CategorieBoekjaar[[#This Row],[CategorieCode]],0),0)</f>
        <v>0</v>
      </c>
      <c r="I1576">
        <f>IF(report_B_CategorieBoekjaar[[#This Row],[BedrijfsCode]]="001",IF(report_B_CategorieBoekjaar[[#This Row],[Boekjaar]]=Projectbegroting!$K$1,report_B_CategorieBoekjaar[[#This Row],[CategorieCode]],0),0)</f>
        <v>0</v>
      </c>
    </row>
    <row r="1577" spans="1:9" hidden="1" x14ac:dyDescent="0.3">
      <c r="A1577" t="s">
        <v>525</v>
      </c>
      <c r="B1577" s="20">
        <v>44197</v>
      </c>
      <c r="C1577" t="s">
        <v>175</v>
      </c>
      <c r="D1577" t="s">
        <v>487</v>
      </c>
      <c r="E1577" t="s">
        <v>384</v>
      </c>
      <c r="F1577">
        <v>0</v>
      </c>
      <c r="G1577">
        <v>0</v>
      </c>
      <c r="H1577">
        <f>IF(report_B_CategorieBoekjaar[[#This Row],[BedrijfsCode]]="002",IF(report_B_CategorieBoekjaar[[#This Row],[Boekjaar]]=Projectbegroting!$K$1,report_B_CategorieBoekjaar[[#This Row],[CategorieCode]],0),0)</f>
        <v>0</v>
      </c>
      <c r="I1577">
        <f>IF(report_B_CategorieBoekjaar[[#This Row],[BedrijfsCode]]="001",IF(report_B_CategorieBoekjaar[[#This Row],[Boekjaar]]=Projectbegroting!$K$1,report_B_CategorieBoekjaar[[#This Row],[CategorieCode]],0),0)</f>
        <v>0</v>
      </c>
    </row>
    <row r="1578" spans="1:9" hidden="1" x14ac:dyDescent="0.3">
      <c r="A1578" t="s">
        <v>525</v>
      </c>
      <c r="B1578" s="20">
        <v>44197</v>
      </c>
      <c r="C1578" t="s">
        <v>488</v>
      </c>
      <c r="D1578" t="s">
        <v>489</v>
      </c>
      <c r="E1578" t="s">
        <v>381</v>
      </c>
      <c r="F1578">
        <v>68</v>
      </c>
      <c r="G1578">
        <v>0</v>
      </c>
      <c r="H1578">
        <f>IF(report_B_CategorieBoekjaar[[#This Row],[BedrijfsCode]]="002",IF(report_B_CategorieBoekjaar[[#This Row],[Boekjaar]]=Projectbegroting!$K$1,report_B_CategorieBoekjaar[[#This Row],[CategorieCode]],0),0)</f>
        <v>0</v>
      </c>
      <c r="I1578">
        <f>IF(report_B_CategorieBoekjaar[[#This Row],[BedrijfsCode]]="001",IF(report_B_CategorieBoekjaar[[#This Row],[Boekjaar]]=Projectbegroting!$K$1,report_B_CategorieBoekjaar[[#This Row],[CategorieCode]],0),0)</f>
        <v>0</v>
      </c>
    </row>
    <row r="1579" spans="1:9" hidden="1" x14ac:dyDescent="0.3">
      <c r="A1579" t="s">
        <v>525</v>
      </c>
      <c r="B1579" s="20">
        <v>44197</v>
      </c>
      <c r="C1579" t="s">
        <v>490</v>
      </c>
      <c r="D1579" t="s">
        <v>491</v>
      </c>
      <c r="E1579" t="s">
        <v>384</v>
      </c>
      <c r="F1579">
        <v>0</v>
      </c>
      <c r="G1579">
        <v>0</v>
      </c>
      <c r="H1579">
        <f>IF(report_B_CategorieBoekjaar[[#This Row],[BedrijfsCode]]="002",IF(report_B_CategorieBoekjaar[[#This Row],[Boekjaar]]=Projectbegroting!$K$1,report_B_CategorieBoekjaar[[#This Row],[CategorieCode]],0),0)</f>
        <v>0</v>
      </c>
      <c r="I1579">
        <f>IF(report_B_CategorieBoekjaar[[#This Row],[BedrijfsCode]]="001",IF(report_B_CategorieBoekjaar[[#This Row],[Boekjaar]]=Projectbegroting!$K$1,report_B_CategorieBoekjaar[[#This Row],[CategorieCode]],0),0)</f>
        <v>0</v>
      </c>
    </row>
    <row r="1580" spans="1:9" hidden="1" x14ac:dyDescent="0.3">
      <c r="A1580" t="s">
        <v>525</v>
      </c>
      <c r="B1580" s="20">
        <v>44197</v>
      </c>
      <c r="C1580" t="s">
        <v>68</v>
      </c>
      <c r="D1580" t="s">
        <v>492</v>
      </c>
      <c r="E1580" t="s">
        <v>381</v>
      </c>
      <c r="F1580">
        <v>44</v>
      </c>
      <c r="G1580">
        <v>99</v>
      </c>
      <c r="H1580">
        <f>IF(report_B_CategorieBoekjaar[[#This Row],[BedrijfsCode]]="002",IF(report_B_CategorieBoekjaar[[#This Row],[Boekjaar]]=Projectbegroting!$K$1,report_B_CategorieBoekjaar[[#This Row],[CategorieCode]],0),0)</f>
        <v>0</v>
      </c>
      <c r="I1580">
        <f>IF(report_B_CategorieBoekjaar[[#This Row],[BedrijfsCode]]="001",IF(report_B_CategorieBoekjaar[[#This Row],[Boekjaar]]=Projectbegroting!$K$1,report_B_CategorieBoekjaar[[#This Row],[CategorieCode]],0),0)</f>
        <v>0</v>
      </c>
    </row>
    <row r="1581" spans="1:9" hidden="1" x14ac:dyDescent="0.3">
      <c r="A1581" t="s">
        <v>525</v>
      </c>
      <c r="B1581" s="20">
        <v>44197</v>
      </c>
      <c r="C1581" t="s">
        <v>177</v>
      </c>
      <c r="D1581" t="s">
        <v>493</v>
      </c>
      <c r="E1581" t="s">
        <v>384</v>
      </c>
      <c r="F1581">
        <v>0</v>
      </c>
      <c r="G1581">
        <v>0</v>
      </c>
      <c r="H1581">
        <f>IF(report_B_CategorieBoekjaar[[#This Row],[BedrijfsCode]]="002",IF(report_B_CategorieBoekjaar[[#This Row],[Boekjaar]]=Projectbegroting!$K$1,report_B_CategorieBoekjaar[[#This Row],[CategorieCode]],0),0)</f>
        <v>0</v>
      </c>
      <c r="I1581">
        <f>IF(report_B_CategorieBoekjaar[[#This Row],[BedrijfsCode]]="001",IF(report_B_CategorieBoekjaar[[#This Row],[Boekjaar]]=Projectbegroting!$K$1,report_B_CategorieBoekjaar[[#This Row],[CategorieCode]],0),0)</f>
        <v>0</v>
      </c>
    </row>
    <row r="1582" spans="1:9" hidden="1" x14ac:dyDescent="0.3">
      <c r="A1582" t="s">
        <v>525</v>
      </c>
      <c r="B1582" s="20">
        <v>44197</v>
      </c>
      <c r="C1582" t="s">
        <v>494</v>
      </c>
      <c r="D1582" t="s">
        <v>495</v>
      </c>
      <c r="E1582" t="s">
        <v>381</v>
      </c>
      <c r="F1582">
        <v>39</v>
      </c>
      <c r="G1582">
        <v>0</v>
      </c>
      <c r="H1582">
        <f>IF(report_B_CategorieBoekjaar[[#This Row],[BedrijfsCode]]="002",IF(report_B_CategorieBoekjaar[[#This Row],[Boekjaar]]=Projectbegroting!$K$1,report_B_CategorieBoekjaar[[#This Row],[CategorieCode]],0),0)</f>
        <v>0</v>
      </c>
      <c r="I1582">
        <f>IF(report_B_CategorieBoekjaar[[#This Row],[BedrijfsCode]]="001",IF(report_B_CategorieBoekjaar[[#This Row],[Boekjaar]]=Projectbegroting!$K$1,report_B_CategorieBoekjaar[[#This Row],[CategorieCode]],0),0)</f>
        <v>0</v>
      </c>
    </row>
    <row r="1583" spans="1:9" hidden="1" x14ac:dyDescent="0.3">
      <c r="A1583" t="s">
        <v>525</v>
      </c>
      <c r="B1583" s="20">
        <v>44197</v>
      </c>
      <c r="C1583" t="s">
        <v>496</v>
      </c>
      <c r="D1583" t="s">
        <v>497</v>
      </c>
      <c r="E1583" t="s">
        <v>384</v>
      </c>
      <c r="F1583">
        <v>0</v>
      </c>
      <c r="G1583">
        <v>0</v>
      </c>
      <c r="H1583">
        <f>IF(report_B_CategorieBoekjaar[[#This Row],[BedrijfsCode]]="002",IF(report_B_CategorieBoekjaar[[#This Row],[Boekjaar]]=Projectbegroting!$K$1,report_B_CategorieBoekjaar[[#This Row],[CategorieCode]],0),0)</f>
        <v>0</v>
      </c>
      <c r="I1583">
        <f>IF(report_B_CategorieBoekjaar[[#This Row],[BedrijfsCode]]="001",IF(report_B_CategorieBoekjaar[[#This Row],[Boekjaar]]=Projectbegroting!$K$1,report_B_CategorieBoekjaar[[#This Row],[CategorieCode]],0),0)</f>
        <v>0</v>
      </c>
    </row>
    <row r="1584" spans="1:9" hidden="1" x14ac:dyDescent="0.3">
      <c r="A1584" t="s">
        <v>525</v>
      </c>
      <c r="B1584" s="20">
        <v>44197</v>
      </c>
      <c r="C1584" t="s">
        <v>70</v>
      </c>
      <c r="D1584" t="s">
        <v>498</v>
      </c>
      <c r="E1584" t="s">
        <v>381</v>
      </c>
      <c r="F1584">
        <v>35</v>
      </c>
      <c r="G1584">
        <v>90</v>
      </c>
      <c r="H1584">
        <f>IF(report_B_CategorieBoekjaar[[#This Row],[BedrijfsCode]]="002",IF(report_B_CategorieBoekjaar[[#This Row],[Boekjaar]]=Projectbegroting!$K$1,report_B_CategorieBoekjaar[[#This Row],[CategorieCode]],0),0)</f>
        <v>0</v>
      </c>
      <c r="I1584">
        <f>IF(report_B_CategorieBoekjaar[[#This Row],[BedrijfsCode]]="001",IF(report_B_CategorieBoekjaar[[#This Row],[Boekjaar]]=Projectbegroting!$K$1,report_B_CategorieBoekjaar[[#This Row],[CategorieCode]],0),0)</f>
        <v>0</v>
      </c>
    </row>
    <row r="1585" spans="1:9" hidden="1" x14ac:dyDescent="0.3">
      <c r="A1585" t="s">
        <v>525</v>
      </c>
      <c r="B1585" s="20">
        <v>44197</v>
      </c>
      <c r="C1585" t="s">
        <v>499</v>
      </c>
      <c r="D1585" t="s">
        <v>500</v>
      </c>
      <c r="E1585" t="s">
        <v>384</v>
      </c>
      <c r="F1585">
        <v>0</v>
      </c>
      <c r="G1585">
        <v>0</v>
      </c>
      <c r="H1585">
        <f>IF(report_B_CategorieBoekjaar[[#This Row],[BedrijfsCode]]="002",IF(report_B_CategorieBoekjaar[[#This Row],[Boekjaar]]=Projectbegroting!$K$1,report_B_CategorieBoekjaar[[#This Row],[CategorieCode]],0),0)</f>
        <v>0</v>
      </c>
      <c r="I1585">
        <f>IF(report_B_CategorieBoekjaar[[#This Row],[BedrijfsCode]]="001",IF(report_B_CategorieBoekjaar[[#This Row],[Boekjaar]]=Projectbegroting!$K$1,report_B_CategorieBoekjaar[[#This Row],[CategorieCode]],0),0)</f>
        <v>0</v>
      </c>
    </row>
    <row r="1586" spans="1:9" hidden="1" x14ac:dyDescent="0.3">
      <c r="A1586" t="s">
        <v>525</v>
      </c>
      <c r="B1586" s="20">
        <v>44197</v>
      </c>
      <c r="C1586" t="s">
        <v>501</v>
      </c>
      <c r="D1586" t="s">
        <v>502</v>
      </c>
      <c r="E1586" t="s">
        <v>381</v>
      </c>
      <c r="F1586">
        <v>59</v>
      </c>
      <c r="G1586">
        <v>0</v>
      </c>
      <c r="H1586">
        <f>IF(report_B_CategorieBoekjaar[[#This Row],[BedrijfsCode]]="002",IF(report_B_CategorieBoekjaar[[#This Row],[Boekjaar]]=Projectbegroting!$K$1,report_B_CategorieBoekjaar[[#This Row],[CategorieCode]],0),0)</f>
        <v>0</v>
      </c>
      <c r="I1586">
        <f>IF(report_B_CategorieBoekjaar[[#This Row],[BedrijfsCode]]="001",IF(report_B_CategorieBoekjaar[[#This Row],[Boekjaar]]=Projectbegroting!$K$1,report_B_CategorieBoekjaar[[#This Row],[CategorieCode]],0),0)</f>
        <v>0</v>
      </c>
    </row>
    <row r="1587" spans="1:9" hidden="1" x14ac:dyDescent="0.3">
      <c r="A1587" t="s">
        <v>525</v>
      </c>
      <c r="B1587" s="20">
        <v>44197</v>
      </c>
      <c r="C1587" t="s">
        <v>503</v>
      </c>
      <c r="D1587" t="s">
        <v>504</v>
      </c>
      <c r="E1587" t="s">
        <v>384</v>
      </c>
      <c r="F1587">
        <v>0</v>
      </c>
      <c r="G1587">
        <v>0</v>
      </c>
      <c r="H1587">
        <f>IF(report_B_CategorieBoekjaar[[#This Row],[BedrijfsCode]]="002",IF(report_B_CategorieBoekjaar[[#This Row],[Boekjaar]]=Projectbegroting!$K$1,report_B_CategorieBoekjaar[[#This Row],[CategorieCode]],0),0)</f>
        <v>0</v>
      </c>
      <c r="I1587">
        <f>IF(report_B_CategorieBoekjaar[[#This Row],[BedrijfsCode]]="001",IF(report_B_CategorieBoekjaar[[#This Row],[Boekjaar]]=Projectbegroting!$K$1,report_B_CategorieBoekjaar[[#This Row],[CategorieCode]],0),0)</f>
        <v>0</v>
      </c>
    </row>
    <row r="1588" spans="1:9" hidden="1" x14ac:dyDescent="0.3">
      <c r="A1588" t="s">
        <v>525</v>
      </c>
      <c r="B1588" s="20">
        <v>44197</v>
      </c>
      <c r="C1588" t="s">
        <v>505</v>
      </c>
      <c r="D1588" t="s">
        <v>506</v>
      </c>
      <c r="E1588" t="s">
        <v>381</v>
      </c>
      <c r="F1588">
        <v>50</v>
      </c>
      <c r="G1588">
        <v>0</v>
      </c>
      <c r="H1588">
        <f>IF(report_B_CategorieBoekjaar[[#This Row],[BedrijfsCode]]="002",IF(report_B_CategorieBoekjaar[[#This Row],[Boekjaar]]=Projectbegroting!$K$1,report_B_CategorieBoekjaar[[#This Row],[CategorieCode]],0),0)</f>
        <v>0</v>
      </c>
      <c r="I1588">
        <f>IF(report_B_CategorieBoekjaar[[#This Row],[BedrijfsCode]]="001",IF(report_B_CategorieBoekjaar[[#This Row],[Boekjaar]]=Projectbegroting!$K$1,report_B_CategorieBoekjaar[[#This Row],[CategorieCode]],0),0)</f>
        <v>0</v>
      </c>
    </row>
    <row r="1589" spans="1:9" hidden="1" x14ac:dyDescent="0.3">
      <c r="A1589" t="s">
        <v>525</v>
      </c>
      <c r="B1589" s="20">
        <v>44197</v>
      </c>
      <c r="C1589" t="s">
        <v>507</v>
      </c>
      <c r="D1589" t="s">
        <v>508</v>
      </c>
      <c r="E1589" t="s">
        <v>384</v>
      </c>
      <c r="F1589">
        <v>0</v>
      </c>
      <c r="G1589">
        <v>0</v>
      </c>
      <c r="H1589">
        <f>IF(report_B_CategorieBoekjaar[[#This Row],[BedrijfsCode]]="002",IF(report_B_CategorieBoekjaar[[#This Row],[Boekjaar]]=Projectbegroting!$K$1,report_B_CategorieBoekjaar[[#This Row],[CategorieCode]],0),0)</f>
        <v>0</v>
      </c>
      <c r="I1589">
        <f>IF(report_B_CategorieBoekjaar[[#This Row],[BedrijfsCode]]="001",IF(report_B_CategorieBoekjaar[[#This Row],[Boekjaar]]=Projectbegroting!$K$1,report_B_CategorieBoekjaar[[#This Row],[CategorieCode]],0),0)</f>
        <v>0</v>
      </c>
    </row>
    <row r="1590" spans="1:9" hidden="1" x14ac:dyDescent="0.3">
      <c r="A1590" t="s">
        <v>525</v>
      </c>
      <c r="B1590" s="20">
        <v>44197</v>
      </c>
      <c r="C1590" t="s">
        <v>509</v>
      </c>
      <c r="D1590" t="s">
        <v>510</v>
      </c>
      <c r="E1590" t="s">
        <v>381</v>
      </c>
      <c r="F1590">
        <v>135</v>
      </c>
      <c r="G1590">
        <v>0</v>
      </c>
      <c r="H1590">
        <f>IF(report_B_CategorieBoekjaar[[#This Row],[BedrijfsCode]]="002",IF(report_B_CategorieBoekjaar[[#This Row],[Boekjaar]]=Projectbegroting!$K$1,report_B_CategorieBoekjaar[[#This Row],[CategorieCode]],0),0)</f>
        <v>0</v>
      </c>
      <c r="I1590">
        <f>IF(report_B_CategorieBoekjaar[[#This Row],[BedrijfsCode]]="001",IF(report_B_CategorieBoekjaar[[#This Row],[Boekjaar]]=Projectbegroting!$K$1,report_B_CategorieBoekjaar[[#This Row],[CategorieCode]],0),0)</f>
        <v>0</v>
      </c>
    </row>
    <row r="1591" spans="1:9" hidden="1" x14ac:dyDescent="0.3">
      <c r="A1591" t="s">
        <v>525</v>
      </c>
      <c r="B1591" s="20">
        <v>44197</v>
      </c>
      <c r="C1591" t="s">
        <v>511</v>
      </c>
      <c r="D1591" t="s">
        <v>512</v>
      </c>
      <c r="E1591" t="s">
        <v>381</v>
      </c>
      <c r="F1591">
        <v>0</v>
      </c>
      <c r="G1591">
        <v>0</v>
      </c>
      <c r="H1591">
        <f>IF(report_B_CategorieBoekjaar[[#This Row],[BedrijfsCode]]="002",IF(report_B_CategorieBoekjaar[[#This Row],[Boekjaar]]=Projectbegroting!$K$1,report_B_CategorieBoekjaar[[#This Row],[CategorieCode]],0),0)</f>
        <v>0</v>
      </c>
      <c r="I1591">
        <f>IF(report_B_CategorieBoekjaar[[#This Row],[BedrijfsCode]]="001",IF(report_B_CategorieBoekjaar[[#This Row],[Boekjaar]]=Projectbegroting!$K$1,report_B_CategorieBoekjaar[[#This Row],[CategorieCode]],0),0)</f>
        <v>0</v>
      </c>
    </row>
    <row r="1592" spans="1:9" hidden="1" x14ac:dyDescent="0.3">
      <c r="A1592" t="s">
        <v>525</v>
      </c>
      <c r="B1592" s="20">
        <v>44197</v>
      </c>
      <c r="C1592" t="s">
        <v>92</v>
      </c>
      <c r="D1592" t="s">
        <v>513</v>
      </c>
      <c r="E1592" t="s">
        <v>381</v>
      </c>
      <c r="F1592">
        <v>62</v>
      </c>
      <c r="G1592">
        <v>117</v>
      </c>
      <c r="H1592">
        <f>IF(report_B_CategorieBoekjaar[[#This Row],[BedrijfsCode]]="002",IF(report_B_CategorieBoekjaar[[#This Row],[Boekjaar]]=Projectbegroting!$K$1,report_B_CategorieBoekjaar[[#This Row],[CategorieCode]],0),0)</f>
        <v>0</v>
      </c>
      <c r="I1592">
        <f>IF(report_B_CategorieBoekjaar[[#This Row],[BedrijfsCode]]="001",IF(report_B_CategorieBoekjaar[[#This Row],[Boekjaar]]=Projectbegroting!$K$1,report_B_CategorieBoekjaar[[#This Row],[CategorieCode]],0),0)</f>
        <v>0</v>
      </c>
    </row>
    <row r="1593" spans="1:9" hidden="1" x14ac:dyDescent="0.3">
      <c r="A1593" t="s">
        <v>525</v>
      </c>
      <c r="B1593" s="20">
        <v>44197</v>
      </c>
      <c r="C1593" t="s">
        <v>514</v>
      </c>
      <c r="D1593" t="s">
        <v>515</v>
      </c>
      <c r="E1593" t="s">
        <v>384</v>
      </c>
      <c r="F1593">
        <v>0</v>
      </c>
      <c r="G1593">
        <v>0</v>
      </c>
      <c r="H1593">
        <f>IF(report_B_CategorieBoekjaar[[#This Row],[BedrijfsCode]]="002",IF(report_B_CategorieBoekjaar[[#This Row],[Boekjaar]]=Projectbegroting!$K$1,report_B_CategorieBoekjaar[[#This Row],[CategorieCode]],0),0)</f>
        <v>0</v>
      </c>
      <c r="I1593">
        <f>IF(report_B_CategorieBoekjaar[[#This Row],[BedrijfsCode]]="001",IF(report_B_CategorieBoekjaar[[#This Row],[Boekjaar]]=Projectbegroting!$K$1,report_B_CategorieBoekjaar[[#This Row],[CategorieCode]],0),0)</f>
        <v>0</v>
      </c>
    </row>
    <row r="1594" spans="1:9" hidden="1" x14ac:dyDescent="0.3">
      <c r="A1594" t="s">
        <v>525</v>
      </c>
      <c r="B1594" s="20">
        <v>44197</v>
      </c>
      <c r="C1594" t="s">
        <v>72</v>
      </c>
      <c r="D1594" t="s">
        <v>516</v>
      </c>
      <c r="E1594" t="s">
        <v>381</v>
      </c>
      <c r="F1594">
        <v>48</v>
      </c>
      <c r="G1594">
        <v>103</v>
      </c>
      <c r="H1594">
        <f>IF(report_B_CategorieBoekjaar[[#This Row],[BedrijfsCode]]="002",IF(report_B_CategorieBoekjaar[[#This Row],[Boekjaar]]=Projectbegroting!$K$1,report_B_CategorieBoekjaar[[#This Row],[CategorieCode]],0),0)</f>
        <v>0</v>
      </c>
      <c r="I1594">
        <f>IF(report_B_CategorieBoekjaar[[#This Row],[BedrijfsCode]]="001",IF(report_B_CategorieBoekjaar[[#This Row],[Boekjaar]]=Projectbegroting!$K$1,report_B_CategorieBoekjaar[[#This Row],[CategorieCode]],0),0)</f>
        <v>0</v>
      </c>
    </row>
    <row r="1595" spans="1:9" hidden="1" x14ac:dyDescent="0.3">
      <c r="A1595" t="s">
        <v>525</v>
      </c>
      <c r="B1595" s="20">
        <v>44197</v>
      </c>
      <c r="C1595" t="s">
        <v>517</v>
      </c>
      <c r="D1595" t="s">
        <v>518</v>
      </c>
      <c r="E1595" t="s">
        <v>384</v>
      </c>
      <c r="F1595">
        <v>0</v>
      </c>
      <c r="G1595">
        <v>0</v>
      </c>
      <c r="H1595">
        <f>IF(report_B_CategorieBoekjaar[[#This Row],[BedrijfsCode]]="002",IF(report_B_CategorieBoekjaar[[#This Row],[Boekjaar]]=Projectbegroting!$K$1,report_B_CategorieBoekjaar[[#This Row],[CategorieCode]],0),0)</f>
        <v>0</v>
      </c>
      <c r="I1595">
        <f>IF(report_B_CategorieBoekjaar[[#This Row],[BedrijfsCode]]="001",IF(report_B_CategorieBoekjaar[[#This Row],[Boekjaar]]=Projectbegroting!$K$1,report_B_CategorieBoekjaar[[#This Row],[CategorieCode]],0),0)</f>
        <v>0</v>
      </c>
    </row>
    <row r="1596" spans="1:9" hidden="1" x14ac:dyDescent="0.3">
      <c r="A1596" t="s">
        <v>525</v>
      </c>
      <c r="B1596" s="20">
        <v>44197</v>
      </c>
      <c r="C1596" t="s">
        <v>74</v>
      </c>
      <c r="D1596" t="s">
        <v>75</v>
      </c>
      <c r="E1596" t="s">
        <v>381</v>
      </c>
      <c r="F1596">
        <v>38</v>
      </c>
      <c r="G1596">
        <v>93</v>
      </c>
      <c r="H1596">
        <f>IF(report_B_CategorieBoekjaar[[#This Row],[BedrijfsCode]]="002",IF(report_B_CategorieBoekjaar[[#This Row],[Boekjaar]]=Projectbegroting!$K$1,report_B_CategorieBoekjaar[[#This Row],[CategorieCode]],0),0)</f>
        <v>0</v>
      </c>
      <c r="I1596">
        <f>IF(report_B_CategorieBoekjaar[[#This Row],[BedrijfsCode]]="001",IF(report_B_CategorieBoekjaar[[#This Row],[Boekjaar]]=Projectbegroting!$K$1,report_B_CategorieBoekjaar[[#This Row],[CategorieCode]],0),0)</f>
        <v>0</v>
      </c>
    </row>
    <row r="1597" spans="1:9" hidden="1" x14ac:dyDescent="0.3">
      <c r="A1597" t="s">
        <v>525</v>
      </c>
      <c r="B1597" s="20">
        <v>44197</v>
      </c>
      <c r="C1597" t="s">
        <v>178</v>
      </c>
      <c r="D1597" t="s">
        <v>519</v>
      </c>
      <c r="E1597" t="s">
        <v>384</v>
      </c>
      <c r="F1597">
        <v>0</v>
      </c>
      <c r="G1597">
        <v>0</v>
      </c>
      <c r="H1597">
        <f>IF(report_B_CategorieBoekjaar[[#This Row],[BedrijfsCode]]="002",IF(report_B_CategorieBoekjaar[[#This Row],[Boekjaar]]=Projectbegroting!$K$1,report_B_CategorieBoekjaar[[#This Row],[CategorieCode]],0),0)</f>
        <v>0</v>
      </c>
      <c r="I1597">
        <f>IF(report_B_CategorieBoekjaar[[#This Row],[BedrijfsCode]]="001",IF(report_B_CategorieBoekjaar[[#This Row],[Boekjaar]]=Projectbegroting!$K$1,report_B_CategorieBoekjaar[[#This Row],[CategorieCode]],0),0)</f>
        <v>0</v>
      </c>
    </row>
    <row r="1598" spans="1:9" hidden="1" x14ac:dyDescent="0.3">
      <c r="A1598" t="s">
        <v>525</v>
      </c>
      <c r="B1598" s="20">
        <v>44197</v>
      </c>
      <c r="C1598" t="s">
        <v>520</v>
      </c>
      <c r="D1598" t="s">
        <v>521</v>
      </c>
      <c r="E1598" t="s">
        <v>384</v>
      </c>
      <c r="F1598">
        <v>0</v>
      </c>
      <c r="G1598">
        <v>0</v>
      </c>
      <c r="H1598">
        <f>IF(report_B_CategorieBoekjaar[[#This Row],[BedrijfsCode]]="002",IF(report_B_CategorieBoekjaar[[#This Row],[Boekjaar]]=Projectbegroting!$K$1,report_B_CategorieBoekjaar[[#This Row],[CategorieCode]],0),0)</f>
        <v>0</v>
      </c>
      <c r="I1598">
        <f>IF(report_B_CategorieBoekjaar[[#This Row],[BedrijfsCode]]="001",IF(report_B_CategorieBoekjaar[[#This Row],[Boekjaar]]=Projectbegroting!$K$1,report_B_CategorieBoekjaar[[#This Row],[CategorieCode]],0),0)</f>
        <v>0</v>
      </c>
    </row>
    <row r="1599" spans="1:9" hidden="1" x14ac:dyDescent="0.3">
      <c r="A1599" t="s">
        <v>525</v>
      </c>
      <c r="B1599" s="20">
        <v>44197</v>
      </c>
      <c r="C1599" t="s">
        <v>522</v>
      </c>
      <c r="D1599" t="s">
        <v>523</v>
      </c>
      <c r="E1599" t="s">
        <v>381</v>
      </c>
      <c r="F1599">
        <v>75</v>
      </c>
      <c r="G1599">
        <v>0</v>
      </c>
      <c r="H1599">
        <f>IF(report_B_CategorieBoekjaar[[#This Row],[BedrijfsCode]]="002",IF(report_B_CategorieBoekjaar[[#This Row],[Boekjaar]]=Projectbegroting!$K$1,report_B_CategorieBoekjaar[[#This Row],[CategorieCode]],0),0)</f>
        <v>0</v>
      </c>
      <c r="I1599">
        <f>IF(report_B_CategorieBoekjaar[[#This Row],[BedrijfsCode]]="001",IF(report_B_CategorieBoekjaar[[#This Row],[Boekjaar]]=Projectbegroting!$K$1,report_B_CategorieBoekjaar[[#This Row],[CategorieCode]],0),0)</f>
        <v>0</v>
      </c>
    </row>
    <row r="1600" spans="1:9" hidden="1" x14ac:dyDescent="0.3">
      <c r="A1600" t="s">
        <v>525</v>
      </c>
      <c r="B1600" s="20">
        <v>44197</v>
      </c>
      <c r="C1600" t="s">
        <v>78</v>
      </c>
      <c r="D1600" t="s">
        <v>79</v>
      </c>
      <c r="E1600" t="s">
        <v>381</v>
      </c>
      <c r="F1600">
        <v>66</v>
      </c>
      <c r="G1600">
        <v>121</v>
      </c>
      <c r="H1600">
        <f>IF(report_B_CategorieBoekjaar[[#This Row],[BedrijfsCode]]="002",IF(report_B_CategorieBoekjaar[[#This Row],[Boekjaar]]=Projectbegroting!$K$1,report_B_CategorieBoekjaar[[#This Row],[CategorieCode]],0),0)</f>
        <v>0</v>
      </c>
      <c r="I1600">
        <f>IF(report_B_CategorieBoekjaar[[#This Row],[BedrijfsCode]]="001",IF(report_B_CategorieBoekjaar[[#This Row],[Boekjaar]]=Projectbegroting!$K$1,report_B_CategorieBoekjaar[[#This Row],[CategorieCode]],0),0)</f>
        <v>0</v>
      </c>
    </row>
    <row r="1601" spans="1:9" hidden="1" x14ac:dyDescent="0.3">
      <c r="A1601" t="s">
        <v>525</v>
      </c>
      <c r="B1601" s="20">
        <v>44197</v>
      </c>
      <c r="C1601" t="s">
        <v>176</v>
      </c>
      <c r="D1601" t="s">
        <v>524</v>
      </c>
      <c r="E1601" t="s">
        <v>384</v>
      </c>
      <c r="F1601">
        <v>0</v>
      </c>
      <c r="G1601">
        <v>0</v>
      </c>
      <c r="H1601">
        <f>IF(report_B_CategorieBoekjaar[[#This Row],[BedrijfsCode]]="002",IF(report_B_CategorieBoekjaar[[#This Row],[Boekjaar]]=Projectbegroting!$K$1,report_B_CategorieBoekjaar[[#This Row],[CategorieCode]],0),0)</f>
        <v>0</v>
      </c>
      <c r="I1601">
        <f>IF(report_B_CategorieBoekjaar[[#This Row],[BedrijfsCode]]="001",IF(report_B_CategorieBoekjaar[[#This Row],[Boekjaar]]=Projectbegroting!$K$1,report_B_CategorieBoekjaar[[#This Row],[CategorieCode]],0),0)</f>
        <v>0</v>
      </c>
    </row>
    <row r="1602" spans="1:9" x14ac:dyDescent="0.3">
      <c r="A1602" t="s">
        <v>330</v>
      </c>
      <c r="B1602" s="20">
        <v>43831</v>
      </c>
      <c r="C1602" t="s">
        <v>179</v>
      </c>
      <c r="D1602" t="s">
        <v>331</v>
      </c>
      <c r="E1602" t="s">
        <v>217</v>
      </c>
      <c r="F1602">
        <v>0</v>
      </c>
      <c r="G1602">
        <v>0</v>
      </c>
      <c r="H1602">
        <f>IF(report_B_CategorieBoekjaar[[#This Row],[BedrijfsCode]]="002",IF(report_B_CategorieBoekjaar[[#This Row],[Boekjaar]]=Projectbegroting!$K$1,report_B_CategorieBoekjaar[[#This Row],[CategorieCode]],0),0)</f>
        <v>0</v>
      </c>
      <c r="I1602">
        <f>IF(report_B_CategorieBoekjaar[[#This Row],[BedrijfsCode]]="001",IF(report_B_CategorieBoekjaar[[#This Row],[Boekjaar]]=Projectbegroting!$K$1,report_B_CategorieBoekjaar[[#This Row],[CategorieCode]],0),0)</f>
        <v>0</v>
      </c>
    </row>
    <row r="1603" spans="1:9" x14ac:dyDescent="0.3">
      <c r="A1603" t="s">
        <v>330</v>
      </c>
      <c r="B1603" s="20">
        <v>43831</v>
      </c>
      <c r="C1603" t="s">
        <v>180</v>
      </c>
      <c r="D1603" t="s">
        <v>332</v>
      </c>
      <c r="E1603" t="s">
        <v>217</v>
      </c>
      <c r="F1603">
        <v>0</v>
      </c>
      <c r="G1603">
        <v>0</v>
      </c>
      <c r="H1603">
        <f>IF(report_B_CategorieBoekjaar[[#This Row],[BedrijfsCode]]="002",IF(report_B_CategorieBoekjaar[[#This Row],[Boekjaar]]=Projectbegroting!$K$1,report_B_CategorieBoekjaar[[#This Row],[CategorieCode]],0),0)</f>
        <v>0</v>
      </c>
      <c r="I1603">
        <f>IF(report_B_CategorieBoekjaar[[#This Row],[BedrijfsCode]]="001",IF(report_B_CategorieBoekjaar[[#This Row],[Boekjaar]]=Projectbegroting!$K$1,report_B_CategorieBoekjaar[[#This Row],[CategorieCode]],0),0)</f>
        <v>0</v>
      </c>
    </row>
    <row r="1604" spans="1:9" x14ac:dyDescent="0.3">
      <c r="A1604" t="s">
        <v>330</v>
      </c>
      <c r="B1604" s="20">
        <v>43831</v>
      </c>
      <c r="C1604" t="s">
        <v>181</v>
      </c>
      <c r="D1604" t="s">
        <v>333</v>
      </c>
      <c r="E1604" t="s">
        <v>217</v>
      </c>
      <c r="F1604">
        <v>0</v>
      </c>
      <c r="G1604">
        <v>0</v>
      </c>
      <c r="H1604">
        <f>IF(report_B_CategorieBoekjaar[[#This Row],[BedrijfsCode]]="002",IF(report_B_CategorieBoekjaar[[#This Row],[Boekjaar]]=Projectbegroting!$K$1,report_B_CategorieBoekjaar[[#This Row],[CategorieCode]],0),0)</f>
        <v>0</v>
      </c>
      <c r="I1604">
        <f>IF(report_B_CategorieBoekjaar[[#This Row],[BedrijfsCode]]="001",IF(report_B_CategorieBoekjaar[[#This Row],[Boekjaar]]=Projectbegroting!$K$1,report_B_CategorieBoekjaar[[#This Row],[CategorieCode]],0),0)</f>
        <v>0</v>
      </c>
    </row>
    <row r="1605" spans="1:9" x14ac:dyDescent="0.3">
      <c r="A1605" t="s">
        <v>330</v>
      </c>
      <c r="B1605" s="20">
        <v>43831</v>
      </c>
      <c r="C1605" t="s">
        <v>182</v>
      </c>
      <c r="D1605" t="s">
        <v>334</v>
      </c>
      <c r="E1605" t="s">
        <v>217</v>
      </c>
      <c r="F1605">
        <v>0</v>
      </c>
      <c r="G1605">
        <v>0</v>
      </c>
      <c r="H1605">
        <f>IF(report_B_CategorieBoekjaar[[#This Row],[BedrijfsCode]]="002",IF(report_B_CategorieBoekjaar[[#This Row],[Boekjaar]]=Projectbegroting!$K$1,report_B_CategorieBoekjaar[[#This Row],[CategorieCode]],0),0)</f>
        <v>0</v>
      </c>
      <c r="I1605">
        <f>IF(report_B_CategorieBoekjaar[[#This Row],[BedrijfsCode]]="001",IF(report_B_CategorieBoekjaar[[#This Row],[Boekjaar]]=Projectbegroting!$K$1,report_B_CategorieBoekjaar[[#This Row],[CategorieCode]],0),0)</f>
        <v>0</v>
      </c>
    </row>
    <row r="1606" spans="1:9" x14ac:dyDescent="0.3">
      <c r="A1606" t="s">
        <v>330</v>
      </c>
      <c r="B1606" s="20">
        <v>43831</v>
      </c>
      <c r="C1606" t="s">
        <v>183</v>
      </c>
      <c r="D1606" t="s">
        <v>335</v>
      </c>
      <c r="E1606" t="s">
        <v>217</v>
      </c>
      <c r="F1606">
        <v>0</v>
      </c>
      <c r="G1606">
        <v>0</v>
      </c>
      <c r="H1606">
        <f>IF(report_B_CategorieBoekjaar[[#This Row],[BedrijfsCode]]="002",IF(report_B_CategorieBoekjaar[[#This Row],[Boekjaar]]=Projectbegroting!$K$1,report_B_CategorieBoekjaar[[#This Row],[CategorieCode]],0),0)</f>
        <v>0</v>
      </c>
      <c r="I1606">
        <f>IF(report_B_CategorieBoekjaar[[#This Row],[BedrijfsCode]]="001",IF(report_B_CategorieBoekjaar[[#This Row],[Boekjaar]]=Projectbegroting!$K$1,report_B_CategorieBoekjaar[[#This Row],[CategorieCode]],0),0)</f>
        <v>0</v>
      </c>
    </row>
    <row r="1607" spans="1:9" x14ac:dyDescent="0.3">
      <c r="A1607" t="s">
        <v>330</v>
      </c>
      <c r="B1607" s="20">
        <v>43831</v>
      </c>
      <c r="C1607" t="s">
        <v>184</v>
      </c>
      <c r="D1607" t="s">
        <v>336</v>
      </c>
      <c r="E1607" t="s">
        <v>217</v>
      </c>
      <c r="F1607">
        <v>0</v>
      </c>
      <c r="G1607">
        <v>0</v>
      </c>
      <c r="H1607">
        <f>IF(report_B_CategorieBoekjaar[[#This Row],[BedrijfsCode]]="002",IF(report_B_CategorieBoekjaar[[#This Row],[Boekjaar]]=Projectbegroting!$K$1,report_B_CategorieBoekjaar[[#This Row],[CategorieCode]],0),0)</f>
        <v>0</v>
      </c>
      <c r="I1607">
        <f>IF(report_B_CategorieBoekjaar[[#This Row],[BedrijfsCode]]="001",IF(report_B_CategorieBoekjaar[[#This Row],[Boekjaar]]=Projectbegroting!$K$1,report_B_CategorieBoekjaar[[#This Row],[CategorieCode]],0),0)</f>
        <v>0</v>
      </c>
    </row>
    <row r="1608" spans="1:9" x14ac:dyDescent="0.3">
      <c r="A1608" t="s">
        <v>330</v>
      </c>
      <c r="B1608" s="20">
        <v>43831</v>
      </c>
      <c r="C1608" t="s">
        <v>185</v>
      </c>
      <c r="D1608" t="s">
        <v>337</v>
      </c>
      <c r="E1608" t="s">
        <v>217</v>
      </c>
      <c r="F1608">
        <v>0</v>
      </c>
      <c r="G1608">
        <v>0</v>
      </c>
      <c r="H1608">
        <f>IF(report_B_CategorieBoekjaar[[#This Row],[BedrijfsCode]]="002",IF(report_B_CategorieBoekjaar[[#This Row],[Boekjaar]]=Projectbegroting!$K$1,report_B_CategorieBoekjaar[[#This Row],[CategorieCode]],0),0)</f>
        <v>0</v>
      </c>
      <c r="I1608">
        <f>IF(report_B_CategorieBoekjaar[[#This Row],[BedrijfsCode]]="001",IF(report_B_CategorieBoekjaar[[#This Row],[Boekjaar]]=Projectbegroting!$K$1,report_B_CategorieBoekjaar[[#This Row],[CategorieCode]],0),0)</f>
        <v>0</v>
      </c>
    </row>
    <row r="1609" spans="1:9" x14ac:dyDescent="0.3">
      <c r="A1609" t="s">
        <v>330</v>
      </c>
      <c r="B1609" s="20">
        <v>43831</v>
      </c>
      <c r="C1609" t="s">
        <v>186</v>
      </c>
      <c r="D1609" t="s">
        <v>338</v>
      </c>
      <c r="E1609" t="s">
        <v>217</v>
      </c>
      <c r="F1609">
        <v>0</v>
      </c>
      <c r="G1609">
        <v>0</v>
      </c>
      <c r="H1609">
        <f>IF(report_B_CategorieBoekjaar[[#This Row],[BedrijfsCode]]="002",IF(report_B_CategorieBoekjaar[[#This Row],[Boekjaar]]=Projectbegroting!$K$1,report_B_CategorieBoekjaar[[#This Row],[CategorieCode]],0),0)</f>
        <v>0</v>
      </c>
      <c r="I1609">
        <f>IF(report_B_CategorieBoekjaar[[#This Row],[BedrijfsCode]]="001",IF(report_B_CategorieBoekjaar[[#This Row],[Boekjaar]]=Projectbegroting!$K$1,report_B_CategorieBoekjaar[[#This Row],[CategorieCode]],0),0)</f>
        <v>0</v>
      </c>
    </row>
    <row r="1610" spans="1:9" x14ac:dyDescent="0.3">
      <c r="A1610" t="s">
        <v>330</v>
      </c>
      <c r="B1610" s="20">
        <v>43831</v>
      </c>
      <c r="C1610" t="s">
        <v>187</v>
      </c>
      <c r="D1610" t="s">
        <v>339</v>
      </c>
      <c r="E1610" t="s">
        <v>217</v>
      </c>
      <c r="F1610">
        <v>0</v>
      </c>
      <c r="G1610">
        <v>0</v>
      </c>
      <c r="H1610">
        <f>IF(report_B_CategorieBoekjaar[[#This Row],[BedrijfsCode]]="002",IF(report_B_CategorieBoekjaar[[#This Row],[Boekjaar]]=Projectbegroting!$K$1,report_B_CategorieBoekjaar[[#This Row],[CategorieCode]],0),0)</f>
        <v>0</v>
      </c>
      <c r="I1610">
        <f>IF(report_B_CategorieBoekjaar[[#This Row],[BedrijfsCode]]="001",IF(report_B_CategorieBoekjaar[[#This Row],[Boekjaar]]=Projectbegroting!$K$1,report_B_CategorieBoekjaar[[#This Row],[CategorieCode]],0),0)</f>
        <v>0</v>
      </c>
    </row>
    <row r="1611" spans="1:9" x14ac:dyDescent="0.3">
      <c r="A1611" t="s">
        <v>330</v>
      </c>
      <c r="B1611" s="20">
        <v>43831</v>
      </c>
      <c r="C1611" t="s">
        <v>188</v>
      </c>
      <c r="D1611" t="s">
        <v>340</v>
      </c>
      <c r="E1611" t="s">
        <v>217</v>
      </c>
      <c r="F1611">
        <v>0</v>
      </c>
      <c r="G1611">
        <v>0</v>
      </c>
      <c r="H1611">
        <f>IF(report_B_CategorieBoekjaar[[#This Row],[BedrijfsCode]]="002",IF(report_B_CategorieBoekjaar[[#This Row],[Boekjaar]]=Projectbegroting!$K$1,report_B_CategorieBoekjaar[[#This Row],[CategorieCode]],0),0)</f>
        <v>0</v>
      </c>
      <c r="I1611">
        <f>IF(report_B_CategorieBoekjaar[[#This Row],[BedrijfsCode]]="001",IF(report_B_CategorieBoekjaar[[#This Row],[Boekjaar]]=Projectbegroting!$K$1,report_B_CategorieBoekjaar[[#This Row],[CategorieCode]],0),0)</f>
        <v>0</v>
      </c>
    </row>
    <row r="1612" spans="1:9" x14ac:dyDescent="0.3">
      <c r="A1612" t="s">
        <v>330</v>
      </c>
      <c r="B1612" s="20">
        <v>43831</v>
      </c>
      <c r="C1612" t="s">
        <v>189</v>
      </c>
      <c r="D1612" t="s">
        <v>341</v>
      </c>
      <c r="E1612" t="s">
        <v>217</v>
      </c>
      <c r="F1612">
        <v>0</v>
      </c>
      <c r="G1612">
        <v>0</v>
      </c>
      <c r="H1612">
        <f>IF(report_B_CategorieBoekjaar[[#This Row],[BedrijfsCode]]="002",IF(report_B_CategorieBoekjaar[[#This Row],[Boekjaar]]=Projectbegroting!$K$1,report_B_CategorieBoekjaar[[#This Row],[CategorieCode]],0),0)</f>
        <v>0</v>
      </c>
      <c r="I1612">
        <f>IF(report_B_CategorieBoekjaar[[#This Row],[BedrijfsCode]]="001",IF(report_B_CategorieBoekjaar[[#This Row],[Boekjaar]]=Projectbegroting!$K$1,report_B_CategorieBoekjaar[[#This Row],[CategorieCode]],0),0)</f>
        <v>0</v>
      </c>
    </row>
    <row r="1613" spans="1:9" x14ac:dyDescent="0.3">
      <c r="A1613" t="s">
        <v>330</v>
      </c>
      <c r="B1613" s="20">
        <v>43831</v>
      </c>
      <c r="C1613" t="s">
        <v>190</v>
      </c>
      <c r="D1613" t="s">
        <v>342</v>
      </c>
      <c r="E1613" t="s">
        <v>217</v>
      </c>
      <c r="F1613">
        <v>0</v>
      </c>
      <c r="G1613">
        <v>0</v>
      </c>
      <c r="H1613">
        <f>IF(report_B_CategorieBoekjaar[[#This Row],[BedrijfsCode]]="002",IF(report_B_CategorieBoekjaar[[#This Row],[Boekjaar]]=Projectbegroting!$K$1,report_B_CategorieBoekjaar[[#This Row],[CategorieCode]],0),0)</f>
        <v>0</v>
      </c>
      <c r="I1613">
        <f>IF(report_B_CategorieBoekjaar[[#This Row],[BedrijfsCode]]="001",IF(report_B_CategorieBoekjaar[[#This Row],[Boekjaar]]=Projectbegroting!$K$1,report_B_CategorieBoekjaar[[#This Row],[CategorieCode]],0),0)</f>
        <v>0</v>
      </c>
    </row>
    <row r="1614" spans="1:9" x14ac:dyDescent="0.3">
      <c r="A1614" t="s">
        <v>330</v>
      </c>
      <c r="B1614" s="20">
        <v>43831</v>
      </c>
      <c r="C1614" t="s">
        <v>191</v>
      </c>
      <c r="D1614" t="s">
        <v>343</v>
      </c>
      <c r="E1614" t="s">
        <v>217</v>
      </c>
      <c r="F1614">
        <v>0</v>
      </c>
      <c r="G1614">
        <v>0</v>
      </c>
      <c r="H1614">
        <f>IF(report_B_CategorieBoekjaar[[#This Row],[BedrijfsCode]]="002",IF(report_B_CategorieBoekjaar[[#This Row],[Boekjaar]]=Projectbegroting!$K$1,report_B_CategorieBoekjaar[[#This Row],[CategorieCode]],0),0)</f>
        <v>0</v>
      </c>
      <c r="I1614">
        <f>IF(report_B_CategorieBoekjaar[[#This Row],[BedrijfsCode]]="001",IF(report_B_CategorieBoekjaar[[#This Row],[Boekjaar]]=Projectbegroting!$K$1,report_B_CategorieBoekjaar[[#This Row],[CategorieCode]],0),0)</f>
        <v>0</v>
      </c>
    </row>
    <row r="1615" spans="1:9" x14ac:dyDescent="0.3">
      <c r="A1615" t="s">
        <v>330</v>
      </c>
      <c r="B1615" s="20">
        <v>43831</v>
      </c>
      <c r="C1615" t="s">
        <v>192</v>
      </c>
      <c r="D1615" t="s">
        <v>344</v>
      </c>
      <c r="E1615" t="s">
        <v>217</v>
      </c>
      <c r="F1615">
        <v>0</v>
      </c>
      <c r="G1615">
        <v>0</v>
      </c>
      <c r="H1615">
        <f>IF(report_B_CategorieBoekjaar[[#This Row],[BedrijfsCode]]="002",IF(report_B_CategorieBoekjaar[[#This Row],[Boekjaar]]=Projectbegroting!$K$1,report_B_CategorieBoekjaar[[#This Row],[CategorieCode]],0),0)</f>
        <v>0</v>
      </c>
      <c r="I1615">
        <f>IF(report_B_CategorieBoekjaar[[#This Row],[BedrijfsCode]]="001",IF(report_B_CategorieBoekjaar[[#This Row],[Boekjaar]]=Projectbegroting!$K$1,report_B_CategorieBoekjaar[[#This Row],[CategorieCode]],0),0)</f>
        <v>0</v>
      </c>
    </row>
    <row r="1616" spans="1:9" x14ac:dyDescent="0.3">
      <c r="A1616" t="s">
        <v>330</v>
      </c>
      <c r="B1616" s="20">
        <v>43831</v>
      </c>
      <c r="C1616" t="s">
        <v>193</v>
      </c>
      <c r="D1616" t="s">
        <v>345</v>
      </c>
      <c r="E1616" t="s">
        <v>217</v>
      </c>
      <c r="F1616">
        <v>0</v>
      </c>
      <c r="G1616">
        <v>0</v>
      </c>
      <c r="H1616">
        <f>IF(report_B_CategorieBoekjaar[[#This Row],[BedrijfsCode]]="002",IF(report_B_CategorieBoekjaar[[#This Row],[Boekjaar]]=Projectbegroting!$K$1,report_B_CategorieBoekjaar[[#This Row],[CategorieCode]],0),0)</f>
        <v>0</v>
      </c>
      <c r="I1616">
        <f>IF(report_B_CategorieBoekjaar[[#This Row],[BedrijfsCode]]="001",IF(report_B_CategorieBoekjaar[[#This Row],[Boekjaar]]=Projectbegroting!$K$1,report_B_CategorieBoekjaar[[#This Row],[CategorieCode]],0),0)</f>
        <v>0</v>
      </c>
    </row>
    <row r="1617" spans="1:9" x14ac:dyDescent="0.3">
      <c r="A1617" t="s">
        <v>330</v>
      </c>
      <c r="B1617" s="20">
        <v>43831</v>
      </c>
      <c r="C1617" t="s">
        <v>194</v>
      </c>
      <c r="D1617" t="s">
        <v>346</v>
      </c>
      <c r="E1617" t="s">
        <v>217</v>
      </c>
      <c r="F1617">
        <v>0</v>
      </c>
      <c r="G1617">
        <v>0</v>
      </c>
      <c r="H1617">
        <f>IF(report_B_CategorieBoekjaar[[#This Row],[BedrijfsCode]]="002",IF(report_B_CategorieBoekjaar[[#This Row],[Boekjaar]]=Projectbegroting!$K$1,report_B_CategorieBoekjaar[[#This Row],[CategorieCode]],0),0)</f>
        <v>0</v>
      </c>
      <c r="I1617">
        <f>IF(report_B_CategorieBoekjaar[[#This Row],[BedrijfsCode]]="001",IF(report_B_CategorieBoekjaar[[#This Row],[Boekjaar]]=Projectbegroting!$K$1,report_B_CategorieBoekjaar[[#This Row],[CategorieCode]],0),0)</f>
        <v>0</v>
      </c>
    </row>
    <row r="1618" spans="1:9" x14ac:dyDescent="0.3">
      <c r="A1618" t="s">
        <v>330</v>
      </c>
      <c r="B1618" s="20">
        <v>43831</v>
      </c>
      <c r="C1618" t="s">
        <v>195</v>
      </c>
      <c r="D1618" t="s">
        <v>347</v>
      </c>
      <c r="E1618" t="s">
        <v>217</v>
      </c>
      <c r="F1618">
        <v>0</v>
      </c>
      <c r="G1618">
        <v>0</v>
      </c>
      <c r="H1618">
        <f>IF(report_B_CategorieBoekjaar[[#This Row],[BedrijfsCode]]="002",IF(report_B_CategorieBoekjaar[[#This Row],[Boekjaar]]=Projectbegroting!$K$1,report_B_CategorieBoekjaar[[#This Row],[CategorieCode]],0),0)</f>
        <v>0</v>
      </c>
      <c r="I1618">
        <f>IF(report_B_CategorieBoekjaar[[#This Row],[BedrijfsCode]]="001",IF(report_B_CategorieBoekjaar[[#This Row],[Boekjaar]]=Projectbegroting!$K$1,report_B_CategorieBoekjaar[[#This Row],[CategorieCode]],0),0)</f>
        <v>0</v>
      </c>
    </row>
    <row r="1619" spans="1:9" x14ac:dyDescent="0.3">
      <c r="A1619" t="s">
        <v>330</v>
      </c>
      <c r="B1619" s="20">
        <v>43831</v>
      </c>
      <c r="C1619" t="s">
        <v>196</v>
      </c>
      <c r="D1619" t="s">
        <v>348</v>
      </c>
      <c r="E1619" t="s">
        <v>217</v>
      </c>
      <c r="F1619">
        <v>0</v>
      </c>
      <c r="G1619">
        <v>0</v>
      </c>
      <c r="H1619">
        <f>IF(report_B_CategorieBoekjaar[[#This Row],[BedrijfsCode]]="002",IF(report_B_CategorieBoekjaar[[#This Row],[Boekjaar]]=Projectbegroting!$K$1,report_B_CategorieBoekjaar[[#This Row],[CategorieCode]],0),0)</f>
        <v>0</v>
      </c>
      <c r="I1619">
        <f>IF(report_B_CategorieBoekjaar[[#This Row],[BedrijfsCode]]="001",IF(report_B_CategorieBoekjaar[[#This Row],[Boekjaar]]=Projectbegroting!$K$1,report_B_CategorieBoekjaar[[#This Row],[CategorieCode]],0),0)</f>
        <v>0</v>
      </c>
    </row>
    <row r="1620" spans="1:9" x14ac:dyDescent="0.3">
      <c r="A1620" t="s">
        <v>330</v>
      </c>
      <c r="B1620" s="20">
        <v>43831</v>
      </c>
      <c r="C1620" t="s">
        <v>349</v>
      </c>
      <c r="D1620" t="s">
        <v>350</v>
      </c>
      <c r="E1620" t="s">
        <v>217</v>
      </c>
      <c r="F1620">
        <v>0</v>
      </c>
      <c r="G1620">
        <v>0</v>
      </c>
      <c r="H1620">
        <f>IF(report_B_CategorieBoekjaar[[#This Row],[BedrijfsCode]]="002",IF(report_B_CategorieBoekjaar[[#This Row],[Boekjaar]]=Projectbegroting!$K$1,report_B_CategorieBoekjaar[[#This Row],[CategorieCode]],0),0)</f>
        <v>0</v>
      </c>
      <c r="I1620">
        <f>IF(report_B_CategorieBoekjaar[[#This Row],[BedrijfsCode]]="001",IF(report_B_CategorieBoekjaar[[#This Row],[Boekjaar]]=Projectbegroting!$K$1,report_B_CategorieBoekjaar[[#This Row],[CategorieCode]],0),0)</f>
        <v>0</v>
      </c>
    </row>
    <row r="1621" spans="1:9" x14ac:dyDescent="0.3">
      <c r="A1621" t="s">
        <v>330</v>
      </c>
      <c r="B1621" s="20">
        <v>43831</v>
      </c>
      <c r="C1621" t="s">
        <v>197</v>
      </c>
      <c r="D1621" t="s">
        <v>351</v>
      </c>
      <c r="E1621" t="s">
        <v>217</v>
      </c>
      <c r="F1621">
        <v>0</v>
      </c>
      <c r="G1621">
        <v>0</v>
      </c>
      <c r="H1621">
        <f>IF(report_B_CategorieBoekjaar[[#This Row],[BedrijfsCode]]="002",IF(report_B_CategorieBoekjaar[[#This Row],[Boekjaar]]=Projectbegroting!$K$1,report_B_CategorieBoekjaar[[#This Row],[CategorieCode]],0),0)</f>
        <v>0</v>
      </c>
      <c r="I1621">
        <f>IF(report_B_CategorieBoekjaar[[#This Row],[BedrijfsCode]]="001",IF(report_B_CategorieBoekjaar[[#This Row],[Boekjaar]]=Projectbegroting!$K$1,report_B_CategorieBoekjaar[[#This Row],[CategorieCode]],0),0)</f>
        <v>0</v>
      </c>
    </row>
    <row r="1622" spans="1:9" x14ac:dyDescent="0.3">
      <c r="A1622" t="s">
        <v>330</v>
      </c>
      <c r="B1622" s="20">
        <v>43831</v>
      </c>
      <c r="C1622" t="s">
        <v>198</v>
      </c>
      <c r="D1622" t="s">
        <v>352</v>
      </c>
      <c r="E1622" t="s">
        <v>217</v>
      </c>
      <c r="F1622">
        <v>0</v>
      </c>
      <c r="G1622">
        <v>0</v>
      </c>
      <c r="H1622">
        <f>IF(report_B_CategorieBoekjaar[[#This Row],[BedrijfsCode]]="002",IF(report_B_CategorieBoekjaar[[#This Row],[Boekjaar]]=Projectbegroting!$K$1,report_B_CategorieBoekjaar[[#This Row],[CategorieCode]],0),0)</f>
        <v>0</v>
      </c>
      <c r="I1622">
        <f>IF(report_B_CategorieBoekjaar[[#This Row],[BedrijfsCode]]="001",IF(report_B_CategorieBoekjaar[[#This Row],[Boekjaar]]=Projectbegroting!$K$1,report_B_CategorieBoekjaar[[#This Row],[CategorieCode]],0),0)</f>
        <v>0</v>
      </c>
    </row>
    <row r="1623" spans="1:9" x14ac:dyDescent="0.3">
      <c r="A1623" t="s">
        <v>330</v>
      </c>
      <c r="B1623" s="20">
        <v>43831</v>
      </c>
      <c r="C1623" t="s">
        <v>353</v>
      </c>
      <c r="D1623" t="s">
        <v>354</v>
      </c>
      <c r="E1623" t="s">
        <v>217</v>
      </c>
      <c r="F1623">
        <v>0</v>
      </c>
      <c r="G1623">
        <v>0</v>
      </c>
      <c r="H1623">
        <f>IF(report_B_CategorieBoekjaar[[#This Row],[BedrijfsCode]]="002",IF(report_B_CategorieBoekjaar[[#This Row],[Boekjaar]]=Projectbegroting!$K$1,report_B_CategorieBoekjaar[[#This Row],[CategorieCode]],0),0)</f>
        <v>0</v>
      </c>
      <c r="I1623">
        <f>IF(report_B_CategorieBoekjaar[[#This Row],[BedrijfsCode]]="001",IF(report_B_CategorieBoekjaar[[#This Row],[Boekjaar]]=Projectbegroting!$K$1,report_B_CategorieBoekjaar[[#This Row],[CategorieCode]],0),0)</f>
        <v>0</v>
      </c>
    </row>
    <row r="1624" spans="1:9" x14ac:dyDescent="0.3">
      <c r="A1624" t="s">
        <v>330</v>
      </c>
      <c r="B1624" s="20">
        <v>43831</v>
      </c>
      <c r="C1624" t="s">
        <v>199</v>
      </c>
      <c r="D1624" t="s">
        <v>355</v>
      </c>
      <c r="E1624" t="s">
        <v>217</v>
      </c>
      <c r="F1624">
        <v>0</v>
      </c>
      <c r="G1624">
        <v>0</v>
      </c>
      <c r="H1624">
        <f>IF(report_B_CategorieBoekjaar[[#This Row],[BedrijfsCode]]="002",IF(report_B_CategorieBoekjaar[[#This Row],[Boekjaar]]=Projectbegroting!$K$1,report_B_CategorieBoekjaar[[#This Row],[CategorieCode]],0),0)</f>
        <v>0</v>
      </c>
      <c r="I1624">
        <f>IF(report_B_CategorieBoekjaar[[#This Row],[BedrijfsCode]]="001",IF(report_B_CategorieBoekjaar[[#This Row],[Boekjaar]]=Projectbegroting!$K$1,report_B_CategorieBoekjaar[[#This Row],[CategorieCode]],0),0)</f>
        <v>0</v>
      </c>
    </row>
    <row r="1625" spans="1:9" x14ac:dyDescent="0.3">
      <c r="A1625" t="s">
        <v>330</v>
      </c>
      <c r="B1625" s="20">
        <v>43831</v>
      </c>
      <c r="C1625" t="s">
        <v>200</v>
      </c>
      <c r="D1625" t="s">
        <v>356</v>
      </c>
      <c r="E1625" t="s">
        <v>217</v>
      </c>
      <c r="F1625">
        <v>0</v>
      </c>
      <c r="G1625">
        <v>0</v>
      </c>
      <c r="H1625">
        <f>IF(report_B_CategorieBoekjaar[[#This Row],[BedrijfsCode]]="002",IF(report_B_CategorieBoekjaar[[#This Row],[Boekjaar]]=Projectbegroting!$K$1,report_B_CategorieBoekjaar[[#This Row],[CategorieCode]],0),0)</f>
        <v>0</v>
      </c>
      <c r="I1625">
        <f>IF(report_B_CategorieBoekjaar[[#This Row],[BedrijfsCode]]="001",IF(report_B_CategorieBoekjaar[[#This Row],[Boekjaar]]=Projectbegroting!$K$1,report_B_CategorieBoekjaar[[#This Row],[CategorieCode]],0),0)</f>
        <v>0</v>
      </c>
    </row>
    <row r="1626" spans="1:9" x14ac:dyDescent="0.3">
      <c r="A1626" t="s">
        <v>330</v>
      </c>
      <c r="B1626" s="20">
        <v>43831</v>
      </c>
      <c r="C1626" t="s">
        <v>201</v>
      </c>
      <c r="D1626" t="s">
        <v>357</v>
      </c>
      <c r="E1626" t="s">
        <v>217</v>
      </c>
      <c r="F1626">
        <v>0</v>
      </c>
      <c r="G1626">
        <v>0</v>
      </c>
      <c r="H1626">
        <f>IF(report_B_CategorieBoekjaar[[#This Row],[BedrijfsCode]]="002",IF(report_B_CategorieBoekjaar[[#This Row],[Boekjaar]]=Projectbegroting!$K$1,report_B_CategorieBoekjaar[[#This Row],[CategorieCode]],0),0)</f>
        <v>0</v>
      </c>
      <c r="I1626">
        <f>IF(report_B_CategorieBoekjaar[[#This Row],[BedrijfsCode]]="001",IF(report_B_CategorieBoekjaar[[#This Row],[Boekjaar]]=Projectbegroting!$K$1,report_B_CategorieBoekjaar[[#This Row],[CategorieCode]],0),0)</f>
        <v>0</v>
      </c>
    </row>
    <row r="1627" spans="1:9" x14ac:dyDescent="0.3">
      <c r="A1627" t="s">
        <v>330</v>
      </c>
      <c r="B1627" s="20">
        <v>43831</v>
      </c>
      <c r="C1627" t="s">
        <v>202</v>
      </c>
      <c r="D1627" t="s">
        <v>358</v>
      </c>
      <c r="E1627" t="s">
        <v>217</v>
      </c>
      <c r="F1627">
        <v>0</v>
      </c>
      <c r="G1627">
        <v>0</v>
      </c>
      <c r="H1627">
        <f>IF(report_B_CategorieBoekjaar[[#This Row],[BedrijfsCode]]="002",IF(report_B_CategorieBoekjaar[[#This Row],[Boekjaar]]=Projectbegroting!$K$1,report_B_CategorieBoekjaar[[#This Row],[CategorieCode]],0),0)</f>
        <v>0</v>
      </c>
      <c r="I1627">
        <f>IF(report_B_CategorieBoekjaar[[#This Row],[BedrijfsCode]]="001",IF(report_B_CategorieBoekjaar[[#This Row],[Boekjaar]]=Projectbegroting!$K$1,report_B_CategorieBoekjaar[[#This Row],[CategorieCode]],0),0)</f>
        <v>0</v>
      </c>
    </row>
    <row r="1628" spans="1:9" x14ac:dyDescent="0.3">
      <c r="A1628" t="s">
        <v>330</v>
      </c>
      <c r="B1628" s="20">
        <v>43831</v>
      </c>
      <c r="C1628" t="s">
        <v>203</v>
      </c>
      <c r="D1628" t="s">
        <v>359</v>
      </c>
      <c r="E1628" t="s">
        <v>217</v>
      </c>
      <c r="F1628">
        <v>0</v>
      </c>
      <c r="G1628">
        <v>0</v>
      </c>
      <c r="H1628">
        <f>IF(report_B_CategorieBoekjaar[[#This Row],[BedrijfsCode]]="002",IF(report_B_CategorieBoekjaar[[#This Row],[Boekjaar]]=Projectbegroting!$K$1,report_B_CategorieBoekjaar[[#This Row],[CategorieCode]],0),0)</f>
        <v>0</v>
      </c>
      <c r="I1628">
        <f>IF(report_B_CategorieBoekjaar[[#This Row],[BedrijfsCode]]="001",IF(report_B_CategorieBoekjaar[[#This Row],[Boekjaar]]=Projectbegroting!$K$1,report_B_CategorieBoekjaar[[#This Row],[CategorieCode]],0),0)</f>
        <v>0</v>
      </c>
    </row>
    <row r="1629" spans="1:9" x14ac:dyDescent="0.3">
      <c r="A1629" t="s">
        <v>330</v>
      </c>
      <c r="B1629" s="20">
        <v>43831</v>
      </c>
      <c r="C1629" t="s">
        <v>204</v>
      </c>
      <c r="D1629" t="s">
        <v>360</v>
      </c>
      <c r="E1629" t="s">
        <v>217</v>
      </c>
      <c r="F1629">
        <v>0</v>
      </c>
      <c r="G1629">
        <v>0</v>
      </c>
      <c r="H1629">
        <f>IF(report_B_CategorieBoekjaar[[#This Row],[BedrijfsCode]]="002",IF(report_B_CategorieBoekjaar[[#This Row],[Boekjaar]]=Projectbegroting!$K$1,report_B_CategorieBoekjaar[[#This Row],[CategorieCode]],0),0)</f>
        <v>0</v>
      </c>
      <c r="I1629">
        <f>IF(report_B_CategorieBoekjaar[[#This Row],[BedrijfsCode]]="001",IF(report_B_CategorieBoekjaar[[#This Row],[Boekjaar]]=Projectbegroting!$K$1,report_B_CategorieBoekjaar[[#This Row],[CategorieCode]],0),0)</f>
        <v>0</v>
      </c>
    </row>
    <row r="1630" spans="1:9" x14ac:dyDescent="0.3">
      <c r="A1630" t="s">
        <v>330</v>
      </c>
      <c r="B1630" s="20">
        <v>43831</v>
      </c>
      <c r="C1630" t="s">
        <v>205</v>
      </c>
      <c r="D1630" t="s">
        <v>361</v>
      </c>
      <c r="E1630" t="s">
        <v>217</v>
      </c>
      <c r="F1630">
        <v>0</v>
      </c>
      <c r="G1630">
        <v>0</v>
      </c>
      <c r="H1630">
        <f>IF(report_B_CategorieBoekjaar[[#This Row],[BedrijfsCode]]="002",IF(report_B_CategorieBoekjaar[[#This Row],[Boekjaar]]=Projectbegroting!$K$1,report_B_CategorieBoekjaar[[#This Row],[CategorieCode]],0),0)</f>
        <v>0</v>
      </c>
      <c r="I1630">
        <f>IF(report_B_CategorieBoekjaar[[#This Row],[BedrijfsCode]]="001",IF(report_B_CategorieBoekjaar[[#This Row],[Boekjaar]]=Projectbegroting!$K$1,report_B_CategorieBoekjaar[[#This Row],[CategorieCode]],0),0)</f>
        <v>0</v>
      </c>
    </row>
    <row r="1631" spans="1:9" x14ac:dyDescent="0.3">
      <c r="A1631" t="s">
        <v>330</v>
      </c>
      <c r="B1631" s="20">
        <v>43831</v>
      </c>
      <c r="C1631" t="s">
        <v>206</v>
      </c>
      <c r="D1631" t="s">
        <v>362</v>
      </c>
      <c r="E1631" t="s">
        <v>217</v>
      </c>
      <c r="F1631">
        <v>0</v>
      </c>
      <c r="G1631">
        <v>0</v>
      </c>
      <c r="H1631">
        <f>IF(report_B_CategorieBoekjaar[[#This Row],[BedrijfsCode]]="002",IF(report_B_CategorieBoekjaar[[#This Row],[Boekjaar]]=Projectbegroting!$K$1,report_B_CategorieBoekjaar[[#This Row],[CategorieCode]],0),0)</f>
        <v>0</v>
      </c>
      <c r="I1631">
        <f>IF(report_B_CategorieBoekjaar[[#This Row],[BedrijfsCode]]="001",IF(report_B_CategorieBoekjaar[[#This Row],[Boekjaar]]=Projectbegroting!$K$1,report_B_CategorieBoekjaar[[#This Row],[CategorieCode]],0),0)</f>
        <v>0</v>
      </c>
    </row>
    <row r="1632" spans="1:9" x14ac:dyDescent="0.3">
      <c r="A1632" t="s">
        <v>330</v>
      </c>
      <c r="B1632" s="20">
        <v>43831</v>
      </c>
      <c r="C1632" t="s">
        <v>363</v>
      </c>
      <c r="D1632" t="s">
        <v>364</v>
      </c>
      <c r="E1632" t="s">
        <v>217</v>
      </c>
      <c r="F1632">
        <v>0</v>
      </c>
      <c r="G1632">
        <v>0</v>
      </c>
      <c r="H1632">
        <f>IF(report_B_CategorieBoekjaar[[#This Row],[BedrijfsCode]]="002",IF(report_B_CategorieBoekjaar[[#This Row],[Boekjaar]]=Projectbegroting!$K$1,report_B_CategorieBoekjaar[[#This Row],[CategorieCode]],0),0)</f>
        <v>0</v>
      </c>
      <c r="I1632">
        <f>IF(report_B_CategorieBoekjaar[[#This Row],[BedrijfsCode]]="001",IF(report_B_CategorieBoekjaar[[#This Row],[Boekjaar]]=Projectbegroting!$K$1,report_B_CategorieBoekjaar[[#This Row],[CategorieCode]],0),0)</f>
        <v>0</v>
      </c>
    </row>
    <row r="1633" spans="1:9" x14ac:dyDescent="0.3">
      <c r="A1633" t="s">
        <v>330</v>
      </c>
      <c r="B1633" s="20">
        <v>43831</v>
      </c>
      <c r="C1633" t="s">
        <v>207</v>
      </c>
      <c r="D1633" t="s">
        <v>365</v>
      </c>
      <c r="E1633" t="s">
        <v>217</v>
      </c>
      <c r="F1633">
        <v>0</v>
      </c>
      <c r="G1633">
        <v>0</v>
      </c>
      <c r="H1633">
        <f>IF(report_B_CategorieBoekjaar[[#This Row],[BedrijfsCode]]="002",IF(report_B_CategorieBoekjaar[[#This Row],[Boekjaar]]=Projectbegroting!$K$1,report_B_CategorieBoekjaar[[#This Row],[CategorieCode]],0),0)</f>
        <v>0</v>
      </c>
      <c r="I1633">
        <f>IF(report_B_CategorieBoekjaar[[#This Row],[BedrijfsCode]]="001",IF(report_B_CategorieBoekjaar[[#This Row],[Boekjaar]]=Projectbegroting!$K$1,report_B_CategorieBoekjaar[[#This Row],[CategorieCode]],0),0)</f>
        <v>0</v>
      </c>
    </row>
    <row r="1634" spans="1:9" x14ac:dyDescent="0.3">
      <c r="A1634" t="s">
        <v>330</v>
      </c>
      <c r="B1634" s="20">
        <v>43831</v>
      </c>
      <c r="C1634" t="s">
        <v>208</v>
      </c>
      <c r="D1634" t="s">
        <v>366</v>
      </c>
      <c r="E1634" t="s">
        <v>217</v>
      </c>
      <c r="F1634">
        <v>0</v>
      </c>
      <c r="G1634">
        <v>0</v>
      </c>
      <c r="H1634">
        <f>IF(report_B_CategorieBoekjaar[[#This Row],[BedrijfsCode]]="002",IF(report_B_CategorieBoekjaar[[#This Row],[Boekjaar]]=Projectbegroting!$K$1,report_B_CategorieBoekjaar[[#This Row],[CategorieCode]],0),0)</f>
        <v>0</v>
      </c>
      <c r="I1634">
        <f>IF(report_B_CategorieBoekjaar[[#This Row],[BedrijfsCode]]="001",IF(report_B_CategorieBoekjaar[[#This Row],[Boekjaar]]=Projectbegroting!$K$1,report_B_CategorieBoekjaar[[#This Row],[CategorieCode]],0),0)</f>
        <v>0</v>
      </c>
    </row>
    <row r="1635" spans="1:9" x14ac:dyDescent="0.3">
      <c r="A1635" t="s">
        <v>330</v>
      </c>
      <c r="B1635" s="20">
        <v>43831</v>
      </c>
      <c r="C1635" t="s">
        <v>209</v>
      </c>
      <c r="D1635" t="s">
        <v>367</v>
      </c>
      <c r="E1635" t="s">
        <v>217</v>
      </c>
      <c r="F1635">
        <v>0</v>
      </c>
      <c r="G1635">
        <v>0</v>
      </c>
      <c r="H1635">
        <f>IF(report_B_CategorieBoekjaar[[#This Row],[BedrijfsCode]]="002",IF(report_B_CategorieBoekjaar[[#This Row],[Boekjaar]]=Projectbegroting!$K$1,report_B_CategorieBoekjaar[[#This Row],[CategorieCode]],0),0)</f>
        <v>0</v>
      </c>
      <c r="I1635">
        <f>IF(report_B_CategorieBoekjaar[[#This Row],[BedrijfsCode]]="001",IF(report_B_CategorieBoekjaar[[#This Row],[Boekjaar]]=Projectbegroting!$K$1,report_B_CategorieBoekjaar[[#This Row],[CategorieCode]],0),0)</f>
        <v>0</v>
      </c>
    </row>
    <row r="1636" spans="1:9" x14ac:dyDescent="0.3">
      <c r="A1636" t="s">
        <v>330</v>
      </c>
      <c r="B1636" s="20">
        <v>43831</v>
      </c>
      <c r="C1636" t="s">
        <v>210</v>
      </c>
      <c r="D1636" t="s">
        <v>368</v>
      </c>
      <c r="E1636" t="s">
        <v>217</v>
      </c>
      <c r="F1636">
        <v>0</v>
      </c>
      <c r="G1636">
        <v>0</v>
      </c>
      <c r="H1636">
        <f>IF(report_B_CategorieBoekjaar[[#This Row],[BedrijfsCode]]="002",IF(report_B_CategorieBoekjaar[[#This Row],[Boekjaar]]=Projectbegroting!$K$1,report_B_CategorieBoekjaar[[#This Row],[CategorieCode]],0),0)</f>
        <v>0</v>
      </c>
      <c r="I1636">
        <f>IF(report_B_CategorieBoekjaar[[#This Row],[BedrijfsCode]]="001",IF(report_B_CategorieBoekjaar[[#This Row],[Boekjaar]]=Projectbegroting!$K$1,report_B_CategorieBoekjaar[[#This Row],[CategorieCode]],0),0)</f>
        <v>0</v>
      </c>
    </row>
    <row r="1637" spans="1:9" x14ac:dyDescent="0.3">
      <c r="A1637" t="s">
        <v>330</v>
      </c>
      <c r="B1637" s="20">
        <v>43831</v>
      </c>
      <c r="C1637" t="s">
        <v>369</v>
      </c>
      <c r="D1637" t="s">
        <v>370</v>
      </c>
      <c r="E1637" t="s">
        <v>217</v>
      </c>
      <c r="F1637">
        <v>0</v>
      </c>
      <c r="G1637">
        <v>0</v>
      </c>
      <c r="H1637">
        <f>IF(report_B_CategorieBoekjaar[[#This Row],[BedrijfsCode]]="002",IF(report_B_CategorieBoekjaar[[#This Row],[Boekjaar]]=Projectbegroting!$K$1,report_B_CategorieBoekjaar[[#This Row],[CategorieCode]],0),0)</f>
        <v>0</v>
      </c>
      <c r="I1637">
        <f>IF(report_B_CategorieBoekjaar[[#This Row],[BedrijfsCode]]="001",IF(report_B_CategorieBoekjaar[[#This Row],[Boekjaar]]=Projectbegroting!$K$1,report_B_CategorieBoekjaar[[#This Row],[CategorieCode]],0),0)</f>
        <v>0</v>
      </c>
    </row>
    <row r="1638" spans="1:9" x14ac:dyDescent="0.3">
      <c r="A1638" t="s">
        <v>330</v>
      </c>
      <c r="B1638" s="20">
        <v>43831</v>
      </c>
      <c r="C1638" t="s">
        <v>371</v>
      </c>
      <c r="D1638" t="s">
        <v>372</v>
      </c>
      <c r="E1638" t="s">
        <v>217</v>
      </c>
      <c r="F1638">
        <v>0</v>
      </c>
      <c r="G1638">
        <v>0</v>
      </c>
      <c r="H1638">
        <f>IF(report_B_CategorieBoekjaar[[#This Row],[BedrijfsCode]]="002",IF(report_B_CategorieBoekjaar[[#This Row],[Boekjaar]]=Projectbegroting!$K$1,report_B_CategorieBoekjaar[[#This Row],[CategorieCode]],0),0)</f>
        <v>0</v>
      </c>
      <c r="I1638">
        <f>IF(report_B_CategorieBoekjaar[[#This Row],[BedrijfsCode]]="001",IF(report_B_CategorieBoekjaar[[#This Row],[Boekjaar]]=Projectbegroting!$K$1,report_B_CategorieBoekjaar[[#This Row],[CategorieCode]],0),0)</f>
        <v>0</v>
      </c>
    </row>
    <row r="1639" spans="1:9" x14ac:dyDescent="0.3">
      <c r="A1639" t="s">
        <v>330</v>
      </c>
      <c r="B1639" s="20">
        <v>43831</v>
      </c>
      <c r="C1639" t="s">
        <v>373</v>
      </c>
      <c r="D1639" t="s">
        <v>374</v>
      </c>
      <c r="E1639" t="s">
        <v>217</v>
      </c>
      <c r="F1639">
        <v>0</v>
      </c>
      <c r="G1639">
        <v>0</v>
      </c>
      <c r="H1639">
        <f>IF(report_B_CategorieBoekjaar[[#This Row],[BedrijfsCode]]="002",IF(report_B_CategorieBoekjaar[[#This Row],[Boekjaar]]=Projectbegroting!$K$1,report_B_CategorieBoekjaar[[#This Row],[CategorieCode]],0),0)</f>
        <v>0</v>
      </c>
      <c r="I1639">
        <f>IF(report_B_CategorieBoekjaar[[#This Row],[BedrijfsCode]]="001",IF(report_B_CategorieBoekjaar[[#This Row],[Boekjaar]]=Projectbegroting!$K$1,report_B_CategorieBoekjaar[[#This Row],[CategorieCode]],0),0)</f>
        <v>0</v>
      </c>
    </row>
    <row r="1640" spans="1:9" x14ac:dyDescent="0.3">
      <c r="A1640" t="s">
        <v>330</v>
      </c>
      <c r="B1640" s="20">
        <v>43831</v>
      </c>
      <c r="C1640" t="s">
        <v>375</v>
      </c>
      <c r="D1640" t="s">
        <v>376</v>
      </c>
      <c r="E1640" t="s">
        <v>217</v>
      </c>
      <c r="F1640">
        <v>0</v>
      </c>
      <c r="G1640">
        <v>0</v>
      </c>
      <c r="H1640">
        <f>IF(report_B_CategorieBoekjaar[[#This Row],[BedrijfsCode]]="002",IF(report_B_CategorieBoekjaar[[#This Row],[Boekjaar]]=Projectbegroting!$K$1,report_B_CategorieBoekjaar[[#This Row],[CategorieCode]],0),0)</f>
        <v>0</v>
      </c>
      <c r="I1640">
        <f>IF(report_B_CategorieBoekjaar[[#This Row],[BedrijfsCode]]="001",IF(report_B_CategorieBoekjaar[[#This Row],[Boekjaar]]=Projectbegroting!$K$1,report_B_CategorieBoekjaar[[#This Row],[CategorieCode]],0),0)</f>
        <v>0</v>
      </c>
    </row>
    <row r="1641" spans="1:9" x14ac:dyDescent="0.3">
      <c r="A1641" t="s">
        <v>330</v>
      </c>
      <c r="B1641" s="20">
        <v>43831</v>
      </c>
      <c r="C1641" t="s">
        <v>377</v>
      </c>
      <c r="D1641" t="s">
        <v>378</v>
      </c>
      <c r="E1641" t="s">
        <v>217</v>
      </c>
      <c r="F1641">
        <v>0</v>
      </c>
      <c r="G1641">
        <v>0</v>
      </c>
      <c r="H1641">
        <f>IF(report_B_CategorieBoekjaar[[#This Row],[BedrijfsCode]]="002",IF(report_B_CategorieBoekjaar[[#This Row],[Boekjaar]]=Projectbegroting!$K$1,report_B_CategorieBoekjaar[[#This Row],[CategorieCode]],0),0)</f>
        <v>0</v>
      </c>
      <c r="I1641">
        <f>IF(report_B_CategorieBoekjaar[[#This Row],[BedrijfsCode]]="001",IF(report_B_CategorieBoekjaar[[#This Row],[Boekjaar]]=Projectbegroting!$K$1,report_B_CategorieBoekjaar[[#This Row],[CategorieCode]],0),0)</f>
        <v>0</v>
      </c>
    </row>
    <row r="1642" spans="1:9" x14ac:dyDescent="0.3">
      <c r="A1642" t="s">
        <v>330</v>
      </c>
      <c r="B1642" s="20">
        <v>43831</v>
      </c>
      <c r="C1642" t="s">
        <v>379</v>
      </c>
      <c r="D1642" t="s">
        <v>380</v>
      </c>
      <c r="E1642" t="s">
        <v>381</v>
      </c>
      <c r="F1642">
        <v>42</v>
      </c>
      <c r="G1642">
        <v>70</v>
      </c>
      <c r="H1642">
        <f>IF(report_B_CategorieBoekjaar[[#This Row],[BedrijfsCode]]="002",IF(report_B_CategorieBoekjaar[[#This Row],[Boekjaar]]=Projectbegroting!$K$1,report_B_CategorieBoekjaar[[#This Row],[CategorieCode]],0),0)</f>
        <v>0</v>
      </c>
      <c r="I1642">
        <f>IF(report_B_CategorieBoekjaar[[#This Row],[BedrijfsCode]]="001",IF(report_B_CategorieBoekjaar[[#This Row],[Boekjaar]]=Projectbegroting!$K$1,report_B_CategorieBoekjaar[[#This Row],[CategorieCode]],0),0)</f>
        <v>0</v>
      </c>
    </row>
    <row r="1643" spans="1:9" x14ac:dyDescent="0.3">
      <c r="A1643" t="s">
        <v>330</v>
      </c>
      <c r="B1643" s="20">
        <v>43831</v>
      </c>
      <c r="C1643" t="s">
        <v>382</v>
      </c>
      <c r="D1643" t="s">
        <v>383</v>
      </c>
      <c r="E1643" t="s">
        <v>384</v>
      </c>
      <c r="F1643">
        <v>0</v>
      </c>
      <c r="G1643">
        <v>0</v>
      </c>
      <c r="H1643">
        <f>IF(report_B_CategorieBoekjaar[[#This Row],[BedrijfsCode]]="002",IF(report_B_CategorieBoekjaar[[#This Row],[Boekjaar]]=Projectbegroting!$K$1,report_B_CategorieBoekjaar[[#This Row],[CategorieCode]],0),0)</f>
        <v>0</v>
      </c>
      <c r="I1643">
        <f>IF(report_B_CategorieBoekjaar[[#This Row],[BedrijfsCode]]="001",IF(report_B_CategorieBoekjaar[[#This Row],[Boekjaar]]=Projectbegroting!$K$1,report_B_CategorieBoekjaar[[#This Row],[CategorieCode]],0),0)</f>
        <v>0</v>
      </c>
    </row>
    <row r="1644" spans="1:9" x14ac:dyDescent="0.3">
      <c r="A1644" t="s">
        <v>330</v>
      </c>
      <c r="B1644" s="20">
        <v>43831</v>
      </c>
      <c r="C1644" t="s">
        <v>385</v>
      </c>
      <c r="D1644" t="s">
        <v>386</v>
      </c>
      <c r="E1644" t="s">
        <v>381</v>
      </c>
      <c r="F1644">
        <v>66</v>
      </c>
      <c r="G1644">
        <v>93</v>
      </c>
      <c r="H1644">
        <f>IF(report_B_CategorieBoekjaar[[#This Row],[BedrijfsCode]]="002",IF(report_B_CategorieBoekjaar[[#This Row],[Boekjaar]]=Projectbegroting!$K$1,report_B_CategorieBoekjaar[[#This Row],[CategorieCode]],0),0)</f>
        <v>0</v>
      </c>
      <c r="I1644">
        <f>IF(report_B_CategorieBoekjaar[[#This Row],[BedrijfsCode]]="001",IF(report_B_CategorieBoekjaar[[#This Row],[Boekjaar]]=Projectbegroting!$K$1,report_B_CategorieBoekjaar[[#This Row],[CategorieCode]],0),0)</f>
        <v>0</v>
      </c>
    </row>
    <row r="1645" spans="1:9" x14ac:dyDescent="0.3">
      <c r="A1645" t="s">
        <v>330</v>
      </c>
      <c r="B1645" s="20">
        <v>43831</v>
      </c>
      <c r="C1645" t="s">
        <v>387</v>
      </c>
      <c r="D1645" t="s">
        <v>388</v>
      </c>
      <c r="E1645" t="s">
        <v>384</v>
      </c>
      <c r="F1645">
        <v>0</v>
      </c>
      <c r="G1645">
        <v>0</v>
      </c>
      <c r="H1645">
        <f>IF(report_B_CategorieBoekjaar[[#This Row],[BedrijfsCode]]="002",IF(report_B_CategorieBoekjaar[[#This Row],[Boekjaar]]=Projectbegroting!$K$1,report_B_CategorieBoekjaar[[#This Row],[CategorieCode]],0),0)</f>
        <v>0</v>
      </c>
      <c r="I1645">
        <f>IF(report_B_CategorieBoekjaar[[#This Row],[BedrijfsCode]]="001",IF(report_B_CategorieBoekjaar[[#This Row],[Boekjaar]]=Projectbegroting!$K$1,report_B_CategorieBoekjaar[[#This Row],[CategorieCode]],0),0)</f>
        <v>0</v>
      </c>
    </row>
    <row r="1646" spans="1:9" x14ac:dyDescent="0.3">
      <c r="A1646" t="s">
        <v>330</v>
      </c>
      <c r="B1646" s="20">
        <v>43831</v>
      </c>
      <c r="C1646" t="s">
        <v>52</v>
      </c>
      <c r="D1646" t="s">
        <v>53</v>
      </c>
      <c r="E1646" t="s">
        <v>381</v>
      </c>
      <c r="F1646">
        <v>66</v>
      </c>
      <c r="G1646">
        <v>0</v>
      </c>
      <c r="H1646">
        <f>IF(report_B_CategorieBoekjaar[[#This Row],[BedrijfsCode]]="002",IF(report_B_CategorieBoekjaar[[#This Row],[Boekjaar]]=Projectbegroting!$K$1,report_B_CategorieBoekjaar[[#This Row],[CategorieCode]],0),0)</f>
        <v>0</v>
      </c>
      <c r="I1646">
        <f>IF(report_B_CategorieBoekjaar[[#This Row],[BedrijfsCode]]="001",IF(report_B_CategorieBoekjaar[[#This Row],[Boekjaar]]=Projectbegroting!$K$1,report_B_CategorieBoekjaar[[#This Row],[CategorieCode]],0),0)</f>
        <v>0</v>
      </c>
    </row>
    <row r="1647" spans="1:9" x14ac:dyDescent="0.3">
      <c r="A1647" t="s">
        <v>330</v>
      </c>
      <c r="B1647" s="20">
        <v>43831</v>
      </c>
      <c r="C1647" t="s">
        <v>389</v>
      </c>
      <c r="D1647" t="s">
        <v>390</v>
      </c>
      <c r="E1647" t="s">
        <v>384</v>
      </c>
      <c r="F1647">
        <v>0</v>
      </c>
      <c r="G1647">
        <v>0</v>
      </c>
      <c r="H1647">
        <f>IF(report_B_CategorieBoekjaar[[#This Row],[BedrijfsCode]]="002",IF(report_B_CategorieBoekjaar[[#This Row],[Boekjaar]]=Projectbegroting!$K$1,report_B_CategorieBoekjaar[[#This Row],[CategorieCode]],0),0)</f>
        <v>0</v>
      </c>
      <c r="I1647">
        <f>IF(report_B_CategorieBoekjaar[[#This Row],[BedrijfsCode]]="001",IF(report_B_CategorieBoekjaar[[#This Row],[Boekjaar]]=Projectbegroting!$K$1,report_B_CategorieBoekjaar[[#This Row],[CategorieCode]],0),0)</f>
        <v>0</v>
      </c>
    </row>
    <row r="1648" spans="1:9" x14ac:dyDescent="0.3">
      <c r="A1648" t="s">
        <v>330</v>
      </c>
      <c r="B1648" s="20">
        <v>43831</v>
      </c>
      <c r="C1648" t="s">
        <v>391</v>
      </c>
      <c r="D1648" t="s">
        <v>392</v>
      </c>
      <c r="E1648" t="s">
        <v>381</v>
      </c>
      <c r="F1648">
        <v>53</v>
      </c>
      <c r="G1648">
        <v>0</v>
      </c>
      <c r="H1648">
        <f>IF(report_B_CategorieBoekjaar[[#This Row],[BedrijfsCode]]="002",IF(report_B_CategorieBoekjaar[[#This Row],[Boekjaar]]=Projectbegroting!$K$1,report_B_CategorieBoekjaar[[#This Row],[CategorieCode]],0),0)</f>
        <v>0</v>
      </c>
      <c r="I1648">
        <f>IF(report_B_CategorieBoekjaar[[#This Row],[BedrijfsCode]]="001",IF(report_B_CategorieBoekjaar[[#This Row],[Boekjaar]]=Projectbegroting!$K$1,report_B_CategorieBoekjaar[[#This Row],[CategorieCode]],0),0)</f>
        <v>0</v>
      </c>
    </row>
    <row r="1649" spans="1:9" x14ac:dyDescent="0.3">
      <c r="A1649" t="s">
        <v>330</v>
      </c>
      <c r="B1649" s="20">
        <v>43831</v>
      </c>
      <c r="C1649" t="s">
        <v>393</v>
      </c>
      <c r="D1649" t="s">
        <v>394</v>
      </c>
      <c r="E1649" t="s">
        <v>384</v>
      </c>
      <c r="F1649">
        <v>0</v>
      </c>
      <c r="G1649">
        <v>0</v>
      </c>
      <c r="H1649">
        <f>IF(report_B_CategorieBoekjaar[[#This Row],[BedrijfsCode]]="002",IF(report_B_CategorieBoekjaar[[#This Row],[Boekjaar]]=Projectbegroting!$K$1,report_B_CategorieBoekjaar[[#This Row],[CategorieCode]],0),0)</f>
        <v>0</v>
      </c>
      <c r="I1649">
        <f>IF(report_B_CategorieBoekjaar[[#This Row],[BedrijfsCode]]="001",IF(report_B_CategorieBoekjaar[[#This Row],[Boekjaar]]=Projectbegroting!$K$1,report_B_CategorieBoekjaar[[#This Row],[CategorieCode]],0),0)</f>
        <v>0</v>
      </c>
    </row>
    <row r="1650" spans="1:9" x14ac:dyDescent="0.3">
      <c r="A1650" t="s">
        <v>330</v>
      </c>
      <c r="B1650" s="20">
        <v>43831</v>
      </c>
      <c r="C1650" t="s">
        <v>395</v>
      </c>
      <c r="D1650" t="s">
        <v>396</v>
      </c>
      <c r="E1650" t="s">
        <v>381</v>
      </c>
      <c r="F1650">
        <v>54</v>
      </c>
      <c r="G1650">
        <v>0</v>
      </c>
      <c r="H1650">
        <f>IF(report_B_CategorieBoekjaar[[#This Row],[BedrijfsCode]]="002",IF(report_B_CategorieBoekjaar[[#This Row],[Boekjaar]]=Projectbegroting!$K$1,report_B_CategorieBoekjaar[[#This Row],[CategorieCode]],0),0)</f>
        <v>0</v>
      </c>
      <c r="I1650">
        <f>IF(report_B_CategorieBoekjaar[[#This Row],[BedrijfsCode]]="001",IF(report_B_CategorieBoekjaar[[#This Row],[Boekjaar]]=Projectbegroting!$K$1,report_B_CategorieBoekjaar[[#This Row],[CategorieCode]],0),0)</f>
        <v>0</v>
      </c>
    </row>
    <row r="1651" spans="1:9" x14ac:dyDescent="0.3">
      <c r="A1651" t="s">
        <v>330</v>
      </c>
      <c r="B1651" s="20">
        <v>43831</v>
      </c>
      <c r="C1651" t="s">
        <v>397</v>
      </c>
      <c r="D1651" t="s">
        <v>398</v>
      </c>
      <c r="E1651" t="s">
        <v>384</v>
      </c>
      <c r="F1651">
        <v>0</v>
      </c>
      <c r="G1651">
        <v>0</v>
      </c>
      <c r="H1651">
        <f>IF(report_B_CategorieBoekjaar[[#This Row],[BedrijfsCode]]="002",IF(report_B_CategorieBoekjaar[[#This Row],[Boekjaar]]=Projectbegroting!$K$1,report_B_CategorieBoekjaar[[#This Row],[CategorieCode]],0),0)</f>
        <v>0</v>
      </c>
      <c r="I1651">
        <f>IF(report_B_CategorieBoekjaar[[#This Row],[BedrijfsCode]]="001",IF(report_B_CategorieBoekjaar[[#This Row],[Boekjaar]]=Projectbegroting!$K$1,report_B_CategorieBoekjaar[[#This Row],[CategorieCode]],0),0)</f>
        <v>0</v>
      </c>
    </row>
    <row r="1652" spans="1:9" x14ac:dyDescent="0.3">
      <c r="A1652" t="s">
        <v>330</v>
      </c>
      <c r="B1652" s="20">
        <v>43831</v>
      </c>
      <c r="C1652" t="s">
        <v>54</v>
      </c>
      <c r="D1652" t="s">
        <v>399</v>
      </c>
      <c r="E1652" t="s">
        <v>381</v>
      </c>
      <c r="F1652">
        <v>52</v>
      </c>
      <c r="G1652">
        <v>79</v>
      </c>
      <c r="H1652">
        <f>IF(report_B_CategorieBoekjaar[[#This Row],[BedrijfsCode]]="002",IF(report_B_CategorieBoekjaar[[#This Row],[Boekjaar]]=Projectbegroting!$K$1,report_B_CategorieBoekjaar[[#This Row],[CategorieCode]],0),0)</f>
        <v>0</v>
      </c>
      <c r="I1652">
        <f>IF(report_B_CategorieBoekjaar[[#This Row],[BedrijfsCode]]="001",IF(report_B_CategorieBoekjaar[[#This Row],[Boekjaar]]=Projectbegroting!$K$1,report_B_CategorieBoekjaar[[#This Row],[CategorieCode]],0),0)</f>
        <v>0</v>
      </c>
    </row>
    <row r="1653" spans="1:9" x14ac:dyDescent="0.3">
      <c r="A1653" t="s">
        <v>330</v>
      </c>
      <c r="B1653" s="20">
        <v>43831</v>
      </c>
      <c r="C1653" t="s">
        <v>400</v>
      </c>
      <c r="D1653" t="s">
        <v>401</v>
      </c>
      <c r="E1653" t="s">
        <v>384</v>
      </c>
      <c r="F1653">
        <v>0</v>
      </c>
      <c r="G1653">
        <v>0</v>
      </c>
      <c r="H1653">
        <f>IF(report_B_CategorieBoekjaar[[#This Row],[BedrijfsCode]]="002",IF(report_B_CategorieBoekjaar[[#This Row],[Boekjaar]]=Projectbegroting!$K$1,report_B_CategorieBoekjaar[[#This Row],[CategorieCode]],0),0)</f>
        <v>0</v>
      </c>
      <c r="I1653">
        <f>IF(report_B_CategorieBoekjaar[[#This Row],[BedrijfsCode]]="001",IF(report_B_CategorieBoekjaar[[#This Row],[Boekjaar]]=Projectbegroting!$K$1,report_B_CategorieBoekjaar[[#This Row],[CategorieCode]],0),0)</f>
        <v>0</v>
      </c>
    </row>
    <row r="1654" spans="1:9" x14ac:dyDescent="0.3">
      <c r="A1654" t="s">
        <v>330</v>
      </c>
      <c r="B1654" s="20">
        <v>43831</v>
      </c>
      <c r="C1654" t="s">
        <v>56</v>
      </c>
      <c r="D1654" t="s">
        <v>402</v>
      </c>
      <c r="E1654" t="s">
        <v>381</v>
      </c>
      <c r="F1654">
        <v>62</v>
      </c>
      <c r="G1654">
        <v>0</v>
      </c>
      <c r="H1654">
        <f>IF(report_B_CategorieBoekjaar[[#This Row],[BedrijfsCode]]="002",IF(report_B_CategorieBoekjaar[[#This Row],[Boekjaar]]=Projectbegroting!$K$1,report_B_CategorieBoekjaar[[#This Row],[CategorieCode]],0),0)</f>
        <v>0</v>
      </c>
      <c r="I1654">
        <f>IF(report_B_CategorieBoekjaar[[#This Row],[BedrijfsCode]]="001",IF(report_B_CategorieBoekjaar[[#This Row],[Boekjaar]]=Projectbegroting!$K$1,report_B_CategorieBoekjaar[[#This Row],[CategorieCode]],0),0)</f>
        <v>0</v>
      </c>
    </row>
    <row r="1655" spans="1:9" x14ac:dyDescent="0.3">
      <c r="A1655" t="s">
        <v>330</v>
      </c>
      <c r="B1655" s="20">
        <v>43831</v>
      </c>
      <c r="C1655" t="s">
        <v>403</v>
      </c>
      <c r="D1655" t="s">
        <v>404</v>
      </c>
      <c r="E1655" t="s">
        <v>384</v>
      </c>
      <c r="F1655">
        <v>0</v>
      </c>
      <c r="G1655">
        <v>0</v>
      </c>
      <c r="H1655">
        <f>IF(report_B_CategorieBoekjaar[[#This Row],[BedrijfsCode]]="002",IF(report_B_CategorieBoekjaar[[#This Row],[Boekjaar]]=Projectbegroting!$K$1,report_B_CategorieBoekjaar[[#This Row],[CategorieCode]],0),0)</f>
        <v>0</v>
      </c>
      <c r="I1655">
        <f>IF(report_B_CategorieBoekjaar[[#This Row],[BedrijfsCode]]="001",IF(report_B_CategorieBoekjaar[[#This Row],[Boekjaar]]=Projectbegroting!$K$1,report_B_CategorieBoekjaar[[#This Row],[CategorieCode]],0),0)</f>
        <v>0</v>
      </c>
    </row>
    <row r="1656" spans="1:9" x14ac:dyDescent="0.3">
      <c r="A1656" t="s">
        <v>330</v>
      </c>
      <c r="B1656" s="20">
        <v>43831</v>
      </c>
      <c r="C1656" t="s">
        <v>405</v>
      </c>
      <c r="D1656" t="s">
        <v>16</v>
      </c>
      <c r="E1656" t="s">
        <v>381</v>
      </c>
      <c r="F1656">
        <v>52</v>
      </c>
      <c r="G1656">
        <v>0</v>
      </c>
      <c r="H1656">
        <f>IF(report_B_CategorieBoekjaar[[#This Row],[BedrijfsCode]]="002",IF(report_B_CategorieBoekjaar[[#This Row],[Boekjaar]]=Projectbegroting!$K$1,report_B_CategorieBoekjaar[[#This Row],[CategorieCode]],0),0)</f>
        <v>0</v>
      </c>
      <c r="I1656">
        <f>IF(report_B_CategorieBoekjaar[[#This Row],[BedrijfsCode]]="001",IF(report_B_CategorieBoekjaar[[#This Row],[Boekjaar]]=Projectbegroting!$K$1,report_B_CategorieBoekjaar[[#This Row],[CategorieCode]],0),0)</f>
        <v>0</v>
      </c>
    </row>
    <row r="1657" spans="1:9" x14ac:dyDescent="0.3">
      <c r="A1657" t="s">
        <v>330</v>
      </c>
      <c r="B1657" s="20">
        <v>43831</v>
      </c>
      <c r="C1657" t="s">
        <v>58</v>
      </c>
      <c r="D1657" t="s">
        <v>406</v>
      </c>
      <c r="E1657" t="s">
        <v>381</v>
      </c>
      <c r="F1657">
        <v>53</v>
      </c>
      <c r="G1657">
        <v>0</v>
      </c>
      <c r="H1657">
        <f>IF(report_B_CategorieBoekjaar[[#This Row],[BedrijfsCode]]="002",IF(report_B_CategorieBoekjaar[[#This Row],[Boekjaar]]=Projectbegroting!$K$1,report_B_CategorieBoekjaar[[#This Row],[CategorieCode]],0),0)</f>
        <v>0</v>
      </c>
      <c r="I1657">
        <f>IF(report_B_CategorieBoekjaar[[#This Row],[BedrijfsCode]]="001",IF(report_B_CategorieBoekjaar[[#This Row],[Boekjaar]]=Projectbegroting!$K$1,report_B_CategorieBoekjaar[[#This Row],[CategorieCode]],0),0)</f>
        <v>0</v>
      </c>
    </row>
    <row r="1658" spans="1:9" x14ac:dyDescent="0.3">
      <c r="A1658" t="s">
        <v>330</v>
      </c>
      <c r="B1658" s="20">
        <v>43831</v>
      </c>
      <c r="C1658" t="s">
        <v>407</v>
      </c>
      <c r="D1658" t="s">
        <v>408</v>
      </c>
      <c r="E1658" t="s">
        <v>384</v>
      </c>
      <c r="F1658">
        <v>0</v>
      </c>
      <c r="G1658">
        <v>0</v>
      </c>
      <c r="H1658">
        <f>IF(report_B_CategorieBoekjaar[[#This Row],[BedrijfsCode]]="002",IF(report_B_CategorieBoekjaar[[#This Row],[Boekjaar]]=Projectbegroting!$K$1,report_B_CategorieBoekjaar[[#This Row],[CategorieCode]],0),0)</f>
        <v>0</v>
      </c>
      <c r="I1658">
        <f>IF(report_B_CategorieBoekjaar[[#This Row],[BedrijfsCode]]="001",IF(report_B_CategorieBoekjaar[[#This Row],[Boekjaar]]=Projectbegroting!$K$1,report_B_CategorieBoekjaar[[#This Row],[CategorieCode]],0),0)</f>
        <v>0</v>
      </c>
    </row>
    <row r="1659" spans="1:9" x14ac:dyDescent="0.3">
      <c r="A1659" t="s">
        <v>330</v>
      </c>
      <c r="B1659" s="20">
        <v>43831</v>
      </c>
      <c r="C1659" t="s">
        <v>60</v>
      </c>
      <c r="D1659" t="s">
        <v>61</v>
      </c>
      <c r="E1659" t="s">
        <v>381</v>
      </c>
      <c r="F1659">
        <v>66</v>
      </c>
      <c r="G1659">
        <v>93</v>
      </c>
      <c r="H1659">
        <f>IF(report_B_CategorieBoekjaar[[#This Row],[BedrijfsCode]]="002",IF(report_B_CategorieBoekjaar[[#This Row],[Boekjaar]]=Projectbegroting!$K$1,report_B_CategorieBoekjaar[[#This Row],[CategorieCode]],0),0)</f>
        <v>0</v>
      </c>
      <c r="I1659">
        <f>IF(report_B_CategorieBoekjaar[[#This Row],[BedrijfsCode]]="001",IF(report_B_CategorieBoekjaar[[#This Row],[Boekjaar]]=Projectbegroting!$K$1,report_B_CategorieBoekjaar[[#This Row],[CategorieCode]],0),0)</f>
        <v>0</v>
      </c>
    </row>
    <row r="1660" spans="1:9" x14ac:dyDescent="0.3">
      <c r="A1660" t="s">
        <v>330</v>
      </c>
      <c r="B1660" s="20">
        <v>43831</v>
      </c>
      <c r="C1660" t="s">
        <v>168</v>
      </c>
      <c r="D1660" t="s">
        <v>409</v>
      </c>
      <c r="E1660" t="s">
        <v>384</v>
      </c>
      <c r="F1660">
        <v>0</v>
      </c>
      <c r="G1660">
        <v>0</v>
      </c>
      <c r="H1660">
        <f>IF(report_B_CategorieBoekjaar[[#This Row],[BedrijfsCode]]="002",IF(report_B_CategorieBoekjaar[[#This Row],[Boekjaar]]=Projectbegroting!$K$1,report_B_CategorieBoekjaar[[#This Row],[CategorieCode]],0),0)</f>
        <v>0</v>
      </c>
      <c r="I1660">
        <f>IF(report_B_CategorieBoekjaar[[#This Row],[BedrijfsCode]]="001",IF(report_B_CategorieBoekjaar[[#This Row],[Boekjaar]]=Projectbegroting!$K$1,report_B_CategorieBoekjaar[[#This Row],[CategorieCode]],0),0)</f>
        <v>0</v>
      </c>
    </row>
    <row r="1661" spans="1:9" x14ac:dyDescent="0.3">
      <c r="A1661" t="s">
        <v>330</v>
      </c>
      <c r="B1661" s="20">
        <v>43831</v>
      </c>
      <c r="C1661" t="s">
        <v>410</v>
      </c>
      <c r="D1661" t="s">
        <v>411</v>
      </c>
      <c r="E1661" t="s">
        <v>381</v>
      </c>
      <c r="F1661">
        <v>34</v>
      </c>
      <c r="G1661">
        <v>0</v>
      </c>
      <c r="H1661">
        <f>IF(report_B_CategorieBoekjaar[[#This Row],[BedrijfsCode]]="002",IF(report_B_CategorieBoekjaar[[#This Row],[Boekjaar]]=Projectbegroting!$K$1,report_B_CategorieBoekjaar[[#This Row],[CategorieCode]],0),0)</f>
        <v>0</v>
      </c>
      <c r="I1661">
        <f>IF(report_B_CategorieBoekjaar[[#This Row],[BedrijfsCode]]="001",IF(report_B_CategorieBoekjaar[[#This Row],[Boekjaar]]=Projectbegroting!$K$1,report_B_CategorieBoekjaar[[#This Row],[CategorieCode]],0),0)</f>
        <v>0</v>
      </c>
    </row>
    <row r="1662" spans="1:9" x14ac:dyDescent="0.3">
      <c r="A1662" t="s">
        <v>330</v>
      </c>
      <c r="B1662" s="20">
        <v>43831</v>
      </c>
      <c r="C1662" t="s">
        <v>412</v>
      </c>
      <c r="D1662" t="s">
        <v>413</v>
      </c>
      <c r="E1662" t="s">
        <v>381</v>
      </c>
      <c r="F1662">
        <v>37</v>
      </c>
      <c r="G1662">
        <v>0</v>
      </c>
      <c r="H1662">
        <f>IF(report_B_CategorieBoekjaar[[#This Row],[BedrijfsCode]]="002",IF(report_B_CategorieBoekjaar[[#This Row],[Boekjaar]]=Projectbegroting!$K$1,report_B_CategorieBoekjaar[[#This Row],[CategorieCode]],0),0)</f>
        <v>0</v>
      </c>
      <c r="I1662">
        <f>IF(report_B_CategorieBoekjaar[[#This Row],[BedrijfsCode]]="001",IF(report_B_CategorieBoekjaar[[#This Row],[Boekjaar]]=Projectbegroting!$K$1,report_B_CategorieBoekjaar[[#This Row],[CategorieCode]],0),0)</f>
        <v>0</v>
      </c>
    </row>
    <row r="1663" spans="1:9" x14ac:dyDescent="0.3">
      <c r="A1663" t="s">
        <v>330</v>
      </c>
      <c r="B1663" s="20">
        <v>43831</v>
      </c>
      <c r="C1663" t="s">
        <v>414</v>
      </c>
      <c r="D1663" t="s">
        <v>415</v>
      </c>
      <c r="E1663" t="s">
        <v>384</v>
      </c>
      <c r="F1663">
        <v>0</v>
      </c>
      <c r="G1663">
        <v>0</v>
      </c>
      <c r="H1663">
        <f>IF(report_B_CategorieBoekjaar[[#This Row],[BedrijfsCode]]="002",IF(report_B_CategorieBoekjaar[[#This Row],[Boekjaar]]=Projectbegroting!$K$1,report_B_CategorieBoekjaar[[#This Row],[CategorieCode]],0),0)</f>
        <v>0</v>
      </c>
      <c r="I1663">
        <f>IF(report_B_CategorieBoekjaar[[#This Row],[BedrijfsCode]]="001",IF(report_B_CategorieBoekjaar[[#This Row],[Boekjaar]]=Projectbegroting!$K$1,report_B_CategorieBoekjaar[[#This Row],[CategorieCode]],0),0)</f>
        <v>0</v>
      </c>
    </row>
    <row r="1664" spans="1:9" x14ac:dyDescent="0.3">
      <c r="A1664" t="s">
        <v>330</v>
      </c>
      <c r="B1664" s="20">
        <v>43831</v>
      </c>
      <c r="C1664" t="s">
        <v>82</v>
      </c>
      <c r="D1664" t="s">
        <v>416</v>
      </c>
      <c r="E1664" t="s">
        <v>381</v>
      </c>
      <c r="F1664">
        <v>73</v>
      </c>
      <c r="G1664">
        <v>100</v>
      </c>
      <c r="H1664">
        <f>IF(report_B_CategorieBoekjaar[[#This Row],[BedrijfsCode]]="002",IF(report_B_CategorieBoekjaar[[#This Row],[Boekjaar]]=Projectbegroting!$K$1,report_B_CategorieBoekjaar[[#This Row],[CategorieCode]],0),0)</f>
        <v>0</v>
      </c>
      <c r="I1664">
        <f>IF(report_B_CategorieBoekjaar[[#This Row],[BedrijfsCode]]="001",IF(report_B_CategorieBoekjaar[[#This Row],[Boekjaar]]=Projectbegroting!$K$1,report_B_CategorieBoekjaar[[#This Row],[CategorieCode]],0),0)</f>
        <v>0</v>
      </c>
    </row>
    <row r="1665" spans="1:9" x14ac:dyDescent="0.3">
      <c r="A1665" t="s">
        <v>330</v>
      </c>
      <c r="B1665" s="20">
        <v>43831</v>
      </c>
      <c r="C1665" t="s">
        <v>169</v>
      </c>
      <c r="D1665" t="s">
        <v>417</v>
      </c>
      <c r="E1665" t="s">
        <v>384</v>
      </c>
      <c r="F1665">
        <v>0</v>
      </c>
      <c r="G1665">
        <v>0</v>
      </c>
      <c r="H1665">
        <f>IF(report_B_CategorieBoekjaar[[#This Row],[BedrijfsCode]]="002",IF(report_B_CategorieBoekjaar[[#This Row],[Boekjaar]]=Projectbegroting!$K$1,report_B_CategorieBoekjaar[[#This Row],[CategorieCode]],0),0)</f>
        <v>0</v>
      </c>
      <c r="I1665">
        <f>IF(report_B_CategorieBoekjaar[[#This Row],[BedrijfsCode]]="001",IF(report_B_CategorieBoekjaar[[#This Row],[Boekjaar]]=Projectbegroting!$K$1,report_B_CategorieBoekjaar[[#This Row],[CategorieCode]],0),0)</f>
        <v>0</v>
      </c>
    </row>
    <row r="1666" spans="1:9" x14ac:dyDescent="0.3">
      <c r="A1666" t="s">
        <v>330</v>
      </c>
      <c r="B1666" s="20">
        <v>43831</v>
      </c>
      <c r="C1666" t="s">
        <v>418</v>
      </c>
      <c r="D1666" t="s">
        <v>419</v>
      </c>
      <c r="E1666" t="s">
        <v>381</v>
      </c>
      <c r="F1666">
        <v>66</v>
      </c>
      <c r="G1666">
        <v>102</v>
      </c>
      <c r="H1666">
        <f>IF(report_B_CategorieBoekjaar[[#This Row],[BedrijfsCode]]="002",IF(report_B_CategorieBoekjaar[[#This Row],[Boekjaar]]=Projectbegroting!$K$1,report_B_CategorieBoekjaar[[#This Row],[CategorieCode]],0),0)</f>
        <v>0</v>
      </c>
      <c r="I1666">
        <f>IF(report_B_CategorieBoekjaar[[#This Row],[BedrijfsCode]]="001",IF(report_B_CategorieBoekjaar[[#This Row],[Boekjaar]]=Projectbegroting!$K$1,report_B_CategorieBoekjaar[[#This Row],[CategorieCode]],0),0)</f>
        <v>0</v>
      </c>
    </row>
    <row r="1667" spans="1:9" x14ac:dyDescent="0.3">
      <c r="A1667" t="s">
        <v>330</v>
      </c>
      <c r="B1667" s="20">
        <v>43831</v>
      </c>
      <c r="C1667" t="s">
        <v>84</v>
      </c>
      <c r="D1667" t="s">
        <v>420</v>
      </c>
      <c r="E1667" t="s">
        <v>381</v>
      </c>
      <c r="F1667">
        <v>57</v>
      </c>
      <c r="G1667">
        <v>84</v>
      </c>
      <c r="H1667">
        <f>IF(report_B_CategorieBoekjaar[[#This Row],[BedrijfsCode]]="002",IF(report_B_CategorieBoekjaar[[#This Row],[Boekjaar]]=Projectbegroting!$K$1,report_B_CategorieBoekjaar[[#This Row],[CategorieCode]],0),0)</f>
        <v>0</v>
      </c>
      <c r="I1667">
        <f>IF(report_B_CategorieBoekjaar[[#This Row],[BedrijfsCode]]="001",IF(report_B_CategorieBoekjaar[[#This Row],[Boekjaar]]=Projectbegroting!$K$1,report_B_CategorieBoekjaar[[#This Row],[CategorieCode]],0),0)</f>
        <v>0</v>
      </c>
    </row>
    <row r="1668" spans="1:9" x14ac:dyDescent="0.3">
      <c r="A1668" t="s">
        <v>330</v>
      </c>
      <c r="B1668" s="20">
        <v>43831</v>
      </c>
      <c r="C1668" t="s">
        <v>170</v>
      </c>
      <c r="D1668" t="s">
        <v>421</v>
      </c>
      <c r="E1668" t="s">
        <v>384</v>
      </c>
      <c r="F1668">
        <v>0</v>
      </c>
      <c r="G1668">
        <v>0</v>
      </c>
      <c r="H1668">
        <f>IF(report_B_CategorieBoekjaar[[#This Row],[BedrijfsCode]]="002",IF(report_B_CategorieBoekjaar[[#This Row],[Boekjaar]]=Projectbegroting!$K$1,report_B_CategorieBoekjaar[[#This Row],[CategorieCode]],0),0)</f>
        <v>0</v>
      </c>
      <c r="I1668">
        <f>IF(report_B_CategorieBoekjaar[[#This Row],[BedrijfsCode]]="001",IF(report_B_CategorieBoekjaar[[#This Row],[Boekjaar]]=Projectbegroting!$K$1,report_B_CategorieBoekjaar[[#This Row],[CategorieCode]],0),0)</f>
        <v>0</v>
      </c>
    </row>
    <row r="1669" spans="1:9" x14ac:dyDescent="0.3">
      <c r="A1669" t="s">
        <v>330</v>
      </c>
      <c r="B1669" s="20">
        <v>43831</v>
      </c>
      <c r="C1669" t="s">
        <v>96</v>
      </c>
      <c r="D1669" t="s">
        <v>422</v>
      </c>
      <c r="E1669" t="s">
        <v>381</v>
      </c>
      <c r="F1669">
        <v>56</v>
      </c>
      <c r="G1669">
        <v>83</v>
      </c>
      <c r="H1669">
        <f>IF(report_B_CategorieBoekjaar[[#This Row],[BedrijfsCode]]="002",IF(report_B_CategorieBoekjaar[[#This Row],[Boekjaar]]=Projectbegroting!$K$1,report_B_CategorieBoekjaar[[#This Row],[CategorieCode]],0),0)</f>
        <v>0</v>
      </c>
      <c r="I1669">
        <f>IF(report_B_CategorieBoekjaar[[#This Row],[BedrijfsCode]]="001",IF(report_B_CategorieBoekjaar[[#This Row],[Boekjaar]]=Projectbegroting!$K$1,report_B_CategorieBoekjaar[[#This Row],[CategorieCode]],0),0)</f>
        <v>0</v>
      </c>
    </row>
    <row r="1670" spans="1:9" x14ac:dyDescent="0.3">
      <c r="A1670" t="s">
        <v>330</v>
      </c>
      <c r="B1670" s="20">
        <v>43831</v>
      </c>
      <c r="C1670" t="s">
        <v>171</v>
      </c>
      <c r="D1670" t="s">
        <v>423</v>
      </c>
      <c r="E1670" t="s">
        <v>384</v>
      </c>
      <c r="F1670">
        <v>0</v>
      </c>
      <c r="G1670">
        <v>0</v>
      </c>
      <c r="H1670">
        <f>IF(report_B_CategorieBoekjaar[[#This Row],[BedrijfsCode]]="002",IF(report_B_CategorieBoekjaar[[#This Row],[Boekjaar]]=Projectbegroting!$K$1,report_B_CategorieBoekjaar[[#This Row],[CategorieCode]],0),0)</f>
        <v>0</v>
      </c>
      <c r="I1670">
        <f>IF(report_B_CategorieBoekjaar[[#This Row],[BedrijfsCode]]="001",IF(report_B_CategorieBoekjaar[[#This Row],[Boekjaar]]=Projectbegroting!$K$1,report_B_CategorieBoekjaar[[#This Row],[CategorieCode]],0),0)</f>
        <v>0</v>
      </c>
    </row>
    <row r="1671" spans="1:9" x14ac:dyDescent="0.3">
      <c r="A1671" t="s">
        <v>330</v>
      </c>
      <c r="B1671" s="20">
        <v>43831</v>
      </c>
      <c r="C1671" t="s">
        <v>86</v>
      </c>
      <c r="D1671" t="s">
        <v>424</v>
      </c>
      <c r="E1671" t="s">
        <v>381</v>
      </c>
      <c r="F1671">
        <v>49</v>
      </c>
      <c r="G1671">
        <v>76</v>
      </c>
      <c r="H1671">
        <f>IF(report_B_CategorieBoekjaar[[#This Row],[BedrijfsCode]]="002",IF(report_B_CategorieBoekjaar[[#This Row],[Boekjaar]]=Projectbegroting!$K$1,report_B_CategorieBoekjaar[[#This Row],[CategorieCode]],0),0)</f>
        <v>0</v>
      </c>
      <c r="I1671">
        <f>IF(report_B_CategorieBoekjaar[[#This Row],[BedrijfsCode]]="001",IF(report_B_CategorieBoekjaar[[#This Row],[Boekjaar]]=Projectbegroting!$K$1,report_B_CategorieBoekjaar[[#This Row],[CategorieCode]],0),0)</f>
        <v>0</v>
      </c>
    </row>
    <row r="1672" spans="1:9" x14ac:dyDescent="0.3">
      <c r="A1672" t="s">
        <v>330</v>
      </c>
      <c r="B1672" s="20">
        <v>43831</v>
      </c>
      <c r="C1672" t="s">
        <v>172</v>
      </c>
      <c r="D1672" t="s">
        <v>425</v>
      </c>
      <c r="E1672" t="s">
        <v>384</v>
      </c>
      <c r="F1672">
        <v>0</v>
      </c>
      <c r="G1672">
        <v>0</v>
      </c>
      <c r="H1672">
        <f>IF(report_B_CategorieBoekjaar[[#This Row],[BedrijfsCode]]="002",IF(report_B_CategorieBoekjaar[[#This Row],[Boekjaar]]=Projectbegroting!$K$1,report_B_CategorieBoekjaar[[#This Row],[CategorieCode]],0),0)</f>
        <v>0</v>
      </c>
      <c r="I1672">
        <f>IF(report_B_CategorieBoekjaar[[#This Row],[BedrijfsCode]]="001",IF(report_B_CategorieBoekjaar[[#This Row],[Boekjaar]]=Projectbegroting!$K$1,report_B_CategorieBoekjaar[[#This Row],[CategorieCode]],0),0)</f>
        <v>0</v>
      </c>
    </row>
    <row r="1673" spans="1:9" x14ac:dyDescent="0.3">
      <c r="A1673" t="s">
        <v>330</v>
      </c>
      <c r="B1673" s="20">
        <v>43831</v>
      </c>
      <c r="C1673" t="s">
        <v>173</v>
      </c>
      <c r="D1673" t="s">
        <v>427</v>
      </c>
      <c r="E1673" t="s">
        <v>384</v>
      </c>
      <c r="F1673">
        <v>0</v>
      </c>
      <c r="G1673">
        <v>0</v>
      </c>
      <c r="H1673">
        <f>IF(report_B_CategorieBoekjaar[[#This Row],[BedrijfsCode]]="002",IF(report_B_CategorieBoekjaar[[#This Row],[Boekjaar]]=Projectbegroting!$K$1,report_B_CategorieBoekjaar[[#This Row],[CategorieCode]],0),0)</f>
        <v>0</v>
      </c>
      <c r="I1673">
        <f>IF(report_B_CategorieBoekjaar[[#This Row],[BedrijfsCode]]="001",IF(report_B_CategorieBoekjaar[[#This Row],[Boekjaar]]=Projectbegroting!$K$1,report_B_CategorieBoekjaar[[#This Row],[CategorieCode]],0),0)</f>
        <v>0</v>
      </c>
    </row>
    <row r="1674" spans="1:9" x14ac:dyDescent="0.3">
      <c r="A1674" t="s">
        <v>330</v>
      </c>
      <c r="B1674" s="20">
        <v>43831</v>
      </c>
      <c r="C1674" t="s">
        <v>88</v>
      </c>
      <c r="D1674" t="s">
        <v>89</v>
      </c>
      <c r="E1674" t="s">
        <v>381</v>
      </c>
      <c r="F1674">
        <v>64</v>
      </c>
      <c r="G1674">
        <v>102</v>
      </c>
      <c r="H1674">
        <f>IF(report_B_CategorieBoekjaar[[#This Row],[BedrijfsCode]]="002",IF(report_B_CategorieBoekjaar[[#This Row],[Boekjaar]]=Projectbegroting!$K$1,report_B_CategorieBoekjaar[[#This Row],[CategorieCode]],0),0)</f>
        <v>0</v>
      </c>
      <c r="I1674">
        <f>IF(report_B_CategorieBoekjaar[[#This Row],[BedrijfsCode]]="001",IF(report_B_CategorieBoekjaar[[#This Row],[Boekjaar]]=Projectbegroting!$K$1,report_B_CategorieBoekjaar[[#This Row],[CategorieCode]],0),0)</f>
        <v>0</v>
      </c>
    </row>
    <row r="1675" spans="1:9" x14ac:dyDescent="0.3">
      <c r="A1675" t="s">
        <v>330</v>
      </c>
      <c r="B1675" s="20">
        <v>43831</v>
      </c>
      <c r="C1675" t="s">
        <v>174</v>
      </c>
      <c r="D1675" t="s">
        <v>428</v>
      </c>
      <c r="E1675" t="s">
        <v>384</v>
      </c>
      <c r="F1675">
        <v>0</v>
      </c>
      <c r="G1675">
        <v>0</v>
      </c>
      <c r="H1675">
        <f>IF(report_B_CategorieBoekjaar[[#This Row],[BedrijfsCode]]="002",IF(report_B_CategorieBoekjaar[[#This Row],[Boekjaar]]=Projectbegroting!$K$1,report_B_CategorieBoekjaar[[#This Row],[CategorieCode]],0),0)</f>
        <v>0</v>
      </c>
      <c r="I1675">
        <f>IF(report_B_CategorieBoekjaar[[#This Row],[BedrijfsCode]]="001",IF(report_B_CategorieBoekjaar[[#This Row],[Boekjaar]]=Projectbegroting!$K$1,report_B_CategorieBoekjaar[[#This Row],[CategorieCode]],0),0)</f>
        <v>0</v>
      </c>
    </row>
    <row r="1676" spans="1:9" x14ac:dyDescent="0.3">
      <c r="A1676" t="s">
        <v>330</v>
      </c>
      <c r="B1676" s="20">
        <v>43831</v>
      </c>
      <c r="C1676" t="s">
        <v>90</v>
      </c>
      <c r="D1676" t="s">
        <v>91</v>
      </c>
      <c r="E1676" t="s">
        <v>381</v>
      </c>
      <c r="F1676">
        <v>39</v>
      </c>
      <c r="G1676">
        <v>68</v>
      </c>
      <c r="H1676">
        <f>IF(report_B_CategorieBoekjaar[[#This Row],[BedrijfsCode]]="002",IF(report_B_CategorieBoekjaar[[#This Row],[Boekjaar]]=Projectbegroting!$K$1,report_B_CategorieBoekjaar[[#This Row],[CategorieCode]],0),0)</f>
        <v>0</v>
      </c>
      <c r="I1676">
        <f>IF(report_B_CategorieBoekjaar[[#This Row],[BedrijfsCode]]="001",IF(report_B_CategorieBoekjaar[[#This Row],[Boekjaar]]=Projectbegroting!$K$1,report_B_CategorieBoekjaar[[#This Row],[CategorieCode]],0),0)</f>
        <v>0</v>
      </c>
    </row>
    <row r="1677" spans="1:9" x14ac:dyDescent="0.3">
      <c r="A1677" t="s">
        <v>330</v>
      </c>
      <c r="B1677" s="20">
        <v>43831</v>
      </c>
      <c r="C1677" t="s">
        <v>429</v>
      </c>
      <c r="D1677" t="s">
        <v>430</v>
      </c>
      <c r="E1677" t="s">
        <v>384</v>
      </c>
      <c r="F1677">
        <v>0</v>
      </c>
      <c r="G1677">
        <v>0</v>
      </c>
      <c r="H1677">
        <f>IF(report_B_CategorieBoekjaar[[#This Row],[BedrijfsCode]]="002",IF(report_B_CategorieBoekjaar[[#This Row],[Boekjaar]]=Projectbegroting!$K$1,report_B_CategorieBoekjaar[[#This Row],[CategorieCode]],0),0)</f>
        <v>0</v>
      </c>
      <c r="I1677">
        <f>IF(report_B_CategorieBoekjaar[[#This Row],[BedrijfsCode]]="001",IF(report_B_CategorieBoekjaar[[#This Row],[Boekjaar]]=Projectbegroting!$K$1,report_B_CategorieBoekjaar[[#This Row],[CategorieCode]],0),0)</f>
        <v>0</v>
      </c>
    </row>
    <row r="1678" spans="1:9" x14ac:dyDescent="0.3">
      <c r="A1678" t="s">
        <v>330</v>
      </c>
      <c r="B1678" s="20">
        <v>43831</v>
      </c>
      <c r="C1678" t="s">
        <v>431</v>
      </c>
      <c r="D1678" t="s">
        <v>432</v>
      </c>
      <c r="E1678" t="s">
        <v>381</v>
      </c>
      <c r="F1678">
        <v>66</v>
      </c>
      <c r="G1678">
        <v>93</v>
      </c>
      <c r="H1678">
        <f>IF(report_B_CategorieBoekjaar[[#This Row],[BedrijfsCode]]="002",IF(report_B_CategorieBoekjaar[[#This Row],[Boekjaar]]=Projectbegroting!$K$1,report_B_CategorieBoekjaar[[#This Row],[CategorieCode]],0),0)</f>
        <v>0</v>
      </c>
      <c r="I1678">
        <f>IF(report_B_CategorieBoekjaar[[#This Row],[BedrijfsCode]]="001",IF(report_B_CategorieBoekjaar[[#This Row],[Boekjaar]]=Projectbegroting!$K$1,report_B_CategorieBoekjaar[[#This Row],[CategorieCode]],0),0)</f>
        <v>0</v>
      </c>
    </row>
    <row r="1679" spans="1:9" x14ac:dyDescent="0.3">
      <c r="A1679" t="s">
        <v>330</v>
      </c>
      <c r="B1679" s="20">
        <v>43831</v>
      </c>
      <c r="C1679" t="s">
        <v>433</v>
      </c>
      <c r="D1679" t="s">
        <v>434</v>
      </c>
      <c r="E1679" t="s">
        <v>384</v>
      </c>
      <c r="F1679">
        <v>0</v>
      </c>
      <c r="G1679">
        <v>0</v>
      </c>
      <c r="H1679">
        <f>IF(report_B_CategorieBoekjaar[[#This Row],[BedrijfsCode]]="002",IF(report_B_CategorieBoekjaar[[#This Row],[Boekjaar]]=Projectbegroting!$K$1,report_B_CategorieBoekjaar[[#This Row],[CategorieCode]],0),0)</f>
        <v>0</v>
      </c>
      <c r="I1679">
        <f>IF(report_B_CategorieBoekjaar[[#This Row],[BedrijfsCode]]="001",IF(report_B_CategorieBoekjaar[[#This Row],[Boekjaar]]=Projectbegroting!$K$1,report_B_CategorieBoekjaar[[#This Row],[CategorieCode]],0),0)</f>
        <v>0</v>
      </c>
    </row>
    <row r="1680" spans="1:9" x14ac:dyDescent="0.3">
      <c r="A1680" t="s">
        <v>330</v>
      </c>
      <c r="B1680" s="20">
        <v>43831</v>
      </c>
      <c r="C1680" t="s">
        <v>435</v>
      </c>
      <c r="D1680" t="s">
        <v>436</v>
      </c>
      <c r="E1680" t="s">
        <v>381</v>
      </c>
      <c r="F1680">
        <v>52</v>
      </c>
      <c r="G1680">
        <v>0</v>
      </c>
      <c r="H1680">
        <f>IF(report_B_CategorieBoekjaar[[#This Row],[BedrijfsCode]]="002",IF(report_B_CategorieBoekjaar[[#This Row],[Boekjaar]]=Projectbegroting!$K$1,report_B_CategorieBoekjaar[[#This Row],[CategorieCode]],0),0)</f>
        <v>0</v>
      </c>
      <c r="I1680">
        <f>IF(report_B_CategorieBoekjaar[[#This Row],[BedrijfsCode]]="001",IF(report_B_CategorieBoekjaar[[#This Row],[Boekjaar]]=Projectbegroting!$K$1,report_B_CategorieBoekjaar[[#This Row],[CategorieCode]],0),0)</f>
        <v>0</v>
      </c>
    </row>
    <row r="1681" spans="1:9" x14ac:dyDescent="0.3">
      <c r="A1681" t="s">
        <v>330</v>
      </c>
      <c r="B1681" s="20">
        <v>43831</v>
      </c>
      <c r="C1681" t="s">
        <v>437</v>
      </c>
      <c r="D1681" t="s">
        <v>438</v>
      </c>
      <c r="E1681" t="s">
        <v>384</v>
      </c>
      <c r="F1681">
        <v>0</v>
      </c>
      <c r="G1681">
        <v>0</v>
      </c>
      <c r="H1681">
        <f>IF(report_B_CategorieBoekjaar[[#This Row],[BedrijfsCode]]="002",IF(report_B_CategorieBoekjaar[[#This Row],[Boekjaar]]=Projectbegroting!$K$1,report_B_CategorieBoekjaar[[#This Row],[CategorieCode]],0),0)</f>
        <v>0</v>
      </c>
      <c r="I1681">
        <f>IF(report_B_CategorieBoekjaar[[#This Row],[BedrijfsCode]]="001",IF(report_B_CategorieBoekjaar[[#This Row],[Boekjaar]]=Projectbegroting!$K$1,report_B_CategorieBoekjaar[[#This Row],[CategorieCode]],0),0)</f>
        <v>0</v>
      </c>
    </row>
    <row r="1682" spans="1:9" x14ac:dyDescent="0.3">
      <c r="A1682" t="s">
        <v>330</v>
      </c>
      <c r="B1682" s="20">
        <v>43831</v>
      </c>
      <c r="C1682" t="s">
        <v>439</v>
      </c>
      <c r="D1682" t="s">
        <v>440</v>
      </c>
      <c r="E1682" t="s">
        <v>381</v>
      </c>
      <c r="F1682">
        <v>33</v>
      </c>
      <c r="G1682">
        <v>0</v>
      </c>
      <c r="H1682">
        <f>IF(report_B_CategorieBoekjaar[[#This Row],[BedrijfsCode]]="002",IF(report_B_CategorieBoekjaar[[#This Row],[Boekjaar]]=Projectbegroting!$K$1,report_B_CategorieBoekjaar[[#This Row],[CategorieCode]],0),0)</f>
        <v>0</v>
      </c>
      <c r="I1682">
        <f>IF(report_B_CategorieBoekjaar[[#This Row],[BedrijfsCode]]="001",IF(report_B_CategorieBoekjaar[[#This Row],[Boekjaar]]=Projectbegroting!$K$1,report_B_CategorieBoekjaar[[#This Row],[CategorieCode]],0),0)</f>
        <v>0</v>
      </c>
    </row>
    <row r="1683" spans="1:9" x14ac:dyDescent="0.3">
      <c r="A1683" t="s">
        <v>330</v>
      </c>
      <c r="B1683" s="20">
        <v>43831</v>
      </c>
      <c r="C1683" t="s">
        <v>441</v>
      </c>
      <c r="D1683" t="s">
        <v>442</v>
      </c>
      <c r="E1683" t="s">
        <v>381</v>
      </c>
      <c r="F1683">
        <v>49</v>
      </c>
      <c r="G1683">
        <v>0</v>
      </c>
      <c r="H1683">
        <f>IF(report_B_CategorieBoekjaar[[#This Row],[BedrijfsCode]]="002",IF(report_B_CategorieBoekjaar[[#This Row],[Boekjaar]]=Projectbegroting!$K$1,report_B_CategorieBoekjaar[[#This Row],[CategorieCode]],0),0)</f>
        <v>0</v>
      </c>
      <c r="I1683">
        <f>IF(report_B_CategorieBoekjaar[[#This Row],[BedrijfsCode]]="001",IF(report_B_CategorieBoekjaar[[#This Row],[Boekjaar]]=Projectbegroting!$K$1,report_B_CategorieBoekjaar[[#This Row],[CategorieCode]],0),0)</f>
        <v>0</v>
      </c>
    </row>
    <row r="1684" spans="1:9" x14ac:dyDescent="0.3">
      <c r="A1684" t="s">
        <v>330</v>
      </c>
      <c r="B1684" s="20">
        <v>43831</v>
      </c>
      <c r="C1684" t="s">
        <v>443</v>
      </c>
      <c r="D1684" t="s">
        <v>444</v>
      </c>
      <c r="E1684" t="s">
        <v>384</v>
      </c>
      <c r="F1684">
        <v>0</v>
      </c>
      <c r="G1684">
        <v>0</v>
      </c>
      <c r="H1684">
        <f>IF(report_B_CategorieBoekjaar[[#This Row],[BedrijfsCode]]="002",IF(report_B_CategorieBoekjaar[[#This Row],[Boekjaar]]=Projectbegroting!$K$1,report_B_CategorieBoekjaar[[#This Row],[CategorieCode]],0),0)</f>
        <v>0</v>
      </c>
      <c r="I1684">
        <f>IF(report_B_CategorieBoekjaar[[#This Row],[BedrijfsCode]]="001",IF(report_B_CategorieBoekjaar[[#This Row],[Boekjaar]]=Projectbegroting!$K$1,report_B_CategorieBoekjaar[[#This Row],[CategorieCode]],0),0)</f>
        <v>0</v>
      </c>
    </row>
    <row r="1685" spans="1:9" x14ac:dyDescent="0.3">
      <c r="A1685" t="s">
        <v>330</v>
      </c>
      <c r="B1685" s="20">
        <v>43831</v>
      </c>
      <c r="C1685" t="s">
        <v>445</v>
      </c>
      <c r="D1685" t="s">
        <v>446</v>
      </c>
      <c r="E1685" t="s">
        <v>381</v>
      </c>
      <c r="F1685">
        <v>80</v>
      </c>
      <c r="G1685">
        <v>105</v>
      </c>
      <c r="H1685">
        <f>IF(report_B_CategorieBoekjaar[[#This Row],[BedrijfsCode]]="002",IF(report_B_CategorieBoekjaar[[#This Row],[Boekjaar]]=Projectbegroting!$K$1,report_B_CategorieBoekjaar[[#This Row],[CategorieCode]],0),0)</f>
        <v>0</v>
      </c>
      <c r="I1685">
        <f>IF(report_B_CategorieBoekjaar[[#This Row],[BedrijfsCode]]="001",IF(report_B_CategorieBoekjaar[[#This Row],[Boekjaar]]=Projectbegroting!$K$1,report_B_CategorieBoekjaar[[#This Row],[CategorieCode]],0),0)</f>
        <v>0</v>
      </c>
    </row>
    <row r="1686" spans="1:9" x14ac:dyDescent="0.3">
      <c r="A1686" t="s">
        <v>330</v>
      </c>
      <c r="B1686" s="20">
        <v>43831</v>
      </c>
      <c r="C1686" t="s">
        <v>447</v>
      </c>
      <c r="D1686" t="s">
        <v>448</v>
      </c>
      <c r="E1686" t="s">
        <v>384</v>
      </c>
      <c r="F1686">
        <v>0</v>
      </c>
      <c r="G1686">
        <v>0</v>
      </c>
      <c r="H1686">
        <f>IF(report_B_CategorieBoekjaar[[#This Row],[BedrijfsCode]]="002",IF(report_B_CategorieBoekjaar[[#This Row],[Boekjaar]]=Projectbegroting!$K$1,report_B_CategorieBoekjaar[[#This Row],[CategorieCode]],0),0)</f>
        <v>0</v>
      </c>
      <c r="I1686">
        <f>IF(report_B_CategorieBoekjaar[[#This Row],[BedrijfsCode]]="001",IF(report_B_CategorieBoekjaar[[#This Row],[Boekjaar]]=Projectbegroting!$K$1,report_B_CategorieBoekjaar[[#This Row],[CategorieCode]],0),0)</f>
        <v>0</v>
      </c>
    </row>
    <row r="1687" spans="1:9" x14ac:dyDescent="0.3">
      <c r="A1687" t="s">
        <v>330</v>
      </c>
      <c r="B1687" s="20">
        <v>43831</v>
      </c>
      <c r="C1687" t="s">
        <v>449</v>
      </c>
      <c r="D1687" t="s">
        <v>450</v>
      </c>
      <c r="E1687" t="s">
        <v>381</v>
      </c>
      <c r="F1687">
        <v>34</v>
      </c>
      <c r="G1687">
        <v>0</v>
      </c>
      <c r="H1687">
        <f>IF(report_B_CategorieBoekjaar[[#This Row],[BedrijfsCode]]="002",IF(report_B_CategorieBoekjaar[[#This Row],[Boekjaar]]=Projectbegroting!$K$1,report_B_CategorieBoekjaar[[#This Row],[CategorieCode]],0),0)</f>
        <v>0</v>
      </c>
      <c r="I1687">
        <f>IF(report_B_CategorieBoekjaar[[#This Row],[BedrijfsCode]]="001",IF(report_B_CategorieBoekjaar[[#This Row],[Boekjaar]]=Projectbegroting!$K$1,report_B_CategorieBoekjaar[[#This Row],[CategorieCode]],0),0)</f>
        <v>0</v>
      </c>
    </row>
    <row r="1688" spans="1:9" x14ac:dyDescent="0.3">
      <c r="A1688" t="s">
        <v>330</v>
      </c>
      <c r="B1688" s="20">
        <v>43831</v>
      </c>
      <c r="C1688" t="s">
        <v>451</v>
      </c>
      <c r="D1688" t="s">
        <v>452</v>
      </c>
      <c r="E1688" t="s">
        <v>384</v>
      </c>
      <c r="F1688">
        <v>0</v>
      </c>
      <c r="G1688">
        <v>0</v>
      </c>
      <c r="H1688">
        <f>IF(report_B_CategorieBoekjaar[[#This Row],[BedrijfsCode]]="002",IF(report_B_CategorieBoekjaar[[#This Row],[Boekjaar]]=Projectbegroting!$K$1,report_B_CategorieBoekjaar[[#This Row],[CategorieCode]],0),0)</f>
        <v>0</v>
      </c>
      <c r="I1688">
        <f>IF(report_B_CategorieBoekjaar[[#This Row],[BedrijfsCode]]="001",IF(report_B_CategorieBoekjaar[[#This Row],[Boekjaar]]=Projectbegroting!$K$1,report_B_CategorieBoekjaar[[#This Row],[CategorieCode]],0),0)</f>
        <v>0</v>
      </c>
    </row>
    <row r="1689" spans="1:9" x14ac:dyDescent="0.3">
      <c r="A1689" t="s">
        <v>330</v>
      </c>
      <c r="B1689" s="20">
        <v>43831</v>
      </c>
      <c r="C1689" t="s">
        <v>453</v>
      </c>
      <c r="D1689" t="s">
        <v>454</v>
      </c>
      <c r="E1689" t="s">
        <v>381</v>
      </c>
      <c r="F1689">
        <v>57</v>
      </c>
      <c r="G1689">
        <v>86</v>
      </c>
      <c r="H1689">
        <f>IF(report_B_CategorieBoekjaar[[#This Row],[BedrijfsCode]]="002",IF(report_B_CategorieBoekjaar[[#This Row],[Boekjaar]]=Projectbegroting!$K$1,report_B_CategorieBoekjaar[[#This Row],[CategorieCode]],0),0)</f>
        <v>0</v>
      </c>
      <c r="I1689">
        <f>IF(report_B_CategorieBoekjaar[[#This Row],[BedrijfsCode]]="001",IF(report_B_CategorieBoekjaar[[#This Row],[Boekjaar]]=Projectbegroting!$K$1,report_B_CategorieBoekjaar[[#This Row],[CategorieCode]],0),0)</f>
        <v>0</v>
      </c>
    </row>
    <row r="1690" spans="1:9" x14ac:dyDescent="0.3">
      <c r="A1690" t="s">
        <v>330</v>
      </c>
      <c r="B1690" s="20">
        <v>43831</v>
      </c>
      <c r="C1690" t="s">
        <v>455</v>
      </c>
      <c r="D1690" t="s">
        <v>456</v>
      </c>
      <c r="E1690" t="s">
        <v>381</v>
      </c>
      <c r="F1690">
        <v>78</v>
      </c>
      <c r="G1690">
        <v>117</v>
      </c>
      <c r="H1690">
        <f>IF(report_B_CategorieBoekjaar[[#This Row],[BedrijfsCode]]="002",IF(report_B_CategorieBoekjaar[[#This Row],[Boekjaar]]=Projectbegroting!$K$1,report_B_CategorieBoekjaar[[#This Row],[CategorieCode]],0),0)</f>
        <v>0</v>
      </c>
      <c r="I1690">
        <f>IF(report_B_CategorieBoekjaar[[#This Row],[BedrijfsCode]]="001",IF(report_B_CategorieBoekjaar[[#This Row],[Boekjaar]]=Projectbegroting!$K$1,report_B_CategorieBoekjaar[[#This Row],[CategorieCode]],0),0)</f>
        <v>0</v>
      </c>
    </row>
    <row r="1691" spans="1:9" x14ac:dyDescent="0.3">
      <c r="A1691" t="s">
        <v>330</v>
      </c>
      <c r="B1691" s="20">
        <v>43831</v>
      </c>
      <c r="C1691" t="s">
        <v>457</v>
      </c>
      <c r="D1691" t="s">
        <v>458</v>
      </c>
      <c r="E1691" t="s">
        <v>384</v>
      </c>
      <c r="F1691">
        <v>0</v>
      </c>
      <c r="G1691">
        <v>0</v>
      </c>
      <c r="H1691">
        <f>IF(report_B_CategorieBoekjaar[[#This Row],[BedrijfsCode]]="002",IF(report_B_CategorieBoekjaar[[#This Row],[Boekjaar]]=Projectbegroting!$K$1,report_B_CategorieBoekjaar[[#This Row],[CategorieCode]],0),0)</f>
        <v>0</v>
      </c>
      <c r="I1691">
        <f>IF(report_B_CategorieBoekjaar[[#This Row],[BedrijfsCode]]="001",IF(report_B_CategorieBoekjaar[[#This Row],[Boekjaar]]=Projectbegroting!$K$1,report_B_CategorieBoekjaar[[#This Row],[CategorieCode]],0),0)</f>
        <v>0</v>
      </c>
    </row>
    <row r="1692" spans="1:9" x14ac:dyDescent="0.3">
      <c r="A1692" t="s">
        <v>330</v>
      </c>
      <c r="B1692" s="20">
        <v>43831</v>
      </c>
      <c r="C1692" t="s">
        <v>459</v>
      </c>
      <c r="D1692" t="s">
        <v>460</v>
      </c>
      <c r="E1692" t="s">
        <v>381</v>
      </c>
      <c r="F1692">
        <v>92</v>
      </c>
      <c r="G1692">
        <v>131</v>
      </c>
      <c r="H1692">
        <f>IF(report_B_CategorieBoekjaar[[#This Row],[BedrijfsCode]]="002",IF(report_B_CategorieBoekjaar[[#This Row],[Boekjaar]]=Projectbegroting!$K$1,report_B_CategorieBoekjaar[[#This Row],[CategorieCode]],0),0)</f>
        <v>0</v>
      </c>
      <c r="I1692">
        <f>IF(report_B_CategorieBoekjaar[[#This Row],[BedrijfsCode]]="001",IF(report_B_CategorieBoekjaar[[#This Row],[Boekjaar]]=Projectbegroting!$K$1,report_B_CategorieBoekjaar[[#This Row],[CategorieCode]],0),0)</f>
        <v>0</v>
      </c>
    </row>
    <row r="1693" spans="1:9" x14ac:dyDescent="0.3">
      <c r="A1693" t="s">
        <v>330</v>
      </c>
      <c r="B1693" s="20">
        <v>43831</v>
      </c>
      <c r="C1693" t="s">
        <v>461</v>
      </c>
      <c r="D1693" t="s">
        <v>462</v>
      </c>
      <c r="E1693" t="s">
        <v>384</v>
      </c>
      <c r="F1693">
        <v>0</v>
      </c>
      <c r="G1693">
        <v>0</v>
      </c>
      <c r="H1693">
        <f>IF(report_B_CategorieBoekjaar[[#This Row],[BedrijfsCode]]="002",IF(report_B_CategorieBoekjaar[[#This Row],[Boekjaar]]=Projectbegroting!$K$1,report_B_CategorieBoekjaar[[#This Row],[CategorieCode]],0),0)</f>
        <v>0</v>
      </c>
      <c r="I1693">
        <f>IF(report_B_CategorieBoekjaar[[#This Row],[BedrijfsCode]]="001",IF(report_B_CategorieBoekjaar[[#This Row],[Boekjaar]]=Projectbegroting!$K$1,report_B_CategorieBoekjaar[[#This Row],[CategorieCode]],0),0)</f>
        <v>0</v>
      </c>
    </row>
    <row r="1694" spans="1:9" x14ac:dyDescent="0.3">
      <c r="A1694" t="s">
        <v>330</v>
      </c>
      <c r="B1694" s="20">
        <v>43831</v>
      </c>
      <c r="C1694" t="s">
        <v>463</v>
      </c>
      <c r="D1694" t="s">
        <v>464</v>
      </c>
      <c r="E1694" t="s">
        <v>384</v>
      </c>
      <c r="F1694">
        <v>0</v>
      </c>
      <c r="G1694">
        <v>0</v>
      </c>
      <c r="H1694">
        <f>IF(report_B_CategorieBoekjaar[[#This Row],[BedrijfsCode]]="002",IF(report_B_CategorieBoekjaar[[#This Row],[Boekjaar]]=Projectbegroting!$K$1,report_B_CategorieBoekjaar[[#This Row],[CategorieCode]],0),0)</f>
        <v>0</v>
      </c>
      <c r="I1694">
        <f>IF(report_B_CategorieBoekjaar[[#This Row],[BedrijfsCode]]="001",IF(report_B_CategorieBoekjaar[[#This Row],[Boekjaar]]=Projectbegroting!$K$1,report_B_CategorieBoekjaar[[#This Row],[CategorieCode]],0),0)</f>
        <v>0</v>
      </c>
    </row>
    <row r="1695" spans="1:9" x14ac:dyDescent="0.3">
      <c r="A1695" t="s">
        <v>330</v>
      </c>
      <c r="B1695" s="20">
        <v>43831</v>
      </c>
      <c r="C1695" t="s">
        <v>465</v>
      </c>
      <c r="D1695" t="s">
        <v>466</v>
      </c>
      <c r="E1695" t="s">
        <v>381</v>
      </c>
      <c r="F1695">
        <v>34</v>
      </c>
      <c r="G1695">
        <v>0</v>
      </c>
      <c r="H1695">
        <f>IF(report_B_CategorieBoekjaar[[#This Row],[BedrijfsCode]]="002",IF(report_B_CategorieBoekjaar[[#This Row],[Boekjaar]]=Projectbegroting!$K$1,report_B_CategorieBoekjaar[[#This Row],[CategorieCode]],0),0)</f>
        <v>0</v>
      </c>
      <c r="I1695">
        <f>IF(report_B_CategorieBoekjaar[[#This Row],[BedrijfsCode]]="001",IF(report_B_CategorieBoekjaar[[#This Row],[Boekjaar]]=Projectbegroting!$K$1,report_B_CategorieBoekjaar[[#This Row],[CategorieCode]],0),0)</f>
        <v>0</v>
      </c>
    </row>
    <row r="1696" spans="1:9" x14ac:dyDescent="0.3">
      <c r="A1696" t="s">
        <v>330</v>
      </c>
      <c r="B1696" s="20">
        <v>43831</v>
      </c>
      <c r="C1696" t="s">
        <v>467</v>
      </c>
      <c r="D1696" t="s">
        <v>468</v>
      </c>
      <c r="E1696" t="s">
        <v>384</v>
      </c>
      <c r="F1696">
        <v>0</v>
      </c>
      <c r="G1696">
        <v>0</v>
      </c>
      <c r="H1696">
        <f>IF(report_B_CategorieBoekjaar[[#This Row],[BedrijfsCode]]="002",IF(report_B_CategorieBoekjaar[[#This Row],[Boekjaar]]=Projectbegroting!$K$1,report_B_CategorieBoekjaar[[#This Row],[CategorieCode]],0),0)</f>
        <v>0</v>
      </c>
      <c r="I1696">
        <f>IF(report_B_CategorieBoekjaar[[#This Row],[BedrijfsCode]]="001",IF(report_B_CategorieBoekjaar[[#This Row],[Boekjaar]]=Projectbegroting!$K$1,report_B_CategorieBoekjaar[[#This Row],[CategorieCode]],0),0)</f>
        <v>0</v>
      </c>
    </row>
    <row r="1697" spans="1:9" x14ac:dyDescent="0.3">
      <c r="A1697" t="s">
        <v>330</v>
      </c>
      <c r="B1697" s="20">
        <v>43831</v>
      </c>
      <c r="C1697" t="s">
        <v>469</v>
      </c>
      <c r="D1697" t="s">
        <v>470</v>
      </c>
      <c r="E1697" t="s">
        <v>381</v>
      </c>
      <c r="F1697">
        <v>41</v>
      </c>
      <c r="G1697">
        <v>74</v>
      </c>
      <c r="H1697">
        <f>IF(report_B_CategorieBoekjaar[[#This Row],[BedrijfsCode]]="002",IF(report_B_CategorieBoekjaar[[#This Row],[Boekjaar]]=Projectbegroting!$K$1,report_B_CategorieBoekjaar[[#This Row],[CategorieCode]],0),0)</f>
        <v>0</v>
      </c>
      <c r="I1697">
        <f>IF(report_B_CategorieBoekjaar[[#This Row],[BedrijfsCode]]="001",IF(report_B_CategorieBoekjaar[[#This Row],[Boekjaar]]=Projectbegroting!$K$1,report_B_CategorieBoekjaar[[#This Row],[CategorieCode]],0),0)</f>
        <v>0</v>
      </c>
    </row>
    <row r="1698" spans="1:9" x14ac:dyDescent="0.3">
      <c r="A1698" t="s">
        <v>330</v>
      </c>
      <c r="B1698" s="20">
        <v>43831</v>
      </c>
      <c r="C1698" t="s">
        <v>471</v>
      </c>
      <c r="D1698" t="s">
        <v>472</v>
      </c>
      <c r="E1698" t="s">
        <v>384</v>
      </c>
      <c r="F1698">
        <v>0</v>
      </c>
      <c r="G1698">
        <v>0</v>
      </c>
      <c r="H1698">
        <f>IF(report_B_CategorieBoekjaar[[#This Row],[BedrijfsCode]]="002",IF(report_B_CategorieBoekjaar[[#This Row],[Boekjaar]]=Projectbegroting!$K$1,report_B_CategorieBoekjaar[[#This Row],[CategorieCode]],0),0)</f>
        <v>0</v>
      </c>
      <c r="I1698">
        <f>IF(report_B_CategorieBoekjaar[[#This Row],[BedrijfsCode]]="001",IF(report_B_CategorieBoekjaar[[#This Row],[Boekjaar]]=Projectbegroting!$K$1,report_B_CategorieBoekjaar[[#This Row],[CategorieCode]],0),0)</f>
        <v>0</v>
      </c>
    </row>
    <row r="1699" spans="1:9" x14ac:dyDescent="0.3">
      <c r="A1699" t="s">
        <v>330</v>
      </c>
      <c r="B1699" s="20">
        <v>43831</v>
      </c>
      <c r="C1699" t="s">
        <v>62</v>
      </c>
      <c r="D1699" t="s">
        <v>473</v>
      </c>
      <c r="E1699" t="s">
        <v>381</v>
      </c>
      <c r="F1699">
        <v>42</v>
      </c>
      <c r="G1699">
        <v>0</v>
      </c>
      <c r="H1699">
        <f>IF(report_B_CategorieBoekjaar[[#This Row],[BedrijfsCode]]="002",IF(report_B_CategorieBoekjaar[[#This Row],[Boekjaar]]=Projectbegroting!$K$1,report_B_CategorieBoekjaar[[#This Row],[CategorieCode]],0),0)</f>
        <v>0</v>
      </c>
      <c r="I1699">
        <f>IF(report_B_CategorieBoekjaar[[#This Row],[BedrijfsCode]]="001",IF(report_B_CategorieBoekjaar[[#This Row],[Boekjaar]]=Projectbegroting!$K$1,report_B_CategorieBoekjaar[[#This Row],[CategorieCode]],0),0)</f>
        <v>0</v>
      </c>
    </row>
    <row r="1700" spans="1:9" x14ac:dyDescent="0.3">
      <c r="A1700" t="s">
        <v>330</v>
      </c>
      <c r="B1700" s="20">
        <v>43831</v>
      </c>
      <c r="C1700" t="s">
        <v>474</v>
      </c>
      <c r="D1700" t="s">
        <v>475</v>
      </c>
      <c r="E1700" t="s">
        <v>384</v>
      </c>
      <c r="F1700">
        <v>0</v>
      </c>
      <c r="G1700">
        <v>0</v>
      </c>
      <c r="H1700">
        <f>IF(report_B_CategorieBoekjaar[[#This Row],[BedrijfsCode]]="002",IF(report_B_CategorieBoekjaar[[#This Row],[Boekjaar]]=Projectbegroting!$K$1,report_B_CategorieBoekjaar[[#This Row],[CategorieCode]],0),0)</f>
        <v>0</v>
      </c>
      <c r="I1700">
        <f>IF(report_B_CategorieBoekjaar[[#This Row],[BedrijfsCode]]="001",IF(report_B_CategorieBoekjaar[[#This Row],[Boekjaar]]=Projectbegroting!$K$1,report_B_CategorieBoekjaar[[#This Row],[CategorieCode]],0),0)</f>
        <v>0</v>
      </c>
    </row>
    <row r="1701" spans="1:9" x14ac:dyDescent="0.3">
      <c r="A1701" t="s">
        <v>330</v>
      </c>
      <c r="B1701" s="20">
        <v>43831</v>
      </c>
      <c r="C1701" t="s">
        <v>64</v>
      </c>
      <c r="D1701" t="s">
        <v>476</v>
      </c>
      <c r="E1701" t="s">
        <v>381</v>
      </c>
      <c r="F1701">
        <v>40</v>
      </c>
      <c r="G1701">
        <v>0</v>
      </c>
      <c r="H1701">
        <f>IF(report_B_CategorieBoekjaar[[#This Row],[BedrijfsCode]]="002",IF(report_B_CategorieBoekjaar[[#This Row],[Boekjaar]]=Projectbegroting!$K$1,report_B_CategorieBoekjaar[[#This Row],[CategorieCode]],0),0)</f>
        <v>0</v>
      </c>
      <c r="I1701">
        <f>IF(report_B_CategorieBoekjaar[[#This Row],[BedrijfsCode]]="001",IF(report_B_CategorieBoekjaar[[#This Row],[Boekjaar]]=Projectbegroting!$K$1,report_B_CategorieBoekjaar[[#This Row],[CategorieCode]],0),0)</f>
        <v>0</v>
      </c>
    </row>
    <row r="1702" spans="1:9" x14ac:dyDescent="0.3">
      <c r="A1702" t="s">
        <v>330</v>
      </c>
      <c r="B1702" s="20">
        <v>43831</v>
      </c>
      <c r="C1702" t="s">
        <v>477</v>
      </c>
      <c r="D1702" t="s">
        <v>478</v>
      </c>
      <c r="E1702" t="s">
        <v>384</v>
      </c>
      <c r="F1702">
        <v>0</v>
      </c>
      <c r="G1702">
        <v>0</v>
      </c>
      <c r="H1702">
        <f>IF(report_B_CategorieBoekjaar[[#This Row],[BedrijfsCode]]="002",IF(report_B_CategorieBoekjaar[[#This Row],[Boekjaar]]=Projectbegroting!$K$1,report_B_CategorieBoekjaar[[#This Row],[CategorieCode]],0),0)</f>
        <v>0</v>
      </c>
      <c r="I1702">
        <f>IF(report_B_CategorieBoekjaar[[#This Row],[BedrijfsCode]]="001",IF(report_B_CategorieBoekjaar[[#This Row],[Boekjaar]]=Projectbegroting!$K$1,report_B_CategorieBoekjaar[[#This Row],[CategorieCode]],0),0)</f>
        <v>0</v>
      </c>
    </row>
    <row r="1703" spans="1:9" x14ac:dyDescent="0.3">
      <c r="A1703" t="s">
        <v>330</v>
      </c>
      <c r="B1703" s="20">
        <v>43831</v>
      </c>
      <c r="C1703" t="s">
        <v>80</v>
      </c>
      <c r="D1703" t="s">
        <v>81</v>
      </c>
      <c r="E1703" t="s">
        <v>381</v>
      </c>
      <c r="F1703">
        <v>66</v>
      </c>
      <c r="G1703">
        <v>0</v>
      </c>
      <c r="H1703">
        <f>IF(report_B_CategorieBoekjaar[[#This Row],[BedrijfsCode]]="002",IF(report_B_CategorieBoekjaar[[#This Row],[Boekjaar]]=Projectbegroting!$K$1,report_B_CategorieBoekjaar[[#This Row],[CategorieCode]],0),0)</f>
        <v>0</v>
      </c>
      <c r="I1703">
        <f>IF(report_B_CategorieBoekjaar[[#This Row],[BedrijfsCode]]="001",IF(report_B_CategorieBoekjaar[[#This Row],[Boekjaar]]=Projectbegroting!$K$1,report_B_CategorieBoekjaar[[#This Row],[CategorieCode]],0),0)</f>
        <v>0</v>
      </c>
    </row>
    <row r="1704" spans="1:9" x14ac:dyDescent="0.3">
      <c r="A1704" t="s">
        <v>330</v>
      </c>
      <c r="B1704" s="20">
        <v>43831</v>
      </c>
      <c r="C1704" t="s">
        <v>479</v>
      </c>
      <c r="D1704" t="s">
        <v>480</v>
      </c>
      <c r="E1704" t="s">
        <v>384</v>
      </c>
      <c r="F1704">
        <v>0</v>
      </c>
      <c r="G1704">
        <v>0</v>
      </c>
      <c r="H1704">
        <f>IF(report_B_CategorieBoekjaar[[#This Row],[BedrijfsCode]]="002",IF(report_B_CategorieBoekjaar[[#This Row],[Boekjaar]]=Projectbegroting!$K$1,report_B_CategorieBoekjaar[[#This Row],[CategorieCode]],0),0)</f>
        <v>0</v>
      </c>
      <c r="I1704">
        <f>IF(report_B_CategorieBoekjaar[[#This Row],[BedrijfsCode]]="001",IF(report_B_CategorieBoekjaar[[#This Row],[Boekjaar]]=Projectbegroting!$K$1,report_B_CategorieBoekjaar[[#This Row],[CategorieCode]],0),0)</f>
        <v>0</v>
      </c>
    </row>
    <row r="1705" spans="1:9" x14ac:dyDescent="0.3">
      <c r="A1705" t="s">
        <v>330</v>
      </c>
      <c r="B1705" s="20">
        <v>43831</v>
      </c>
      <c r="C1705" t="s">
        <v>481</v>
      </c>
      <c r="D1705" t="s">
        <v>482</v>
      </c>
      <c r="E1705" t="s">
        <v>384</v>
      </c>
      <c r="F1705">
        <v>0</v>
      </c>
      <c r="G1705">
        <v>0</v>
      </c>
      <c r="H1705">
        <f>IF(report_B_CategorieBoekjaar[[#This Row],[BedrijfsCode]]="002",IF(report_B_CategorieBoekjaar[[#This Row],[Boekjaar]]=Projectbegroting!$K$1,report_B_CategorieBoekjaar[[#This Row],[CategorieCode]],0),0)</f>
        <v>0</v>
      </c>
      <c r="I1705">
        <f>IF(report_B_CategorieBoekjaar[[#This Row],[BedrijfsCode]]="001",IF(report_B_CategorieBoekjaar[[#This Row],[Boekjaar]]=Projectbegroting!$K$1,report_B_CategorieBoekjaar[[#This Row],[CategorieCode]],0),0)</f>
        <v>0</v>
      </c>
    </row>
    <row r="1706" spans="1:9" x14ac:dyDescent="0.3">
      <c r="A1706" t="s">
        <v>330</v>
      </c>
      <c r="B1706" s="20">
        <v>43831</v>
      </c>
      <c r="C1706" t="s">
        <v>98</v>
      </c>
      <c r="D1706" t="s">
        <v>99</v>
      </c>
      <c r="E1706" t="s">
        <v>381</v>
      </c>
      <c r="F1706">
        <v>56</v>
      </c>
      <c r="G1706">
        <v>94</v>
      </c>
      <c r="H1706">
        <f>IF(report_B_CategorieBoekjaar[[#This Row],[BedrijfsCode]]="002",IF(report_B_CategorieBoekjaar[[#This Row],[Boekjaar]]=Projectbegroting!$K$1,report_B_CategorieBoekjaar[[#This Row],[CategorieCode]],0),0)</f>
        <v>0</v>
      </c>
      <c r="I1706">
        <f>IF(report_B_CategorieBoekjaar[[#This Row],[BedrijfsCode]]="001",IF(report_B_CategorieBoekjaar[[#This Row],[Boekjaar]]=Projectbegroting!$K$1,report_B_CategorieBoekjaar[[#This Row],[CategorieCode]],0),0)</f>
        <v>0</v>
      </c>
    </row>
    <row r="1707" spans="1:9" x14ac:dyDescent="0.3">
      <c r="A1707" t="s">
        <v>330</v>
      </c>
      <c r="B1707" s="20">
        <v>43831</v>
      </c>
      <c r="C1707" t="s">
        <v>485</v>
      </c>
      <c r="D1707" t="s">
        <v>486</v>
      </c>
      <c r="E1707" t="s">
        <v>384</v>
      </c>
      <c r="F1707">
        <v>0</v>
      </c>
      <c r="G1707">
        <v>0</v>
      </c>
      <c r="H1707">
        <f>IF(report_B_CategorieBoekjaar[[#This Row],[BedrijfsCode]]="002",IF(report_B_CategorieBoekjaar[[#This Row],[Boekjaar]]=Projectbegroting!$K$1,report_B_CategorieBoekjaar[[#This Row],[CategorieCode]],0),0)</f>
        <v>0</v>
      </c>
      <c r="I1707">
        <f>IF(report_B_CategorieBoekjaar[[#This Row],[BedrijfsCode]]="001",IF(report_B_CategorieBoekjaar[[#This Row],[Boekjaar]]=Projectbegroting!$K$1,report_B_CategorieBoekjaar[[#This Row],[CategorieCode]],0),0)</f>
        <v>0</v>
      </c>
    </row>
    <row r="1708" spans="1:9" x14ac:dyDescent="0.3">
      <c r="A1708" t="s">
        <v>330</v>
      </c>
      <c r="B1708" s="20">
        <v>43831</v>
      </c>
      <c r="C1708" t="s">
        <v>175</v>
      </c>
      <c r="D1708" t="s">
        <v>487</v>
      </c>
      <c r="E1708" t="s">
        <v>384</v>
      </c>
      <c r="F1708">
        <v>0</v>
      </c>
      <c r="G1708">
        <v>0</v>
      </c>
      <c r="H1708">
        <f>IF(report_B_CategorieBoekjaar[[#This Row],[BedrijfsCode]]="002",IF(report_B_CategorieBoekjaar[[#This Row],[Boekjaar]]=Projectbegroting!$K$1,report_B_CategorieBoekjaar[[#This Row],[CategorieCode]],0),0)</f>
        <v>0</v>
      </c>
      <c r="I1708">
        <f>IF(report_B_CategorieBoekjaar[[#This Row],[BedrijfsCode]]="001",IF(report_B_CategorieBoekjaar[[#This Row],[Boekjaar]]=Projectbegroting!$K$1,report_B_CategorieBoekjaar[[#This Row],[CategorieCode]],0),0)</f>
        <v>0</v>
      </c>
    </row>
    <row r="1709" spans="1:9" x14ac:dyDescent="0.3">
      <c r="A1709" t="s">
        <v>330</v>
      </c>
      <c r="B1709" s="20">
        <v>43831</v>
      </c>
      <c r="C1709" t="s">
        <v>488</v>
      </c>
      <c r="D1709" t="s">
        <v>489</v>
      </c>
      <c r="E1709" t="s">
        <v>381</v>
      </c>
      <c r="F1709">
        <v>70</v>
      </c>
      <c r="G1709">
        <v>98</v>
      </c>
      <c r="H1709">
        <f>IF(report_B_CategorieBoekjaar[[#This Row],[BedrijfsCode]]="002",IF(report_B_CategorieBoekjaar[[#This Row],[Boekjaar]]=Projectbegroting!$K$1,report_B_CategorieBoekjaar[[#This Row],[CategorieCode]],0),0)</f>
        <v>0</v>
      </c>
      <c r="I1709">
        <f>IF(report_B_CategorieBoekjaar[[#This Row],[BedrijfsCode]]="001",IF(report_B_CategorieBoekjaar[[#This Row],[Boekjaar]]=Projectbegroting!$K$1,report_B_CategorieBoekjaar[[#This Row],[CategorieCode]],0),0)</f>
        <v>0</v>
      </c>
    </row>
    <row r="1710" spans="1:9" x14ac:dyDescent="0.3">
      <c r="A1710" t="s">
        <v>330</v>
      </c>
      <c r="B1710" s="20">
        <v>43831</v>
      </c>
      <c r="C1710" t="s">
        <v>490</v>
      </c>
      <c r="D1710" t="s">
        <v>491</v>
      </c>
      <c r="E1710" t="s">
        <v>384</v>
      </c>
      <c r="F1710">
        <v>0</v>
      </c>
      <c r="G1710">
        <v>0</v>
      </c>
      <c r="H1710">
        <f>IF(report_B_CategorieBoekjaar[[#This Row],[BedrijfsCode]]="002",IF(report_B_CategorieBoekjaar[[#This Row],[Boekjaar]]=Projectbegroting!$K$1,report_B_CategorieBoekjaar[[#This Row],[CategorieCode]],0),0)</f>
        <v>0</v>
      </c>
      <c r="I1710">
        <f>IF(report_B_CategorieBoekjaar[[#This Row],[BedrijfsCode]]="001",IF(report_B_CategorieBoekjaar[[#This Row],[Boekjaar]]=Projectbegroting!$K$1,report_B_CategorieBoekjaar[[#This Row],[CategorieCode]],0),0)</f>
        <v>0</v>
      </c>
    </row>
    <row r="1711" spans="1:9" x14ac:dyDescent="0.3">
      <c r="A1711" t="s">
        <v>330</v>
      </c>
      <c r="B1711" s="20">
        <v>43831</v>
      </c>
      <c r="C1711" t="s">
        <v>68</v>
      </c>
      <c r="D1711" t="s">
        <v>492</v>
      </c>
      <c r="E1711" t="s">
        <v>381</v>
      </c>
      <c r="F1711">
        <v>45</v>
      </c>
      <c r="G1711">
        <v>82</v>
      </c>
      <c r="H1711">
        <f>IF(report_B_CategorieBoekjaar[[#This Row],[BedrijfsCode]]="002",IF(report_B_CategorieBoekjaar[[#This Row],[Boekjaar]]=Projectbegroting!$K$1,report_B_CategorieBoekjaar[[#This Row],[CategorieCode]],0),0)</f>
        <v>0</v>
      </c>
      <c r="I1711">
        <f>IF(report_B_CategorieBoekjaar[[#This Row],[BedrijfsCode]]="001",IF(report_B_CategorieBoekjaar[[#This Row],[Boekjaar]]=Projectbegroting!$K$1,report_B_CategorieBoekjaar[[#This Row],[CategorieCode]],0),0)</f>
        <v>0</v>
      </c>
    </row>
    <row r="1712" spans="1:9" x14ac:dyDescent="0.3">
      <c r="A1712" t="s">
        <v>330</v>
      </c>
      <c r="B1712" s="20">
        <v>43831</v>
      </c>
      <c r="C1712" t="s">
        <v>177</v>
      </c>
      <c r="D1712" t="s">
        <v>493</v>
      </c>
      <c r="E1712" t="s">
        <v>384</v>
      </c>
      <c r="F1712">
        <v>0</v>
      </c>
      <c r="G1712">
        <v>0</v>
      </c>
      <c r="H1712">
        <f>IF(report_B_CategorieBoekjaar[[#This Row],[BedrijfsCode]]="002",IF(report_B_CategorieBoekjaar[[#This Row],[Boekjaar]]=Projectbegroting!$K$1,report_B_CategorieBoekjaar[[#This Row],[CategorieCode]],0),0)</f>
        <v>0</v>
      </c>
      <c r="I1712">
        <f>IF(report_B_CategorieBoekjaar[[#This Row],[BedrijfsCode]]="001",IF(report_B_CategorieBoekjaar[[#This Row],[Boekjaar]]=Projectbegroting!$K$1,report_B_CategorieBoekjaar[[#This Row],[CategorieCode]],0),0)</f>
        <v>0</v>
      </c>
    </row>
    <row r="1713" spans="1:9" x14ac:dyDescent="0.3">
      <c r="A1713" t="s">
        <v>330</v>
      </c>
      <c r="B1713" s="20">
        <v>43831</v>
      </c>
      <c r="C1713" t="s">
        <v>494</v>
      </c>
      <c r="D1713" t="s">
        <v>495</v>
      </c>
      <c r="E1713" t="s">
        <v>381</v>
      </c>
      <c r="F1713">
        <v>39</v>
      </c>
      <c r="G1713">
        <v>76</v>
      </c>
      <c r="H1713">
        <f>IF(report_B_CategorieBoekjaar[[#This Row],[BedrijfsCode]]="002",IF(report_B_CategorieBoekjaar[[#This Row],[Boekjaar]]=Projectbegroting!$K$1,report_B_CategorieBoekjaar[[#This Row],[CategorieCode]],0),0)</f>
        <v>0</v>
      </c>
      <c r="I1713">
        <f>IF(report_B_CategorieBoekjaar[[#This Row],[BedrijfsCode]]="001",IF(report_B_CategorieBoekjaar[[#This Row],[Boekjaar]]=Projectbegroting!$K$1,report_B_CategorieBoekjaar[[#This Row],[CategorieCode]],0),0)</f>
        <v>0</v>
      </c>
    </row>
    <row r="1714" spans="1:9" x14ac:dyDescent="0.3">
      <c r="A1714" t="s">
        <v>330</v>
      </c>
      <c r="B1714" s="20">
        <v>43831</v>
      </c>
      <c r="C1714" t="s">
        <v>496</v>
      </c>
      <c r="D1714" t="s">
        <v>497</v>
      </c>
      <c r="E1714" t="s">
        <v>384</v>
      </c>
      <c r="F1714">
        <v>0</v>
      </c>
      <c r="G1714">
        <v>0</v>
      </c>
      <c r="H1714">
        <f>IF(report_B_CategorieBoekjaar[[#This Row],[BedrijfsCode]]="002",IF(report_B_CategorieBoekjaar[[#This Row],[Boekjaar]]=Projectbegroting!$K$1,report_B_CategorieBoekjaar[[#This Row],[CategorieCode]],0),0)</f>
        <v>0</v>
      </c>
      <c r="I1714">
        <f>IF(report_B_CategorieBoekjaar[[#This Row],[BedrijfsCode]]="001",IF(report_B_CategorieBoekjaar[[#This Row],[Boekjaar]]=Projectbegroting!$K$1,report_B_CategorieBoekjaar[[#This Row],[CategorieCode]],0),0)</f>
        <v>0</v>
      </c>
    </row>
    <row r="1715" spans="1:9" x14ac:dyDescent="0.3">
      <c r="A1715" t="s">
        <v>330</v>
      </c>
      <c r="B1715" s="20">
        <v>43831</v>
      </c>
      <c r="C1715" t="s">
        <v>70</v>
      </c>
      <c r="D1715" t="s">
        <v>498</v>
      </c>
      <c r="E1715" t="s">
        <v>381</v>
      </c>
      <c r="F1715">
        <v>35</v>
      </c>
      <c r="G1715">
        <v>0</v>
      </c>
      <c r="H1715">
        <f>IF(report_B_CategorieBoekjaar[[#This Row],[BedrijfsCode]]="002",IF(report_B_CategorieBoekjaar[[#This Row],[Boekjaar]]=Projectbegroting!$K$1,report_B_CategorieBoekjaar[[#This Row],[CategorieCode]],0),0)</f>
        <v>0</v>
      </c>
      <c r="I1715">
        <f>IF(report_B_CategorieBoekjaar[[#This Row],[BedrijfsCode]]="001",IF(report_B_CategorieBoekjaar[[#This Row],[Boekjaar]]=Projectbegroting!$K$1,report_B_CategorieBoekjaar[[#This Row],[CategorieCode]],0),0)</f>
        <v>0</v>
      </c>
    </row>
    <row r="1716" spans="1:9" x14ac:dyDescent="0.3">
      <c r="A1716" t="s">
        <v>330</v>
      </c>
      <c r="B1716" s="20">
        <v>43831</v>
      </c>
      <c r="C1716" t="s">
        <v>499</v>
      </c>
      <c r="D1716" t="s">
        <v>500</v>
      </c>
      <c r="E1716" t="s">
        <v>384</v>
      </c>
      <c r="F1716">
        <v>0</v>
      </c>
      <c r="G1716">
        <v>0</v>
      </c>
      <c r="H1716">
        <f>IF(report_B_CategorieBoekjaar[[#This Row],[BedrijfsCode]]="002",IF(report_B_CategorieBoekjaar[[#This Row],[Boekjaar]]=Projectbegroting!$K$1,report_B_CategorieBoekjaar[[#This Row],[CategorieCode]],0),0)</f>
        <v>0</v>
      </c>
      <c r="I1716">
        <f>IF(report_B_CategorieBoekjaar[[#This Row],[BedrijfsCode]]="001",IF(report_B_CategorieBoekjaar[[#This Row],[Boekjaar]]=Projectbegroting!$K$1,report_B_CategorieBoekjaar[[#This Row],[CategorieCode]],0),0)</f>
        <v>0</v>
      </c>
    </row>
    <row r="1717" spans="1:9" x14ac:dyDescent="0.3">
      <c r="A1717" t="s">
        <v>330</v>
      </c>
      <c r="B1717" s="20">
        <v>43831</v>
      </c>
      <c r="C1717" t="s">
        <v>501</v>
      </c>
      <c r="D1717" t="s">
        <v>502</v>
      </c>
      <c r="E1717" t="s">
        <v>381</v>
      </c>
      <c r="F1717">
        <v>69</v>
      </c>
      <c r="G1717">
        <v>107</v>
      </c>
      <c r="H1717">
        <f>IF(report_B_CategorieBoekjaar[[#This Row],[BedrijfsCode]]="002",IF(report_B_CategorieBoekjaar[[#This Row],[Boekjaar]]=Projectbegroting!$K$1,report_B_CategorieBoekjaar[[#This Row],[CategorieCode]],0),0)</f>
        <v>0</v>
      </c>
      <c r="I1717">
        <f>IF(report_B_CategorieBoekjaar[[#This Row],[BedrijfsCode]]="001",IF(report_B_CategorieBoekjaar[[#This Row],[Boekjaar]]=Projectbegroting!$K$1,report_B_CategorieBoekjaar[[#This Row],[CategorieCode]],0),0)</f>
        <v>0</v>
      </c>
    </row>
    <row r="1718" spans="1:9" x14ac:dyDescent="0.3">
      <c r="A1718" t="s">
        <v>330</v>
      </c>
      <c r="B1718" s="20">
        <v>43831</v>
      </c>
      <c r="C1718" t="s">
        <v>503</v>
      </c>
      <c r="D1718" t="s">
        <v>504</v>
      </c>
      <c r="E1718" t="s">
        <v>384</v>
      </c>
      <c r="F1718">
        <v>0</v>
      </c>
      <c r="G1718">
        <v>0</v>
      </c>
      <c r="H1718">
        <f>IF(report_B_CategorieBoekjaar[[#This Row],[BedrijfsCode]]="002",IF(report_B_CategorieBoekjaar[[#This Row],[Boekjaar]]=Projectbegroting!$K$1,report_B_CategorieBoekjaar[[#This Row],[CategorieCode]],0),0)</f>
        <v>0</v>
      </c>
      <c r="I1718">
        <f>IF(report_B_CategorieBoekjaar[[#This Row],[BedrijfsCode]]="001",IF(report_B_CategorieBoekjaar[[#This Row],[Boekjaar]]=Projectbegroting!$K$1,report_B_CategorieBoekjaar[[#This Row],[CategorieCode]],0),0)</f>
        <v>0</v>
      </c>
    </row>
    <row r="1719" spans="1:9" x14ac:dyDescent="0.3">
      <c r="A1719" t="s">
        <v>330</v>
      </c>
      <c r="B1719" s="20">
        <v>43831</v>
      </c>
      <c r="C1719" t="s">
        <v>505</v>
      </c>
      <c r="D1719" t="s">
        <v>506</v>
      </c>
      <c r="E1719" t="s">
        <v>381</v>
      </c>
      <c r="F1719">
        <v>49</v>
      </c>
      <c r="G1719">
        <v>0</v>
      </c>
      <c r="H1719">
        <f>IF(report_B_CategorieBoekjaar[[#This Row],[BedrijfsCode]]="002",IF(report_B_CategorieBoekjaar[[#This Row],[Boekjaar]]=Projectbegroting!$K$1,report_B_CategorieBoekjaar[[#This Row],[CategorieCode]],0),0)</f>
        <v>0</v>
      </c>
      <c r="I1719">
        <f>IF(report_B_CategorieBoekjaar[[#This Row],[BedrijfsCode]]="001",IF(report_B_CategorieBoekjaar[[#This Row],[Boekjaar]]=Projectbegroting!$K$1,report_B_CategorieBoekjaar[[#This Row],[CategorieCode]],0),0)</f>
        <v>0</v>
      </c>
    </row>
    <row r="1720" spans="1:9" x14ac:dyDescent="0.3">
      <c r="A1720" t="s">
        <v>330</v>
      </c>
      <c r="B1720" s="20">
        <v>43831</v>
      </c>
      <c r="C1720" t="s">
        <v>507</v>
      </c>
      <c r="D1720" t="s">
        <v>508</v>
      </c>
      <c r="E1720" t="s">
        <v>384</v>
      </c>
      <c r="F1720">
        <v>0</v>
      </c>
      <c r="G1720">
        <v>0</v>
      </c>
      <c r="H1720">
        <f>IF(report_B_CategorieBoekjaar[[#This Row],[BedrijfsCode]]="002",IF(report_B_CategorieBoekjaar[[#This Row],[Boekjaar]]=Projectbegroting!$K$1,report_B_CategorieBoekjaar[[#This Row],[CategorieCode]],0),0)</f>
        <v>0</v>
      </c>
      <c r="I1720">
        <f>IF(report_B_CategorieBoekjaar[[#This Row],[BedrijfsCode]]="001",IF(report_B_CategorieBoekjaar[[#This Row],[Boekjaar]]=Projectbegroting!$K$1,report_B_CategorieBoekjaar[[#This Row],[CategorieCode]],0),0)</f>
        <v>0</v>
      </c>
    </row>
    <row r="1721" spans="1:9" x14ac:dyDescent="0.3">
      <c r="A1721" t="s">
        <v>330</v>
      </c>
      <c r="B1721" s="20">
        <v>43831</v>
      </c>
      <c r="C1721" t="s">
        <v>509</v>
      </c>
      <c r="D1721" t="s">
        <v>510</v>
      </c>
      <c r="E1721" t="s">
        <v>381</v>
      </c>
      <c r="F1721">
        <v>154</v>
      </c>
      <c r="G1721">
        <v>0</v>
      </c>
      <c r="H1721">
        <f>IF(report_B_CategorieBoekjaar[[#This Row],[BedrijfsCode]]="002",IF(report_B_CategorieBoekjaar[[#This Row],[Boekjaar]]=Projectbegroting!$K$1,report_B_CategorieBoekjaar[[#This Row],[CategorieCode]],0),0)</f>
        <v>0</v>
      </c>
      <c r="I1721">
        <f>IF(report_B_CategorieBoekjaar[[#This Row],[BedrijfsCode]]="001",IF(report_B_CategorieBoekjaar[[#This Row],[Boekjaar]]=Projectbegroting!$K$1,report_B_CategorieBoekjaar[[#This Row],[CategorieCode]],0),0)</f>
        <v>0</v>
      </c>
    </row>
    <row r="1722" spans="1:9" x14ac:dyDescent="0.3">
      <c r="A1722" t="s">
        <v>330</v>
      </c>
      <c r="B1722" s="20">
        <v>43831</v>
      </c>
      <c r="C1722" t="s">
        <v>511</v>
      </c>
      <c r="D1722" t="s">
        <v>512</v>
      </c>
      <c r="E1722" t="s">
        <v>381</v>
      </c>
      <c r="F1722">
        <v>0</v>
      </c>
      <c r="G1722">
        <v>0</v>
      </c>
      <c r="H1722">
        <f>IF(report_B_CategorieBoekjaar[[#This Row],[BedrijfsCode]]="002",IF(report_B_CategorieBoekjaar[[#This Row],[Boekjaar]]=Projectbegroting!$K$1,report_B_CategorieBoekjaar[[#This Row],[CategorieCode]],0),0)</f>
        <v>0</v>
      </c>
      <c r="I1722">
        <f>IF(report_B_CategorieBoekjaar[[#This Row],[BedrijfsCode]]="001",IF(report_B_CategorieBoekjaar[[#This Row],[Boekjaar]]=Projectbegroting!$K$1,report_B_CategorieBoekjaar[[#This Row],[CategorieCode]],0),0)</f>
        <v>0</v>
      </c>
    </row>
    <row r="1723" spans="1:9" x14ac:dyDescent="0.3">
      <c r="A1723" t="s">
        <v>330</v>
      </c>
      <c r="B1723" s="20">
        <v>43831</v>
      </c>
      <c r="C1723" t="s">
        <v>92</v>
      </c>
      <c r="D1723" t="s">
        <v>513</v>
      </c>
      <c r="E1723" t="s">
        <v>381</v>
      </c>
      <c r="F1723">
        <v>60</v>
      </c>
      <c r="G1723">
        <v>86</v>
      </c>
      <c r="H1723">
        <f>IF(report_B_CategorieBoekjaar[[#This Row],[BedrijfsCode]]="002",IF(report_B_CategorieBoekjaar[[#This Row],[Boekjaar]]=Projectbegroting!$K$1,report_B_CategorieBoekjaar[[#This Row],[CategorieCode]],0),0)</f>
        <v>0</v>
      </c>
      <c r="I1723">
        <f>IF(report_B_CategorieBoekjaar[[#This Row],[BedrijfsCode]]="001",IF(report_B_CategorieBoekjaar[[#This Row],[Boekjaar]]=Projectbegroting!$K$1,report_B_CategorieBoekjaar[[#This Row],[CategorieCode]],0),0)</f>
        <v>0</v>
      </c>
    </row>
    <row r="1724" spans="1:9" x14ac:dyDescent="0.3">
      <c r="A1724" t="s">
        <v>330</v>
      </c>
      <c r="B1724" s="20">
        <v>43831</v>
      </c>
      <c r="C1724" t="s">
        <v>514</v>
      </c>
      <c r="D1724" t="s">
        <v>515</v>
      </c>
      <c r="E1724" t="s">
        <v>384</v>
      </c>
      <c r="F1724">
        <v>0</v>
      </c>
      <c r="G1724">
        <v>0</v>
      </c>
      <c r="H1724">
        <f>IF(report_B_CategorieBoekjaar[[#This Row],[BedrijfsCode]]="002",IF(report_B_CategorieBoekjaar[[#This Row],[Boekjaar]]=Projectbegroting!$K$1,report_B_CategorieBoekjaar[[#This Row],[CategorieCode]],0),0)</f>
        <v>0</v>
      </c>
      <c r="I1724">
        <f>IF(report_B_CategorieBoekjaar[[#This Row],[BedrijfsCode]]="001",IF(report_B_CategorieBoekjaar[[#This Row],[Boekjaar]]=Projectbegroting!$K$1,report_B_CategorieBoekjaar[[#This Row],[CategorieCode]],0),0)</f>
        <v>0</v>
      </c>
    </row>
    <row r="1725" spans="1:9" x14ac:dyDescent="0.3">
      <c r="A1725" t="s">
        <v>330</v>
      </c>
      <c r="B1725" s="20">
        <v>43831</v>
      </c>
      <c r="C1725" t="s">
        <v>72</v>
      </c>
      <c r="D1725" t="s">
        <v>516</v>
      </c>
      <c r="E1725" t="s">
        <v>381</v>
      </c>
      <c r="F1725">
        <v>46</v>
      </c>
      <c r="G1725">
        <v>70</v>
      </c>
      <c r="H1725">
        <f>IF(report_B_CategorieBoekjaar[[#This Row],[BedrijfsCode]]="002",IF(report_B_CategorieBoekjaar[[#This Row],[Boekjaar]]=Projectbegroting!$K$1,report_B_CategorieBoekjaar[[#This Row],[CategorieCode]],0),0)</f>
        <v>0</v>
      </c>
      <c r="I1725">
        <f>IF(report_B_CategorieBoekjaar[[#This Row],[BedrijfsCode]]="001",IF(report_B_CategorieBoekjaar[[#This Row],[Boekjaar]]=Projectbegroting!$K$1,report_B_CategorieBoekjaar[[#This Row],[CategorieCode]],0),0)</f>
        <v>0</v>
      </c>
    </row>
    <row r="1726" spans="1:9" x14ac:dyDescent="0.3">
      <c r="A1726" t="s">
        <v>330</v>
      </c>
      <c r="B1726" s="20">
        <v>43831</v>
      </c>
      <c r="C1726" t="s">
        <v>517</v>
      </c>
      <c r="D1726" t="s">
        <v>518</v>
      </c>
      <c r="E1726" t="s">
        <v>384</v>
      </c>
      <c r="F1726">
        <v>0</v>
      </c>
      <c r="G1726">
        <v>0</v>
      </c>
      <c r="H1726">
        <f>IF(report_B_CategorieBoekjaar[[#This Row],[BedrijfsCode]]="002",IF(report_B_CategorieBoekjaar[[#This Row],[Boekjaar]]=Projectbegroting!$K$1,report_B_CategorieBoekjaar[[#This Row],[CategorieCode]],0),0)</f>
        <v>0</v>
      </c>
      <c r="I1726">
        <f>IF(report_B_CategorieBoekjaar[[#This Row],[BedrijfsCode]]="001",IF(report_B_CategorieBoekjaar[[#This Row],[Boekjaar]]=Projectbegroting!$K$1,report_B_CategorieBoekjaar[[#This Row],[CategorieCode]],0),0)</f>
        <v>0</v>
      </c>
    </row>
    <row r="1727" spans="1:9" x14ac:dyDescent="0.3">
      <c r="A1727" t="s">
        <v>330</v>
      </c>
      <c r="B1727" s="20">
        <v>43831</v>
      </c>
      <c r="C1727" t="s">
        <v>74</v>
      </c>
      <c r="D1727" t="s">
        <v>75</v>
      </c>
      <c r="E1727" t="s">
        <v>381</v>
      </c>
      <c r="F1727">
        <v>38</v>
      </c>
      <c r="G1727">
        <v>64</v>
      </c>
      <c r="H1727">
        <f>IF(report_B_CategorieBoekjaar[[#This Row],[BedrijfsCode]]="002",IF(report_B_CategorieBoekjaar[[#This Row],[Boekjaar]]=Projectbegroting!$K$1,report_B_CategorieBoekjaar[[#This Row],[CategorieCode]],0),0)</f>
        <v>0</v>
      </c>
      <c r="I1727">
        <f>IF(report_B_CategorieBoekjaar[[#This Row],[BedrijfsCode]]="001",IF(report_B_CategorieBoekjaar[[#This Row],[Boekjaar]]=Projectbegroting!$K$1,report_B_CategorieBoekjaar[[#This Row],[CategorieCode]],0),0)</f>
        <v>0</v>
      </c>
    </row>
    <row r="1728" spans="1:9" x14ac:dyDescent="0.3">
      <c r="A1728" t="s">
        <v>330</v>
      </c>
      <c r="B1728" s="20">
        <v>43831</v>
      </c>
      <c r="C1728" t="s">
        <v>178</v>
      </c>
      <c r="D1728" t="s">
        <v>519</v>
      </c>
      <c r="E1728" t="s">
        <v>384</v>
      </c>
      <c r="F1728">
        <v>0</v>
      </c>
      <c r="G1728">
        <v>0</v>
      </c>
      <c r="H1728">
        <f>IF(report_B_CategorieBoekjaar[[#This Row],[BedrijfsCode]]="002",IF(report_B_CategorieBoekjaar[[#This Row],[Boekjaar]]=Projectbegroting!$K$1,report_B_CategorieBoekjaar[[#This Row],[CategorieCode]],0),0)</f>
        <v>0</v>
      </c>
      <c r="I1728">
        <f>IF(report_B_CategorieBoekjaar[[#This Row],[BedrijfsCode]]="001",IF(report_B_CategorieBoekjaar[[#This Row],[Boekjaar]]=Projectbegroting!$K$1,report_B_CategorieBoekjaar[[#This Row],[CategorieCode]],0),0)</f>
        <v>0</v>
      </c>
    </row>
    <row r="1729" spans="1:9" x14ac:dyDescent="0.3">
      <c r="A1729" t="s">
        <v>330</v>
      </c>
      <c r="B1729" s="20">
        <v>43831</v>
      </c>
      <c r="C1729" t="s">
        <v>520</v>
      </c>
      <c r="D1729" t="s">
        <v>521</v>
      </c>
      <c r="E1729" t="s">
        <v>384</v>
      </c>
      <c r="F1729">
        <v>0</v>
      </c>
      <c r="G1729">
        <v>0</v>
      </c>
      <c r="H1729">
        <f>IF(report_B_CategorieBoekjaar[[#This Row],[BedrijfsCode]]="002",IF(report_B_CategorieBoekjaar[[#This Row],[Boekjaar]]=Projectbegroting!$K$1,report_B_CategorieBoekjaar[[#This Row],[CategorieCode]],0),0)</f>
        <v>0</v>
      </c>
      <c r="I1729">
        <f>IF(report_B_CategorieBoekjaar[[#This Row],[BedrijfsCode]]="001",IF(report_B_CategorieBoekjaar[[#This Row],[Boekjaar]]=Projectbegroting!$K$1,report_B_CategorieBoekjaar[[#This Row],[CategorieCode]],0),0)</f>
        <v>0</v>
      </c>
    </row>
    <row r="1730" spans="1:9" x14ac:dyDescent="0.3">
      <c r="A1730" t="s">
        <v>330</v>
      </c>
      <c r="B1730" s="20">
        <v>43831</v>
      </c>
      <c r="C1730" t="s">
        <v>522</v>
      </c>
      <c r="D1730" t="s">
        <v>523</v>
      </c>
      <c r="E1730" t="s">
        <v>381</v>
      </c>
      <c r="F1730">
        <v>75</v>
      </c>
      <c r="G1730">
        <v>0</v>
      </c>
      <c r="H1730">
        <f>IF(report_B_CategorieBoekjaar[[#This Row],[BedrijfsCode]]="002",IF(report_B_CategorieBoekjaar[[#This Row],[Boekjaar]]=Projectbegroting!$K$1,report_B_CategorieBoekjaar[[#This Row],[CategorieCode]],0),0)</f>
        <v>0</v>
      </c>
      <c r="I1730">
        <f>IF(report_B_CategorieBoekjaar[[#This Row],[BedrijfsCode]]="001",IF(report_B_CategorieBoekjaar[[#This Row],[Boekjaar]]=Projectbegroting!$K$1,report_B_CategorieBoekjaar[[#This Row],[CategorieCode]],0),0)</f>
        <v>0</v>
      </c>
    </row>
    <row r="1731" spans="1:9" x14ac:dyDescent="0.3">
      <c r="A1731" t="s">
        <v>330</v>
      </c>
      <c r="B1731" s="20">
        <v>43831</v>
      </c>
      <c r="C1731" t="s">
        <v>78</v>
      </c>
      <c r="D1731" t="s">
        <v>79</v>
      </c>
      <c r="E1731" t="s">
        <v>381</v>
      </c>
      <c r="F1731">
        <v>66</v>
      </c>
      <c r="G1731">
        <v>104</v>
      </c>
      <c r="H1731">
        <f>IF(report_B_CategorieBoekjaar[[#This Row],[BedrijfsCode]]="002",IF(report_B_CategorieBoekjaar[[#This Row],[Boekjaar]]=Projectbegroting!$K$1,report_B_CategorieBoekjaar[[#This Row],[CategorieCode]],0),0)</f>
        <v>0</v>
      </c>
      <c r="I1731">
        <f>IF(report_B_CategorieBoekjaar[[#This Row],[BedrijfsCode]]="001",IF(report_B_CategorieBoekjaar[[#This Row],[Boekjaar]]=Projectbegroting!$K$1,report_B_CategorieBoekjaar[[#This Row],[CategorieCode]],0),0)</f>
        <v>0</v>
      </c>
    </row>
    <row r="1732" spans="1:9" x14ac:dyDescent="0.3">
      <c r="A1732" t="s">
        <v>330</v>
      </c>
      <c r="B1732" s="20">
        <v>43831</v>
      </c>
      <c r="C1732" t="s">
        <v>176</v>
      </c>
      <c r="D1732" t="s">
        <v>524</v>
      </c>
      <c r="E1732" t="s">
        <v>384</v>
      </c>
      <c r="F1732">
        <v>0</v>
      </c>
      <c r="G1732">
        <v>0</v>
      </c>
      <c r="H1732">
        <f>IF(report_B_CategorieBoekjaar[[#This Row],[BedrijfsCode]]="002",IF(report_B_CategorieBoekjaar[[#This Row],[Boekjaar]]=Projectbegroting!$K$1,report_B_CategorieBoekjaar[[#This Row],[CategorieCode]],0),0)</f>
        <v>0</v>
      </c>
      <c r="I1732">
        <f>IF(report_B_CategorieBoekjaar[[#This Row],[BedrijfsCode]]="001",IF(report_B_CategorieBoekjaar[[#This Row],[Boekjaar]]=Projectbegroting!$K$1,report_B_CategorieBoekjaar[[#This Row],[CategorieCode]],0),0)</f>
        <v>0</v>
      </c>
    </row>
    <row r="1733" spans="1:9" hidden="1" x14ac:dyDescent="0.3">
      <c r="A1733" t="s">
        <v>525</v>
      </c>
      <c r="B1733" s="20">
        <v>43831</v>
      </c>
      <c r="C1733" t="s">
        <v>179</v>
      </c>
      <c r="D1733" t="s">
        <v>331</v>
      </c>
      <c r="E1733" t="s">
        <v>217</v>
      </c>
      <c r="F1733">
        <v>0</v>
      </c>
      <c r="G1733">
        <v>0</v>
      </c>
      <c r="H1733">
        <f>IF(report_B_CategorieBoekjaar[[#This Row],[BedrijfsCode]]="002",IF(report_B_CategorieBoekjaar[[#This Row],[Boekjaar]]=Projectbegroting!$K$1,report_B_CategorieBoekjaar[[#This Row],[CategorieCode]],0),0)</f>
        <v>0</v>
      </c>
      <c r="I1733">
        <f>IF(report_B_CategorieBoekjaar[[#This Row],[BedrijfsCode]]="001",IF(report_B_CategorieBoekjaar[[#This Row],[Boekjaar]]=Projectbegroting!$K$1,report_B_CategorieBoekjaar[[#This Row],[CategorieCode]],0),0)</f>
        <v>0</v>
      </c>
    </row>
    <row r="1734" spans="1:9" hidden="1" x14ac:dyDescent="0.3">
      <c r="A1734" t="s">
        <v>525</v>
      </c>
      <c r="B1734" s="20">
        <v>43831</v>
      </c>
      <c r="C1734" t="s">
        <v>180</v>
      </c>
      <c r="D1734" t="s">
        <v>332</v>
      </c>
      <c r="E1734" t="s">
        <v>217</v>
      </c>
      <c r="F1734">
        <v>0</v>
      </c>
      <c r="G1734">
        <v>0</v>
      </c>
      <c r="H1734">
        <f>IF(report_B_CategorieBoekjaar[[#This Row],[BedrijfsCode]]="002",IF(report_B_CategorieBoekjaar[[#This Row],[Boekjaar]]=Projectbegroting!$K$1,report_B_CategorieBoekjaar[[#This Row],[CategorieCode]],0),0)</f>
        <v>0</v>
      </c>
      <c r="I1734">
        <f>IF(report_B_CategorieBoekjaar[[#This Row],[BedrijfsCode]]="001",IF(report_B_CategorieBoekjaar[[#This Row],[Boekjaar]]=Projectbegroting!$K$1,report_B_CategorieBoekjaar[[#This Row],[CategorieCode]],0),0)</f>
        <v>0</v>
      </c>
    </row>
    <row r="1735" spans="1:9" hidden="1" x14ac:dyDescent="0.3">
      <c r="A1735" t="s">
        <v>525</v>
      </c>
      <c r="B1735" s="20">
        <v>43831</v>
      </c>
      <c r="C1735" t="s">
        <v>181</v>
      </c>
      <c r="D1735" t="s">
        <v>333</v>
      </c>
      <c r="E1735" t="s">
        <v>217</v>
      </c>
      <c r="F1735">
        <v>0</v>
      </c>
      <c r="G1735">
        <v>0</v>
      </c>
      <c r="H1735">
        <f>IF(report_B_CategorieBoekjaar[[#This Row],[BedrijfsCode]]="002",IF(report_B_CategorieBoekjaar[[#This Row],[Boekjaar]]=Projectbegroting!$K$1,report_B_CategorieBoekjaar[[#This Row],[CategorieCode]],0),0)</f>
        <v>0</v>
      </c>
      <c r="I1735">
        <f>IF(report_B_CategorieBoekjaar[[#This Row],[BedrijfsCode]]="001",IF(report_B_CategorieBoekjaar[[#This Row],[Boekjaar]]=Projectbegroting!$K$1,report_B_CategorieBoekjaar[[#This Row],[CategorieCode]],0),0)</f>
        <v>0</v>
      </c>
    </row>
    <row r="1736" spans="1:9" hidden="1" x14ac:dyDescent="0.3">
      <c r="A1736" t="s">
        <v>525</v>
      </c>
      <c r="B1736" s="20">
        <v>43831</v>
      </c>
      <c r="C1736" t="s">
        <v>182</v>
      </c>
      <c r="D1736" t="s">
        <v>334</v>
      </c>
      <c r="E1736" t="s">
        <v>217</v>
      </c>
      <c r="F1736">
        <v>0</v>
      </c>
      <c r="G1736">
        <v>0</v>
      </c>
      <c r="H1736">
        <f>IF(report_B_CategorieBoekjaar[[#This Row],[BedrijfsCode]]="002",IF(report_B_CategorieBoekjaar[[#This Row],[Boekjaar]]=Projectbegroting!$K$1,report_B_CategorieBoekjaar[[#This Row],[CategorieCode]],0),0)</f>
        <v>0</v>
      </c>
      <c r="I1736">
        <f>IF(report_B_CategorieBoekjaar[[#This Row],[BedrijfsCode]]="001",IF(report_B_CategorieBoekjaar[[#This Row],[Boekjaar]]=Projectbegroting!$K$1,report_B_CategorieBoekjaar[[#This Row],[CategorieCode]],0),0)</f>
        <v>0</v>
      </c>
    </row>
    <row r="1737" spans="1:9" hidden="1" x14ac:dyDescent="0.3">
      <c r="A1737" t="s">
        <v>525</v>
      </c>
      <c r="B1737" s="20">
        <v>43831</v>
      </c>
      <c r="C1737" t="s">
        <v>183</v>
      </c>
      <c r="D1737" t="s">
        <v>335</v>
      </c>
      <c r="E1737" t="s">
        <v>217</v>
      </c>
      <c r="F1737">
        <v>0</v>
      </c>
      <c r="G1737">
        <v>0</v>
      </c>
      <c r="H1737">
        <f>IF(report_B_CategorieBoekjaar[[#This Row],[BedrijfsCode]]="002",IF(report_B_CategorieBoekjaar[[#This Row],[Boekjaar]]=Projectbegroting!$K$1,report_B_CategorieBoekjaar[[#This Row],[CategorieCode]],0),0)</f>
        <v>0</v>
      </c>
      <c r="I1737">
        <f>IF(report_B_CategorieBoekjaar[[#This Row],[BedrijfsCode]]="001",IF(report_B_CategorieBoekjaar[[#This Row],[Boekjaar]]=Projectbegroting!$K$1,report_B_CategorieBoekjaar[[#This Row],[CategorieCode]],0),0)</f>
        <v>0</v>
      </c>
    </row>
    <row r="1738" spans="1:9" hidden="1" x14ac:dyDescent="0.3">
      <c r="A1738" t="s">
        <v>525</v>
      </c>
      <c r="B1738" s="20">
        <v>43831</v>
      </c>
      <c r="C1738" t="s">
        <v>184</v>
      </c>
      <c r="D1738" t="s">
        <v>336</v>
      </c>
      <c r="E1738" t="s">
        <v>217</v>
      </c>
      <c r="F1738">
        <v>0</v>
      </c>
      <c r="G1738">
        <v>0</v>
      </c>
      <c r="H1738">
        <f>IF(report_B_CategorieBoekjaar[[#This Row],[BedrijfsCode]]="002",IF(report_B_CategorieBoekjaar[[#This Row],[Boekjaar]]=Projectbegroting!$K$1,report_B_CategorieBoekjaar[[#This Row],[CategorieCode]],0),0)</f>
        <v>0</v>
      </c>
      <c r="I1738">
        <f>IF(report_B_CategorieBoekjaar[[#This Row],[BedrijfsCode]]="001",IF(report_B_CategorieBoekjaar[[#This Row],[Boekjaar]]=Projectbegroting!$K$1,report_B_CategorieBoekjaar[[#This Row],[CategorieCode]],0),0)</f>
        <v>0</v>
      </c>
    </row>
    <row r="1739" spans="1:9" hidden="1" x14ac:dyDescent="0.3">
      <c r="A1739" t="s">
        <v>525</v>
      </c>
      <c r="B1739" s="20">
        <v>43831</v>
      </c>
      <c r="C1739" t="s">
        <v>185</v>
      </c>
      <c r="D1739" t="s">
        <v>337</v>
      </c>
      <c r="E1739" t="s">
        <v>217</v>
      </c>
      <c r="F1739">
        <v>0</v>
      </c>
      <c r="G1739">
        <v>0</v>
      </c>
      <c r="H1739">
        <f>IF(report_B_CategorieBoekjaar[[#This Row],[BedrijfsCode]]="002",IF(report_B_CategorieBoekjaar[[#This Row],[Boekjaar]]=Projectbegroting!$K$1,report_B_CategorieBoekjaar[[#This Row],[CategorieCode]],0),0)</f>
        <v>0</v>
      </c>
      <c r="I1739">
        <f>IF(report_B_CategorieBoekjaar[[#This Row],[BedrijfsCode]]="001",IF(report_B_CategorieBoekjaar[[#This Row],[Boekjaar]]=Projectbegroting!$K$1,report_B_CategorieBoekjaar[[#This Row],[CategorieCode]],0),0)</f>
        <v>0</v>
      </c>
    </row>
    <row r="1740" spans="1:9" hidden="1" x14ac:dyDescent="0.3">
      <c r="A1740" t="s">
        <v>525</v>
      </c>
      <c r="B1740" s="20">
        <v>43831</v>
      </c>
      <c r="C1740" t="s">
        <v>186</v>
      </c>
      <c r="D1740" t="s">
        <v>338</v>
      </c>
      <c r="E1740" t="s">
        <v>217</v>
      </c>
      <c r="F1740">
        <v>0</v>
      </c>
      <c r="G1740">
        <v>0</v>
      </c>
      <c r="H1740">
        <f>IF(report_B_CategorieBoekjaar[[#This Row],[BedrijfsCode]]="002",IF(report_B_CategorieBoekjaar[[#This Row],[Boekjaar]]=Projectbegroting!$K$1,report_B_CategorieBoekjaar[[#This Row],[CategorieCode]],0),0)</f>
        <v>0</v>
      </c>
      <c r="I1740">
        <f>IF(report_B_CategorieBoekjaar[[#This Row],[BedrijfsCode]]="001",IF(report_B_CategorieBoekjaar[[#This Row],[Boekjaar]]=Projectbegroting!$K$1,report_B_CategorieBoekjaar[[#This Row],[CategorieCode]],0),0)</f>
        <v>0</v>
      </c>
    </row>
    <row r="1741" spans="1:9" hidden="1" x14ac:dyDescent="0.3">
      <c r="A1741" t="s">
        <v>525</v>
      </c>
      <c r="B1741" s="20">
        <v>43831</v>
      </c>
      <c r="C1741" t="s">
        <v>187</v>
      </c>
      <c r="D1741" t="s">
        <v>339</v>
      </c>
      <c r="E1741" t="s">
        <v>217</v>
      </c>
      <c r="F1741">
        <v>0</v>
      </c>
      <c r="G1741">
        <v>0</v>
      </c>
      <c r="H1741">
        <f>IF(report_B_CategorieBoekjaar[[#This Row],[BedrijfsCode]]="002",IF(report_B_CategorieBoekjaar[[#This Row],[Boekjaar]]=Projectbegroting!$K$1,report_B_CategorieBoekjaar[[#This Row],[CategorieCode]],0),0)</f>
        <v>0</v>
      </c>
      <c r="I1741">
        <f>IF(report_B_CategorieBoekjaar[[#This Row],[BedrijfsCode]]="001",IF(report_B_CategorieBoekjaar[[#This Row],[Boekjaar]]=Projectbegroting!$K$1,report_B_CategorieBoekjaar[[#This Row],[CategorieCode]],0),0)</f>
        <v>0</v>
      </c>
    </row>
    <row r="1742" spans="1:9" hidden="1" x14ac:dyDescent="0.3">
      <c r="A1742" t="s">
        <v>525</v>
      </c>
      <c r="B1742" s="20">
        <v>43831</v>
      </c>
      <c r="C1742" t="s">
        <v>188</v>
      </c>
      <c r="D1742" t="s">
        <v>340</v>
      </c>
      <c r="E1742" t="s">
        <v>217</v>
      </c>
      <c r="F1742">
        <v>0</v>
      </c>
      <c r="G1742">
        <v>0</v>
      </c>
      <c r="H1742">
        <f>IF(report_B_CategorieBoekjaar[[#This Row],[BedrijfsCode]]="002",IF(report_B_CategorieBoekjaar[[#This Row],[Boekjaar]]=Projectbegroting!$K$1,report_B_CategorieBoekjaar[[#This Row],[CategorieCode]],0),0)</f>
        <v>0</v>
      </c>
      <c r="I1742">
        <f>IF(report_B_CategorieBoekjaar[[#This Row],[BedrijfsCode]]="001",IF(report_B_CategorieBoekjaar[[#This Row],[Boekjaar]]=Projectbegroting!$K$1,report_B_CategorieBoekjaar[[#This Row],[CategorieCode]],0),0)</f>
        <v>0</v>
      </c>
    </row>
    <row r="1743" spans="1:9" hidden="1" x14ac:dyDescent="0.3">
      <c r="A1743" t="s">
        <v>525</v>
      </c>
      <c r="B1743" s="20">
        <v>43831</v>
      </c>
      <c r="C1743" t="s">
        <v>189</v>
      </c>
      <c r="D1743" t="s">
        <v>341</v>
      </c>
      <c r="E1743" t="s">
        <v>217</v>
      </c>
      <c r="F1743">
        <v>0</v>
      </c>
      <c r="G1743">
        <v>0</v>
      </c>
      <c r="H1743">
        <f>IF(report_B_CategorieBoekjaar[[#This Row],[BedrijfsCode]]="002",IF(report_B_CategorieBoekjaar[[#This Row],[Boekjaar]]=Projectbegroting!$K$1,report_B_CategorieBoekjaar[[#This Row],[CategorieCode]],0),0)</f>
        <v>0</v>
      </c>
      <c r="I1743">
        <f>IF(report_B_CategorieBoekjaar[[#This Row],[BedrijfsCode]]="001",IF(report_B_CategorieBoekjaar[[#This Row],[Boekjaar]]=Projectbegroting!$K$1,report_B_CategorieBoekjaar[[#This Row],[CategorieCode]],0),0)</f>
        <v>0</v>
      </c>
    </row>
    <row r="1744" spans="1:9" hidden="1" x14ac:dyDescent="0.3">
      <c r="A1744" t="s">
        <v>525</v>
      </c>
      <c r="B1744" s="20">
        <v>43831</v>
      </c>
      <c r="C1744" t="s">
        <v>190</v>
      </c>
      <c r="D1744" t="s">
        <v>342</v>
      </c>
      <c r="E1744" t="s">
        <v>217</v>
      </c>
      <c r="F1744">
        <v>0</v>
      </c>
      <c r="G1744">
        <v>0</v>
      </c>
      <c r="H1744">
        <f>IF(report_B_CategorieBoekjaar[[#This Row],[BedrijfsCode]]="002",IF(report_B_CategorieBoekjaar[[#This Row],[Boekjaar]]=Projectbegroting!$K$1,report_B_CategorieBoekjaar[[#This Row],[CategorieCode]],0),0)</f>
        <v>0</v>
      </c>
      <c r="I1744">
        <f>IF(report_B_CategorieBoekjaar[[#This Row],[BedrijfsCode]]="001",IF(report_B_CategorieBoekjaar[[#This Row],[Boekjaar]]=Projectbegroting!$K$1,report_B_CategorieBoekjaar[[#This Row],[CategorieCode]],0),0)</f>
        <v>0</v>
      </c>
    </row>
    <row r="1745" spans="1:9" hidden="1" x14ac:dyDescent="0.3">
      <c r="A1745" t="s">
        <v>525</v>
      </c>
      <c r="B1745" s="20">
        <v>43831</v>
      </c>
      <c r="C1745" t="s">
        <v>191</v>
      </c>
      <c r="D1745" t="s">
        <v>343</v>
      </c>
      <c r="E1745" t="s">
        <v>217</v>
      </c>
      <c r="F1745">
        <v>0</v>
      </c>
      <c r="G1745">
        <v>0</v>
      </c>
      <c r="H1745">
        <f>IF(report_B_CategorieBoekjaar[[#This Row],[BedrijfsCode]]="002",IF(report_B_CategorieBoekjaar[[#This Row],[Boekjaar]]=Projectbegroting!$K$1,report_B_CategorieBoekjaar[[#This Row],[CategorieCode]],0),0)</f>
        <v>0</v>
      </c>
      <c r="I1745">
        <f>IF(report_B_CategorieBoekjaar[[#This Row],[BedrijfsCode]]="001",IF(report_B_CategorieBoekjaar[[#This Row],[Boekjaar]]=Projectbegroting!$K$1,report_B_CategorieBoekjaar[[#This Row],[CategorieCode]],0),0)</f>
        <v>0</v>
      </c>
    </row>
    <row r="1746" spans="1:9" hidden="1" x14ac:dyDescent="0.3">
      <c r="A1746" t="s">
        <v>525</v>
      </c>
      <c r="B1746" s="20">
        <v>43831</v>
      </c>
      <c r="C1746" t="s">
        <v>192</v>
      </c>
      <c r="D1746" t="s">
        <v>344</v>
      </c>
      <c r="E1746" t="s">
        <v>217</v>
      </c>
      <c r="F1746">
        <v>0</v>
      </c>
      <c r="G1746">
        <v>0</v>
      </c>
      <c r="H1746">
        <f>IF(report_B_CategorieBoekjaar[[#This Row],[BedrijfsCode]]="002",IF(report_B_CategorieBoekjaar[[#This Row],[Boekjaar]]=Projectbegroting!$K$1,report_B_CategorieBoekjaar[[#This Row],[CategorieCode]],0),0)</f>
        <v>0</v>
      </c>
      <c r="I1746">
        <f>IF(report_B_CategorieBoekjaar[[#This Row],[BedrijfsCode]]="001",IF(report_B_CategorieBoekjaar[[#This Row],[Boekjaar]]=Projectbegroting!$K$1,report_B_CategorieBoekjaar[[#This Row],[CategorieCode]],0),0)</f>
        <v>0</v>
      </c>
    </row>
    <row r="1747" spans="1:9" hidden="1" x14ac:dyDescent="0.3">
      <c r="A1747" t="s">
        <v>525</v>
      </c>
      <c r="B1747" s="20">
        <v>43831</v>
      </c>
      <c r="C1747" t="s">
        <v>193</v>
      </c>
      <c r="D1747" t="s">
        <v>345</v>
      </c>
      <c r="E1747" t="s">
        <v>217</v>
      </c>
      <c r="F1747">
        <v>0</v>
      </c>
      <c r="G1747">
        <v>0</v>
      </c>
      <c r="H1747">
        <f>IF(report_B_CategorieBoekjaar[[#This Row],[BedrijfsCode]]="002",IF(report_B_CategorieBoekjaar[[#This Row],[Boekjaar]]=Projectbegroting!$K$1,report_B_CategorieBoekjaar[[#This Row],[CategorieCode]],0),0)</f>
        <v>0</v>
      </c>
      <c r="I1747">
        <f>IF(report_B_CategorieBoekjaar[[#This Row],[BedrijfsCode]]="001",IF(report_B_CategorieBoekjaar[[#This Row],[Boekjaar]]=Projectbegroting!$K$1,report_B_CategorieBoekjaar[[#This Row],[CategorieCode]],0),0)</f>
        <v>0</v>
      </c>
    </row>
    <row r="1748" spans="1:9" hidden="1" x14ac:dyDescent="0.3">
      <c r="A1748" t="s">
        <v>525</v>
      </c>
      <c r="B1748" s="20">
        <v>43831</v>
      </c>
      <c r="C1748" t="s">
        <v>194</v>
      </c>
      <c r="D1748" t="s">
        <v>346</v>
      </c>
      <c r="E1748" t="s">
        <v>217</v>
      </c>
      <c r="F1748">
        <v>0</v>
      </c>
      <c r="G1748">
        <v>0</v>
      </c>
      <c r="H1748">
        <f>IF(report_B_CategorieBoekjaar[[#This Row],[BedrijfsCode]]="002",IF(report_B_CategorieBoekjaar[[#This Row],[Boekjaar]]=Projectbegroting!$K$1,report_B_CategorieBoekjaar[[#This Row],[CategorieCode]],0),0)</f>
        <v>0</v>
      </c>
      <c r="I1748">
        <f>IF(report_B_CategorieBoekjaar[[#This Row],[BedrijfsCode]]="001",IF(report_B_CategorieBoekjaar[[#This Row],[Boekjaar]]=Projectbegroting!$K$1,report_B_CategorieBoekjaar[[#This Row],[CategorieCode]],0),0)</f>
        <v>0</v>
      </c>
    </row>
    <row r="1749" spans="1:9" hidden="1" x14ac:dyDescent="0.3">
      <c r="A1749" t="s">
        <v>525</v>
      </c>
      <c r="B1749" s="20">
        <v>43831</v>
      </c>
      <c r="C1749" t="s">
        <v>195</v>
      </c>
      <c r="D1749" t="s">
        <v>347</v>
      </c>
      <c r="E1749" t="s">
        <v>217</v>
      </c>
      <c r="F1749">
        <v>0</v>
      </c>
      <c r="G1749">
        <v>0</v>
      </c>
      <c r="H1749">
        <f>IF(report_B_CategorieBoekjaar[[#This Row],[BedrijfsCode]]="002",IF(report_B_CategorieBoekjaar[[#This Row],[Boekjaar]]=Projectbegroting!$K$1,report_B_CategorieBoekjaar[[#This Row],[CategorieCode]],0),0)</f>
        <v>0</v>
      </c>
      <c r="I1749">
        <f>IF(report_B_CategorieBoekjaar[[#This Row],[BedrijfsCode]]="001",IF(report_B_CategorieBoekjaar[[#This Row],[Boekjaar]]=Projectbegroting!$K$1,report_B_CategorieBoekjaar[[#This Row],[CategorieCode]],0),0)</f>
        <v>0</v>
      </c>
    </row>
    <row r="1750" spans="1:9" hidden="1" x14ac:dyDescent="0.3">
      <c r="A1750" t="s">
        <v>525</v>
      </c>
      <c r="B1750" s="20">
        <v>43831</v>
      </c>
      <c r="C1750" t="s">
        <v>196</v>
      </c>
      <c r="D1750" t="s">
        <v>348</v>
      </c>
      <c r="E1750" t="s">
        <v>217</v>
      </c>
      <c r="F1750">
        <v>0</v>
      </c>
      <c r="G1750">
        <v>0</v>
      </c>
      <c r="H1750">
        <f>IF(report_B_CategorieBoekjaar[[#This Row],[BedrijfsCode]]="002",IF(report_B_CategorieBoekjaar[[#This Row],[Boekjaar]]=Projectbegroting!$K$1,report_B_CategorieBoekjaar[[#This Row],[CategorieCode]],0),0)</f>
        <v>0</v>
      </c>
      <c r="I1750">
        <f>IF(report_B_CategorieBoekjaar[[#This Row],[BedrijfsCode]]="001",IF(report_B_CategorieBoekjaar[[#This Row],[Boekjaar]]=Projectbegroting!$K$1,report_B_CategorieBoekjaar[[#This Row],[CategorieCode]],0),0)</f>
        <v>0</v>
      </c>
    </row>
    <row r="1751" spans="1:9" hidden="1" x14ac:dyDescent="0.3">
      <c r="A1751" t="s">
        <v>525</v>
      </c>
      <c r="B1751" s="20">
        <v>43831</v>
      </c>
      <c r="C1751" t="s">
        <v>349</v>
      </c>
      <c r="D1751" t="s">
        <v>350</v>
      </c>
      <c r="E1751" t="s">
        <v>217</v>
      </c>
      <c r="F1751">
        <v>0</v>
      </c>
      <c r="G1751">
        <v>0</v>
      </c>
      <c r="H1751">
        <f>IF(report_B_CategorieBoekjaar[[#This Row],[BedrijfsCode]]="002",IF(report_B_CategorieBoekjaar[[#This Row],[Boekjaar]]=Projectbegroting!$K$1,report_B_CategorieBoekjaar[[#This Row],[CategorieCode]],0),0)</f>
        <v>0</v>
      </c>
      <c r="I1751">
        <f>IF(report_B_CategorieBoekjaar[[#This Row],[BedrijfsCode]]="001",IF(report_B_CategorieBoekjaar[[#This Row],[Boekjaar]]=Projectbegroting!$K$1,report_B_CategorieBoekjaar[[#This Row],[CategorieCode]],0),0)</f>
        <v>0</v>
      </c>
    </row>
    <row r="1752" spans="1:9" hidden="1" x14ac:dyDescent="0.3">
      <c r="A1752" t="s">
        <v>525</v>
      </c>
      <c r="B1752" s="20">
        <v>43831</v>
      </c>
      <c r="C1752" t="s">
        <v>197</v>
      </c>
      <c r="D1752" t="s">
        <v>351</v>
      </c>
      <c r="E1752" t="s">
        <v>217</v>
      </c>
      <c r="F1752">
        <v>0</v>
      </c>
      <c r="G1752">
        <v>0</v>
      </c>
      <c r="H1752">
        <f>IF(report_B_CategorieBoekjaar[[#This Row],[BedrijfsCode]]="002",IF(report_B_CategorieBoekjaar[[#This Row],[Boekjaar]]=Projectbegroting!$K$1,report_B_CategorieBoekjaar[[#This Row],[CategorieCode]],0),0)</f>
        <v>0</v>
      </c>
      <c r="I1752">
        <f>IF(report_B_CategorieBoekjaar[[#This Row],[BedrijfsCode]]="001",IF(report_B_CategorieBoekjaar[[#This Row],[Boekjaar]]=Projectbegroting!$K$1,report_B_CategorieBoekjaar[[#This Row],[CategorieCode]],0),0)</f>
        <v>0</v>
      </c>
    </row>
    <row r="1753" spans="1:9" hidden="1" x14ac:dyDescent="0.3">
      <c r="A1753" t="s">
        <v>525</v>
      </c>
      <c r="B1753" s="20">
        <v>43831</v>
      </c>
      <c r="C1753" t="s">
        <v>198</v>
      </c>
      <c r="D1753" t="s">
        <v>352</v>
      </c>
      <c r="E1753" t="s">
        <v>217</v>
      </c>
      <c r="F1753">
        <v>0</v>
      </c>
      <c r="G1753">
        <v>0</v>
      </c>
      <c r="H1753">
        <f>IF(report_B_CategorieBoekjaar[[#This Row],[BedrijfsCode]]="002",IF(report_B_CategorieBoekjaar[[#This Row],[Boekjaar]]=Projectbegroting!$K$1,report_B_CategorieBoekjaar[[#This Row],[CategorieCode]],0),0)</f>
        <v>0</v>
      </c>
      <c r="I1753">
        <f>IF(report_B_CategorieBoekjaar[[#This Row],[BedrijfsCode]]="001",IF(report_B_CategorieBoekjaar[[#This Row],[Boekjaar]]=Projectbegroting!$K$1,report_B_CategorieBoekjaar[[#This Row],[CategorieCode]],0),0)</f>
        <v>0</v>
      </c>
    </row>
    <row r="1754" spans="1:9" hidden="1" x14ac:dyDescent="0.3">
      <c r="A1754" t="s">
        <v>525</v>
      </c>
      <c r="B1754" s="20">
        <v>43831</v>
      </c>
      <c r="C1754" t="s">
        <v>353</v>
      </c>
      <c r="D1754" t="s">
        <v>354</v>
      </c>
      <c r="E1754" t="s">
        <v>217</v>
      </c>
      <c r="F1754">
        <v>0</v>
      </c>
      <c r="G1754">
        <v>0</v>
      </c>
      <c r="H1754">
        <f>IF(report_B_CategorieBoekjaar[[#This Row],[BedrijfsCode]]="002",IF(report_B_CategorieBoekjaar[[#This Row],[Boekjaar]]=Projectbegroting!$K$1,report_B_CategorieBoekjaar[[#This Row],[CategorieCode]],0),0)</f>
        <v>0</v>
      </c>
      <c r="I1754">
        <f>IF(report_B_CategorieBoekjaar[[#This Row],[BedrijfsCode]]="001",IF(report_B_CategorieBoekjaar[[#This Row],[Boekjaar]]=Projectbegroting!$K$1,report_B_CategorieBoekjaar[[#This Row],[CategorieCode]],0),0)</f>
        <v>0</v>
      </c>
    </row>
    <row r="1755" spans="1:9" hidden="1" x14ac:dyDescent="0.3">
      <c r="A1755" t="s">
        <v>525</v>
      </c>
      <c r="B1755" s="20">
        <v>43831</v>
      </c>
      <c r="C1755" t="s">
        <v>199</v>
      </c>
      <c r="D1755" t="s">
        <v>355</v>
      </c>
      <c r="E1755" t="s">
        <v>217</v>
      </c>
      <c r="F1755">
        <v>0</v>
      </c>
      <c r="G1755">
        <v>0</v>
      </c>
      <c r="H1755">
        <f>IF(report_B_CategorieBoekjaar[[#This Row],[BedrijfsCode]]="002",IF(report_B_CategorieBoekjaar[[#This Row],[Boekjaar]]=Projectbegroting!$K$1,report_B_CategorieBoekjaar[[#This Row],[CategorieCode]],0),0)</f>
        <v>0</v>
      </c>
      <c r="I1755">
        <f>IF(report_B_CategorieBoekjaar[[#This Row],[BedrijfsCode]]="001",IF(report_B_CategorieBoekjaar[[#This Row],[Boekjaar]]=Projectbegroting!$K$1,report_B_CategorieBoekjaar[[#This Row],[CategorieCode]],0),0)</f>
        <v>0</v>
      </c>
    </row>
    <row r="1756" spans="1:9" hidden="1" x14ac:dyDescent="0.3">
      <c r="A1756" t="s">
        <v>525</v>
      </c>
      <c r="B1756" s="20">
        <v>43831</v>
      </c>
      <c r="C1756" t="s">
        <v>200</v>
      </c>
      <c r="D1756" t="s">
        <v>356</v>
      </c>
      <c r="E1756" t="s">
        <v>217</v>
      </c>
      <c r="F1756">
        <v>0</v>
      </c>
      <c r="G1756">
        <v>0</v>
      </c>
      <c r="H1756">
        <f>IF(report_B_CategorieBoekjaar[[#This Row],[BedrijfsCode]]="002",IF(report_B_CategorieBoekjaar[[#This Row],[Boekjaar]]=Projectbegroting!$K$1,report_B_CategorieBoekjaar[[#This Row],[CategorieCode]],0),0)</f>
        <v>0</v>
      </c>
      <c r="I1756">
        <f>IF(report_B_CategorieBoekjaar[[#This Row],[BedrijfsCode]]="001",IF(report_B_CategorieBoekjaar[[#This Row],[Boekjaar]]=Projectbegroting!$K$1,report_B_CategorieBoekjaar[[#This Row],[CategorieCode]],0),0)</f>
        <v>0</v>
      </c>
    </row>
    <row r="1757" spans="1:9" hidden="1" x14ac:dyDescent="0.3">
      <c r="A1757" t="s">
        <v>525</v>
      </c>
      <c r="B1757" s="20">
        <v>43831</v>
      </c>
      <c r="C1757" t="s">
        <v>201</v>
      </c>
      <c r="D1757" t="s">
        <v>357</v>
      </c>
      <c r="E1757" t="s">
        <v>217</v>
      </c>
      <c r="F1757">
        <v>0</v>
      </c>
      <c r="G1757">
        <v>0</v>
      </c>
      <c r="H1757">
        <f>IF(report_B_CategorieBoekjaar[[#This Row],[BedrijfsCode]]="002",IF(report_B_CategorieBoekjaar[[#This Row],[Boekjaar]]=Projectbegroting!$K$1,report_B_CategorieBoekjaar[[#This Row],[CategorieCode]],0),0)</f>
        <v>0</v>
      </c>
      <c r="I1757">
        <f>IF(report_B_CategorieBoekjaar[[#This Row],[BedrijfsCode]]="001",IF(report_B_CategorieBoekjaar[[#This Row],[Boekjaar]]=Projectbegroting!$K$1,report_B_CategorieBoekjaar[[#This Row],[CategorieCode]],0),0)</f>
        <v>0</v>
      </c>
    </row>
    <row r="1758" spans="1:9" hidden="1" x14ac:dyDescent="0.3">
      <c r="A1758" t="s">
        <v>525</v>
      </c>
      <c r="B1758" s="20">
        <v>43831</v>
      </c>
      <c r="C1758" t="s">
        <v>202</v>
      </c>
      <c r="D1758" t="s">
        <v>358</v>
      </c>
      <c r="E1758" t="s">
        <v>217</v>
      </c>
      <c r="F1758">
        <v>0</v>
      </c>
      <c r="G1758">
        <v>0</v>
      </c>
      <c r="H1758">
        <f>IF(report_B_CategorieBoekjaar[[#This Row],[BedrijfsCode]]="002",IF(report_B_CategorieBoekjaar[[#This Row],[Boekjaar]]=Projectbegroting!$K$1,report_B_CategorieBoekjaar[[#This Row],[CategorieCode]],0),0)</f>
        <v>0</v>
      </c>
      <c r="I1758">
        <f>IF(report_B_CategorieBoekjaar[[#This Row],[BedrijfsCode]]="001",IF(report_B_CategorieBoekjaar[[#This Row],[Boekjaar]]=Projectbegroting!$K$1,report_B_CategorieBoekjaar[[#This Row],[CategorieCode]],0),0)</f>
        <v>0</v>
      </c>
    </row>
    <row r="1759" spans="1:9" hidden="1" x14ac:dyDescent="0.3">
      <c r="A1759" t="s">
        <v>525</v>
      </c>
      <c r="B1759" s="20">
        <v>43831</v>
      </c>
      <c r="C1759" t="s">
        <v>203</v>
      </c>
      <c r="D1759" t="s">
        <v>359</v>
      </c>
      <c r="E1759" t="s">
        <v>217</v>
      </c>
      <c r="F1759">
        <v>0</v>
      </c>
      <c r="G1759">
        <v>0</v>
      </c>
      <c r="H1759">
        <f>IF(report_B_CategorieBoekjaar[[#This Row],[BedrijfsCode]]="002",IF(report_B_CategorieBoekjaar[[#This Row],[Boekjaar]]=Projectbegroting!$K$1,report_B_CategorieBoekjaar[[#This Row],[CategorieCode]],0),0)</f>
        <v>0</v>
      </c>
      <c r="I1759">
        <f>IF(report_B_CategorieBoekjaar[[#This Row],[BedrijfsCode]]="001",IF(report_B_CategorieBoekjaar[[#This Row],[Boekjaar]]=Projectbegroting!$K$1,report_B_CategorieBoekjaar[[#This Row],[CategorieCode]],0),0)</f>
        <v>0</v>
      </c>
    </row>
    <row r="1760" spans="1:9" hidden="1" x14ac:dyDescent="0.3">
      <c r="A1760" t="s">
        <v>525</v>
      </c>
      <c r="B1760" s="20">
        <v>43831</v>
      </c>
      <c r="C1760" t="s">
        <v>204</v>
      </c>
      <c r="D1760" t="s">
        <v>360</v>
      </c>
      <c r="E1760" t="s">
        <v>217</v>
      </c>
      <c r="F1760">
        <v>0</v>
      </c>
      <c r="G1760">
        <v>0</v>
      </c>
      <c r="H1760">
        <f>IF(report_B_CategorieBoekjaar[[#This Row],[BedrijfsCode]]="002",IF(report_B_CategorieBoekjaar[[#This Row],[Boekjaar]]=Projectbegroting!$K$1,report_B_CategorieBoekjaar[[#This Row],[CategorieCode]],0),0)</f>
        <v>0</v>
      </c>
      <c r="I1760">
        <f>IF(report_B_CategorieBoekjaar[[#This Row],[BedrijfsCode]]="001",IF(report_B_CategorieBoekjaar[[#This Row],[Boekjaar]]=Projectbegroting!$K$1,report_B_CategorieBoekjaar[[#This Row],[CategorieCode]],0),0)</f>
        <v>0</v>
      </c>
    </row>
    <row r="1761" spans="1:9" hidden="1" x14ac:dyDescent="0.3">
      <c r="A1761" t="s">
        <v>525</v>
      </c>
      <c r="B1761" s="20">
        <v>43831</v>
      </c>
      <c r="C1761" t="s">
        <v>205</v>
      </c>
      <c r="D1761" t="s">
        <v>361</v>
      </c>
      <c r="E1761" t="s">
        <v>217</v>
      </c>
      <c r="F1761">
        <v>0</v>
      </c>
      <c r="G1761">
        <v>0</v>
      </c>
      <c r="H1761">
        <f>IF(report_B_CategorieBoekjaar[[#This Row],[BedrijfsCode]]="002",IF(report_B_CategorieBoekjaar[[#This Row],[Boekjaar]]=Projectbegroting!$K$1,report_B_CategorieBoekjaar[[#This Row],[CategorieCode]],0),0)</f>
        <v>0</v>
      </c>
      <c r="I1761">
        <f>IF(report_B_CategorieBoekjaar[[#This Row],[BedrijfsCode]]="001",IF(report_B_CategorieBoekjaar[[#This Row],[Boekjaar]]=Projectbegroting!$K$1,report_B_CategorieBoekjaar[[#This Row],[CategorieCode]],0),0)</f>
        <v>0</v>
      </c>
    </row>
    <row r="1762" spans="1:9" hidden="1" x14ac:dyDescent="0.3">
      <c r="A1762" t="s">
        <v>525</v>
      </c>
      <c r="B1762" s="20">
        <v>43831</v>
      </c>
      <c r="C1762" t="s">
        <v>206</v>
      </c>
      <c r="D1762" t="s">
        <v>362</v>
      </c>
      <c r="E1762" t="s">
        <v>217</v>
      </c>
      <c r="F1762">
        <v>0</v>
      </c>
      <c r="G1762">
        <v>0</v>
      </c>
      <c r="H1762">
        <f>IF(report_B_CategorieBoekjaar[[#This Row],[BedrijfsCode]]="002",IF(report_B_CategorieBoekjaar[[#This Row],[Boekjaar]]=Projectbegroting!$K$1,report_B_CategorieBoekjaar[[#This Row],[CategorieCode]],0),0)</f>
        <v>0</v>
      </c>
      <c r="I1762">
        <f>IF(report_B_CategorieBoekjaar[[#This Row],[BedrijfsCode]]="001",IF(report_B_CategorieBoekjaar[[#This Row],[Boekjaar]]=Projectbegroting!$K$1,report_B_CategorieBoekjaar[[#This Row],[CategorieCode]],0),0)</f>
        <v>0</v>
      </c>
    </row>
    <row r="1763" spans="1:9" hidden="1" x14ac:dyDescent="0.3">
      <c r="A1763" t="s">
        <v>525</v>
      </c>
      <c r="B1763" s="20">
        <v>43831</v>
      </c>
      <c r="C1763" t="s">
        <v>363</v>
      </c>
      <c r="D1763" t="s">
        <v>364</v>
      </c>
      <c r="E1763" t="s">
        <v>217</v>
      </c>
      <c r="F1763">
        <v>0</v>
      </c>
      <c r="G1763">
        <v>0</v>
      </c>
      <c r="H1763">
        <f>IF(report_B_CategorieBoekjaar[[#This Row],[BedrijfsCode]]="002",IF(report_B_CategorieBoekjaar[[#This Row],[Boekjaar]]=Projectbegroting!$K$1,report_B_CategorieBoekjaar[[#This Row],[CategorieCode]],0),0)</f>
        <v>0</v>
      </c>
      <c r="I1763">
        <f>IF(report_B_CategorieBoekjaar[[#This Row],[BedrijfsCode]]="001",IF(report_B_CategorieBoekjaar[[#This Row],[Boekjaar]]=Projectbegroting!$K$1,report_B_CategorieBoekjaar[[#This Row],[CategorieCode]],0),0)</f>
        <v>0</v>
      </c>
    </row>
    <row r="1764" spans="1:9" hidden="1" x14ac:dyDescent="0.3">
      <c r="A1764" t="s">
        <v>525</v>
      </c>
      <c r="B1764" s="20">
        <v>43831</v>
      </c>
      <c r="C1764" t="s">
        <v>207</v>
      </c>
      <c r="D1764" t="s">
        <v>365</v>
      </c>
      <c r="E1764" t="s">
        <v>217</v>
      </c>
      <c r="F1764">
        <v>0</v>
      </c>
      <c r="G1764">
        <v>0</v>
      </c>
      <c r="H1764">
        <f>IF(report_B_CategorieBoekjaar[[#This Row],[BedrijfsCode]]="002",IF(report_B_CategorieBoekjaar[[#This Row],[Boekjaar]]=Projectbegroting!$K$1,report_B_CategorieBoekjaar[[#This Row],[CategorieCode]],0),0)</f>
        <v>0</v>
      </c>
      <c r="I1764">
        <f>IF(report_B_CategorieBoekjaar[[#This Row],[BedrijfsCode]]="001",IF(report_B_CategorieBoekjaar[[#This Row],[Boekjaar]]=Projectbegroting!$K$1,report_B_CategorieBoekjaar[[#This Row],[CategorieCode]],0),0)</f>
        <v>0</v>
      </c>
    </row>
    <row r="1765" spans="1:9" hidden="1" x14ac:dyDescent="0.3">
      <c r="A1765" t="s">
        <v>525</v>
      </c>
      <c r="B1765" s="20">
        <v>43831</v>
      </c>
      <c r="C1765" t="s">
        <v>208</v>
      </c>
      <c r="D1765" t="s">
        <v>366</v>
      </c>
      <c r="E1765" t="s">
        <v>217</v>
      </c>
      <c r="F1765">
        <v>0</v>
      </c>
      <c r="G1765">
        <v>0</v>
      </c>
      <c r="H1765">
        <f>IF(report_B_CategorieBoekjaar[[#This Row],[BedrijfsCode]]="002",IF(report_B_CategorieBoekjaar[[#This Row],[Boekjaar]]=Projectbegroting!$K$1,report_B_CategorieBoekjaar[[#This Row],[CategorieCode]],0),0)</f>
        <v>0</v>
      </c>
      <c r="I1765">
        <f>IF(report_B_CategorieBoekjaar[[#This Row],[BedrijfsCode]]="001",IF(report_B_CategorieBoekjaar[[#This Row],[Boekjaar]]=Projectbegroting!$K$1,report_B_CategorieBoekjaar[[#This Row],[CategorieCode]],0),0)</f>
        <v>0</v>
      </c>
    </row>
    <row r="1766" spans="1:9" hidden="1" x14ac:dyDescent="0.3">
      <c r="A1766" t="s">
        <v>525</v>
      </c>
      <c r="B1766" s="20">
        <v>43831</v>
      </c>
      <c r="C1766" t="s">
        <v>209</v>
      </c>
      <c r="D1766" t="s">
        <v>367</v>
      </c>
      <c r="E1766" t="s">
        <v>217</v>
      </c>
      <c r="F1766">
        <v>0</v>
      </c>
      <c r="G1766">
        <v>0</v>
      </c>
      <c r="H1766">
        <f>IF(report_B_CategorieBoekjaar[[#This Row],[BedrijfsCode]]="002",IF(report_B_CategorieBoekjaar[[#This Row],[Boekjaar]]=Projectbegroting!$K$1,report_B_CategorieBoekjaar[[#This Row],[CategorieCode]],0),0)</f>
        <v>0</v>
      </c>
      <c r="I1766">
        <f>IF(report_B_CategorieBoekjaar[[#This Row],[BedrijfsCode]]="001",IF(report_B_CategorieBoekjaar[[#This Row],[Boekjaar]]=Projectbegroting!$K$1,report_B_CategorieBoekjaar[[#This Row],[CategorieCode]],0),0)</f>
        <v>0</v>
      </c>
    </row>
    <row r="1767" spans="1:9" hidden="1" x14ac:dyDescent="0.3">
      <c r="A1767" t="s">
        <v>525</v>
      </c>
      <c r="B1767" s="20">
        <v>43831</v>
      </c>
      <c r="C1767" t="s">
        <v>210</v>
      </c>
      <c r="D1767" t="s">
        <v>368</v>
      </c>
      <c r="E1767" t="s">
        <v>217</v>
      </c>
      <c r="F1767">
        <v>0</v>
      </c>
      <c r="G1767">
        <v>0</v>
      </c>
      <c r="H1767">
        <f>IF(report_B_CategorieBoekjaar[[#This Row],[BedrijfsCode]]="002",IF(report_B_CategorieBoekjaar[[#This Row],[Boekjaar]]=Projectbegroting!$K$1,report_B_CategorieBoekjaar[[#This Row],[CategorieCode]],0),0)</f>
        <v>0</v>
      </c>
      <c r="I1767">
        <f>IF(report_B_CategorieBoekjaar[[#This Row],[BedrijfsCode]]="001",IF(report_B_CategorieBoekjaar[[#This Row],[Boekjaar]]=Projectbegroting!$K$1,report_B_CategorieBoekjaar[[#This Row],[CategorieCode]],0),0)</f>
        <v>0</v>
      </c>
    </row>
    <row r="1768" spans="1:9" hidden="1" x14ac:dyDescent="0.3">
      <c r="A1768" t="s">
        <v>525</v>
      </c>
      <c r="B1768" s="20">
        <v>43831</v>
      </c>
      <c r="C1768" t="s">
        <v>369</v>
      </c>
      <c r="D1768" t="s">
        <v>370</v>
      </c>
      <c r="E1768" t="s">
        <v>217</v>
      </c>
      <c r="F1768">
        <v>0</v>
      </c>
      <c r="G1768">
        <v>0</v>
      </c>
      <c r="H1768">
        <f>IF(report_B_CategorieBoekjaar[[#This Row],[BedrijfsCode]]="002",IF(report_B_CategorieBoekjaar[[#This Row],[Boekjaar]]=Projectbegroting!$K$1,report_B_CategorieBoekjaar[[#This Row],[CategorieCode]],0),0)</f>
        <v>0</v>
      </c>
      <c r="I1768">
        <f>IF(report_B_CategorieBoekjaar[[#This Row],[BedrijfsCode]]="001",IF(report_B_CategorieBoekjaar[[#This Row],[Boekjaar]]=Projectbegroting!$K$1,report_B_CategorieBoekjaar[[#This Row],[CategorieCode]],0),0)</f>
        <v>0</v>
      </c>
    </row>
    <row r="1769" spans="1:9" hidden="1" x14ac:dyDescent="0.3">
      <c r="A1769" t="s">
        <v>525</v>
      </c>
      <c r="B1769" s="20">
        <v>43831</v>
      </c>
      <c r="C1769" t="s">
        <v>371</v>
      </c>
      <c r="D1769" t="s">
        <v>372</v>
      </c>
      <c r="E1769" t="s">
        <v>217</v>
      </c>
      <c r="F1769">
        <v>0</v>
      </c>
      <c r="G1769">
        <v>0</v>
      </c>
      <c r="H1769">
        <f>IF(report_B_CategorieBoekjaar[[#This Row],[BedrijfsCode]]="002",IF(report_B_CategorieBoekjaar[[#This Row],[Boekjaar]]=Projectbegroting!$K$1,report_B_CategorieBoekjaar[[#This Row],[CategorieCode]],0),0)</f>
        <v>0</v>
      </c>
      <c r="I1769">
        <f>IF(report_B_CategorieBoekjaar[[#This Row],[BedrijfsCode]]="001",IF(report_B_CategorieBoekjaar[[#This Row],[Boekjaar]]=Projectbegroting!$K$1,report_B_CategorieBoekjaar[[#This Row],[CategorieCode]],0),0)</f>
        <v>0</v>
      </c>
    </row>
    <row r="1770" spans="1:9" hidden="1" x14ac:dyDescent="0.3">
      <c r="A1770" t="s">
        <v>525</v>
      </c>
      <c r="B1770" s="20">
        <v>43831</v>
      </c>
      <c r="C1770" t="s">
        <v>373</v>
      </c>
      <c r="D1770" t="s">
        <v>374</v>
      </c>
      <c r="E1770" t="s">
        <v>217</v>
      </c>
      <c r="F1770">
        <v>0</v>
      </c>
      <c r="G1770">
        <v>0</v>
      </c>
      <c r="H1770">
        <f>IF(report_B_CategorieBoekjaar[[#This Row],[BedrijfsCode]]="002",IF(report_B_CategorieBoekjaar[[#This Row],[Boekjaar]]=Projectbegroting!$K$1,report_B_CategorieBoekjaar[[#This Row],[CategorieCode]],0),0)</f>
        <v>0</v>
      </c>
      <c r="I1770">
        <f>IF(report_B_CategorieBoekjaar[[#This Row],[BedrijfsCode]]="001",IF(report_B_CategorieBoekjaar[[#This Row],[Boekjaar]]=Projectbegroting!$K$1,report_B_CategorieBoekjaar[[#This Row],[CategorieCode]],0),0)</f>
        <v>0</v>
      </c>
    </row>
    <row r="1771" spans="1:9" hidden="1" x14ac:dyDescent="0.3">
      <c r="A1771" t="s">
        <v>525</v>
      </c>
      <c r="B1771" s="20">
        <v>43831</v>
      </c>
      <c r="C1771" t="s">
        <v>375</v>
      </c>
      <c r="D1771" t="s">
        <v>376</v>
      </c>
      <c r="E1771" t="s">
        <v>217</v>
      </c>
      <c r="F1771">
        <v>0</v>
      </c>
      <c r="G1771">
        <v>0</v>
      </c>
      <c r="H1771">
        <f>IF(report_B_CategorieBoekjaar[[#This Row],[BedrijfsCode]]="002",IF(report_B_CategorieBoekjaar[[#This Row],[Boekjaar]]=Projectbegroting!$K$1,report_B_CategorieBoekjaar[[#This Row],[CategorieCode]],0),0)</f>
        <v>0</v>
      </c>
      <c r="I1771">
        <f>IF(report_B_CategorieBoekjaar[[#This Row],[BedrijfsCode]]="001",IF(report_B_CategorieBoekjaar[[#This Row],[Boekjaar]]=Projectbegroting!$K$1,report_B_CategorieBoekjaar[[#This Row],[CategorieCode]],0),0)</f>
        <v>0</v>
      </c>
    </row>
    <row r="1772" spans="1:9" hidden="1" x14ac:dyDescent="0.3">
      <c r="A1772" t="s">
        <v>525</v>
      </c>
      <c r="B1772" s="20">
        <v>43831</v>
      </c>
      <c r="C1772" t="s">
        <v>377</v>
      </c>
      <c r="D1772" t="s">
        <v>378</v>
      </c>
      <c r="E1772" t="s">
        <v>217</v>
      </c>
      <c r="F1772">
        <v>0</v>
      </c>
      <c r="G1772">
        <v>0</v>
      </c>
      <c r="H1772">
        <f>IF(report_B_CategorieBoekjaar[[#This Row],[BedrijfsCode]]="002",IF(report_B_CategorieBoekjaar[[#This Row],[Boekjaar]]=Projectbegroting!$K$1,report_B_CategorieBoekjaar[[#This Row],[CategorieCode]],0),0)</f>
        <v>0</v>
      </c>
      <c r="I1772">
        <f>IF(report_B_CategorieBoekjaar[[#This Row],[BedrijfsCode]]="001",IF(report_B_CategorieBoekjaar[[#This Row],[Boekjaar]]=Projectbegroting!$K$1,report_B_CategorieBoekjaar[[#This Row],[CategorieCode]],0),0)</f>
        <v>0</v>
      </c>
    </row>
    <row r="1773" spans="1:9" hidden="1" x14ac:dyDescent="0.3">
      <c r="A1773" t="s">
        <v>525</v>
      </c>
      <c r="B1773" s="20">
        <v>43831</v>
      </c>
      <c r="C1773" t="s">
        <v>379</v>
      </c>
      <c r="D1773" t="s">
        <v>380</v>
      </c>
      <c r="E1773" t="s">
        <v>381</v>
      </c>
      <c r="F1773">
        <v>42</v>
      </c>
      <c r="G1773">
        <v>91</v>
      </c>
      <c r="H1773">
        <f>IF(report_B_CategorieBoekjaar[[#This Row],[BedrijfsCode]]="002",IF(report_B_CategorieBoekjaar[[#This Row],[Boekjaar]]=Projectbegroting!$K$1,report_B_CategorieBoekjaar[[#This Row],[CategorieCode]],0),0)</f>
        <v>0</v>
      </c>
      <c r="I1773">
        <f>IF(report_B_CategorieBoekjaar[[#This Row],[BedrijfsCode]]="001",IF(report_B_CategorieBoekjaar[[#This Row],[Boekjaar]]=Projectbegroting!$K$1,report_B_CategorieBoekjaar[[#This Row],[CategorieCode]],0),0)</f>
        <v>0</v>
      </c>
    </row>
    <row r="1774" spans="1:9" hidden="1" x14ac:dyDescent="0.3">
      <c r="A1774" t="s">
        <v>525</v>
      </c>
      <c r="B1774" s="20">
        <v>43831</v>
      </c>
      <c r="C1774" t="s">
        <v>382</v>
      </c>
      <c r="D1774" t="s">
        <v>383</v>
      </c>
      <c r="E1774" t="s">
        <v>384</v>
      </c>
      <c r="F1774">
        <v>0</v>
      </c>
      <c r="G1774">
        <v>0</v>
      </c>
      <c r="H1774">
        <f>IF(report_B_CategorieBoekjaar[[#This Row],[BedrijfsCode]]="002",IF(report_B_CategorieBoekjaar[[#This Row],[Boekjaar]]=Projectbegroting!$K$1,report_B_CategorieBoekjaar[[#This Row],[CategorieCode]],0),0)</f>
        <v>0</v>
      </c>
      <c r="I1774">
        <f>IF(report_B_CategorieBoekjaar[[#This Row],[BedrijfsCode]]="001",IF(report_B_CategorieBoekjaar[[#This Row],[Boekjaar]]=Projectbegroting!$K$1,report_B_CategorieBoekjaar[[#This Row],[CategorieCode]],0),0)</f>
        <v>0</v>
      </c>
    </row>
    <row r="1775" spans="1:9" hidden="1" x14ac:dyDescent="0.3">
      <c r="A1775" t="s">
        <v>525</v>
      </c>
      <c r="B1775" s="20">
        <v>43831</v>
      </c>
      <c r="C1775" t="s">
        <v>385</v>
      </c>
      <c r="D1775" t="s">
        <v>386</v>
      </c>
      <c r="E1775" t="s">
        <v>381</v>
      </c>
      <c r="F1775">
        <v>66</v>
      </c>
      <c r="G1775">
        <v>115</v>
      </c>
      <c r="H1775">
        <f>IF(report_B_CategorieBoekjaar[[#This Row],[BedrijfsCode]]="002",IF(report_B_CategorieBoekjaar[[#This Row],[Boekjaar]]=Projectbegroting!$K$1,report_B_CategorieBoekjaar[[#This Row],[CategorieCode]],0),0)</f>
        <v>0</v>
      </c>
      <c r="I1775">
        <f>IF(report_B_CategorieBoekjaar[[#This Row],[BedrijfsCode]]="001",IF(report_B_CategorieBoekjaar[[#This Row],[Boekjaar]]=Projectbegroting!$K$1,report_B_CategorieBoekjaar[[#This Row],[CategorieCode]],0),0)</f>
        <v>0</v>
      </c>
    </row>
    <row r="1776" spans="1:9" hidden="1" x14ac:dyDescent="0.3">
      <c r="A1776" t="s">
        <v>525</v>
      </c>
      <c r="B1776" s="20">
        <v>43831</v>
      </c>
      <c r="C1776" t="s">
        <v>387</v>
      </c>
      <c r="D1776" t="s">
        <v>388</v>
      </c>
      <c r="E1776" t="s">
        <v>384</v>
      </c>
      <c r="F1776">
        <v>0</v>
      </c>
      <c r="G1776">
        <v>0</v>
      </c>
      <c r="H1776">
        <f>IF(report_B_CategorieBoekjaar[[#This Row],[BedrijfsCode]]="002",IF(report_B_CategorieBoekjaar[[#This Row],[Boekjaar]]=Projectbegroting!$K$1,report_B_CategorieBoekjaar[[#This Row],[CategorieCode]],0),0)</f>
        <v>0</v>
      </c>
      <c r="I1776">
        <f>IF(report_B_CategorieBoekjaar[[#This Row],[BedrijfsCode]]="001",IF(report_B_CategorieBoekjaar[[#This Row],[Boekjaar]]=Projectbegroting!$K$1,report_B_CategorieBoekjaar[[#This Row],[CategorieCode]],0),0)</f>
        <v>0</v>
      </c>
    </row>
    <row r="1777" spans="1:9" hidden="1" x14ac:dyDescent="0.3">
      <c r="A1777" t="s">
        <v>525</v>
      </c>
      <c r="B1777" s="20">
        <v>43831</v>
      </c>
      <c r="C1777" t="s">
        <v>52</v>
      </c>
      <c r="D1777" t="s">
        <v>53</v>
      </c>
      <c r="E1777" t="s">
        <v>381</v>
      </c>
      <c r="F1777">
        <v>66</v>
      </c>
      <c r="G1777">
        <v>115</v>
      </c>
      <c r="H1777">
        <f>IF(report_B_CategorieBoekjaar[[#This Row],[BedrijfsCode]]="002",IF(report_B_CategorieBoekjaar[[#This Row],[Boekjaar]]=Projectbegroting!$K$1,report_B_CategorieBoekjaar[[#This Row],[CategorieCode]],0),0)</f>
        <v>0</v>
      </c>
      <c r="I1777">
        <f>IF(report_B_CategorieBoekjaar[[#This Row],[BedrijfsCode]]="001",IF(report_B_CategorieBoekjaar[[#This Row],[Boekjaar]]=Projectbegroting!$K$1,report_B_CategorieBoekjaar[[#This Row],[CategorieCode]],0),0)</f>
        <v>0</v>
      </c>
    </row>
    <row r="1778" spans="1:9" hidden="1" x14ac:dyDescent="0.3">
      <c r="A1778" t="s">
        <v>525</v>
      </c>
      <c r="B1778" s="20">
        <v>43831</v>
      </c>
      <c r="C1778" t="s">
        <v>389</v>
      </c>
      <c r="D1778" t="s">
        <v>390</v>
      </c>
      <c r="E1778" t="s">
        <v>384</v>
      </c>
      <c r="F1778">
        <v>0</v>
      </c>
      <c r="G1778">
        <v>0</v>
      </c>
      <c r="H1778">
        <f>IF(report_B_CategorieBoekjaar[[#This Row],[BedrijfsCode]]="002",IF(report_B_CategorieBoekjaar[[#This Row],[Boekjaar]]=Projectbegroting!$K$1,report_B_CategorieBoekjaar[[#This Row],[CategorieCode]],0),0)</f>
        <v>0</v>
      </c>
      <c r="I1778">
        <f>IF(report_B_CategorieBoekjaar[[#This Row],[BedrijfsCode]]="001",IF(report_B_CategorieBoekjaar[[#This Row],[Boekjaar]]=Projectbegroting!$K$1,report_B_CategorieBoekjaar[[#This Row],[CategorieCode]],0),0)</f>
        <v>0</v>
      </c>
    </row>
    <row r="1779" spans="1:9" hidden="1" x14ac:dyDescent="0.3">
      <c r="A1779" t="s">
        <v>525</v>
      </c>
      <c r="B1779" s="20">
        <v>43831</v>
      </c>
      <c r="C1779" t="s">
        <v>391</v>
      </c>
      <c r="D1779" t="s">
        <v>392</v>
      </c>
      <c r="E1779" t="s">
        <v>381</v>
      </c>
      <c r="F1779">
        <v>53</v>
      </c>
      <c r="G1779">
        <v>0</v>
      </c>
      <c r="H1779">
        <f>IF(report_B_CategorieBoekjaar[[#This Row],[BedrijfsCode]]="002",IF(report_B_CategorieBoekjaar[[#This Row],[Boekjaar]]=Projectbegroting!$K$1,report_B_CategorieBoekjaar[[#This Row],[CategorieCode]],0),0)</f>
        <v>0</v>
      </c>
      <c r="I1779">
        <f>IF(report_B_CategorieBoekjaar[[#This Row],[BedrijfsCode]]="001",IF(report_B_CategorieBoekjaar[[#This Row],[Boekjaar]]=Projectbegroting!$K$1,report_B_CategorieBoekjaar[[#This Row],[CategorieCode]],0),0)</f>
        <v>0</v>
      </c>
    </row>
    <row r="1780" spans="1:9" hidden="1" x14ac:dyDescent="0.3">
      <c r="A1780" t="s">
        <v>525</v>
      </c>
      <c r="B1780" s="20">
        <v>43831</v>
      </c>
      <c r="C1780" t="s">
        <v>393</v>
      </c>
      <c r="D1780" t="s">
        <v>394</v>
      </c>
      <c r="E1780" t="s">
        <v>384</v>
      </c>
      <c r="F1780">
        <v>0</v>
      </c>
      <c r="G1780">
        <v>0</v>
      </c>
      <c r="H1780">
        <f>IF(report_B_CategorieBoekjaar[[#This Row],[BedrijfsCode]]="002",IF(report_B_CategorieBoekjaar[[#This Row],[Boekjaar]]=Projectbegroting!$K$1,report_B_CategorieBoekjaar[[#This Row],[CategorieCode]],0),0)</f>
        <v>0</v>
      </c>
      <c r="I1780">
        <f>IF(report_B_CategorieBoekjaar[[#This Row],[BedrijfsCode]]="001",IF(report_B_CategorieBoekjaar[[#This Row],[Boekjaar]]=Projectbegroting!$K$1,report_B_CategorieBoekjaar[[#This Row],[CategorieCode]],0),0)</f>
        <v>0</v>
      </c>
    </row>
    <row r="1781" spans="1:9" hidden="1" x14ac:dyDescent="0.3">
      <c r="A1781" t="s">
        <v>525</v>
      </c>
      <c r="B1781" s="20">
        <v>43831</v>
      </c>
      <c r="C1781" t="s">
        <v>395</v>
      </c>
      <c r="D1781" t="s">
        <v>396</v>
      </c>
      <c r="E1781" t="s">
        <v>381</v>
      </c>
      <c r="F1781">
        <v>54</v>
      </c>
      <c r="G1781">
        <v>0</v>
      </c>
      <c r="H1781">
        <f>IF(report_B_CategorieBoekjaar[[#This Row],[BedrijfsCode]]="002",IF(report_B_CategorieBoekjaar[[#This Row],[Boekjaar]]=Projectbegroting!$K$1,report_B_CategorieBoekjaar[[#This Row],[CategorieCode]],0),0)</f>
        <v>0</v>
      </c>
      <c r="I1781">
        <f>IF(report_B_CategorieBoekjaar[[#This Row],[BedrijfsCode]]="001",IF(report_B_CategorieBoekjaar[[#This Row],[Boekjaar]]=Projectbegroting!$K$1,report_B_CategorieBoekjaar[[#This Row],[CategorieCode]],0),0)</f>
        <v>0</v>
      </c>
    </row>
    <row r="1782" spans="1:9" hidden="1" x14ac:dyDescent="0.3">
      <c r="A1782" t="s">
        <v>525</v>
      </c>
      <c r="B1782" s="20">
        <v>43831</v>
      </c>
      <c r="C1782" t="s">
        <v>397</v>
      </c>
      <c r="D1782" t="s">
        <v>398</v>
      </c>
      <c r="E1782" t="s">
        <v>384</v>
      </c>
      <c r="F1782">
        <v>0</v>
      </c>
      <c r="G1782">
        <v>0</v>
      </c>
      <c r="H1782">
        <f>IF(report_B_CategorieBoekjaar[[#This Row],[BedrijfsCode]]="002",IF(report_B_CategorieBoekjaar[[#This Row],[Boekjaar]]=Projectbegroting!$K$1,report_B_CategorieBoekjaar[[#This Row],[CategorieCode]],0),0)</f>
        <v>0</v>
      </c>
      <c r="I1782">
        <f>IF(report_B_CategorieBoekjaar[[#This Row],[BedrijfsCode]]="001",IF(report_B_CategorieBoekjaar[[#This Row],[Boekjaar]]=Projectbegroting!$K$1,report_B_CategorieBoekjaar[[#This Row],[CategorieCode]],0),0)</f>
        <v>0</v>
      </c>
    </row>
    <row r="1783" spans="1:9" hidden="1" x14ac:dyDescent="0.3">
      <c r="A1783" t="s">
        <v>525</v>
      </c>
      <c r="B1783" s="20">
        <v>43831</v>
      </c>
      <c r="C1783" t="s">
        <v>54</v>
      </c>
      <c r="D1783" t="s">
        <v>399</v>
      </c>
      <c r="E1783" t="s">
        <v>381</v>
      </c>
      <c r="F1783">
        <v>52</v>
      </c>
      <c r="G1783">
        <v>101</v>
      </c>
      <c r="H1783">
        <f>IF(report_B_CategorieBoekjaar[[#This Row],[BedrijfsCode]]="002",IF(report_B_CategorieBoekjaar[[#This Row],[Boekjaar]]=Projectbegroting!$K$1,report_B_CategorieBoekjaar[[#This Row],[CategorieCode]],0),0)</f>
        <v>0</v>
      </c>
      <c r="I1783">
        <f>IF(report_B_CategorieBoekjaar[[#This Row],[BedrijfsCode]]="001",IF(report_B_CategorieBoekjaar[[#This Row],[Boekjaar]]=Projectbegroting!$K$1,report_B_CategorieBoekjaar[[#This Row],[CategorieCode]],0),0)</f>
        <v>0</v>
      </c>
    </row>
    <row r="1784" spans="1:9" hidden="1" x14ac:dyDescent="0.3">
      <c r="A1784" t="s">
        <v>525</v>
      </c>
      <c r="B1784" s="20">
        <v>43831</v>
      </c>
      <c r="C1784" t="s">
        <v>400</v>
      </c>
      <c r="D1784" t="s">
        <v>401</v>
      </c>
      <c r="E1784" t="s">
        <v>384</v>
      </c>
      <c r="F1784">
        <v>0</v>
      </c>
      <c r="G1784">
        <v>0</v>
      </c>
      <c r="H1784">
        <f>IF(report_B_CategorieBoekjaar[[#This Row],[BedrijfsCode]]="002",IF(report_B_CategorieBoekjaar[[#This Row],[Boekjaar]]=Projectbegroting!$K$1,report_B_CategorieBoekjaar[[#This Row],[CategorieCode]],0),0)</f>
        <v>0</v>
      </c>
      <c r="I1784">
        <f>IF(report_B_CategorieBoekjaar[[#This Row],[BedrijfsCode]]="001",IF(report_B_CategorieBoekjaar[[#This Row],[Boekjaar]]=Projectbegroting!$K$1,report_B_CategorieBoekjaar[[#This Row],[CategorieCode]],0),0)</f>
        <v>0</v>
      </c>
    </row>
    <row r="1785" spans="1:9" hidden="1" x14ac:dyDescent="0.3">
      <c r="A1785" t="s">
        <v>525</v>
      </c>
      <c r="B1785" s="20">
        <v>43831</v>
      </c>
      <c r="C1785" t="s">
        <v>56</v>
      </c>
      <c r="D1785" t="s">
        <v>402</v>
      </c>
      <c r="E1785" t="s">
        <v>381</v>
      </c>
      <c r="F1785">
        <v>62</v>
      </c>
      <c r="G1785">
        <v>0</v>
      </c>
      <c r="H1785">
        <f>IF(report_B_CategorieBoekjaar[[#This Row],[BedrijfsCode]]="002",IF(report_B_CategorieBoekjaar[[#This Row],[Boekjaar]]=Projectbegroting!$K$1,report_B_CategorieBoekjaar[[#This Row],[CategorieCode]],0),0)</f>
        <v>0</v>
      </c>
      <c r="I1785">
        <f>IF(report_B_CategorieBoekjaar[[#This Row],[BedrijfsCode]]="001",IF(report_B_CategorieBoekjaar[[#This Row],[Boekjaar]]=Projectbegroting!$K$1,report_B_CategorieBoekjaar[[#This Row],[CategorieCode]],0),0)</f>
        <v>0</v>
      </c>
    </row>
    <row r="1786" spans="1:9" hidden="1" x14ac:dyDescent="0.3">
      <c r="A1786" t="s">
        <v>525</v>
      </c>
      <c r="B1786" s="20">
        <v>43831</v>
      </c>
      <c r="C1786" t="s">
        <v>403</v>
      </c>
      <c r="D1786" t="s">
        <v>404</v>
      </c>
      <c r="E1786" t="s">
        <v>384</v>
      </c>
      <c r="F1786">
        <v>0</v>
      </c>
      <c r="G1786">
        <v>0</v>
      </c>
      <c r="H1786">
        <f>IF(report_B_CategorieBoekjaar[[#This Row],[BedrijfsCode]]="002",IF(report_B_CategorieBoekjaar[[#This Row],[Boekjaar]]=Projectbegroting!$K$1,report_B_CategorieBoekjaar[[#This Row],[CategorieCode]],0),0)</f>
        <v>0</v>
      </c>
      <c r="I1786">
        <f>IF(report_B_CategorieBoekjaar[[#This Row],[BedrijfsCode]]="001",IF(report_B_CategorieBoekjaar[[#This Row],[Boekjaar]]=Projectbegroting!$K$1,report_B_CategorieBoekjaar[[#This Row],[CategorieCode]],0),0)</f>
        <v>0</v>
      </c>
    </row>
    <row r="1787" spans="1:9" hidden="1" x14ac:dyDescent="0.3">
      <c r="A1787" t="s">
        <v>525</v>
      </c>
      <c r="B1787" s="20">
        <v>43831</v>
      </c>
      <c r="C1787" t="s">
        <v>405</v>
      </c>
      <c r="D1787" t="s">
        <v>16</v>
      </c>
      <c r="E1787" t="s">
        <v>381</v>
      </c>
      <c r="F1787">
        <v>52</v>
      </c>
      <c r="G1787">
        <v>0</v>
      </c>
      <c r="H1787">
        <f>IF(report_B_CategorieBoekjaar[[#This Row],[BedrijfsCode]]="002",IF(report_B_CategorieBoekjaar[[#This Row],[Boekjaar]]=Projectbegroting!$K$1,report_B_CategorieBoekjaar[[#This Row],[CategorieCode]],0),0)</f>
        <v>0</v>
      </c>
      <c r="I1787">
        <f>IF(report_B_CategorieBoekjaar[[#This Row],[BedrijfsCode]]="001",IF(report_B_CategorieBoekjaar[[#This Row],[Boekjaar]]=Projectbegroting!$K$1,report_B_CategorieBoekjaar[[#This Row],[CategorieCode]],0),0)</f>
        <v>0</v>
      </c>
    </row>
    <row r="1788" spans="1:9" hidden="1" x14ac:dyDescent="0.3">
      <c r="A1788" t="s">
        <v>525</v>
      </c>
      <c r="B1788" s="20">
        <v>43831</v>
      </c>
      <c r="C1788" t="s">
        <v>58</v>
      </c>
      <c r="D1788" t="s">
        <v>406</v>
      </c>
      <c r="E1788" t="s">
        <v>381</v>
      </c>
      <c r="F1788">
        <v>53</v>
      </c>
      <c r="G1788">
        <v>0</v>
      </c>
      <c r="H1788">
        <f>IF(report_B_CategorieBoekjaar[[#This Row],[BedrijfsCode]]="002",IF(report_B_CategorieBoekjaar[[#This Row],[Boekjaar]]=Projectbegroting!$K$1,report_B_CategorieBoekjaar[[#This Row],[CategorieCode]],0),0)</f>
        <v>0</v>
      </c>
      <c r="I1788">
        <f>IF(report_B_CategorieBoekjaar[[#This Row],[BedrijfsCode]]="001",IF(report_B_CategorieBoekjaar[[#This Row],[Boekjaar]]=Projectbegroting!$K$1,report_B_CategorieBoekjaar[[#This Row],[CategorieCode]],0),0)</f>
        <v>0</v>
      </c>
    </row>
    <row r="1789" spans="1:9" hidden="1" x14ac:dyDescent="0.3">
      <c r="A1789" t="s">
        <v>525</v>
      </c>
      <c r="B1789" s="20">
        <v>43831</v>
      </c>
      <c r="C1789" t="s">
        <v>407</v>
      </c>
      <c r="D1789" t="s">
        <v>408</v>
      </c>
      <c r="E1789" t="s">
        <v>384</v>
      </c>
      <c r="F1789">
        <v>0</v>
      </c>
      <c r="G1789">
        <v>0</v>
      </c>
      <c r="H1789">
        <f>IF(report_B_CategorieBoekjaar[[#This Row],[BedrijfsCode]]="002",IF(report_B_CategorieBoekjaar[[#This Row],[Boekjaar]]=Projectbegroting!$K$1,report_B_CategorieBoekjaar[[#This Row],[CategorieCode]],0),0)</f>
        <v>0</v>
      </c>
      <c r="I1789">
        <f>IF(report_B_CategorieBoekjaar[[#This Row],[BedrijfsCode]]="001",IF(report_B_CategorieBoekjaar[[#This Row],[Boekjaar]]=Projectbegroting!$K$1,report_B_CategorieBoekjaar[[#This Row],[CategorieCode]],0),0)</f>
        <v>0</v>
      </c>
    </row>
    <row r="1790" spans="1:9" hidden="1" x14ac:dyDescent="0.3">
      <c r="A1790" t="s">
        <v>525</v>
      </c>
      <c r="B1790" s="20">
        <v>43831</v>
      </c>
      <c r="C1790" t="s">
        <v>60</v>
      </c>
      <c r="D1790" t="s">
        <v>61</v>
      </c>
      <c r="E1790" t="s">
        <v>381</v>
      </c>
      <c r="F1790">
        <v>66</v>
      </c>
      <c r="G1790">
        <v>115</v>
      </c>
      <c r="H1790">
        <f>IF(report_B_CategorieBoekjaar[[#This Row],[BedrijfsCode]]="002",IF(report_B_CategorieBoekjaar[[#This Row],[Boekjaar]]=Projectbegroting!$K$1,report_B_CategorieBoekjaar[[#This Row],[CategorieCode]],0),0)</f>
        <v>0</v>
      </c>
      <c r="I1790">
        <f>IF(report_B_CategorieBoekjaar[[#This Row],[BedrijfsCode]]="001",IF(report_B_CategorieBoekjaar[[#This Row],[Boekjaar]]=Projectbegroting!$K$1,report_B_CategorieBoekjaar[[#This Row],[CategorieCode]],0),0)</f>
        <v>0</v>
      </c>
    </row>
    <row r="1791" spans="1:9" hidden="1" x14ac:dyDescent="0.3">
      <c r="A1791" t="s">
        <v>525</v>
      </c>
      <c r="B1791" s="20">
        <v>43831</v>
      </c>
      <c r="C1791" t="s">
        <v>168</v>
      </c>
      <c r="D1791" t="s">
        <v>409</v>
      </c>
      <c r="E1791" t="s">
        <v>384</v>
      </c>
      <c r="F1791">
        <v>0</v>
      </c>
      <c r="G1791">
        <v>0</v>
      </c>
      <c r="H1791">
        <f>IF(report_B_CategorieBoekjaar[[#This Row],[BedrijfsCode]]="002",IF(report_B_CategorieBoekjaar[[#This Row],[Boekjaar]]=Projectbegroting!$K$1,report_B_CategorieBoekjaar[[#This Row],[CategorieCode]],0),0)</f>
        <v>0</v>
      </c>
      <c r="I1791">
        <f>IF(report_B_CategorieBoekjaar[[#This Row],[BedrijfsCode]]="001",IF(report_B_CategorieBoekjaar[[#This Row],[Boekjaar]]=Projectbegroting!$K$1,report_B_CategorieBoekjaar[[#This Row],[CategorieCode]],0),0)</f>
        <v>0</v>
      </c>
    </row>
    <row r="1792" spans="1:9" hidden="1" x14ac:dyDescent="0.3">
      <c r="A1792" t="s">
        <v>525</v>
      </c>
      <c r="B1792" s="20">
        <v>43831</v>
      </c>
      <c r="C1792" t="s">
        <v>410</v>
      </c>
      <c r="D1792" t="s">
        <v>411</v>
      </c>
      <c r="E1792" t="s">
        <v>381</v>
      </c>
      <c r="F1792">
        <v>34</v>
      </c>
      <c r="G1792">
        <v>0</v>
      </c>
      <c r="H1792">
        <f>IF(report_B_CategorieBoekjaar[[#This Row],[BedrijfsCode]]="002",IF(report_B_CategorieBoekjaar[[#This Row],[Boekjaar]]=Projectbegroting!$K$1,report_B_CategorieBoekjaar[[#This Row],[CategorieCode]],0),0)</f>
        <v>0</v>
      </c>
      <c r="I1792">
        <f>IF(report_B_CategorieBoekjaar[[#This Row],[BedrijfsCode]]="001",IF(report_B_CategorieBoekjaar[[#This Row],[Boekjaar]]=Projectbegroting!$K$1,report_B_CategorieBoekjaar[[#This Row],[CategorieCode]],0),0)</f>
        <v>0</v>
      </c>
    </row>
    <row r="1793" spans="1:9" hidden="1" x14ac:dyDescent="0.3">
      <c r="A1793" t="s">
        <v>525</v>
      </c>
      <c r="B1793" s="20">
        <v>43831</v>
      </c>
      <c r="C1793" t="s">
        <v>412</v>
      </c>
      <c r="D1793" t="s">
        <v>413</v>
      </c>
      <c r="E1793" t="s">
        <v>381</v>
      </c>
      <c r="F1793">
        <v>37</v>
      </c>
      <c r="G1793">
        <v>86</v>
      </c>
      <c r="H1793">
        <f>IF(report_B_CategorieBoekjaar[[#This Row],[BedrijfsCode]]="002",IF(report_B_CategorieBoekjaar[[#This Row],[Boekjaar]]=Projectbegroting!$K$1,report_B_CategorieBoekjaar[[#This Row],[CategorieCode]],0),0)</f>
        <v>0</v>
      </c>
      <c r="I1793">
        <f>IF(report_B_CategorieBoekjaar[[#This Row],[BedrijfsCode]]="001",IF(report_B_CategorieBoekjaar[[#This Row],[Boekjaar]]=Projectbegroting!$K$1,report_B_CategorieBoekjaar[[#This Row],[CategorieCode]],0),0)</f>
        <v>0</v>
      </c>
    </row>
    <row r="1794" spans="1:9" hidden="1" x14ac:dyDescent="0.3">
      <c r="A1794" t="s">
        <v>525</v>
      </c>
      <c r="B1794" s="20">
        <v>43831</v>
      </c>
      <c r="C1794" t="s">
        <v>414</v>
      </c>
      <c r="D1794" t="s">
        <v>415</v>
      </c>
      <c r="E1794" t="s">
        <v>384</v>
      </c>
      <c r="F1794">
        <v>0</v>
      </c>
      <c r="G1794">
        <v>0</v>
      </c>
      <c r="H1794">
        <f>IF(report_B_CategorieBoekjaar[[#This Row],[BedrijfsCode]]="002",IF(report_B_CategorieBoekjaar[[#This Row],[Boekjaar]]=Projectbegroting!$K$1,report_B_CategorieBoekjaar[[#This Row],[CategorieCode]],0),0)</f>
        <v>0</v>
      </c>
      <c r="I1794">
        <f>IF(report_B_CategorieBoekjaar[[#This Row],[BedrijfsCode]]="001",IF(report_B_CategorieBoekjaar[[#This Row],[Boekjaar]]=Projectbegroting!$K$1,report_B_CategorieBoekjaar[[#This Row],[CategorieCode]],0),0)</f>
        <v>0</v>
      </c>
    </row>
    <row r="1795" spans="1:9" hidden="1" x14ac:dyDescent="0.3">
      <c r="A1795" t="s">
        <v>525</v>
      </c>
      <c r="B1795" s="20">
        <v>43831</v>
      </c>
      <c r="C1795" t="s">
        <v>82</v>
      </c>
      <c r="D1795" t="s">
        <v>416</v>
      </c>
      <c r="E1795" t="s">
        <v>381</v>
      </c>
      <c r="F1795">
        <v>73</v>
      </c>
      <c r="G1795">
        <v>0</v>
      </c>
      <c r="H1795">
        <f>IF(report_B_CategorieBoekjaar[[#This Row],[BedrijfsCode]]="002",IF(report_B_CategorieBoekjaar[[#This Row],[Boekjaar]]=Projectbegroting!$K$1,report_B_CategorieBoekjaar[[#This Row],[CategorieCode]],0),0)</f>
        <v>0</v>
      </c>
      <c r="I1795">
        <f>IF(report_B_CategorieBoekjaar[[#This Row],[BedrijfsCode]]="001",IF(report_B_CategorieBoekjaar[[#This Row],[Boekjaar]]=Projectbegroting!$K$1,report_B_CategorieBoekjaar[[#This Row],[CategorieCode]],0),0)</f>
        <v>0</v>
      </c>
    </row>
    <row r="1796" spans="1:9" hidden="1" x14ac:dyDescent="0.3">
      <c r="A1796" t="s">
        <v>525</v>
      </c>
      <c r="B1796" s="20">
        <v>43831</v>
      </c>
      <c r="C1796" t="s">
        <v>169</v>
      </c>
      <c r="D1796" t="s">
        <v>417</v>
      </c>
      <c r="E1796" t="s">
        <v>384</v>
      </c>
      <c r="F1796">
        <v>0</v>
      </c>
      <c r="G1796">
        <v>0</v>
      </c>
      <c r="H1796">
        <f>IF(report_B_CategorieBoekjaar[[#This Row],[BedrijfsCode]]="002",IF(report_B_CategorieBoekjaar[[#This Row],[Boekjaar]]=Projectbegroting!$K$1,report_B_CategorieBoekjaar[[#This Row],[CategorieCode]],0),0)</f>
        <v>0</v>
      </c>
      <c r="I1796">
        <f>IF(report_B_CategorieBoekjaar[[#This Row],[BedrijfsCode]]="001",IF(report_B_CategorieBoekjaar[[#This Row],[Boekjaar]]=Projectbegroting!$K$1,report_B_CategorieBoekjaar[[#This Row],[CategorieCode]],0),0)</f>
        <v>0</v>
      </c>
    </row>
    <row r="1797" spans="1:9" hidden="1" x14ac:dyDescent="0.3">
      <c r="A1797" t="s">
        <v>525</v>
      </c>
      <c r="B1797" s="20">
        <v>43831</v>
      </c>
      <c r="C1797" t="s">
        <v>418</v>
      </c>
      <c r="D1797" t="s">
        <v>419</v>
      </c>
      <c r="E1797" t="s">
        <v>381</v>
      </c>
      <c r="F1797">
        <v>66</v>
      </c>
      <c r="G1797">
        <v>0</v>
      </c>
      <c r="H1797">
        <f>IF(report_B_CategorieBoekjaar[[#This Row],[BedrijfsCode]]="002",IF(report_B_CategorieBoekjaar[[#This Row],[Boekjaar]]=Projectbegroting!$K$1,report_B_CategorieBoekjaar[[#This Row],[CategorieCode]],0),0)</f>
        <v>0</v>
      </c>
      <c r="I1797">
        <f>IF(report_B_CategorieBoekjaar[[#This Row],[BedrijfsCode]]="001",IF(report_B_CategorieBoekjaar[[#This Row],[Boekjaar]]=Projectbegroting!$K$1,report_B_CategorieBoekjaar[[#This Row],[CategorieCode]],0),0)</f>
        <v>0</v>
      </c>
    </row>
    <row r="1798" spans="1:9" hidden="1" x14ac:dyDescent="0.3">
      <c r="A1798" t="s">
        <v>525</v>
      </c>
      <c r="B1798" s="20">
        <v>43831</v>
      </c>
      <c r="C1798" t="s">
        <v>84</v>
      </c>
      <c r="D1798" t="s">
        <v>420</v>
      </c>
      <c r="E1798" t="s">
        <v>381</v>
      </c>
      <c r="F1798">
        <v>57</v>
      </c>
      <c r="G1798">
        <v>0</v>
      </c>
      <c r="H1798">
        <f>IF(report_B_CategorieBoekjaar[[#This Row],[BedrijfsCode]]="002",IF(report_B_CategorieBoekjaar[[#This Row],[Boekjaar]]=Projectbegroting!$K$1,report_B_CategorieBoekjaar[[#This Row],[CategorieCode]],0),0)</f>
        <v>0</v>
      </c>
      <c r="I1798">
        <f>IF(report_B_CategorieBoekjaar[[#This Row],[BedrijfsCode]]="001",IF(report_B_CategorieBoekjaar[[#This Row],[Boekjaar]]=Projectbegroting!$K$1,report_B_CategorieBoekjaar[[#This Row],[CategorieCode]],0),0)</f>
        <v>0</v>
      </c>
    </row>
    <row r="1799" spans="1:9" hidden="1" x14ac:dyDescent="0.3">
      <c r="A1799" t="s">
        <v>525</v>
      </c>
      <c r="B1799" s="20">
        <v>43831</v>
      </c>
      <c r="C1799" t="s">
        <v>170</v>
      </c>
      <c r="D1799" t="s">
        <v>421</v>
      </c>
      <c r="E1799" t="s">
        <v>384</v>
      </c>
      <c r="F1799">
        <v>0</v>
      </c>
      <c r="G1799">
        <v>0</v>
      </c>
      <c r="H1799">
        <f>IF(report_B_CategorieBoekjaar[[#This Row],[BedrijfsCode]]="002",IF(report_B_CategorieBoekjaar[[#This Row],[Boekjaar]]=Projectbegroting!$K$1,report_B_CategorieBoekjaar[[#This Row],[CategorieCode]],0),0)</f>
        <v>0</v>
      </c>
      <c r="I1799">
        <f>IF(report_B_CategorieBoekjaar[[#This Row],[BedrijfsCode]]="001",IF(report_B_CategorieBoekjaar[[#This Row],[Boekjaar]]=Projectbegroting!$K$1,report_B_CategorieBoekjaar[[#This Row],[CategorieCode]],0),0)</f>
        <v>0</v>
      </c>
    </row>
    <row r="1800" spans="1:9" hidden="1" x14ac:dyDescent="0.3">
      <c r="A1800" t="s">
        <v>525</v>
      </c>
      <c r="B1800" s="20">
        <v>43831</v>
      </c>
      <c r="C1800" t="s">
        <v>96</v>
      </c>
      <c r="D1800" t="s">
        <v>422</v>
      </c>
      <c r="E1800" t="s">
        <v>381</v>
      </c>
      <c r="F1800">
        <v>56</v>
      </c>
      <c r="G1800">
        <v>105</v>
      </c>
      <c r="H1800">
        <f>IF(report_B_CategorieBoekjaar[[#This Row],[BedrijfsCode]]="002",IF(report_B_CategorieBoekjaar[[#This Row],[Boekjaar]]=Projectbegroting!$K$1,report_B_CategorieBoekjaar[[#This Row],[CategorieCode]],0),0)</f>
        <v>0</v>
      </c>
      <c r="I1800">
        <f>IF(report_B_CategorieBoekjaar[[#This Row],[BedrijfsCode]]="001",IF(report_B_CategorieBoekjaar[[#This Row],[Boekjaar]]=Projectbegroting!$K$1,report_B_CategorieBoekjaar[[#This Row],[CategorieCode]],0),0)</f>
        <v>0</v>
      </c>
    </row>
    <row r="1801" spans="1:9" hidden="1" x14ac:dyDescent="0.3">
      <c r="A1801" t="s">
        <v>525</v>
      </c>
      <c r="B1801" s="20">
        <v>43831</v>
      </c>
      <c r="C1801" t="s">
        <v>171</v>
      </c>
      <c r="D1801" t="s">
        <v>423</v>
      </c>
      <c r="E1801" t="s">
        <v>384</v>
      </c>
      <c r="F1801">
        <v>0</v>
      </c>
      <c r="G1801">
        <v>0</v>
      </c>
      <c r="H1801">
        <f>IF(report_B_CategorieBoekjaar[[#This Row],[BedrijfsCode]]="002",IF(report_B_CategorieBoekjaar[[#This Row],[Boekjaar]]=Projectbegroting!$K$1,report_B_CategorieBoekjaar[[#This Row],[CategorieCode]],0),0)</f>
        <v>0</v>
      </c>
      <c r="I1801">
        <f>IF(report_B_CategorieBoekjaar[[#This Row],[BedrijfsCode]]="001",IF(report_B_CategorieBoekjaar[[#This Row],[Boekjaar]]=Projectbegroting!$K$1,report_B_CategorieBoekjaar[[#This Row],[CategorieCode]],0),0)</f>
        <v>0</v>
      </c>
    </row>
    <row r="1802" spans="1:9" hidden="1" x14ac:dyDescent="0.3">
      <c r="A1802" t="s">
        <v>525</v>
      </c>
      <c r="B1802" s="20">
        <v>43831</v>
      </c>
      <c r="C1802" t="s">
        <v>86</v>
      </c>
      <c r="D1802" t="s">
        <v>424</v>
      </c>
      <c r="E1802" t="s">
        <v>381</v>
      </c>
      <c r="F1802">
        <v>49</v>
      </c>
      <c r="G1802">
        <v>98</v>
      </c>
      <c r="H1802">
        <f>IF(report_B_CategorieBoekjaar[[#This Row],[BedrijfsCode]]="002",IF(report_B_CategorieBoekjaar[[#This Row],[Boekjaar]]=Projectbegroting!$K$1,report_B_CategorieBoekjaar[[#This Row],[CategorieCode]],0),0)</f>
        <v>0</v>
      </c>
      <c r="I1802">
        <f>IF(report_B_CategorieBoekjaar[[#This Row],[BedrijfsCode]]="001",IF(report_B_CategorieBoekjaar[[#This Row],[Boekjaar]]=Projectbegroting!$K$1,report_B_CategorieBoekjaar[[#This Row],[CategorieCode]],0),0)</f>
        <v>0</v>
      </c>
    </row>
    <row r="1803" spans="1:9" hidden="1" x14ac:dyDescent="0.3">
      <c r="A1803" t="s">
        <v>525</v>
      </c>
      <c r="B1803" s="20">
        <v>43831</v>
      </c>
      <c r="C1803" t="s">
        <v>172</v>
      </c>
      <c r="D1803" t="s">
        <v>425</v>
      </c>
      <c r="E1803" t="s">
        <v>384</v>
      </c>
      <c r="F1803">
        <v>0</v>
      </c>
      <c r="G1803">
        <v>0</v>
      </c>
      <c r="H1803">
        <f>IF(report_B_CategorieBoekjaar[[#This Row],[BedrijfsCode]]="002",IF(report_B_CategorieBoekjaar[[#This Row],[Boekjaar]]=Projectbegroting!$K$1,report_B_CategorieBoekjaar[[#This Row],[CategorieCode]],0),0)</f>
        <v>0</v>
      </c>
      <c r="I1803">
        <f>IF(report_B_CategorieBoekjaar[[#This Row],[BedrijfsCode]]="001",IF(report_B_CategorieBoekjaar[[#This Row],[Boekjaar]]=Projectbegroting!$K$1,report_B_CategorieBoekjaar[[#This Row],[CategorieCode]],0),0)</f>
        <v>0</v>
      </c>
    </row>
    <row r="1804" spans="1:9" hidden="1" x14ac:dyDescent="0.3">
      <c r="A1804" t="s">
        <v>525</v>
      </c>
      <c r="B1804" s="20">
        <v>43831</v>
      </c>
      <c r="C1804" t="s">
        <v>173</v>
      </c>
      <c r="D1804" t="s">
        <v>427</v>
      </c>
      <c r="E1804" t="s">
        <v>384</v>
      </c>
      <c r="F1804">
        <v>0</v>
      </c>
      <c r="G1804">
        <v>0</v>
      </c>
      <c r="H1804">
        <f>IF(report_B_CategorieBoekjaar[[#This Row],[BedrijfsCode]]="002",IF(report_B_CategorieBoekjaar[[#This Row],[Boekjaar]]=Projectbegroting!$K$1,report_B_CategorieBoekjaar[[#This Row],[CategorieCode]],0),0)</f>
        <v>0</v>
      </c>
      <c r="I1804">
        <f>IF(report_B_CategorieBoekjaar[[#This Row],[BedrijfsCode]]="001",IF(report_B_CategorieBoekjaar[[#This Row],[Boekjaar]]=Projectbegroting!$K$1,report_B_CategorieBoekjaar[[#This Row],[CategorieCode]],0),0)</f>
        <v>0</v>
      </c>
    </row>
    <row r="1805" spans="1:9" hidden="1" x14ac:dyDescent="0.3">
      <c r="A1805" t="s">
        <v>525</v>
      </c>
      <c r="B1805" s="20">
        <v>43831</v>
      </c>
      <c r="C1805" t="s">
        <v>88</v>
      </c>
      <c r="D1805" t="s">
        <v>89</v>
      </c>
      <c r="E1805" t="s">
        <v>381</v>
      </c>
      <c r="F1805">
        <v>64</v>
      </c>
      <c r="G1805">
        <v>113</v>
      </c>
      <c r="H1805">
        <f>IF(report_B_CategorieBoekjaar[[#This Row],[BedrijfsCode]]="002",IF(report_B_CategorieBoekjaar[[#This Row],[Boekjaar]]=Projectbegroting!$K$1,report_B_CategorieBoekjaar[[#This Row],[CategorieCode]],0),0)</f>
        <v>0</v>
      </c>
      <c r="I1805">
        <f>IF(report_B_CategorieBoekjaar[[#This Row],[BedrijfsCode]]="001",IF(report_B_CategorieBoekjaar[[#This Row],[Boekjaar]]=Projectbegroting!$K$1,report_B_CategorieBoekjaar[[#This Row],[CategorieCode]],0),0)</f>
        <v>0</v>
      </c>
    </row>
    <row r="1806" spans="1:9" hidden="1" x14ac:dyDescent="0.3">
      <c r="A1806" t="s">
        <v>525</v>
      </c>
      <c r="B1806" s="20">
        <v>43831</v>
      </c>
      <c r="C1806" t="s">
        <v>174</v>
      </c>
      <c r="D1806" t="s">
        <v>428</v>
      </c>
      <c r="E1806" t="s">
        <v>384</v>
      </c>
      <c r="F1806">
        <v>0</v>
      </c>
      <c r="G1806">
        <v>0</v>
      </c>
      <c r="H1806">
        <f>IF(report_B_CategorieBoekjaar[[#This Row],[BedrijfsCode]]="002",IF(report_B_CategorieBoekjaar[[#This Row],[Boekjaar]]=Projectbegroting!$K$1,report_B_CategorieBoekjaar[[#This Row],[CategorieCode]],0),0)</f>
        <v>0</v>
      </c>
      <c r="I1806">
        <f>IF(report_B_CategorieBoekjaar[[#This Row],[BedrijfsCode]]="001",IF(report_B_CategorieBoekjaar[[#This Row],[Boekjaar]]=Projectbegroting!$K$1,report_B_CategorieBoekjaar[[#This Row],[CategorieCode]],0),0)</f>
        <v>0</v>
      </c>
    </row>
    <row r="1807" spans="1:9" hidden="1" x14ac:dyDescent="0.3">
      <c r="A1807" t="s">
        <v>525</v>
      </c>
      <c r="B1807" s="20">
        <v>43831</v>
      </c>
      <c r="C1807" t="s">
        <v>90</v>
      </c>
      <c r="D1807" t="s">
        <v>91</v>
      </c>
      <c r="E1807" t="s">
        <v>381</v>
      </c>
      <c r="F1807">
        <v>39</v>
      </c>
      <c r="G1807">
        <v>123</v>
      </c>
      <c r="H1807">
        <f>IF(report_B_CategorieBoekjaar[[#This Row],[BedrijfsCode]]="002",IF(report_B_CategorieBoekjaar[[#This Row],[Boekjaar]]=Projectbegroting!$K$1,report_B_CategorieBoekjaar[[#This Row],[CategorieCode]],0),0)</f>
        <v>0</v>
      </c>
      <c r="I1807">
        <f>IF(report_B_CategorieBoekjaar[[#This Row],[BedrijfsCode]]="001",IF(report_B_CategorieBoekjaar[[#This Row],[Boekjaar]]=Projectbegroting!$K$1,report_B_CategorieBoekjaar[[#This Row],[CategorieCode]],0),0)</f>
        <v>0</v>
      </c>
    </row>
    <row r="1808" spans="1:9" hidden="1" x14ac:dyDescent="0.3">
      <c r="A1808" t="s">
        <v>525</v>
      </c>
      <c r="B1808" s="20">
        <v>43831</v>
      </c>
      <c r="C1808" t="s">
        <v>429</v>
      </c>
      <c r="D1808" t="s">
        <v>430</v>
      </c>
      <c r="E1808" t="s">
        <v>384</v>
      </c>
      <c r="F1808">
        <v>0</v>
      </c>
      <c r="G1808">
        <v>0</v>
      </c>
      <c r="H1808">
        <f>IF(report_B_CategorieBoekjaar[[#This Row],[BedrijfsCode]]="002",IF(report_B_CategorieBoekjaar[[#This Row],[Boekjaar]]=Projectbegroting!$K$1,report_B_CategorieBoekjaar[[#This Row],[CategorieCode]],0),0)</f>
        <v>0</v>
      </c>
      <c r="I1808">
        <f>IF(report_B_CategorieBoekjaar[[#This Row],[BedrijfsCode]]="001",IF(report_B_CategorieBoekjaar[[#This Row],[Boekjaar]]=Projectbegroting!$K$1,report_B_CategorieBoekjaar[[#This Row],[CategorieCode]],0),0)</f>
        <v>0</v>
      </c>
    </row>
    <row r="1809" spans="1:9" hidden="1" x14ac:dyDescent="0.3">
      <c r="A1809" t="s">
        <v>525</v>
      </c>
      <c r="B1809" s="20">
        <v>43831</v>
      </c>
      <c r="C1809" t="s">
        <v>431</v>
      </c>
      <c r="D1809" t="s">
        <v>432</v>
      </c>
      <c r="E1809" t="s">
        <v>381</v>
      </c>
      <c r="F1809">
        <v>66</v>
      </c>
      <c r="G1809">
        <v>127</v>
      </c>
      <c r="H1809">
        <f>IF(report_B_CategorieBoekjaar[[#This Row],[BedrijfsCode]]="002",IF(report_B_CategorieBoekjaar[[#This Row],[Boekjaar]]=Projectbegroting!$K$1,report_B_CategorieBoekjaar[[#This Row],[CategorieCode]],0),0)</f>
        <v>0</v>
      </c>
      <c r="I1809">
        <f>IF(report_B_CategorieBoekjaar[[#This Row],[BedrijfsCode]]="001",IF(report_B_CategorieBoekjaar[[#This Row],[Boekjaar]]=Projectbegroting!$K$1,report_B_CategorieBoekjaar[[#This Row],[CategorieCode]],0),0)</f>
        <v>0</v>
      </c>
    </row>
    <row r="1810" spans="1:9" hidden="1" x14ac:dyDescent="0.3">
      <c r="A1810" t="s">
        <v>525</v>
      </c>
      <c r="B1810" s="20">
        <v>43831</v>
      </c>
      <c r="C1810" t="s">
        <v>433</v>
      </c>
      <c r="D1810" t="s">
        <v>434</v>
      </c>
      <c r="E1810" t="s">
        <v>384</v>
      </c>
      <c r="F1810">
        <v>0</v>
      </c>
      <c r="G1810">
        <v>0</v>
      </c>
      <c r="H1810">
        <f>IF(report_B_CategorieBoekjaar[[#This Row],[BedrijfsCode]]="002",IF(report_B_CategorieBoekjaar[[#This Row],[Boekjaar]]=Projectbegroting!$K$1,report_B_CategorieBoekjaar[[#This Row],[CategorieCode]],0),0)</f>
        <v>0</v>
      </c>
      <c r="I1810">
        <f>IF(report_B_CategorieBoekjaar[[#This Row],[BedrijfsCode]]="001",IF(report_B_CategorieBoekjaar[[#This Row],[Boekjaar]]=Projectbegroting!$K$1,report_B_CategorieBoekjaar[[#This Row],[CategorieCode]],0),0)</f>
        <v>0</v>
      </c>
    </row>
    <row r="1811" spans="1:9" hidden="1" x14ac:dyDescent="0.3">
      <c r="A1811" t="s">
        <v>525</v>
      </c>
      <c r="B1811" s="20">
        <v>43831</v>
      </c>
      <c r="C1811" t="s">
        <v>435</v>
      </c>
      <c r="D1811" t="s">
        <v>436</v>
      </c>
      <c r="E1811" t="s">
        <v>381</v>
      </c>
      <c r="F1811">
        <v>52</v>
      </c>
      <c r="G1811">
        <v>101</v>
      </c>
      <c r="H1811">
        <f>IF(report_B_CategorieBoekjaar[[#This Row],[BedrijfsCode]]="002",IF(report_B_CategorieBoekjaar[[#This Row],[Boekjaar]]=Projectbegroting!$K$1,report_B_CategorieBoekjaar[[#This Row],[CategorieCode]],0),0)</f>
        <v>0</v>
      </c>
      <c r="I1811">
        <f>IF(report_B_CategorieBoekjaar[[#This Row],[BedrijfsCode]]="001",IF(report_B_CategorieBoekjaar[[#This Row],[Boekjaar]]=Projectbegroting!$K$1,report_B_CategorieBoekjaar[[#This Row],[CategorieCode]],0),0)</f>
        <v>0</v>
      </c>
    </row>
    <row r="1812" spans="1:9" hidden="1" x14ac:dyDescent="0.3">
      <c r="A1812" t="s">
        <v>525</v>
      </c>
      <c r="B1812" s="20">
        <v>43831</v>
      </c>
      <c r="C1812" t="s">
        <v>437</v>
      </c>
      <c r="D1812" t="s">
        <v>438</v>
      </c>
      <c r="E1812" t="s">
        <v>384</v>
      </c>
      <c r="F1812">
        <v>0</v>
      </c>
      <c r="G1812">
        <v>0</v>
      </c>
      <c r="H1812">
        <f>IF(report_B_CategorieBoekjaar[[#This Row],[BedrijfsCode]]="002",IF(report_B_CategorieBoekjaar[[#This Row],[Boekjaar]]=Projectbegroting!$K$1,report_B_CategorieBoekjaar[[#This Row],[CategorieCode]],0),0)</f>
        <v>0</v>
      </c>
      <c r="I1812">
        <f>IF(report_B_CategorieBoekjaar[[#This Row],[BedrijfsCode]]="001",IF(report_B_CategorieBoekjaar[[#This Row],[Boekjaar]]=Projectbegroting!$K$1,report_B_CategorieBoekjaar[[#This Row],[CategorieCode]],0),0)</f>
        <v>0</v>
      </c>
    </row>
    <row r="1813" spans="1:9" hidden="1" x14ac:dyDescent="0.3">
      <c r="A1813" t="s">
        <v>525</v>
      </c>
      <c r="B1813" s="20">
        <v>43831</v>
      </c>
      <c r="C1813" t="s">
        <v>439</v>
      </c>
      <c r="D1813" t="s">
        <v>440</v>
      </c>
      <c r="E1813" t="s">
        <v>381</v>
      </c>
      <c r="F1813">
        <v>33</v>
      </c>
      <c r="G1813">
        <v>0</v>
      </c>
      <c r="H1813">
        <f>IF(report_B_CategorieBoekjaar[[#This Row],[BedrijfsCode]]="002",IF(report_B_CategorieBoekjaar[[#This Row],[Boekjaar]]=Projectbegroting!$K$1,report_B_CategorieBoekjaar[[#This Row],[CategorieCode]],0),0)</f>
        <v>0</v>
      </c>
      <c r="I1813">
        <f>IF(report_B_CategorieBoekjaar[[#This Row],[BedrijfsCode]]="001",IF(report_B_CategorieBoekjaar[[#This Row],[Boekjaar]]=Projectbegroting!$K$1,report_B_CategorieBoekjaar[[#This Row],[CategorieCode]],0),0)</f>
        <v>0</v>
      </c>
    </row>
    <row r="1814" spans="1:9" hidden="1" x14ac:dyDescent="0.3">
      <c r="A1814" t="s">
        <v>525</v>
      </c>
      <c r="B1814" s="20">
        <v>43831</v>
      </c>
      <c r="C1814" t="s">
        <v>441</v>
      </c>
      <c r="D1814" t="s">
        <v>442</v>
      </c>
      <c r="E1814" t="s">
        <v>381</v>
      </c>
      <c r="F1814">
        <v>49</v>
      </c>
      <c r="G1814">
        <v>98</v>
      </c>
      <c r="H1814">
        <f>IF(report_B_CategorieBoekjaar[[#This Row],[BedrijfsCode]]="002",IF(report_B_CategorieBoekjaar[[#This Row],[Boekjaar]]=Projectbegroting!$K$1,report_B_CategorieBoekjaar[[#This Row],[CategorieCode]],0),0)</f>
        <v>0</v>
      </c>
      <c r="I1814">
        <f>IF(report_B_CategorieBoekjaar[[#This Row],[BedrijfsCode]]="001",IF(report_B_CategorieBoekjaar[[#This Row],[Boekjaar]]=Projectbegroting!$K$1,report_B_CategorieBoekjaar[[#This Row],[CategorieCode]],0),0)</f>
        <v>0</v>
      </c>
    </row>
    <row r="1815" spans="1:9" hidden="1" x14ac:dyDescent="0.3">
      <c r="A1815" t="s">
        <v>525</v>
      </c>
      <c r="B1815" s="20">
        <v>43831</v>
      </c>
      <c r="C1815" t="s">
        <v>443</v>
      </c>
      <c r="D1815" t="s">
        <v>444</v>
      </c>
      <c r="E1815" t="s">
        <v>384</v>
      </c>
      <c r="F1815">
        <v>0</v>
      </c>
      <c r="G1815">
        <v>0</v>
      </c>
      <c r="H1815">
        <f>IF(report_B_CategorieBoekjaar[[#This Row],[BedrijfsCode]]="002",IF(report_B_CategorieBoekjaar[[#This Row],[Boekjaar]]=Projectbegroting!$K$1,report_B_CategorieBoekjaar[[#This Row],[CategorieCode]],0),0)</f>
        <v>0</v>
      </c>
      <c r="I1815">
        <f>IF(report_B_CategorieBoekjaar[[#This Row],[BedrijfsCode]]="001",IF(report_B_CategorieBoekjaar[[#This Row],[Boekjaar]]=Projectbegroting!$K$1,report_B_CategorieBoekjaar[[#This Row],[CategorieCode]],0),0)</f>
        <v>0</v>
      </c>
    </row>
    <row r="1816" spans="1:9" hidden="1" x14ac:dyDescent="0.3">
      <c r="A1816" t="s">
        <v>525</v>
      </c>
      <c r="B1816" s="20">
        <v>43831</v>
      </c>
      <c r="C1816" t="s">
        <v>445</v>
      </c>
      <c r="D1816" t="s">
        <v>446</v>
      </c>
      <c r="E1816" t="s">
        <v>381</v>
      </c>
      <c r="F1816">
        <v>80</v>
      </c>
      <c r="G1816">
        <v>129</v>
      </c>
      <c r="H1816">
        <f>IF(report_B_CategorieBoekjaar[[#This Row],[BedrijfsCode]]="002",IF(report_B_CategorieBoekjaar[[#This Row],[Boekjaar]]=Projectbegroting!$K$1,report_B_CategorieBoekjaar[[#This Row],[CategorieCode]],0),0)</f>
        <v>0</v>
      </c>
      <c r="I1816">
        <f>IF(report_B_CategorieBoekjaar[[#This Row],[BedrijfsCode]]="001",IF(report_B_CategorieBoekjaar[[#This Row],[Boekjaar]]=Projectbegroting!$K$1,report_B_CategorieBoekjaar[[#This Row],[CategorieCode]],0),0)</f>
        <v>0</v>
      </c>
    </row>
    <row r="1817" spans="1:9" hidden="1" x14ac:dyDescent="0.3">
      <c r="A1817" t="s">
        <v>525</v>
      </c>
      <c r="B1817" s="20">
        <v>43831</v>
      </c>
      <c r="C1817" t="s">
        <v>447</v>
      </c>
      <c r="D1817" t="s">
        <v>448</v>
      </c>
      <c r="E1817" t="s">
        <v>384</v>
      </c>
      <c r="F1817">
        <v>0</v>
      </c>
      <c r="G1817">
        <v>0</v>
      </c>
      <c r="H1817">
        <f>IF(report_B_CategorieBoekjaar[[#This Row],[BedrijfsCode]]="002",IF(report_B_CategorieBoekjaar[[#This Row],[Boekjaar]]=Projectbegroting!$K$1,report_B_CategorieBoekjaar[[#This Row],[CategorieCode]],0),0)</f>
        <v>0</v>
      </c>
      <c r="I1817">
        <f>IF(report_B_CategorieBoekjaar[[#This Row],[BedrijfsCode]]="001",IF(report_B_CategorieBoekjaar[[#This Row],[Boekjaar]]=Projectbegroting!$K$1,report_B_CategorieBoekjaar[[#This Row],[CategorieCode]],0),0)</f>
        <v>0</v>
      </c>
    </row>
    <row r="1818" spans="1:9" hidden="1" x14ac:dyDescent="0.3">
      <c r="A1818" t="s">
        <v>525</v>
      </c>
      <c r="B1818" s="20">
        <v>43831</v>
      </c>
      <c r="C1818" t="s">
        <v>449</v>
      </c>
      <c r="D1818" t="s">
        <v>450</v>
      </c>
      <c r="E1818" t="s">
        <v>381</v>
      </c>
      <c r="F1818">
        <v>34</v>
      </c>
      <c r="G1818">
        <v>83</v>
      </c>
      <c r="H1818">
        <f>IF(report_B_CategorieBoekjaar[[#This Row],[BedrijfsCode]]="002",IF(report_B_CategorieBoekjaar[[#This Row],[Boekjaar]]=Projectbegroting!$K$1,report_B_CategorieBoekjaar[[#This Row],[CategorieCode]],0),0)</f>
        <v>0</v>
      </c>
      <c r="I1818">
        <f>IF(report_B_CategorieBoekjaar[[#This Row],[BedrijfsCode]]="001",IF(report_B_CategorieBoekjaar[[#This Row],[Boekjaar]]=Projectbegroting!$K$1,report_B_CategorieBoekjaar[[#This Row],[CategorieCode]],0),0)</f>
        <v>0</v>
      </c>
    </row>
    <row r="1819" spans="1:9" hidden="1" x14ac:dyDescent="0.3">
      <c r="A1819" t="s">
        <v>525</v>
      </c>
      <c r="B1819" s="20">
        <v>43831</v>
      </c>
      <c r="C1819" t="s">
        <v>451</v>
      </c>
      <c r="D1819" t="s">
        <v>452</v>
      </c>
      <c r="E1819" t="s">
        <v>384</v>
      </c>
      <c r="F1819">
        <v>0</v>
      </c>
      <c r="G1819">
        <v>0</v>
      </c>
      <c r="H1819">
        <f>IF(report_B_CategorieBoekjaar[[#This Row],[BedrijfsCode]]="002",IF(report_B_CategorieBoekjaar[[#This Row],[Boekjaar]]=Projectbegroting!$K$1,report_B_CategorieBoekjaar[[#This Row],[CategorieCode]],0),0)</f>
        <v>0</v>
      </c>
      <c r="I1819">
        <f>IF(report_B_CategorieBoekjaar[[#This Row],[BedrijfsCode]]="001",IF(report_B_CategorieBoekjaar[[#This Row],[Boekjaar]]=Projectbegroting!$K$1,report_B_CategorieBoekjaar[[#This Row],[CategorieCode]],0),0)</f>
        <v>0</v>
      </c>
    </row>
    <row r="1820" spans="1:9" hidden="1" x14ac:dyDescent="0.3">
      <c r="A1820" t="s">
        <v>525</v>
      </c>
      <c r="B1820" s="20">
        <v>43831</v>
      </c>
      <c r="C1820" t="s">
        <v>453</v>
      </c>
      <c r="D1820" t="s">
        <v>454</v>
      </c>
      <c r="E1820" t="s">
        <v>381</v>
      </c>
      <c r="F1820">
        <v>57</v>
      </c>
      <c r="G1820">
        <v>0</v>
      </c>
      <c r="H1820">
        <f>IF(report_B_CategorieBoekjaar[[#This Row],[BedrijfsCode]]="002",IF(report_B_CategorieBoekjaar[[#This Row],[Boekjaar]]=Projectbegroting!$K$1,report_B_CategorieBoekjaar[[#This Row],[CategorieCode]],0),0)</f>
        <v>0</v>
      </c>
      <c r="I1820">
        <f>IF(report_B_CategorieBoekjaar[[#This Row],[BedrijfsCode]]="001",IF(report_B_CategorieBoekjaar[[#This Row],[Boekjaar]]=Projectbegroting!$K$1,report_B_CategorieBoekjaar[[#This Row],[CategorieCode]],0),0)</f>
        <v>0</v>
      </c>
    </row>
    <row r="1821" spans="1:9" hidden="1" x14ac:dyDescent="0.3">
      <c r="A1821" t="s">
        <v>525</v>
      </c>
      <c r="B1821" s="20">
        <v>43831</v>
      </c>
      <c r="C1821" t="s">
        <v>455</v>
      </c>
      <c r="D1821" t="s">
        <v>456</v>
      </c>
      <c r="E1821" t="s">
        <v>381</v>
      </c>
      <c r="F1821">
        <v>78</v>
      </c>
      <c r="G1821">
        <v>0</v>
      </c>
      <c r="H1821">
        <f>IF(report_B_CategorieBoekjaar[[#This Row],[BedrijfsCode]]="002",IF(report_B_CategorieBoekjaar[[#This Row],[Boekjaar]]=Projectbegroting!$K$1,report_B_CategorieBoekjaar[[#This Row],[CategorieCode]],0),0)</f>
        <v>0</v>
      </c>
      <c r="I1821">
        <f>IF(report_B_CategorieBoekjaar[[#This Row],[BedrijfsCode]]="001",IF(report_B_CategorieBoekjaar[[#This Row],[Boekjaar]]=Projectbegroting!$K$1,report_B_CategorieBoekjaar[[#This Row],[CategorieCode]],0),0)</f>
        <v>0</v>
      </c>
    </row>
    <row r="1822" spans="1:9" hidden="1" x14ac:dyDescent="0.3">
      <c r="A1822" t="s">
        <v>525</v>
      </c>
      <c r="B1822" s="20">
        <v>43831</v>
      </c>
      <c r="C1822" t="s">
        <v>457</v>
      </c>
      <c r="D1822" t="s">
        <v>458</v>
      </c>
      <c r="E1822" t="s">
        <v>384</v>
      </c>
      <c r="F1822">
        <v>0</v>
      </c>
      <c r="G1822">
        <v>0</v>
      </c>
      <c r="H1822">
        <f>IF(report_B_CategorieBoekjaar[[#This Row],[BedrijfsCode]]="002",IF(report_B_CategorieBoekjaar[[#This Row],[Boekjaar]]=Projectbegroting!$K$1,report_B_CategorieBoekjaar[[#This Row],[CategorieCode]],0),0)</f>
        <v>0</v>
      </c>
      <c r="I1822">
        <f>IF(report_B_CategorieBoekjaar[[#This Row],[BedrijfsCode]]="001",IF(report_B_CategorieBoekjaar[[#This Row],[Boekjaar]]=Projectbegroting!$K$1,report_B_CategorieBoekjaar[[#This Row],[CategorieCode]],0),0)</f>
        <v>0</v>
      </c>
    </row>
    <row r="1823" spans="1:9" hidden="1" x14ac:dyDescent="0.3">
      <c r="A1823" t="s">
        <v>525</v>
      </c>
      <c r="B1823" s="20">
        <v>43831</v>
      </c>
      <c r="C1823" t="s">
        <v>459</v>
      </c>
      <c r="D1823" t="s">
        <v>460</v>
      </c>
      <c r="E1823" t="s">
        <v>381</v>
      </c>
      <c r="F1823">
        <v>92</v>
      </c>
      <c r="G1823">
        <v>0</v>
      </c>
      <c r="H1823">
        <f>IF(report_B_CategorieBoekjaar[[#This Row],[BedrijfsCode]]="002",IF(report_B_CategorieBoekjaar[[#This Row],[Boekjaar]]=Projectbegroting!$K$1,report_B_CategorieBoekjaar[[#This Row],[CategorieCode]],0),0)</f>
        <v>0</v>
      </c>
      <c r="I1823">
        <f>IF(report_B_CategorieBoekjaar[[#This Row],[BedrijfsCode]]="001",IF(report_B_CategorieBoekjaar[[#This Row],[Boekjaar]]=Projectbegroting!$K$1,report_B_CategorieBoekjaar[[#This Row],[CategorieCode]],0),0)</f>
        <v>0</v>
      </c>
    </row>
    <row r="1824" spans="1:9" hidden="1" x14ac:dyDescent="0.3">
      <c r="A1824" t="s">
        <v>525</v>
      </c>
      <c r="B1824" s="20">
        <v>43831</v>
      </c>
      <c r="C1824" t="s">
        <v>461</v>
      </c>
      <c r="D1824" t="s">
        <v>462</v>
      </c>
      <c r="E1824" t="s">
        <v>384</v>
      </c>
      <c r="F1824">
        <v>0</v>
      </c>
      <c r="G1824">
        <v>0</v>
      </c>
      <c r="H1824">
        <f>IF(report_B_CategorieBoekjaar[[#This Row],[BedrijfsCode]]="002",IF(report_B_CategorieBoekjaar[[#This Row],[Boekjaar]]=Projectbegroting!$K$1,report_B_CategorieBoekjaar[[#This Row],[CategorieCode]],0),0)</f>
        <v>0</v>
      </c>
      <c r="I1824">
        <f>IF(report_B_CategorieBoekjaar[[#This Row],[BedrijfsCode]]="001",IF(report_B_CategorieBoekjaar[[#This Row],[Boekjaar]]=Projectbegroting!$K$1,report_B_CategorieBoekjaar[[#This Row],[CategorieCode]],0),0)</f>
        <v>0</v>
      </c>
    </row>
    <row r="1825" spans="1:9" hidden="1" x14ac:dyDescent="0.3">
      <c r="A1825" t="s">
        <v>525</v>
      </c>
      <c r="B1825" s="20">
        <v>43831</v>
      </c>
      <c r="C1825" t="s">
        <v>463</v>
      </c>
      <c r="D1825" t="s">
        <v>464</v>
      </c>
      <c r="E1825" t="s">
        <v>384</v>
      </c>
      <c r="F1825">
        <v>0</v>
      </c>
      <c r="G1825">
        <v>0</v>
      </c>
      <c r="H1825">
        <f>IF(report_B_CategorieBoekjaar[[#This Row],[BedrijfsCode]]="002",IF(report_B_CategorieBoekjaar[[#This Row],[Boekjaar]]=Projectbegroting!$K$1,report_B_CategorieBoekjaar[[#This Row],[CategorieCode]],0),0)</f>
        <v>0</v>
      </c>
      <c r="I1825">
        <f>IF(report_B_CategorieBoekjaar[[#This Row],[BedrijfsCode]]="001",IF(report_B_CategorieBoekjaar[[#This Row],[Boekjaar]]=Projectbegroting!$K$1,report_B_CategorieBoekjaar[[#This Row],[CategorieCode]],0),0)</f>
        <v>0</v>
      </c>
    </row>
    <row r="1826" spans="1:9" hidden="1" x14ac:dyDescent="0.3">
      <c r="A1826" t="s">
        <v>525</v>
      </c>
      <c r="B1826" s="20">
        <v>43831</v>
      </c>
      <c r="C1826" t="s">
        <v>465</v>
      </c>
      <c r="D1826" t="s">
        <v>466</v>
      </c>
      <c r="E1826" t="s">
        <v>381</v>
      </c>
      <c r="F1826">
        <v>34</v>
      </c>
      <c r="G1826">
        <v>83</v>
      </c>
      <c r="H1826">
        <f>IF(report_B_CategorieBoekjaar[[#This Row],[BedrijfsCode]]="002",IF(report_B_CategorieBoekjaar[[#This Row],[Boekjaar]]=Projectbegroting!$K$1,report_B_CategorieBoekjaar[[#This Row],[CategorieCode]],0),0)</f>
        <v>0</v>
      </c>
      <c r="I1826">
        <f>IF(report_B_CategorieBoekjaar[[#This Row],[BedrijfsCode]]="001",IF(report_B_CategorieBoekjaar[[#This Row],[Boekjaar]]=Projectbegroting!$K$1,report_B_CategorieBoekjaar[[#This Row],[CategorieCode]],0),0)</f>
        <v>0</v>
      </c>
    </row>
    <row r="1827" spans="1:9" hidden="1" x14ac:dyDescent="0.3">
      <c r="A1827" t="s">
        <v>525</v>
      </c>
      <c r="B1827" s="20">
        <v>43831</v>
      </c>
      <c r="C1827" t="s">
        <v>467</v>
      </c>
      <c r="D1827" t="s">
        <v>468</v>
      </c>
      <c r="E1827" t="s">
        <v>384</v>
      </c>
      <c r="F1827">
        <v>0</v>
      </c>
      <c r="G1827">
        <v>0</v>
      </c>
      <c r="H1827">
        <f>IF(report_B_CategorieBoekjaar[[#This Row],[BedrijfsCode]]="002",IF(report_B_CategorieBoekjaar[[#This Row],[Boekjaar]]=Projectbegroting!$K$1,report_B_CategorieBoekjaar[[#This Row],[CategorieCode]],0),0)</f>
        <v>0</v>
      </c>
      <c r="I1827">
        <f>IF(report_B_CategorieBoekjaar[[#This Row],[BedrijfsCode]]="001",IF(report_B_CategorieBoekjaar[[#This Row],[Boekjaar]]=Projectbegroting!$K$1,report_B_CategorieBoekjaar[[#This Row],[CategorieCode]],0),0)</f>
        <v>0</v>
      </c>
    </row>
    <row r="1828" spans="1:9" hidden="1" x14ac:dyDescent="0.3">
      <c r="A1828" t="s">
        <v>525</v>
      </c>
      <c r="B1828" s="20">
        <v>43831</v>
      </c>
      <c r="C1828" t="s">
        <v>469</v>
      </c>
      <c r="D1828" t="s">
        <v>470</v>
      </c>
      <c r="E1828" t="s">
        <v>381</v>
      </c>
      <c r="F1828">
        <v>41</v>
      </c>
      <c r="G1828">
        <v>90</v>
      </c>
      <c r="H1828">
        <f>IF(report_B_CategorieBoekjaar[[#This Row],[BedrijfsCode]]="002",IF(report_B_CategorieBoekjaar[[#This Row],[Boekjaar]]=Projectbegroting!$K$1,report_B_CategorieBoekjaar[[#This Row],[CategorieCode]],0),0)</f>
        <v>0</v>
      </c>
      <c r="I1828">
        <f>IF(report_B_CategorieBoekjaar[[#This Row],[BedrijfsCode]]="001",IF(report_B_CategorieBoekjaar[[#This Row],[Boekjaar]]=Projectbegroting!$K$1,report_B_CategorieBoekjaar[[#This Row],[CategorieCode]],0),0)</f>
        <v>0</v>
      </c>
    </row>
    <row r="1829" spans="1:9" hidden="1" x14ac:dyDescent="0.3">
      <c r="A1829" t="s">
        <v>525</v>
      </c>
      <c r="B1829" s="20">
        <v>43831</v>
      </c>
      <c r="C1829" t="s">
        <v>471</v>
      </c>
      <c r="D1829" t="s">
        <v>472</v>
      </c>
      <c r="E1829" t="s">
        <v>384</v>
      </c>
      <c r="F1829">
        <v>0</v>
      </c>
      <c r="G1829">
        <v>0</v>
      </c>
      <c r="H1829">
        <f>IF(report_B_CategorieBoekjaar[[#This Row],[BedrijfsCode]]="002",IF(report_B_CategorieBoekjaar[[#This Row],[Boekjaar]]=Projectbegroting!$K$1,report_B_CategorieBoekjaar[[#This Row],[CategorieCode]],0),0)</f>
        <v>0</v>
      </c>
      <c r="I1829">
        <f>IF(report_B_CategorieBoekjaar[[#This Row],[BedrijfsCode]]="001",IF(report_B_CategorieBoekjaar[[#This Row],[Boekjaar]]=Projectbegroting!$K$1,report_B_CategorieBoekjaar[[#This Row],[CategorieCode]],0),0)</f>
        <v>0</v>
      </c>
    </row>
    <row r="1830" spans="1:9" hidden="1" x14ac:dyDescent="0.3">
      <c r="A1830" t="s">
        <v>525</v>
      </c>
      <c r="B1830" s="20">
        <v>43831</v>
      </c>
      <c r="C1830" t="s">
        <v>62</v>
      </c>
      <c r="D1830" t="s">
        <v>473</v>
      </c>
      <c r="E1830" t="s">
        <v>381</v>
      </c>
      <c r="F1830">
        <v>42</v>
      </c>
      <c r="G1830">
        <v>0</v>
      </c>
      <c r="H1830">
        <f>IF(report_B_CategorieBoekjaar[[#This Row],[BedrijfsCode]]="002",IF(report_B_CategorieBoekjaar[[#This Row],[Boekjaar]]=Projectbegroting!$K$1,report_B_CategorieBoekjaar[[#This Row],[CategorieCode]],0),0)</f>
        <v>0</v>
      </c>
      <c r="I1830">
        <f>IF(report_B_CategorieBoekjaar[[#This Row],[BedrijfsCode]]="001",IF(report_B_CategorieBoekjaar[[#This Row],[Boekjaar]]=Projectbegroting!$K$1,report_B_CategorieBoekjaar[[#This Row],[CategorieCode]],0),0)</f>
        <v>0</v>
      </c>
    </row>
    <row r="1831" spans="1:9" hidden="1" x14ac:dyDescent="0.3">
      <c r="A1831" t="s">
        <v>525</v>
      </c>
      <c r="B1831" s="20">
        <v>43831</v>
      </c>
      <c r="C1831" t="s">
        <v>474</v>
      </c>
      <c r="D1831" t="s">
        <v>475</v>
      </c>
      <c r="E1831" t="s">
        <v>384</v>
      </c>
      <c r="F1831">
        <v>0</v>
      </c>
      <c r="G1831">
        <v>0</v>
      </c>
      <c r="H1831">
        <f>IF(report_B_CategorieBoekjaar[[#This Row],[BedrijfsCode]]="002",IF(report_B_CategorieBoekjaar[[#This Row],[Boekjaar]]=Projectbegroting!$K$1,report_B_CategorieBoekjaar[[#This Row],[CategorieCode]],0),0)</f>
        <v>0</v>
      </c>
      <c r="I1831">
        <f>IF(report_B_CategorieBoekjaar[[#This Row],[BedrijfsCode]]="001",IF(report_B_CategorieBoekjaar[[#This Row],[Boekjaar]]=Projectbegroting!$K$1,report_B_CategorieBoekjaar[[#This Row],[CategorieCode]],0),0)</f>
        <v>0</v>
      </c>
    </row>
    <row r="1832" spans="1:9" hidden="1" x14ac:dyDescent="0.3">
      <c r="A1832" t="s">
        <v>525</v>
      </c>
      <c r="B1832" s="20">
        <v>43831</v>
      </c>
      <c r="C1832" t="s">
        <v>64</v>
      </c>
      <c r="D1832" t="s">
        <v>476</v>
      </c>
      <c r="E1832" t="s">
        <v>381</v>
      </c>
      <c r="F1832">
        <v>40</v>
      </c>
      <c r="G1832">
        <v>89</v>
      </c>
      <c r="H1832">
        <f>IF(report_B_CategorieBoekjaar[[#This Row],[BedrijfsCode]]="002",IF(report_B_CategorieBoekjaar[[#This Row],[Boekjaar]]=Projectbegroting!$K$1,report_B_CategorieBoekjaar[[#This Row],[CategorieCode]],0),0)</f>
        <v>0</v>
      </c>
      <c r="I1832">
        <f>IF(report_B_CategorieBoekjaar[[#This Row],[BedrijfsCode]]="001",IF(report_B_CategorieBoekjaar[[#This Row],[Boekjaar]]=Projectbegroting!$K$1,report_B_CategorieBoekjaar[[#This Row],[CategorieCode]],0),0)</f>
        <v>0</v>
      </c>
    </row>
    <row r="1833" spans="1:9" hidden="1" x14ac:dyDescent="0.3">
      <c r="A1833" t="s">
        <v>525</v>
      </c>
      <c r="B1833" s="20">
        <v>43831</v>
      </c>
      <c r="C1833" t="s">
        <v>477</v>
      </c>
      <c r="D1833" t="s">
        <v>478</v>
      </c>
      <c r="E1833" t="s">
        <v>384</v>
      </c>
      <c r="F1833">
        <v>0</v>
      </c>
      <c r="G1833">
        <v>0</v>
      </c>
      <c r="H1833">
        <f>IF(report_B_CategorieBoekjaar[[#This Row],[BedrijfsCode]]="002",IF(report_B_CategorieBoekjaar[[#This Row],[Boekjaar]]=Projectbegroting!$K$1,report_B_CategorieBoekjaar[[#This Row],[CategorieCode]],0),0)</f>
        <v>0</v>
      </c>
      <c r="I1833">
        <f>IF(report_B_CategorieBoekjaar[[#This Row],[BedrijfsCode]]="001",IF(report_B_CategorieBoekjaar[[#This Row],[Boekjaar]]=Projectbegroting!$K$1,report_B_CategorieBoekjaar[[#This Row],[CategorieCode]],0),0)</f>
        <v>0</v>
      </c>
    </row>
    <row r="1834" spans="1:9" hidden="1" x14ac:dyDescent="0.3">
      <c r="A1834" t="s">
        <v>525</v>
      </c>
      <c r="B1834" s="20">
        <v>43831</v>
      </c>
      <c r="C1834" t="s">
        <v>80</v>
      </c>
      <c r="D1834" t="s">
        <v>81</v>
      </c>
      <c r="E1834" t="s">
        <v>381</v>
      </c>
      <c r="F1834">
        <v>66</v>
      </c>
      <c r="G1834">
        <v>0</v>
      </c>
      <c r="H1834">
        <f>IF(report_B_CategorieBoekjaar[[#This Row],[BedrijfsCode]]="002",IF(report_B_CategorieBoekjaar[[#This Row],[Boekjaar]]=Projectbegroting!$K$1,report_B_CategorieBoekjaar[[#This Row],[CategorieCode]],0),0)</f>
        <v>0</v>
      </c>
      <c r="I1834">
        <f>IF(report_B_CategorieBoekjaar[[#This Row],[BedrijfsCode]]="001",IF(report_B_CategorieBoekjaar[[#This Row],[Boekjaar]]=Projectbegroting!$K$1,report_B_CategorieBoekjaar[[#This Row],[CategorieCode]],0),0)</f>
        <v>0</v>
      </c>
    </row>
    <row r="1835" spans="1:9" hidden="1" x14ac:dyDescent="0.3">
      <c r="A1835" t="s">
        <v>525</v>
      </c>
      <c r="B1835" s="20">
        <v>43831</v>
      </c>
      <c r="C1835" t="s">
        <v>479</v>
      </c>
      <c r="D1835" t="s">
        <v>480</v>
      </c>
      <c r="E1835" t="s">
        <v>384</v>
      </c>
      <c r="F1835">
        <v>0</v>
      </c>
      <c r="G1835">
        <v>0</v>
      </c>
      <c r="H1835">
        <f>IF(report_B_CategorieBoekjaar[[#This Row],[BedrijfsCode]]="002",IF(report_B_CategorieBoekjaar[[#This Row],[Boekjaar]]=Projectbegroting!$K$1,report_B_CategorieBoekjaar[[#This Row],[CategorieCode]],0),0)</f>
        <v>0</v>
      </c>
      <c r="I1835">
        <f>IF(report_B_CategorieBoekjaar[[#This Row],[BedrijfsCode]]="001",IF(report_B_CategorieBoekjaar[[#This Row],[Boekjaar]]=Projectbegroting!$K$1,report_B_CategorieBoekjaar[[#This Row],[CategorieCode]],0),0)</f>
        <v>0</v>
      </c>
    </row>
    <row r="1836" spans="1:9" hidden="1" x14ac:dyDescent="0.3">
      <c r="A1836" t="s">
        <v>525</v>
      </c>
      <c r="B1836" s="20">
        <v>43831</v>
      </c>
      <c r="C1836" t="s">
        <v>481</v>
      </c>
      <c r="D1836" t="s">
        <v>482</v>
      </c>
      <c r="E1836" t="s">
        <v>384</v>
      </c>
      <c r="F1836">
        <v>0</v>
      </c>
      <c r="G1836">
        <v>0</v>
      </c>
      <c r="H1836">
        <f>IF(report_B_CategorieBoekjaar[[#This Row],[BedrijfsCode]]="002",IF(report_B_CategorieBoekjaar[[#This Row],[Boekjaar]]=Projectbegroting!$K$1,report_B_CategorieBoekjaar[[#This Row],[CategorieCode]],0),0)</f>
        <v>0</v>
      </c>
      <c r="I1836">
        <f>IF(report_B_CategorieBoekjaar[[#This Row],[BedrijfsCode]]="001",IF(report_B_CategorieBoekjaar[[#This Row],[Boekjaar]]=Projectbegroting!$K$1,report_B_CategorieBoekjaar[[#This Row],[CategorieCode]],0),0)</f>
        <v>0</v>
      </c>
    </row>
    <row r="1837" spans="1:9" hidden="1" x14ac:dyDescent="0.3">
      <c r="A1837" t="s">
        <v>525</v>
      </c>
      <c r="B1837" s="20">
        <v>43831</v>
      </c>
      <c r="C1837" t="s">
        <v>98</v>
      </c>
      <c r="D1837" t="s">
        <v>99</v>
      </c>
      <c r="E1837" t="s">
        <v>381</v>
      </c>
      <c r="F1837">
        <v>56</v>
      </c>
      <c r="G1837">
        <v>0</v>
      </c>
      <c r="H1837">
        <f>IF(report_B_CategorieBoekjaar[[#This Row],[BedrijfsCode]]="002",IF(report_B_CategorieBoekjaar[[#This Row],[Boekjaar]]=Projectbegroting!$K$1,report_B_CategorieBoekjaar[[#This Row],[CategorieCode]],0),0)</f>
        <v>0</v>
      </c>
      <c r="I1837">
        <f>IF(report_B_CategorieBoekjaar[[#This Row],[BedrijfsCode]]="001",IF(report_B_CategorieBoekjaar[[#This Row],[Boekjaar]]=Projectbegroting!$K$1,report_B_CategorieBoekjaar[[#This Row],[CategorieCode]],0),0)</f>
        <v>0</v>
      </c>
    </row>
    <row r="1838" spans="1:9" hidden="1" x14ac:dyDescent="0.3">
      <c r="A1838" t="s">
        <v>525</v>
      </c>
      <c r="B1838" s="20">
        <v>43831</v>
      </c>
      <c r="C1838" t="s">
        <v>485</v>
      </c>
      <c r="D1838" t="s">
        <v>486</v>
      </c>
      <c r="E1838" t="s">
        <v>384</v>
      </c>
      <c r="F1838">
        <v>0</v>
      </c>
      <c r="G1838">
        <v>0</v>
      </c>
      <c r="H1838">
        <f>IF(report_B_CategorieBoekjaar[[#This Row],[BedrijfsCode]]="002",IF(report_B_CategorieBoekjaar[[#This Row],[Boekjaar]]=Projectbegroting!$K$1,report_B_CategorieBoekjaar[[#This Row],[CategorieCode]],0),0)</f>
        <v>0</v>
      </c>
      <c r="I1838">
        <f>IF(report_B_CategorieBoekjaar[[#This Row],[BedrijfsCode]]="001",IF(report_B_CategorieBoekjaar[[#This Row],[Boekjaar]]=Projectbegroting!$K$1,report_B_CategorieBoekjaar[[#This Row],[CategorieCode]],0),0)</f>
        <v>0</v>
      </c>
    </row>
    <row r="1839" spans="1:9" hidden="1" x14ac:dyDescent="0.3">
      <c r="A1839" t="s">
        <v>525</v>
      </c>
      <c r="B1839" s="20">
        <v>43831</v>
      </c>
      <c r="C1839" t="s">
        <v>175</v>
      </c>
      <c r="D1839" t="s">
        <v>487</v>
      </c>
      <c r="E1839" t="s">
        <v>384</v>
      </c>
      <c r="F1839">
        <v>0</v>
      </c>
      <c r="G1839">
        <v>0</v>
      </c>
      <c r="H1839">
        <f>IF(report_B_CategorieBoekjaar[[#This Row],[BedrijfsCode]]="002",IF(report_B_CategorieBoekjaar[[#This Row],[Boekjaar]]=Projectbegroting!$K$1,report_B_CategorieBoekjaar[[#This Row],[CategorieCode]],0),0)</f>
        <v>0</v>
      </c>
      <c r="I1839">
        <f>IF(report_B_CategorieBoekjaar[[#This Row],[BedrijfsCode]]="001",IF(report_B_CategorieBoekjaar[[#This Row],[Boekjaar]]=Projectbegroting!$K$1,report_B_CategorieBoekjaar[[#This Row],[CategorieCode]],0),0)</f>
        <v>0</v>
      </c>
    </row>
    <row r="1840" spans="1:9" hidden="1" x14ac:dyDescent="0.3">
      <c r="A1840" t="s">
        <v>525</v>
      </c>
      <c r="B1840" s="20">
        <v>43831</v>
      </c>
      <c r="C1840" t="s">
        <v>488</v>
      </c>
      <c r="D1840" t="s">
        <v>489</v>
      </c>
      <c r="E1840" t="s">
        <v>381</v>
      </c>
      <c r="F1840">
        <v>70</v>
      </c>
      <c r="G1840">
        <v>0</v>
      </c>
      <c r="H1840">
        <f>IF(report_B_CategorieBoekjaar[[#This Row],[BedrijfsCode]]="002",IF(report_B_CategorieBoekjaar[[#This Row],[Boekjaar]]=Projectbegroting!$K$1,report_B_CategorieBoekjaar[[#This Row],[CategorieCode]],0),0)</f>
        <v>0</v>
      </c>
      <c r="I1840">
        <f>IF(report_B_CategorieBoekjaar[[#This Row],[BedrijfsCode]]="001",IF(report_B_CategorieBoekjaar[[#This Row],[Boekjaar]]=Projectbegroting!$K$1,report_B_CategorieBoekjaar[[#This Row],[CategorieCode]],0),0)</f>
        <v>0</v>
      </c>
    </row>
    <row r="1841" spans="1:9" hidden="1" x14ac:dyDescent="0.3">
      <c r="A1841" t="s">
        <v>525</v>
      </c>
      <c r="B1841" s="20">
        <v>43831</v>
      </c>
      <c r="C1841" t="s">
        <v>490</v>
      </c>
      <c r="D1841" t="s">
        <v>491</v>
      </c>
      <c r="E1841" t="s">
        <v>384</v>
      </c>
      <c r="F1841">
        <v>0</v>
      </c>
      <c r="G1841">
        <v>0</v>
      </c>
      <c r="H1841">
        <f>IF(report_B_CategorieBoekjaar[[#This Row],[BedrijfsCode]]="002",IF(report_B_CategorieBoekjaar[[#This Row],[Boekjaar]]=Projectbegroting!$K$1,report_B_CategorieBoekjaar[[#This Row],[CategorieCode]],0),0)</f>
        <v>0</v>
      </c>
      <c r="I1841">
        <f>IF(report_B_CategorieBoekjaar[[#This Row],[BedrijfsCode]]="001",IF(report_B_CategorieBoekjaar[[#This Row],[Boekjaar]]=Projectbegroting!$K$1,report_B_CategorieBoekjaar[[#This Row],[CategorieCode]],0),0)</f>
        <v>0</v>
      </c>
    </row>
    <row r="1842" spans="1:9" hidden="1" x14ac:dyDescent="0.3">
      <c r="A1842" t="s">
        <v>525</v>
      </c>
      <c r="B1842" s="20">
        <v>43831</v>
      </c>
      <c r="C1842" t="s">
        <v>68</v>
      </c>
      <c r="D1842" t="s">
        <v>492</v>
      </c>
      <c r="E1842" t="s">
        <v>381</v>
      </c>
      <c r="F1842">
        <v>45</v>
      </c>
      <c r="G1842">
        <v>94</v>
      </c>
      <c r="H1842">
        <f>IF(report_B_CategorieBoekjaar[[#This Row],[BedrijfsCode]]="002",IF(report_B_CategorieBoekjaar[[#This Row],[Boekjaar]]=Projectbegroting!$K$1,report_B_CategorieBoekjaar[[#This Row],[CategorieCode]],0),0)</f>
        <v>0</v>
      </c>
      <c r="I1842">
        <f>IF(report_B_CategorieBoekjaar[[#This Row],[BedrijfsCode]]="001",IF(report_B_CategorieBoekjaar[[#This Row],[Boekjaar]]=Projectbegroting!$K$1,report_B_CategorieBoekjaar[[#This Row],[CategorieCode]],0),0)</f>
        <v>0</v>
      </c>
    </row>
    <row r="1843" spans="1:9" hidden="1" x14ac:dyDescent="0.3">
      <c r="A1843" t="s">
        <v>525</v>
      </c>
      <c r="B1843" s="20">
        <v>43831</v>
      </c>
      <c r="C1843" t="s">
        <v>177</v>
      </c>
      <c r="D1843" t="s">
        <v>493</v>
      </c>
      <c r="E1843" t="s">
        <v>384</v>
      </c>
      <c r="F1843">
        <v>0</v>
      </c>
      <c r="G1843">
        <v>0</v>
      </c>
      <c r="H1843">
        <f>IF(report_B_CategorieBoekjaar[[#This Row],[BedrijfsCode]]="002",IF(report_B_CategorieBoekjaar[[#This Row],[Boekjaar]]=Projectbegroting!$K$1,report_B_CategorieBoekjaar[[#This Row],[CategorieCode]],0),0)</f>
        <v>0</v>
      </c>
      <c r="I1843">
        <f>IF(report_B_CategorieBoekjaar[[#This Row],[BedrijfsCode]]="001",IF(report_B_CategorieBoekjaar[[#This Row],[Boekjaar]]=Projectbegroting!$K$1,report_B_CategorieBoekjaar[[#This Row],[CategorieCode]],0),0)</f>
        <v>0</v>
      </c>
    </row>
    <row r="1844" spans="1:9" hidden="1" x14ac:dyDescent="0.3">
      <c r="A1844" t="s">
        <v>525</v>
      </c>
      <c r="B1844" s="20">
        <v>43831</v>
      </c>
      <c r="C1844" t="s">
        <v>494</v>
      </c>
      <c r="D1844" t="s">
        <v>495</v>
      </c>
      <c r="E1844" t="s">
        <v>381</v>
      </c>
      <c r="F1844">
        <v>39</v>
      </c>
      <c r="G1844">
        <v>0</v>
      </c>
      <c r="H1844">
        <f>IF(report_B_CategorieBoekjaar[[#This Row],[BedrijfsCode]]="002",IF(report_B_CategorieBoekjaar[[#This Row],[Boekjaar]]=Projectbegroting!$K$1,report_B_CategorieBoekjaar[[#This Row],[CategorieCode]],0),0)</f>
        <v>0</v>
      </c>
      <c r="I1844">
        <f>IF(report_B_CategorieBoekjaar[[#This Row],[BedrijfsCode]]="001",IF(report_B_CategorieBoekjaar[[#This Row],[Boekjaar]]=Projectbegroting!$K$1,report_B_CategorieBoekjaar[[#This Row],[CategorieCode]],0),0)</f>
        <v>0</v>
      </c>
    </row>
    <row r="1845" spans="1:9" hidden="1" x14ac:dyDescent="0.3">
      <c r="A1845" t="s">
        <v>525</v>
      </c>
      <c r="B1845" s="20">
        <v>43831</v>
      </c>
      <c r="C1845" t="s">
        <v>496</v>
      </c>
      <c r="D1845" t="s">
        <v>497</v>
      </c>
      <c r="E1845" t="s">
        <v>384</v>
      </c>
      <c r="F1845">
        <v>0</v>
      </c>
      <c r="G1845">
        <v>0</v>
      </c>
      <c r="H1845">
        <f>IF(report_B_CategorieBoekjaar[[#This Row],[BedrijfsCode]]="002",IF(report_B_CategorieBoekjaar[[#This Row],[Boekjaar]]=Projectbegroting!$K$1,report_B_CategorieBoekjaar[[#This Row],[CategorieCode]],0),0)</f>
        <v>0</v>
      </c>
      <c r="I1845">
        <f>IF(report_B_CategorieBoekjaar[[#This Row],[BedrijfsCode]]="001",IF(report_B_CategorieBoekjaar[[#This Row],[Boekjaar]]=Projectbegroting!$K$1,report_B_CategorieBoekjaar[[#This Row],[CategorieCode]],0),0)</f>
        <v>0</v>
      </c>
    </row>
    <row r="1846" spans="1:9" hidden="1" x14ac:dyDescent="0.3">
      <c r="A1846" t="s">
        <v>525</v>
      </c>
      <c r="B1846" s="20">
        <v>43831</v>
      </c>
      <c r="C1846" t="s">
        <v>70</v>
      </c>
      <c r="D1846" t="s">
        <v>498</v>
      </c>
      <c r="E1846" t="s">
        <v>381</v>
      </c>
      <c r="F1846">
        <v>35</v>
      </c>
      <c r="G1846">
        <v>84</v>
      </c>
      <c r="H1846">
        <f>IF(report_B_CategorieBoekjaar[[#This Row],[BedrijfsCode]]="002",IF(report_B_CategorieBoekjaar[[#This Row],[Boekjaar]]=Projectbegroting!$K$1,report_B_CategorieBoekjaar[[#This Row],[CategorieCode]],0),0)</f>
        <v>0</v>
      </c>
      <c r="I1846">
        <f>IF(report_B_CategorieBoekjaar[[#This Row],[BedrijfsCode]]="001",IF(report_B_CategorieBoekjaar[[#This Row],[Boekjaar]]=Projectbegroting!$K$1,report_B_CategorieBoekjaar[[#This Row],[CategorieCode]],0),0)</f>
        <v>0</v>
      </c>
    </row>
    <row r="1847" spans="1:9" hidden="1" x14ac:dyDescent="0.3">
      <c r="A1847" t="s">
        <v>525</v>
      </c>
      <c r="B1847" s="20">
        <v>43831</v>
      </c>
      <c r="C1847" t="s">
        <v>499</v>
      </c>
      <c r="D1847" t="s">
        <v>500</v>
      </c>
      <c r="E1847" t="s">
        <v>384</v>
      </c>
      <c r="F1847">
        <v>0</v>
      </c>
      <c r="G1847">
        <v>0</v>
      </c>
      <c r="H1847">
        <f>IF(report_B_CategorieBoekjaar[[#This Row],[BedrijfsCode]]="002",IF(report_B_CategorieBoekjaar[[#This Row],[Boekjaar]]=Projectbegroting!$K$1,report_B_CategorieBoekjaar[[#This Row],[CategorieCode]],0),0)</f>
        <v>0</v>
      </c>
      <c r="I1847">
        <f>IF(report_B_CategorieBoekjaar[[#This Row],[BedrijfsCode]]="001",IF(report_B_CategorieBoekjaar[[#This Row],[Boekjaar]]=Projectbegroting!$K$1,report_B_CategorieBoekjaar[[#This Row],[CategorieCode]],0),0)</f>
        <v>0</v>
      </c>
    </row>
    <row r="1848" spans="1:9" hidden="1" x14ac:dyDescent="0.3">
      <c r="A1848" t="s">
        <v>525</v>
      </c>
      <c r="B1848" s="20">
        <v>43831</v>
      </c>
      <c r="C1848" t="s">
        <v>501</v>
      </c>
      <c r="D1848" t="s">
        <v>502</v>
      </c>
      <c r="E1848" t="s">
        <v>381</v>
      </c>
      <c r="F1848">
        <v>69</v>
      </c>
      <c r="G1848">
        <v>0</v>
      </c>
      <c r="H1848">
        <f>IF(report_B_CategorieBoekjaar[[#This Row],[BedrijfsCode]]="002",IF(report_B_CategorieBoekjaar[[#This Row],[Boekjaar]]=Projectbegroting!$K$1,report_B_CategorieBoekjaar[[#This Row],[CategorieCode]],0),0)</f>
        <v>0</v>
      </c>
      <c r="I1848">
        <f>IF(report_B_CategorieBoekjaar[[#This Row],[BedrijfsCode]]="001",IF(report_B_CategorieBoekjaar[[#This Row],[Boekjaar]]=Projectbegroting!$K$1,report_B_CategorieBoekjaar[[#This Row],[CategorieCode]],0),0)</f>
        <v>0</v>
      </c>
    </row>
    <row r="1849" spans="1:9" hidden="1" x14ac:dyDescent="0.3">
      <c r="A1849" t="s">
        <v>525</v>
      </c>
      <c r="B1849" s="20">
        <v>43831</v>
      </c>
      <c r="C1849" t="s">
        <v>503</v>
      </c>
      <c r="D1849" t="s">
        <v>504</v>
      </c>
      <c r="E1849" t="s">
        <v>384</v>
      </c>
      <c r="F1849">
        <v>0</v>
      </c>
      <c r="G1849">
        <v>0</v>
      </c>
      <c r="H1849">
        <f>IF(report_B_CategorieBoekjaar[[#This Row],[BedrijfsCode]]="002",IF(report_B_CategorieBoekjaar[[#This Row],[Boekjaar]]=Projectbegroting!$K$1,report_B_CategorieBoekjaar[[#This Row],[CategorieCode]],0),0)</f>
        <v>0</v>
      </c>
      <c r="I1849">
        <f>IF(report_B_CategorieBoekjaar[[#This Row],[BedrijfsCode]]="001",IF(report_B_CategorieBoekjaar[[#This Row],[Boekjaar]]=Projectbegroting!$K$1,report_B_CategorieBoekjaar[[#This Row],[CategorieCode]],0),0)</f>
        <v>0</v>
      </c>
    </row>
    <row r="1850" spans="1:9" hidden="1" x14ac:dyDescent="0.3">
      <c r="A1850" t="s">
        <v>525</v>
      </c>
      <c r="B1850" s="20">
        <v>43831</v>
      </c>
      <c r="C1850" t="s">
        <v>505</v>
      </c>
      <c r="D1850" t="s">
        <v>506</v>
      </c>
      <c r="E1850" t="s">
        <v>381</v>
      </c>
      <c r="F1850">
        <v>49</v>
      </c>
      <c r="G1850">
        <v>0</v>
      </c>
      <c r="H1850">
        <f>IF(report_B_CategorieBoekjaar[[#This Row],[BedrijfsCode]]="002",IF(report_B_CategorieBoekjaar[[#This Row],[Boekjaar]]=Projectbegroting!$K$1,report_B_CategorieBoekjaar[[#This Row],[CategorieCode]],0),0)</f>
        <v>0</v>
      </c>
      <c r="I1850">
        <f>IF(report_B_CategorieBoekjaar[[#This Row],[BedrijfsCode]]="001",IF(report_B_CategorieBoekjaar[[#This Row],[Boekjaar]]=Projectbegroting!$K$1,report_B_CategorieBoekjaar[[#This Row],[CategorieCode]],0),0)</f>
        <v>0</v>
      </c>
    </row>
    <row r="1851" spans="1:9" hidden="1" x14ac:dyDescent="0.3">
      <c r="A1851" t="s">
        <v>525</v>
      </c>
      <c r="B1851" s="20">
        <v>43831</v>
      </c>
      <c r="C1851" t="s">
        <v>507</v>
      </c>
      <c r="D1851" t="s">
        <v>508</v>
      </c>
      <c r="E1851" t="s">
        <v>384</v>
      </c>
      <c r="F1851">
        <v>0</v>
      </c>
      <c r="G1851">
        <v>0</v>
      </c>
      <c r="H1851">
        <f>IF(report_B_CategorieBoekjaar[[#This Row],[BedrijfsCode]]="002",IF(report_B_CategorieBoekjaar[[#This Row],[Boekjaar]]=Projectbegroting!$K$1,report_B_CategorieBoekjaar[[#This Row],[CategorieCode]],0),0)</f>
        <v>0</v>
      </c>
      <c r="I1851">
        <f>IF(report_B_CategorieBoekjaar[[#This Row],[BedrijfsCode]]="001",IF(report_B_CategorieBoekjaar[[#This Row],[Boekjaar]]=Projectbegroting!$K$1,report_B_CategorieBoekjaar[[#This Row],[CategorieCode]],0),0)</f>
        <v>0</v>
      </c>
    </row>
    <row r="1852" spans="1:9" hidden="1" x14ac:dyDescent="0.3">
      <c r="A1852" t="s">
        <v>525</v>
      </c>
      <c r="B1852" s="20">
        <v>43831</v>
      </c>
      <c r="C1852" t="s">
        <v>509</v>
      </c>
      <c r="D1852" t="s">
        <v>510</v>
      </c>
      <c r="E1852" t="s">
        <v>381</v>
      </c>
      <c r="F1852">
        <v>135</v>
      </c>
      <c r="G1852">
        <v>0</v>
      </c>
      <c r="H1852">
        <f>IF(report_B_CategorieBoekjaar[[#This Row],[BedrijfsCode]]="002",IF(report_B_CategorieBoekjaar[[#This Row],[Boekjaar]]=Projectbegroting!$K$1,report_B_CategorieBoekjaar[[#This Row],[CategorieCode]],0),0)</f>
        <v>0</v>
      </c>
      <c r="I1852">
        <f>IF(report_B_CategorieBoekjaar[[#This Row],[BedrijfsCode]]="001",IF(report_B_CategorieBoekjaar[[#This Row],[Boekjaar]]=Projectbegroting!$K$1,report_B_CategorieBoekjaar[[#This Row],[CategorieCode]],0),0)</f>
        <v>0</v>
      </c>
    </row>
    <row r="1853" spans="1:9" hidden="1" x14ac:dyDescent="0.3">
      <c r="A1853" t="s">
        <v>525</v>
      </c>
      <c r="B1853" s="20">
        <v>43831</v>
      </c>
      <c r="C1853" t="s">
        <v>511</v>
      </c>
      <c r="D1853" t="s">
        <v>512</v>
      </c>
      <c r="E1853" t="s">
        <v>381</v>
      </c>
      <c r="F1853">
        <v>0</v>
      </c>
      <c r="G1853">
        <v>0</v>
      </c>
      <c r="H1853">
        <f>IF(report_B_CategorieBoekjaar[[#This Row],[BedrijfsCode]]="002",IF(report_B_CategorieBoekjaar[[#This Row],[Boekjaar]]=Projectbegroting!$K$1,report_B_CategorieBoekjaar[[#This Row],[CategorieCode]],0),0)</f>
        <v>0</v>
      </c>
      <c r="I1853">
        <f>IF(report_B_CategorieBoekjaar[[#This Row],[BedrijfsCode]]="001",IF(report_B_CategorieBoekjaar[[#This Row],[Boekjaar]]=Projectbegroting!$K$1,report_B_CategorieBoekjaar[[#This Row],[CategorieCode]],0),0)</f>
        <v>0</v>
      </c>
    </row>
    <row r="1854" spans="1:9" hidden="1" x14ac:dyDescent="0.3">
      <c r="A1854" t="s">
        <v>525</v>
      </c>
      <c r="B1854" s="20">
        <v>43831</v>
      </c>
      <c r="C1854" t="s">
        <v>92</v>
      </c>
      <c r="D1854" t="s">
        <v>513</v>
      </c>
      <c r="E1854" t="s">
        <v>381</v>
      </c>
      <c r="F1854">
        <v>60</v>
      </c>
      <c r="G1854">
        <v>109</v>
      </c>
      <c r="H1854">
        <f>IF(report_B_CategorieBoekjaar[[#This Row],[BedrijfsCode]]="002",IF(report_B_CategorieBoekjaar[[#This Row],[Boekjaar]]=Projectbegroting!$K$1,report_B_CategorieBoekjaar[[#This Row],[CategorieCode]],0),0)</f>
        <v>0</v>
      </c>
      <c r="I1854">
        <f>IF(report_B_CategorieBoekjaar[[#This Row],[BedrijfsCode]]="001",IF(report_B_CategorieBoekjaar[[#This Row],[Boekjaar]]=Projectbegroting!$K$1,report_B_CategorieBoekjaar[[#This Row],[CategorieCode]],0),0)</f>
        <v>0</v>
      </c>
    </row>
    <row r="1855" spans="1:9" hidden="1" x14ac:dyDescent="0.3">
      <c r="A1855" t="s">
        <v>525</v>
      </c>
      <c r="B1855" s="20">
        <v>43831</v>
      </c>
      <c r="C1855" t="s">
        <v>514</v>
      </c>
      <c r="D1855" t="s">
        <v>515</v>
      </c>
      <c r="E1855" t="s">
        <v>384</v>
      </c>
      <c r="F1855">
        <v>0</v>
      </c>
      <c r="G1855">
        <v>0</v>
      </c>
      <c r="H1855">
        <f>IF(report_B_CategorieBoekjaar[[#This Row],[BedrijfsCode]]="002",IF(report_B_CategorieBoekjaar[[#This Row],[Boekjaar]]=Projectbegroting!$K$1,report_B_CategorieBoekjaar[[#This Row],[CategorieCode]],0),0)</f>
        <v>0</v>
      </c>
      <c r="I1855">
        <f>IF(report_B_CategorieBoekjaar[[#This Row],[BedrijfsCode]]="001",IF(report_B_CategorieBoekjaar[[#This Row],[Boekjaar]]=Projectbegroting!$K$1,report_B_CategorieBoekjaar[[#This Row],[CategorieCode]],0),0)</f>
        <v>0</v>
      </c>
    </row>
    <row r="1856" spans="1:9" hidden="1" x14ac:dyDescent="0.3">
      <c r="A1856" t="s">
        <v>525</v>
      </c>
      <c r="B1856" s="20">
        <v>43831</v>
      </c>
      <c r="C1856" t="s">
        <v>72</v>
      </c>
      <c r="D1856" t="s">
        <v>516</v>
      </c>
      <c r="E1856" t="s">
        <v>381</v>
      </c>
      <c r="F1856">
        <v>46</v>
      </c>
      <c r="G1856">
        <v>95</v>
      </c>
      <c r="H1856">
        <f>IF(report_B_CategorieBoekjaar[[#This Row],[BedrijfsCode]]="002",IF(report_B_CategorieBoekjaar[[#This Row],[Boekjaar]]=Projectbegroting!$K$1,report_B_CategorieBoekjaar[[#This Row],[CategorieCode]],0),0)</f>
        <v>0</v>
      </c>
      <c r="I1856">
        <f>IF(report_B_CategorieBoekjaar[[#This Row],[BedrijfsCode]]="001",IF(report_B_CategorieBoekjaar[[#This Row],[Boekjaar]]=Projectbegroting!$K$1,report_B_CategorieBoekjaar[[#This Row],[CategorieCode]],0),0)</f>
        <v>0</v>
      </c>
    </row>
    <row r="1857" spans="1:9" hidden="1" x14ac:dyDescent="0.3">
      <c r="A1857" t="s">
        <v>525</v>
      </c>
      <c r="B1857" s="20">
        <v>43831</v>
      </c>
      <c r="C1857" t="s">
        <v>517</v>
      </c>
      <c r="D1857" t="s">
        <v>518</v>
      </c>
      <c r="E1857" t="s">
        <v>384</v>
      </c>
      <c r="F1857">
        <v>0</v>
      </c>
      <c r="G1857">
        <v>0</v>
      </c>
      <c r="H1857">
        <f>IF(report_B_CategorieBoekjaar[[#This Row],[BedrijfsCode]]="002",IF(report_B_CategorieBoekjaar[[#This Row],[Boekjaar]]=Projectbegroting!$K$1,report_B_CategorieBoekjaar[[#This Row],[CategorieCode]],0),0)</f>
        <v>0</v>
      </c>
      <c r="I1857">
        <f>IF(report_B_CategorieBoekjaar[[#This Row],[BedrijfsCode]]="001",IF(report_B_CategorieBoekjaar[[#This Row],[Boekjaar]]=Projectbegroting!$K$1,report_B_CategorieBoekjaar[[#This Row],[CategorieCode]],0),0)</f>
        <v>0</v>
      </c>
    </row>
    <row r="1858" spans="1:9" hidden="1" x14ac:dyDescent="0.3">
      <c r="A1858" t="s">
        <v>525</v>
      </c>
      <c r="B1858" s="20">
        <v>43831</v>
      </c>
      <c r="C1858" t="s">
        <v>74</v>
      </c>
      <c r="D1858" t="s">
        <v>75</v>
      </c>
      <c r="E1858" t="s">
        <v>381</v>
      </c>
      <c r="F1858">
        <v>38</v>
      </c>
      <c r="G1858">
        <v>87</v>
      </c>
      <c r="H1858">
        <f>IF(report_B_CategorieBoekjaar[[#This Row],[BedrijfsCode]]="002",IF(report_B_CategorieBoekjaar[[#This Row],[Boekjaar]]=Projectbegroting!$K$1,report_B_CategorieBoekjaar[[#This Row],[CategorieCode]],0),0)</f>
        <v>0</v>
      </c>
      <c r="I1858">
        <f>IF(report_B_CategorieBoekjaar[[#This Row],[BedrijfsCode]]="001",IF(report_B_CategorieBoekjaar[[#This Row],[Boekjaar]]=Projectbegroting!$K$1,report_B_CategorieBoekjaar[[#This Row],[CategorieCode]],0),0)</f>
        <v>0</v>
      </c>
    </row>
    <row r="1859" spans="1:9" hidden="1" x14ac:dyDescent="0.3">
      <c r="A1859" t="s">
        <v>525</v>
      </c>
      <c r="B1859" s="20">
        <v>43831</v>
      </c>
      <c r="C1859" t="s">
        <v>178</v>
      </c>
      <c r="D1859" t="s">
        <v>519</v>
      </c>
      <c r="E1859" t="s">
        <v>384</v>
      </c>
      <c r="F1859">
        <v>0</v>
      </c>
      <c r="G1859">
        <v>0</v>
      </c>
      <c r="H1859">
        <f>IF(report_B_CategorieBoekjaar[[#This Row],[BedrijfsCode]]="002",IF(report_B_CategorieBoekjaar[[#This Row],[Boekjaar]]=Projectbegroting!$K$1,report_B_CategorieBoekjaar[[#This Row],[CategorieCode]],0),0)</f>
        <v>0</v>
      </c>
      <c r="I1859">
        <f>IF(report_B_CategorieBoekjaar[[#This Row],[BedrijfsCode]]="001",IF(report_B_CategorieBoekjaar[[#This Row],[Boekjaar]]=Projectbegroting!$K$1,report_B_CategorieBoekjaar[[#This Row],[CategorieCode]],0),0)</f>
        <v>0</v>
      </c>
    </row>
    <row r="1860" spans="1:9" hidden="1" x14ac:dyDescent="0.3">
      <c r="A1860" t="s">
        <v>525</v>
      </c>
      <c r="B1860" s="20">
        <v>43831</v>
      </c>
      <c r="C1860" t="s">
        <v>520</v>
      </c>
      <c r="D1860" t="s">
        <v>521</v>
      </c>
      <c r="E1860" t="s">
        <v>384</v>
      </c>
      <c r="F1860">
        <v>0</v>
      </c>
      <c r="G1860">
        <v>0</v>
      </c>
      <c r="H1860">
        <f>IF(report_B_CategorieBoekjaar[[#This Row],[BedrijfsCode]]="002",IF(report_B_CategorieBoekjaar[[#This Row],[Boekjaar]]=Projectbegroting!$K$1,report_B_CategorieBoekjaar[[#This Row],[CategorieCode]],0),0)</f>
        <v>0</v>
      </c>
      <c r="I1860">
        <f>IF(report_B_CategorieBoekjaar[[#This Row],[BedrijfsCode]]="001",IF(report_B_CategorieBoekjaar[[#This Row],[Boekjaar]]=Projectbegroting!$K$1,report_B_CategorieBoekjaar[[#This Row],[CategorieCode]],0),0)</f>
        <v>0</v>
      </c>
    </row>
    <row r="1861" spans="1:9" hidden="1" x14ac:dyDescent="0.3">
      <c r="A1861" t="s">
        <v>525</v>
      </c>
      <c r="B1861" s="20">
        <v>43831</v>
      </c>
      <c r="C1861" t="s">
        <v>522</v>
      </c>
      <c r="D1861" t="s">
        <v>523</v>
      </c>
      <c r="E1861" t="s">
        <v>381</v>
      </c>
      <c r="F1861">
        <v>75</v>
      </c>
      <c r="G1861">
        <v>0</v>
      </c>
      <c r="H1861">
        <f>IF(report_B_CategorieBoekjaar[[#This Row],[BedrijfsCode]]="002",IF(report_B_CategorieBoekjaar[[#This Row],[Boekjaar]]=Projectbegroting!$K$1,report_B_CategorieBoekjaar[[#This Row],[CategorieCode]],0),0)</f>
        <v>0</v>
      </c>
      <c r="I1861">
        <f>IF(report_B_CategorieBoekjaar[[#This Row],[BedrijfsCode]]="001",IF(report_B_CategorieBoekjaar[[#This Row],[Boekjaar]]=Projectbegroting!$K$1,report_B_CategorieBoekjaar[[#This Row],[CategorieCode]],0),0)</f>
        <v>0</v>
      </c>
    </row>
    <row r="1862" spans="1:9" hidden="1" x14ac:dyDescent="0.3">
      <c r="A1862" t="s">
        <v>525</v>
      </c>
      <c r="B1862" s="20">
        <v>43831</v>
      </c>
      <c r="C1862" t="s">
        <v>78</v>
      </c>
      <c r="D1862" t="s">
        <v>79</v>
      </c>
      <c r="E1862" t="s">
        <v>381</v>
      </c>
      <c r="F1862">
        <v>66</v>
      </c>
      <c r="G1862">
        <v>115</v>
      </c>
      <c r="H1862">
        <f>IF(report_B_CategorieBoekjaar[[#This Row],[BedrijfsCode]]="002",IF(report_B_CategorieBoekjaar[[#This Row],[Boekjaar]]=Projectbegroting!$K$1,report_B_CategorieBoekjaar[[#This Row],[CategorieCode]],0),0)</f>
        <v>0</v>
      </c>
      <c r="I1862">
        <f>IF(report_B_CategorieBoekjaar[[#This Row],[BedrijfsCode]]="001",IF(report_B_CategorieBoekjaar[[#This Row],[Boekjaar]]=Projectbegroting!$K$1,report_B_CategorieBoekjaar[[#This Row],[CategorieCode]],0),0)</f>
        <v>0</v>
      </c>
    </row>
    <row r="1863" spans="1:9" hidden="1" x14ac:dyDescent="0.3">
      <c r="A1863" t="s">
        <v>525</v>
      </c>
      <c r="B1863" s="20">
        <v>43831</v>
      </c>
      <c r="C1863" t="s">
        <v>176</v>
      </c>
      <c r="D1863" t="s">
        <v>524</v>
      </c>
      <c r="E1863" t="s">
        <v>384</v>
      </c>
      <c r="F1863">
        <v>0</v>
      </c>
      <c r="G1863">
        <v>0</v>
      </c>
      <c r="H1863">
        <f>IF(report_B_CategorieBoekjaar[[#This Row],[BedrijfsCode]]="002",IF(report_B_CategorieBoekjaar[[#This Row],[Boekjaar]]=Projectbegroting!$K$1,report_B_CategorieBoekjaar[[#This Row],[CategorieCode]],0),0)</f>
        <v>0</v>
      </c>
      <c r="I1863">
        <f>IF(report_B_CategorieBoekjaar[[#This Row],[BedrijfsCode]]="001",IF(report_B_CategorieBoekjaar[[#This Row],[Boekjaar]]=Projectbegroting!$K$1,report_B_CategorieBoekjaar[[#This Row],[CategorieCode]],0),0)</f>
        <v>0</v>
      </c>
    </row>
    <row r="1864" spans="1:9" x14ac:dyDescent="0.3">
      <c r="A1864" t="s">
        <v>330</v>
      </c>
      <c r="B1864" s="20">
        <v>43466</v>
      </c>
      <c r="C1864" t="s">
        <v>179</v>
      </c>
      <c r="D1864" t="s">
        <v>331</v>
      </c>
      <c r="E1864" t="s">
        <v>217</v>
      </c>
      <c r="F1864">
        <v>0</v>
      </c>
      <c r="G1864">
        <v>0</v>
      </c>
      <c r="H1864">
        <f>IF(report_B_CategorieBoekjaar[[#This Row],[BedrijfsCode]]="002",IF(report_B_CategorieBoekjaar[[#This Row],[Boekjaar]]=Projectbegroting!$K$1,report_B_CategorieBoekjaar[[#This Row],[CategorieCode]],0),0)</f>
        <v>0</v>
      </c>
      <c r="I1864">
        <f>IF(report_B_CategorieBoekjaar[[#This Row],[BedrijfsCode]]="001",IF(report_B_CategorieBoekjaar[[#This Row],[Boekjaar]]=Projectbegroting!$K$1,report_B_CategorieBoekjaar[[#This Row],[CategorieCode]],0),0)</f>
        <v>0</v>
      </c>
    </row>
    <row r="1865" spans="1:9" x14ac:dyDescent="0.3">
      <c r="A1865" t="s">
        <v>330</v>
      </c>
      <c r="B1865" s="20">
        <v>43466</v>
      </c>
      <c r="C1865" t="s">
        <v>180</v>
      </c>
      <c r="D1865" t="s">
        <v>332</v>
      </c>
      <c r="E1865" t="s">
        <v>217</v>
      </c>
      <c r="F1865">
        <v>0</v>
      </c>
      <c r="G1865">
        <v>0</v>
      </c>
      <c r="H1865">
        <f>IF(report_B_CategorieBoekjaar[[#This Row],[BedrijfsCode]]="002",IF(report_B_CategorieBoekjaar[[#This Row],[Boekjaar]]=Projectbegroting!$K$1,report_B_CategorieBoekjaar[[#This Row],[CategorieCode]],0),0)</f>
        <v>0</v>
      </c>
      <c r="I1865">
        <f>IF(report_B_CategorieBoekjaar[[#This Row],[BedrijfsCode]]="001",IF(report_B_CategorieBoekjaar[[#This Row],[Boekjaar]]=Projectbegroting!$K$1,report_B_CategorieBoekjaar[[#This Row],[CategorieCode]],0),0)</f>
        <v>0</v>
      </c>
    </row>
    <row r="1866" spans="1:9" x14ac:dyDescent="0.3">
      <c r="A1866" t="s">
        <v>330</v>
      </c>
      <c r="B1866" s="20">
        <v>43466</v>
      </c>
      <c r="C1866" t="s">
        <v>181</v>
      </c>
      <c r="D1866" t="s">
        <v>333</v>
      </c>
      <c r="E1866" t="s">
        <v>217</v>
      </c>
      <c r="F1866">
        <v>0</v>
      </c>
      <c r="G1866">
        <v>0</v>
      </c>
      <c r="H1866">
        <f>IF(report_B_CategorieBoekjaar[[#This Row],[BedrijfsCode]]="002",IF(report_B_CategorieBoekjaar[[#This Row],[Boekjaar]]=Projectbegroting!$K$1,report_B_CategorieBoekjaar[[#This Row],[CategorieCode]],0),0)</f>
        <v>0</v>
      </c>
      <c r="I1866">
        <f>IF(report_B_CategorieBoekjaar[[#This Row],[BedrijfsCode]]="001",IF(report_B_CategorieBoekjaar[[#This Row],[Boekjaar]]=Projectbegroting!$K$1,report_B_CategorieBoekjaar[[#This Row],[CategorieCode]],0),0)</f>
        <v>0</v>
      </c>
    </row>
    <row r="1867" spans="1:9" x14ac:dyDescent="0.3">
      <c r="A1867" t="s">
        <v>330</v>
      </c>
      <c r="B1867" s="20">
        <v>43466</v>
      </c>
      <c r="C1867" t="s">
        <v>182</v>
      </c>
      <c r="D1867" t="s">
        <v>334</v>
      </c>
      <c r="E1867" t="s">
        <v>217</v>
      </c>
      <c r="F1867">
        <v>0</v>
      </c>
      <c r="G1867">
        <v>0</v>
      </c>
      <c r="H1867">
        <f>IF(report_B_CategorieBoekjaar[[#This Row],[BedrijfsCode]]="002",IF(report_B_CategorieBoekjaar[[#This Row],[Boekjaar]]=Projectbegroting!$K$1,report_B_CategorieBoekjaar[[#This Row],[CategorieCode]],0),0)</f>
        <v>0</v>
      </c>
      <c r="I1867">
        <f>IF(report_B_CategorieBoekjaar[[#This Row],[BedrijfsCode]]="001",IF(report_B_CategorieBoekjaar[[#This Row],[Boekjaar]]=Projectbegroting!$K$1,report_B_CategorieBoekjaar[[#This Row],[CategorieCode]],0),0)</f>
        <v>0</v>
      </c>
    </row>
    <row r="1868" spans="1:9" x14ac:dyDescent="0.3">
      <c r="A1868" t="s">
        <v>330</v>
      </c>
      <c r="B1868" s="20">
        <v>43466</v>
      </c>
      <c r="C1868" t="s">
        <v>183</v>
      </c>
      <c r="D1868" t="s">
        <v>335</v>
      </c>
      <c r="E1868" t="s">
        <v>217</v>
      </c>
      <c r="F1868">
        <v>0</v>
      </c>
      <c r="G1868">
        <v>0</v>
      </c>
      <c r="H1868">
        <f>IF(report_B_CategorieBoekjaar[[#This Row],[BedrijfsCode]]="002",IF(report_B_CategorieBoekjaar[[#This Row],[Boekjaar]]=Projectbegroting!$K$1,report_B_CategorieBoekjaar[[#This Row],[CategorieCode]],0),0)</f>
        <v>0</v>
      </c>
      <c r="I1868">
        <f>IF(report_B_CategorieBoekjaar[[#This Row],[BedrijfsCode]]="001",IF(report_B_CategorieBoekjaar[[#This Row],[Boekjaar]]=Projectbegroting!$K$1,report_B_CategorieBoekjaar[[#This Row],[CategorieCode]],0),0)</f>
        <v>0</v>
      </c>
    </row>
    <row r="1869" spans="1:9" x14ac:dyDescent="0.3">
      <c r="A1869" t="s">
        <v>330</v>
      </c>
      <c r="B1869" s="20">
        <v>43466</v>
      </c>
      <c r="C1869" t="s">
        <v>184</v>
      </c>
      <c r="D1869" t="s">
        <v>336</v>
      </c>
      <c r="E1869" t="s">
        <v>217</v>
      </c>
      <c r="F1869">
        <v>0</v>
      </c>
      <c r="G1869">
        <v>0</v>
      </c>
      <c r="H1869">
        <f>IF(report_B_CategorieBoekjaar[[#This Row],[BedrijfsCode]]="002",IF(report_B_CategorieBoekjaar[[#This Row],[Boekjaar]]=Projectbegroting!$K$1,report_B_CategorieBoekjaar[[#This Row],[CategorieCode]],0),0)</f>
        <v>0</v>
      </c>
      <c r="I1869">
        <f>IF(report_B_CategorieBoekjaar[[#This Row],[BedrijfsCode]]="001",IF(report_B_CategorieBoekjaar[[#This Row],[Boekjaar]]=Projectbegroting!$K$1,report_B_CategorieBoekjaar[[#This Row],[CategorieCode]],0),0)</f>
        <v>0</v>
      </c>
    </row>
    <row r="1870" spans="1:9" x14ac:dyDescent="0.3">
      <c r="A1870" t="s">
        <v>330</v>
      </c>
      <c r="B1870" s="20">
        <v>43466</v>
      </c>
      <c r="C1870" t="s">
        <v>185</v>
      </c>
      <c r="D1870" t="s">
        <v>337</v>
      </c>
      <c r="E1870" t="s">
        <v>217</v>
      </c>
      <c r="F1870">
        <v>0</v>
      </c>
      <c r="G1870">
        <v>0</v>
      </c>
      <c r="H1870">
        <f>IF(report_B_CategorieBoekjaar[[#This Row],[BedrijfsCode]]="002",IF(report_B_CategorieBoekjaar[[#This Row],[Boekjaar]]=Projectbegroting!$K$1,report_B_CategorieBoekjaar[[#This Row],[CategorieCode]],0),0)</f>
        <v>0</v>
      </c>
      <c r="I1870">
        <f>IF(report_B_CategorieBoekjaar[[#This Row],[BedrijfsCode]]="001",IF(report_B_CategorieBoekjaar[[#This Row],[Boekjaar]]=Projectbegroting!$K$1,report_B_CategorieBoekjaar[[#This Row],[CategorieCode]],0),0)</f>
        <v>0</v>
      </c>
    </row>
    <row r="1871" spans="1:9" x14ac:dyDescent="0.3">
      <c r="A1871" t="s">
        <v>330</v>
      </c>
      <c r="B1871" s="20">
        <v>43466</v>
      </c>
      <c r="C1871" t="s">
        <v>186</v>
      </c>
      <c r="D1871" t="s">
        <v>338</v>
      </c>
      <c r="E1871" t="s">
        <v>217</v>
      </c>
      <c r="F1871">
        <v>0</v>
      </c>
      <c r="G1871">
        <v>0</v>
      </c>
      <c r="H1871">
        <f>IF(report_B_CategorieBoekjaar[[#This Row],[BedrijfsCode]]="002",IF(report_B_CategorieBoekjaar[[#This Row],[Boekjaar]]=Projectbegroting!$K$1,report_B_CategorieBoekjaar[[#This Row],[CategorieCode]],0),0)</f>
        <v>0</v>
      </c>
      <c r="I1871">
        <f>IF(report_B_CategorieBoekjaar[[#This Row],[BedrijfsCode]]="001",IF(report_B_CategorieBoekjaar[[#This Row],[Boekjaar]]=Projectbegroting!$K$1,report_B_CategorieBoekjaar[[#This Row],[CategorieCode]],0),0)</f>
        <v>0</v>
      </c>
    </row>
    <row r="1872" spans="1:9" x14ac:dyDescent="0.3">
      <c r="A1872" t="s">
        <v>330</v>
      </c>
      <c r="B1872" s="20">
        <v>43466</v>
      </c>
      <c r="C1872" t="s">
        <v>187</v>
      </c>
      <c r="D1872" t="s">
        <v>339</v>
      </c>
      <c r="E1872" t="s">
        <v>217</v>
      </c>
      <c r="F1872">
        <v>0</v>
      </c>
      <c r="G1872">
        <v>0</v>
      </c>
      <c r="H1872">
        <f>IF(report_B_CategorieBoekjaar[[#This Row],[BedrijfsCode]]="002",IF(report_B_CategorieBoekjaar[[#This Row],[Boekjaar]]=Projectbegroting!$K$1,report_B_CategorieBoekjaar[[#This Row],[CategorieCode]],0),0)</f>
        <v>0</v>
      </c>
      <c r="I1872">
        <f>IF(report_B_CategorieBoekjaar[[#This Row],[BedrijfsCode]]="001",IF(report_B_CategorieBoekjaar[[#This Row],[Boekjaar]]=Projectbegroting!$K$1,report_B_CategorieBoekjaar[[#This Row],[CategorieCode]],0),0)</f>
        <v>0</v>
      </c>
    </row>
    <row r="1873" spans="1:9" x14ac:dyDescent="0.3">
      <c r="A1873" t="s">
        <v>330</v>
      </c>
      <c r="B1873" s="20">
        <v>43466</v>
      </c>
      <c r="C1873" t="s">
        <v>188</v>
      </c>
      <c r="D1873" t="s">
        <v>340</v>
      </c>
      <c r="E1873" t="s">
        <v>217</v>
      </c>
      <c r="F1873">
        <v>0</v>
      </c>
      <c r="G1873">
        <v>0</v>
      </c>
      <c r="H1873">
        <f>IF(report_B_CategorieBoekjaar[[#This Row],[BedrijfsCode]]="002",IF(report_B_CategorieBoekjaar[[#This Row],[Boekjaar]]=Projectbegroting!$K$1,report_B_CategorieBoekjaar[[#This Row],[CategorieCode]],0),0)</f>
        <v>0</v>
      </c>
      <c r="I1873">
        <f>IF(report_B_CategorieBoekjaar[[#This Row],[BedrijfsCode]]="001",IF(report_B_CategorieBoekjaar[[#This Row],[Boekjaar]]=Projectbegroting!$K$1,report_B_CategorieBoekjaar[[#This Row],[CategorieCode]],0),0)</f>
        <v>0</v>
      </c>
    </row>
    <row r="1874" spans="1:9" x14ac:dyDescent="0.3">
      <c r="A1874" t="s">
        <v>330</v>
      </c>
      <c r="B1874" s="20">
        <v>43466</v>
      </c>
      <c r="C1874" t="s">
        <v>189</v>
      </c>
      <c r="D1874" t="s">
        <v>341</v>
      </c>
      <c r="E1874" t="s">
        <v>217</v>
      </c>
      <c r="F1874">
        <v>0</v>
      </c>
      <c r="G1874">
        <v>0</v>
      </c>
      <c r="H1874">
        <f>IF(report_B_CategorieBoekjaar[[#This Row],[BedrijfsCode]]="002",IF(report_B_CategorieBoekjaar[[#This Row],[Boekjaar]]=Projectbegroting!$K$1,report_B_CategorieBoekjaar[[#This Row],[CategorieCode]],0),0)</f>
        <v>0</v>
      </c>
      <c r="I1874">
        <f>IF(report_B_CategorieBoekjaar[[#This Row],[BedrijfsCode]]="001",IF(report_B_CategorieBoekjaar[[#This Row],[Boekjaar]]=Projectbegroting!$K$1,report_B_CategorieBoekjaar[[#This Row],[CategorieCode]],0),0)</f>
        <v>0</v>
      </c>
    </row>
    <row r="1875" spans="1:9" x14ac:dyDescent="0.3">
      <c r="A1875" t="s">
        <v>330</v>
      </c>
      <c r="B1875" s="20">
        <v>43466</v>
      </c>
      <c r="C1875" t="s">
        <v>190</v>
      </c>
      <c r="D1875" t="s">
        <v>342</v>
      </c>
      <c r="E1875" t="s">
        <v>217</v>
      </c>
      <c r="F1875">
        <v>0</v>
      </c>
      <c r="G1875">
        <v>0</v>
      </c>
      <c r="H1875">
        <f>IF(report_B_CategorieBoekjaar[[#This Row],[BedrijfsCode]]="002",IF(report_B_CategorieBoekjaar[[#This Row],[Boekjaar]]=Projectbegroting!$K$1,report_B_CategorieBoekjaar[[#This Row],[CategorieCode]],0),0)</f>
        <v>0</v>
      </c>
      <c r="I1875">
        <f>IF(report_B_CategorieBoekjaar[[#This Row],[BedrijfsCode]]="001",IF(report_B_CategorieBoekjaar[[#This Row],[Boekjaar]]=Projectbegroting!$K$1,report_B_CategorieBoekjaar[[#This Row],[CategorieCode]],0),0)</f>
        <v>0</v>
      </c>
    </row>
    <row r="1876" spans="1:9" x14ac:dyDescent="0.3">
      <c r="A1876" t="s">
        <v>330</v>
      </c>
      <c r="B1876" s="20">
        <v>43466</v>
      </c>
      <c r="C1876" t="s">
        <v>191</v>
      </c>
      <c r="D1876" t="s">
        <v>343</v>
      </c>
      <c r="E1876" t="s">
        <v>217</v>
      </c>
      <c r="F1876">
        <v>0</v>
      </c>
      <c r="G1876">
        <v>0</v>
      </c>
      <c r="H1876">
        <f>IF(report_B_CategorieBoekjaar[[#This Row],[BedrijfsCode]]="002",IF(report_B_CategorieBoekjaar[[#This Row],[Boekjaar]]=Projectbegroting!$K$1,report_B_CategorieBoekjaar[[#This Row],[CategorieCode]],0),0)</f>
        <v>0</v>
      </c>
      <c r="I1876">
        <f>IF(report_B_CategorieBoekjaar[[#This Row],[BedrijfsCode]]="001",IF(report_B_CategorieBoekjaar[[#This Row],[Boekjaar]]=Projectbegroting!$K$1,report_B_CategorieBoekjaar[[#This Row],[CategorieCode]],0),0)</f>
        <v>0</v>
      </c>
    </row>
    <row r="1877" spans="1:9" x14ac:dyDescent="0.3">
      <c r="A1877" t="s">
        <v>330</v>
      </c>
      <c r="B1877" s="20">
        <v>43466</v>
      </c>
      <c r="C1877" t="s">
        <v>192</v>
      </c>
      <c r="D1877" t="s">
        <v>344</v>
      </c>
      <c r="E1877" t="s">
        <v>217</v>
      </c>
      <c r="F1877">
        <v>0</v>
      </c>
      <c r="G1877">
        <v>0</v>
      </c>
      <c r="H1877">
        <f>IF(report_B_CategorieBoekjaar[[#This Row],[BedrijfsCode]]="002",IF(report_B_CategorieBoekjaar[[#This Row],[Boekjaar]]=Projectbegroting!$K$1,report_B_CategorieBoekjaar[[#This Row],[CategorieCode]],0),0)</f>
        <v>0</v>
      </c>
      <c r="I1877">
        <f>IF(report_B_CategorieBoekjaar[[#This Row],[BedrijfsCode]]="001",IF(report_B_CategorieBoekjaar[[#This Row],[Boekjaar]]=Projectbegroting!$K$1,report_B_CategorieBoekjaar[[#This Row],[CategorieCode]],0),0)</f>
        <v>0</v>
      </c>
    </row>
    <row r="1878" spans="1:9" x14ac:dyDescent="0.3">
      <c r="A1878" t="s">
        <v>330</v>
      </c>
      <c r="B1878" s="20">
        <v>43466</v>
      </c>
      <c r="C1878" t="s">
        <v>193</v>
      </c>
      <c r="D1878" t="s">
        <v>345</v>
      </c>
      <c r="E1878" t="s">
        <v>217</v>
      </c>
      <c r="F1878">
        <v>0</v>
      </c>
      <c r="G1878">
        <v>0</v>
      </c>
      <c r="H1878">
        <f>IF(report_B_CategorieBoekjaar[[#This Row],[BedrijfsCode]]="002",IF(report_B_CategorieBoekjaar[[#This Row],[Boekjaar]]=Projectbegroting!$K$1,report_B_CategorieBoekjaar[[#This Row],[CategorieCode]],0),0)</f>
        <v>0</v>
      </c>
      <c r="I1878">
        <f>IF(report_B_CategorieBoekjaar[[#This Row],[BedrijfsCode]]="001",IF(report_B_CategorieBoekjaar[[#This Row],[Boekjaar]]=Projectbegroting!$K$1,report_B_CategorieBoekjaar[[#This Row],[CategorieCode]],0),0)</f>
        <v>0</v>
      </c>
    </row>
    <row r="1879" spans="1:9" x14ac:dyDescent="0.3">
      <c r="A1879" t="s">
        <v>330</v>
      </c>
      <c r="B1879" s="20">
        <v>43466</v>
      </c>
      <c r="C1879" t="s">
        <v>194</v>
      </c>
      <c r="D1879" t="s">
        <v>346</v>
      </c>
      <c r="E1879" t="s">
        <v>217</v>
      </c>
      <c r="F1879">
        <v>0</v>
      </c>
      <c r="G1879">
        <v>0</v>
      </c>
      <c r="H1879">
        <f>IF(report_B_CategorieBoekjaar[[#This Row],[BedrijfsCode]]="002",IF(report_B_CategorieBoekjaar[[#This Row],[Boekjaar]]=Projectbegroting!$K$1,report_B_CategorieBoekjaar[[#This Row],[CategorieCode]],0),0)</f>
        <v>0</v>
      </c>
      <c r="I1879">
        <f>IF(report_B_CategorieBoekjaar[[#This Row],[BedrijfsCode]]="001",IF(report_B_CategorieBoekjaar[[#This Row],[Boekjaar]]=Projectbegroting!$K$1,report_B_CategorieBoekjaar[[#This Row],[CategorieCode]],0),0)</f>
        <v>0</v>
      </c>
    </row>
    <row r="1880" spans="1:9" x14ac:dyDescent="0.3">
      <c r="A1880" t="s">
        <v>330</v>
      </c>
      <c r="B1880" s="20">
        <v>43466</v>
      </c>
      <c r="C1880" t="s">
        <v>195</v>
      </c>
      <c r="D1880" t="s">
        <v>347</v>
      </c>
      <c r="E1880" t="s">
        <v>217</v>
      </c>
      <c r="F1880">
        <v>0</v>
      </c>
      <c r="G1880">
        <v>0</v>
      </c>
      <c r="H1880">
        <f>IF(report_B_CategorieBoekjaar[[#This Row],[BedrijfsCode]]="002",IF(report_B_CategorieBoekjaar[[#This Row],[Boekjaar]]=Projectbegroting!$K$1,report_B_CategorieBoekjaar[[#This Row],[CategorieCode]],0),0)</f>
        <v>0</v>
      </c>
      <c r="I1880">
        <f>IF(report_B_CategorieBoekjaar[[#This Row],[BedrijfsCode]]="001",IF(report_B_CategorieBoekjaar[[#This Row],[Boekjaar]]=Projectbegroting!$K$1,report_B_CategorieBoekjaar[[#This Row],[CategorieCode]],0),0)</f>
        <v>0</v>
      </c>
    </row>
    <row r="1881" spans="1:9" x14ac:dyDescent="0.3">
      <c r="A1881" t="s">
        <v>330</v>
      </c>
      <c r="B1881" s="20">
        <v>43466</v>
      </c>
      <c r="C1881" t="s">
        <v>196</v>
      </c>
      <c r="D1881" t="s">
        <v>348</v>
      </c>
      <c r="E1881" t="s">
        <v>217</v>
      </c>
      <c r="F1881">
        <v>0</v>
      </c>
      <c r="G1881">
        <v>0</v>
      </c>
      <c r="H1881">
        <f>IF(report_B_CategorieBoekjaar[[#This Row],[BedrijfsCode]]="002",IF(report_B_CategorieBoekjaar[[#This Row],[Boekjaar]]=Projectbegroting!$K$1,report_B_CategorieBoekjaar[[#This Row],[CategorieCode]],0),0)</f>
        <v>0</v>
      </c>
      <c r="I1881">
        <f>IF(report_B_CategorieBoekjaar[[#This Row],[BedrijfsCode]]="001",IF(report_B_CategorieBoekjaar[[#This Row],[Boekjaar]]=Projectbegroting!$K$1,report_B_CategorieBoekjaar[[#This Row],[CategorieCode]],0),0)</f>
        <v>0</v>
      </c>
    </row>
    <row r="1882" spans="1:9" x14ac:dyDescent="0.3">
      <c r="A1882" t="s">
        <v>330</v>
      </c>
      <c r="B1882" s="20">
        <v>43466</v>
      </c>
      <c r="C1882" t="s">
        <v>349</v>
      </c>
      <c r="D1882" t="s">
        <v>350</v>
      </c>
      <c r="E1882" t="s">
        <v>217</v>
      </c>
      <c r="F1882">
        <v>0</v>
      </c>
      <c r="G1882">
        <v>0</v>
      </c>
      <c r="H1882">
        <f>IF(report_B_CategorieBoekjaar[[#This Row],[BedrijfsCode]]="002",IF(report_B_CategorieBoekjaar[[#This Row],[Boekjaar]]=Projectbegroting!$K$1,report_B_CategorieBoekjaar[[#This Row],[CategorieCode]],0),0)</f>
        <v>0</v>
      </c>
      <c r="I1882">
        <f>IF(report_B_CategorieBoekjaar[[#This Row],[BedrijfsCode]]="001",IF(report_B_CategorieBoekjaar[[#This Row],[Boekjaar]]=Projectbegroting!$K$1,report_B_CategorieBoekjaar[[#This Row],[CategorieCode]],0),0)</f>
        <v>0</v>
      </c>
    </row>
    <row r="1883" spans="1:9" x14ac:dyDescent="0.3">
      <c r="A1883" t="s">
        <v>330</v>
      </c>
      <c r="B1883" s="20">
        <v>43466</v>
      </c>
      <c r="C1883" t="s">
        <v>197</v>
      </c>
      <c r="D1883" t="s">
        <v>351</v>
      </c>
      <c r="E1883" t="s">
        <v>217</v>
      </c>
      <c r="F1883">
        <v>0</v>
      </c>
      <c r="G1883">
        <v>0</v>
      </c>
      <c r="H1883">
        <f>IF(report_B_CategorieBoekjaar[[#This Row],[BedrijfsCode]]="002",IF(report_B_CategorieBoekjaar[[#This Row],[Boekjaar]]=Projectbegroting!$K$1,report_B_CategorieBoekjaar[[#This Row],[CategorieCode]],0),0)</f>
        <v>0</v>
      </c>
      <c r="I1883">
        <f>IF(report_B_CategorieBoekjaar[[#This Row],[BedrijfsCode]]="001",IF(report_B_CategorieBoekjaar[[#This Row],[Boekjaar]]=Projectbegroting!$K$1,report_B_CategorieBoekjaar[[#This Row],[CategorieCode]],0),0)</f>
        <v>0</v>
      </c>
    </row>
    <row r="1884" spans="1:9" x14ac:dyDescent="0.3">
      <c r="A1884" t="s">
        <v>330</v>
      </c>
      <c r="B1884" s="20">
        <v>43466</v>
      </c>
      <c r="C1884" t="s">
        <v>198</v>
      </c>
      <c r="D1884" t="s">
        <v>352</v>
      </c>
      <c r="E1884" t="s">
        <v>217</v>
      </c>
      <c r="F1884">
        <v>0</v>
      </c>
      <c r="G1884">
        <v>0</v>
      </c>
      <c r="H1884">
        <f>IF(report_B_CategorieBoekjaar[[#This Row],[BedrijfsCode]]="002",IF(report_B_CategorieBoekjaar[[#This Row],[Boekjaar]]=Projectbegroting!$K$1,report_B_CategorieBoekjaar[[#This Row],[CategorieCode]],0),0)</f>
        <v>0</v>
      </c>
      <c r="I1884">
        <f>IF(report_B_CategorieBoekjaar[[#This Row],[BedrijfsCode]]="001",IF(report_B_CategorieBoekjaar[[#This Row],[Boekjaar]]=Projectbegroting!$K$1,report_B_CategorieBoekjaar[[#This Row],[CategorieCode]],0),0)</f>
        <v>0</v>
      </c>
    </row>
    <row r="1885" spans="1:9" x14ac:dyDescent="0.3">
      <c r="A1885" t="s">
        <v>330</v>
      </c>
      <c r="B1885" s="20">
        <v>43466</v>
      </c>
      <c r="C1885" t="s">
        <v>353</v>
      </c>
      <c r="D1885" t="s">
        <v>354</v>
      </c>
      <c r="E1885" t="s">
        <v>217</v>
      </c>
      <c r="F1885">
        <v>0</v>
      </c>
      <c r="G1885">
        <v>0</v>
      </c>
      <c r="H1885">
        <f>IF(report_B_CategorieBoekjaar[[#This Row],[BedrijfsCode]]="002",IF(report_B_CategorieBoekjaar[[#This Row],[Boekjaar]]=Projectbegroting!$K$1,report_B_CategorieBoekjaar[[#This Row],[CategorieCode]],0),0)</f>
        <v>0</v>
      </c>
      <c r="I1885">
        <f>IF(report_B_CategorieBoekjaar[[#This Row],[BedrijfsCode]]="001",IF(report_B_CategorieBoekjaar[[#This Row],[Boekjaar]]=Projectbegroting!$K$1,report_B_CategorieBoekjaar[[#This Row],[CategorieCode]],0),0)</f>
        <v>0</v>
      </c>
    </row>
    <row r="1886" spans="1:9" x14ac:dyDescent="0.3">
      <c r="A1886" t="s">
        <v>330</v>
      </c>
      <c r="B1886" s="20">
        <v>43466</v>
      </c>
      <c r="C1886" t="s">
        <v>199</v>
      </c>
      <c r="D1886" t="s">
        <v>355</v>
      </c>
      <c r="E1886" t="s">
        <v>217</v>
      </c>
      <c r="F1886">
        <v>0</v>
      </c>
      <c r="G1886">
        <v>0</v>
      </c>
      <c r="H1886">
        <f>IF(report_B_CategorieBoekjaar[[#This Row],[BedrijfsCode]]="002",IF(report_B_CategorieBoekjaar[[#This Row],[Boekjaar]]=Projectbegroting!$K$1,report_B_CategorieBoekjaar[[#This Row],[CategorieCode]],0),0)</f>
        <v>0</v>
      </c>
      <c r="I1886">
        <f>IF(report_B_CategorieBoekjaar[[#This Row],[BedrijfsCode]]="001",IF(report_B_CategorieBoekjaar[[#This Row],[Boekjaar]]=Projectbegroting!$K$1,report_B_CategorieBoekjaar[[#This Row],[CategorieCode]],0),0)</f>
        <v>0</v>
      </c>
    </row>
    <row r="1887" spans="1:9" x14ac:dyDescent="0.3">
      <c r="A1887" t="s">
        <v>330</v>
      </c>
      <c r="B1887" s="20">
        <v>43466</v>
      </c>
      <c r="C1887" t="s">
        <v>200</v>
      </c>
      <c r="D1887" t="s">
        <v>356</v>
      </c>
      <c r="E1887" t="s">
        <v>217</v>
      </c>
      <c r="F1887">
        <v>0</v>
      </c>
      <c r="G1887">
        <v>0</v>
      </c>
      <c r="H1887">
        <f>IF(report_B_CategorieBoekjaar[[#This Row],[BedrijfsCode]]="002",IF(report_B_CategorieBoekjaar[[#This Row],[Boekjaar]]=Projectbegroting!$K$1,report_B_CategorieBoekjaar[[#This Row],[CategorieCode]],0),0)</f>
        <v>0</v>
      </c>
      <c r="I1887">
        <f>IF(report_B_CategorieBoekjaar[[#This Row],[BedrijfsCode]]="001",IF(report_B_CategorieBoekjaar[[#This Row],[Boekjaar]]=Projectbegroting!$K$1,report_B_CategorieBoekjaar[[#This Row],[CategorieCode]],0),0)</f>
        <v>0</v>
      </c>
    </row>
    <row r="1888" spans="1:9" x14ac:dyDescent="0.3">
      <c r="A1888" t="s">
        <v>330</v>
      </c>
      <c r="B1888" s="20">
        <v>43466</v>
      </c>
      <c r="C1888" t="s">
        <v>201</v>
      </c>
      <c r="D1888" t="s">
        <v>357</v>
      </c>
      <c r="E1888" t="s">
        <v>217</v>
      </c>
      <c r="F1888">
        <v>0</v>
      </c>
      <c r="G1888">
        <v>0</v>
      </c>
      <c r="H1888">
        <f>IF(report_B_CategorieBoekjaar[[#This Row],[BedrijfsCode]]="002",IF(report_B_CategorieBoekjaar[[#This Row],[Boekjaar]]=Projectbegroting!$K$1,report_B_CategorieBoekjaar[[#This Row],[CategorieCode]],0),0)</f>
        <v>0</v>
      </c>
      <c r="I1888">
        <f>IF(report_B_CategorieBoekjaar[[#This Row],[BedrijfsCode]]="001",IF(report_B_CategorieBoekjaar[[#This Row],[Boekjaar]]=Projectbegroting!$K$1,report_B_CategorieBoekjaar[[#This Row],[CategorieCode]],0),0)</f>
        <v>0</v>
      </c>
    </row>
    <row r="1889" spans="1:9" x14ac:dyDescent="0.3">
      <c r="A1889" t="s">
        <v>330</v>
      </c>
      <c r="B1889" s="20">
        <v>43466</v>
      </c>
      <c r="C1889" t="s">
        <v>202</v>
      </c>
      <c r="D1889" t="s">
        <v>358</v>
      </c>
      <c r="E1889" t="s">
        <v>217</v>
      </c>
      <c r="F1889">
        <v>0</v>
      </c>
      <c r="G1889">
        <v>0</v>
      </c>
      <c r="H1889">
        <f>IF(report_B_CategorieBoekjaar[[#This Row],[BedrijfsCode]]="002",IF(report_B_CategorieBoekjaar[[#This Row],[Boekjaar]]=Projectbegroting!$K$1,report_B_CategorieBoekjaar[[#This Row],[CategorieCode]],0),0)</f>
        <v>0</v>
      </c>
      <c r="I1889">
        <f>IF(report_B_CategorieBoekjaar[[#This Row],[BedrijfsCode]]="001",IF(report_B_CategorieBoekjaar[[#This Row],[Boekjaar]]=Projectbegroting!$K$1,report_B_CategorieBoekjaar[[#This Row],[CategorieCode]],0),0)</f>
        <v>0</v>
      </c>
    </row>
    <row r="1890" spans="1:9" x14ac:dyDescent="0.3">
      <c r="A1890" t="s">
        <v>330</v>
      </c>
      <c r="B1890" s="20">
        <v>43466</v>
      </c>
      <c r="C1890" t="s">
        <v>203</v>
      </c>
      <c r="D1890" t="s">
        <v>359</v>
      </c>
      <c r="E1890" t="s">
        <v>217</v>
      </c>
      <c r="F1890">
        <v>0</v>
      </c>
      <c r="G1890">
        <v>0</v>
      </c>
      <c r="H1890">
        <f>IF(report_B_CategorieBoekjaar[[#This Row],[BedrijfsCode]]="002",IF(report_B_CategorieBoekjaar[[#This Row],[Boekjaar]]=Projectbegroting!$K$1,report_B_CategorieBoekjaar[[#This Row],[CategorieCode]],0),0)</f>
        <v>0</v>
      </c>
      <c r="I1890">
        <f>IF(report_B_CategorieBoekjaar[[#This Row],[BedrijfsCode]]="001",IF(report_B_CategorieBoekjaar[[#This Row],[Boekjaar]]=Projectbegroting!$K$1,report_B_CategorieBoekjaar[[#This Row],[CategorieCode]],0),0)</f>
        <v>0</v>
      </c>
    </row>
    <row r="1891" spans="1:9" x14ac:dyDescent="0.3">
      <c r="A1891" t="s">
        <v>330</v>
      </c>
      <c r="B1891" s="20">
        <v>43466</v>
      </c>
      <c r="C1891" t="s">
        <v>204</v>
      </c>
      <c r="D1891" t="s">
        <v>360</v>
      </c>
      <c r="E1891" t="s">
        <v>217</v>
      </c>
      <c r="F1891">
        <v>0</v>
      </c>
      <c r="G1891">
        <v>0</v>
      </c>
      <c r="H1891">
        <f>IF(report_B_CategorieBoekjaar[[#This Row],[BedrijfsCode]]="002",IF(report_B_CategorieBoekjaar[[#This Row],[Boekjaar]]=Projectbegroting!$K$1,report_B_CategorieBoekjaar[[#This Row],[CategorieCode]],0),0)</f>
        <v>0</v>
      </c>
      <c r="I1891">
        <f>IF(report_B_CategorieBoekjaar[[#This Row],[BedrijfsCode]]="001",IF(report_B_CategorieBoekjaar[[#This Row],[Boekjaar]]=Projectbegroting!$K$1,report_B_CategorieBoekjaar[[#This Row],[CategorieCode]],0),0)</f>
        <v>0</v>
      </c>
    </row>
    <row r="1892" spans="1:9" x14ac:dyDescent="0.3">
      <c r="A1892" t="s">
        <v>330</v>
      </c>
      <c r="B1892" s="20">
        <v>43466</v>
      </c>
      <c r="C1892" t="s">
        <v>205</v>
      </c>
      <c r="D1892" t="s">
        <v>361</v>
      </c>
      <c r="E1892" t="s">
        <v>217</v>
      </c>
      <c r="F1892">
        <v>0</v>
      </c>
      <c r="G1892">
        <v>0</v>
      </c>
      <c r="H1892">
        <f>IF(report_B_CategorieBoekjaar[[#This Row],[BedrijfsCode]]="002",IF(report_B_CategorieBoekjaar[[#This Row],[Boekjaar]]=Projectbegroting!$K$1,report_B_CategorieBoekjaar[[#This Row],[CategorieCode]],0),0)</f>
        <v>0</v>
      </c>
      <c r="I1892">
        <f>IF(report_B_CategorieBoekjaar[[#This Row],[BedrijfsCode]]="001",IF(report_B_CategorieBoekjaar[[#This Row],[Boekjaar]]=Projectbegroting!$K$1,report_B_CategorieBoekjaar[[#This Row],[CategorieCode]],0),0)</f>
        <v>0</v>
      </c>
    </row>
    <row r="1893" spans="1:9" x14ac:dyDescent="0.3">
      <c r="A1893" t="s">
        <v>330</v>
      </c>
      <c r="B1893" s="20">
        <v>43466</v>
      </c>
      <c r="C1893" t="s">
        <v>206</v>
      </c>
      <c r="D1893" t="s">
        <v>362</v>
      </c>
      <c r="E1893" t="s">
        <v>217</v>
      </c>
      <c r="F1893">
        <v>0</v>
      </c>
      <c r="G1893">
        <v>0</v>
      </c>
      <c r="H1893">
        <f>IF(report_B_CategorieBoekjaar[[#This Row],[BedrijfsCode]]="002",IF(report_B_CategorieBoekjaar[[#This Row],[Boekjaar]]=Projectbegroting!$K$1,report_B_CategorieBoekjaar[[#This Row],[CategorieCode]],0),0)</f>
        <v>0</v>
      </c>
      <c r="I1893">
        <f>IF(report_B_CategorieBoekjaar[[#This Row],[BedrijfsCode]]="001",IF(report_B_CategorieBoekjaar[[#This Row],[Boekjaar]]=Projectbegroting!$K$1,report_B_CategorieBoekjaar[[#This Row],[CategorieCode]],0),0)</f>
        <v>0</v>
      </c>
    </row>
    <row r="1894" spans="1:9" x14ac:dyDescent="0.3">
      <c r="A1894" t="s">
        <v>330</v>
      </c>
      <c r="B1894" s="20">
        <v>43466</v>
      </c>
      <c r="C1894" t="s">
        <v>363</v>
      </c>
      <c r="D1894" t="s">
        <v>364</v>
      </c>
      <c r="E1894" t="s">
        <v>217</v>
      </c>
      <c r="F1894">
        <v>0</v>
      </c>
      <c r="G1894">
        <v>0</v>
      </c>
      <c r="H1894">
        <f>IF(report_B_CategorieBoekjaar[[#This Row],[BedrijfsCode]]="002",IF(report_B_CategorieBoekjaar[[#This Row],[Boekjaar]]=Projectbegroting!$K$1,report_B_CategorieBoekjaar[[#This Row],[CategorieCode]],0),0)</f>
        <v>0</v>
      </c>
      <c r="I1894">
        <f>IF(report_B_CategorieBoekjaar[[#This Row],[BedrijfsCode]]="001",IF(report_B_CategorieBoekjaar[[#This Row],[Boekjaar]]=Projectbegroting!$K$1,report_B_CategorieBoekjaar[[#This Row],[CategorieCode]],0),0)</f>
        <v>0</v>
      </c>
    </row>
    <row r="1895" spans="1:9" x14ac:dyDescent="0.3">
      <c r="A1895" t="s">
        <v>330</v>
      </c>
      <c r="B1895" s="20">
        <v>43466</v>
      </c>
      <c r="C1895" t="s">
        <v>207</v>
      </c>
      <c r="D1895" t="s">
        <v>365</v>
      </c>
      <c r="E1895" t="s">
        <v>217</v>
      </c>
      <c r="F1895">
        <v>0</v>
      </c>
      <c r="G1895">
        <v>0</v>
      </c>
      <c r="H1895">
        <f>IF(report_B_CategorieBoekjaar[[#This Row],[BedrijfsCode]]="002",IF(report_B_CategorieBoekjaar[[#This Row],[Boekjaar]]=Projectbegroting!$K$1,report_B_CategorieBoekjaar[[#This Row],[CategorieCode]],0),0)</f>
        <v>0</v>
      </c>
      <c r="I1895">
        <f>IF(report_B_CategorieBoekjaar[[#This Row],[BedrijfsCode]]="001",IF(report_B_CategorieBoekjaar[[#This Row],[Boekjaar]]=Projectbegroting!$K$1,report_B_CategorieBoekjaar[[#This Row],[CategorieCode]],0),0)</f>
        <v>0</v>
      </c>
    </row>
    <row r="1896" spans="1:9" x14ac:dyDescent="0.3">
      <c r="A1896" t="s">
        <v>330</v>
      </c>
      <c r="B1896" s="20">
        <v>43466</v>
      </c>
      <c r="C1896" t="s">
        <v>208</v>
      </c>
      <c r="D1896" t="s">
        <v>366</v>
      </c>
      <c r="E1896" t="s">
        <v>217</v>
      </c>
      <c r="F1896">
        <v>0</v>
      </c>
      <c r="G1896">
        <v>0</v>
      </c>
      <c r="H1896">
        <f>IF(report_B_CategorieBoekjaar[[#This Row],[BedrijfsCode]]="002",IF(report_B_CategorieBoekjaar[[#This Row],[Boekjaar]]=Projectbegroting!$K$1,report_B_CategorieBoekjaar[[#This Row],[CategorieCode]],0),0)</f>
        <v>0</v>
      </c>
      <c r="I1896">
        <f>IF(report_B_CategorieBoekjaar[[#This Row],[BedrijfsCode]]="001",IF(report_B_CategorieBoekjaar[[#This Row],[Boekjaar]]=Projectbegroting!$K$1,report_B_CategorieBoekjaar[[#This Row],[CategorieCode]],0),0)</f>
        <v>0</v>
      </c>
    </row>
    <row r="1897" spans="1:9" x14ac:dyDescent="0.3">
      <c r="A1897" t="s">
        <v>330</v>
      </c>
      <c r="B1897" s="20">
        <v>43466</v>
      </c>
      <c r="C1897" t="s">
        <v>209</v>
      </c>
      <c r="D1897" t="s">
        <v>367</v>
      </c>
      <c r="E1897" t="s">
        <v>217</v>
      </c>
      <c r="F1897">
        <v>0</v>
      </c>
      <c r="G1897">
        <v>0</v>
      </c>
      <c r="H1897">
        <f>IF(report_B_CategorieBoekjaar[[#This Row],[BedrijfsCode]]="002",IF(report_B_CategorieBoekjaar[[#This Row],[Boekjaar]]=Projectbegroting!$K$1,report_B_CategorieBoekjaar[[#This Row],[CategorieCode]],0),0)</f>
        <v>0</v>
      </c>
      <c r="I1897">
        <f>IF(report_B_CategorieBoekjaar[[#This Row],[BedrijfsCode]]="001",IF(report_B_CategorieBoekjaar[[#This Row],[Boekjaar]]=Projectbegroting!$K$1,report_B_CategorieBoekjaar[[#This Row],[CategorieCode]],0),0)</f>
        <v>0</v>
      </c>
    </row>
    <row r="1898" spans="1:9" x14ac:dyDescent="0.3">
      <c r="A1898" t="s">
        <v>330</v>
      </c>
      <c r="B1898" s="20">
        <v>43466</v>
      </c>
      <c r="C1898" t="s">
        <v>210</v>
      </c>
      <c r="D1898" t="s">
        <v>368</v>
      </c>
      <c r="E1898" t="s">
        <v>217</v>
      </c>
      <c r="F1898">
        <v>0</v>
      </c>
      <c r="G1898">
        <v>0</v>
      </c>
      <c r="H1898">
        <f>IF(report_B_CategorieBoekjaar[[#This Row],[BedrijfsCode]]="002",IF(report_B_CategorieBoekjaar[[#This Row],[Boekjaar]]=Projectbegroting!$K$1,report_B_CategorieBoekjaar[[#This Row],[CategorieCode]],0),0)</f>
        <v>0</v>
      </c>
      <c r="I1898">
        <f>IF(report_B_CategorieBoekjaar[[#This Row],[BedrijfsCode]]="001",IF(report_B_CategorieBoekjaar[[#This Row],[Boekjaar]]=Projectbegroting!$K$1,report_B_CategorieBoekjaar[[#This Row],[CategorieCode]],0),0)</f>
        <v>0</v>
      </c>
    </row>
    <row r="1899" spans="1:9" x14ac:dyDescent="0.3">
      <c r="A1899" t="s">
        <v>330</v>
      </c>
      <c r="B1899" s="20">
        <v>43466</v>
      </c>
      <c r="C1899" t="s">
        <v>369</v>
      </c>
      <c r="D1899" t="s">
        <v>370</v>
      </c>
      <c r="E1899" t="s">
        <v>217</v>
      </c>
      <c r="F1899">
        <v>0</v>
      </c>
      <c r="G1899">
        <v>0</v>
      </c>
      <c r="H1899">
        <f>IF(report_B_CategorieBoekjaar[[#This Row],[BedrijfsCode]]="002",IF(report_B_CategorieBoekjaar[[#This Row],[Boekjaar]]=Projectbegroting!$K$1,report_B_CategorieBoekjaar[[#This Row],[CategorieCode]],0),0)</f>
        <v>0</v>
      </c>
      <c r="I1899">
        <f>IF(report_B_CategorieBoekjaar[[#This Row],[BedrijfsCode]]="001",IF(report_B_CategorieBoekjaar[[#This Row],[Boekjaar]]=Projectbegroting!$K$1,report_B_CategorieBoekjaar[[#This Row],[CategorieCode]],0),0)</f>
        <v>0</v>
      </c>
    </row>
    <row r="1900" spans="1:9" x14ac:dyDescent="0.3">
      <c r="A1900" t="s">
        <v>330</v>
      </c>
      <c r="B1900" s="20">
        <v>43466</v>
      </c>
      <c r="C1900" t="s">
        <v>371</v>
      </c>
      <c r="D1900" t="s">
        <v>372</v>
      </c>
      <c r="E1900" t="s">
        <v>217</v>
      </c>
      <c r="F1900">
        <v>0</v>
      </c>
      <c r="G1900">
        <v>0</v>
      </c>
      <c r="H1900">
        <f>IF(report_B_CategorieBoekjaar[[#This Row],[BedrijfsCode]]="002",IF(report_B_CategorieBoekjaar[[#This Row],[Boekjaar]]=Projectbegroting!$K$1,report_B_CategorieBoekjaar[[#This Row],[CategorieCode]],0),0)</f>
        <v>0</v>
      </c>
      <c r="I1900">
        <f>IF(report_B_CategorieBoekjaar[[#This Row],[BedrijfsCode]]="001",IF(report_B_CategorieBoekjaar[[#This Row],[Boekjaar]]=Projectbegroting!$K$1,report_B_CategorieBoekjaar[[#This Row],[CategorieCode]],0),0)</f>
        <v>0</v>
      </c>
    </row>
    <row r="1901" spans="1:9" x14ac:dyDescent="0.3">
      <c r="A1901" t="s">
        <v>330</v>
      </c>
      <c r="B1901" s="20">
        <v>43466</v>
      </c>
      <c r="C1901" t="s">
        <v>373</v>
      </c>
      <c r="D1901" t="s">
        <v>374</v>
      </c>
      <c r="E1901" t="s">
        <v>217</v>
      </c>
      <c r="F1901">
        <v>0</v>
      </c>
      <c r="G1901">
        <v>0</v>
      </c>
      <c r="H1901">
        <f>IF(report_B_CategorieBoekjaar[[#This Row],[BedrijfsCode]]="002",IF(report_B_CategorieBoekjaar[[#This Row],[Boekjaar]]=Projectbegroting!$K$1,report_B_CategorieBoekjaar[[#This Row],[CategorieCode]],0),0)</f>
        <v>0</v>
      </c>
      <c r="I1901">
        <f>IF(report_B_CategorieBoekjaar[[#This Row],[BedrijfsCode]]="001",IF(report_B_CategorieBoekjaar[[#This Row],[Boekjaar]]=Projectbegroting!$K$1,report_B_CategorieBoekjaar[[#This Row],[CategorieCode]],0),0)</f>
        <v>0</v>
      </c>
    </row>
    <row r="1902" spans="1:9" x14ac:dyDescent="0.3">
      <c r="A1902" t="s">
        <v>330</v>
      </c>
      <c r="B1902" s="20">
        <v>43466</v>
      </c>
      <c r="C1902" t="s">
        <v>375</v>
      </c>
      <c r="D1902" t="s">
        <v>376</v>
      </c>
      <c r="E1902" t="s">
        <v>217</v>
      </c>
      <c r="F1902">
        <v>0</v>
      </c>
      <c r="G1902">
        <v>0</v>
      </c>
      <c r="H1902">
        <f>IF(report_B_CategorieBoekjaar[[#This Row],[BedrijfsCode]]="002",IF(report_B_CategorieBoekjaar[[#This Row],[Boekjaar]]=Projectbegroting!$K$1,report_B_CategorieBoekjaar[[#This Row],[CategorieCode]],0),0)</f>
        <v>0</v>
      </c>
      <c r="I1902">
        <f>IF(report_B_CategorieBoekjaar[[#This Row],[BedrijfsCode]]="001",IF(report_B_CategorieBoekjaar[[#This Row],[Boekjaar]]=Projectbegroting!$K$1,report_B_CategorieBoekjaar[[#This Row],[CategorieCode]],0),0)</f>
        <v>0</v>
      </c>
    </row>
    <row r="1903" spans="1:9" x14ac:dyDescent="0.3">
      <c r="A1903" t="s">
        <v>330</v>
      </c>
      <c r="B1903" s="20">
        <v>43466</v>
      </c>
      <c r="C1903" t="s">
        <v>377</v>
      </c>
      <c r="D1903" t="s">
        <v>378</v>
      </c>
      <c r="E1903" t="s">
        <v>217</v>
      </c>
      <c r="F1903">
        <v>0</v>
      </c>
      <c r="G1903">
        <v>0</v>
      </c>
      <c r="H1903">
        <f>IF(report_B_CategorieBoekjaar[[#This Row],[BedrijfsCode]]="002",IF(report_B_CategorieBoekjaar[[#This Row],[Boekjaar]]=Projectbegroting!$K$1,report_B_CategorieBoekjaar[[#This Row],[CategorieCode]],0),0)</f>
        <v>0</v>
      </c>
      <c r="I1903">
        <f>IF(report_B_CategorieBoekjaar[[#This Row],[BedrijfsCode]]="001",IF(report_B_CategorieBoekjaar[[#This Row],[Boekjaar]]=Projectbegroting!$K$1,report_B_CategorieBoekjaar[[#This Row],[CategorieCode]],0),0)</f>
        <v>0</v>
      </c>
    </row>
    <row r="1904" spans="1:9" x14ac:dyDescent="0.3">
      <c r="A1904" t="s">
        <v>330</v>
      </c>
      <c r="B1904" s="20">
        <v>43466</v>
      </c>
      <c r="C1904" t="s">
        <v>379</v>
      </c>
      <c r="D1904" t="s">
        <v>380</v>
      </c>
      <c r="E1904" t="s">
        <v>381</v>
      </c>
      <c r="F1904">
        <v>39</v>
      </c>
      <c r="G1904">
        <v>70</v>
      </c>
      <c r="H1904">
        <f>IF(report_B_CategorieBoekjaar[[#This Row],[BedrijfsCode]]="002",IF(report_B_CategorieBoekjaar[[#This Row],[Boekjaar]]=Projectbegroting!$K$1,report_B_CategorieBoekjaar[[#This Row],[CategorieCode]],0),0)</f>
        <v>0</v>
      </c>
      <c r="I1904">
        <f>IF(report_B_CategorieBoekjaar[[#This Row],[BedrijfsCode]]="001",IF(report_B_CategorieBoekjaar[[#This Row],[Boekjaar]]=Projectbegroting!$K$1,report_B_CategorieBoekjaar[[#This Row],[CategorieCode]],0),0)</f>
        <v>0</v>
      </c>
    </row>
    <row r="1905" spans="1:9" x14ac:dyDescent="0.3">
      <c r="A1905" t="s">
        <v>330</v>
      </c>
      <c r="B1905" s="20">
        <v>43466</v>
      </c>
      <c r="C1905" t="s">
        <v>382</v>
      </c>
      <c r="D1905" t="s">
        <v>383</v>
      </c>
      <c r="E1905" t="s">
        <v>384</v>
      </c>
      <c r="F1905">
        <v>0</v>
      </c>
      <c r="G1905">
        <v>0</v>
      </c>
      <c r="H1905">
        <f>IF(report_B_CategorieBoekjaar[[#This Row],[BedrijfsCode]]="002",IF(report_B_CategorieBoekjaar[[#This Row],[Boekjaar]]=Projectbegroting!$K$1,report_B_CategorieBoekjaar[[#This Row],[CategorieCode]],0),0)</f>
        <v>0</v>
      </c>
      <c r="I1905">
        <f>IF(report_B_CategorieBoekjaar[[#This Row],[BedrijfsCode]]="001",IF(report_B_CategorieBoekjaar[[#This Row],[Boekjaar]]=Projectbegroting!$K$1,report_B_CategorieBoekjaar[[#This Row],[CategorieCode]],0),0)</f>
        <v>0</v>
      </c>
    </row>
    <row r="1906" spans="1:9" x14ac:dyDescent="0.3">
      <c r="A1906" t="s">
        <v>330</v>
      </c>
      <c r="B1906" s="20">
        <v>43466</v>
      </c>
      <c r="C1906" t="s">
        <v>385</v>
      </c>
      <c r="D1906" t="s">
        <v>386</v>
      </c>
      <c r="E1906" t="s">
        <v>381</v>
      </c>
      <c r="F1906">
        <v>64</v>
      </c>
      <c r="G1906">
        <v>92</v>
      </c>
      <c r="H1906">
        <f>IF(report_B_CategorieBoekjaar[[#This Row],[BedrijfsCode]]="002",IF(report_B_CategorieBoekjaar[[#This Row],[Boekjaar]]=Projectbegroting!$K$1,report_B_CategorieBoekjaar[[#This Row],[CategorieCode]],0),0)</f>
        <v>0</v>
      </c>
      <c r="I1906">
        <f>IF(report_B_CategorieBoekjaar[[#This Row],[BedrijfsCode]]="001",IF(report_B_CategorieBoekjaar[[#This Row],[Boekjaar]]=Projectbegroting!$K$1,report_B_CategorieBoekjaar[[#This Row],[CategorieCode]],0),0)</f>
        <v>0</v>
      </c>
    </row>
    <row r="1907" spans="1:9" x14ac:dyDescent="0.3">
      <c r="A1907" t="s">
        <v>330</v>
      </c>
      <c r="B1907" s="20">
        <v>43466</v>
      </c>
      <c r="C1907" t="s">
        <v>387</v>
      </c>
      <c r="D1907" t="s">
        <v>388</v>
      </c>
      <c r="E1907" t="s">
        <v>384</v>
      </c>
      <c r="F1907">
        <v>0</v>
      </c>
      <c r="G1907">
        <v>0</v>
      </c>
      <c r="H1907">
        <f>IF(report_B_CategorieBoekjaar[[#This Row],[BedrijfsCode]]="002",IF(report_B_CategorieBoekjaar[[#This Row],[Boekjaar]]=Projectbegroting!$K$1,report_B_CategorieBoekjaar[[#This Row],[CategorieCode]],0),0)</f>
        <v>0</v>
      </c>
      <c r="I1907">
        <f>IF(report_B_CategorieBoekjaar[[#This Row],[BedrijfsCode]]="001",IF(report_B_CategorieBoekjaar[[#This Row],[Boekjaar]]=Projectbegroting!$K$1,report_B_CategorieBoekjaar[[#This Row],[CategorieCode]],0),0)</f>
        <v>0</v>
      </c>
    </row>
    <row r="1908" spans="1:9" x14ac:dyDescent="0.3">
      <c r="A1908" t="s">
        <v>330</v>
      </c>
      <c r="B1908" s="20">
        <v>43466</v>
      </c>
      <c r="C1908" t="s">
        <v>52</v>
      </c>
      <c r="D1908" t="s">
        <v>53</v>
      </c>
      <c r="E1908" t="s">
        <v>381</v>
      </c>
      <c r="F1908">
        <v>65</v>
      </c>
      <c r="G1908">
        <v>0</v>
      </c>
      <c r="H1908">
        <f>IF(report_B_CategorieBoekjaar[[#This Row],[BedrijfsCode]]="002",IF(report_B_CategorieBoekjaar[[#This Row],[Boekjaar]]=Projectbegroting!$K$1,report_B_CategorieBoekjaar[[#This Row],[CategorieCode]],0),0)</f>
        <v>0</v>
      </c>
      <c r="I1908">
        <f>IF(report_B_CategorieBoekjaar[[#This Row],[BedrijfsCode]]="001",IF(report_B_CategorieBoekjaar[[#This Row],[Boekjaar]]=Projectbegroting!$K$1,report_B_CategorieBoekjaar[[#This Row],[CategorieCode]],0),0)</f>
        <v>0</v>
      </c>
    </row>
    <row r="1909" spans="1:9" x14ac:dyDescent="0.3">
      <c r="A1909" t="s">
        <v>330</v>
      </c>
      <c r="B1909" s="20">
        <v>43466</v>
      </c>
      <c r="C1909" t="s">
        <v>389</v>
      </c>
      <c r="D1909" t="s">
        <v>390</v>
      </c>
      <c r="E1909" t="s">
        <v>384</v>
      </c>
      <c r="F1909">
        <v>0</v>
      </c>
      <c r="G1909">
        <v>0</v>
      </c>
      <c r="H1909">
        <f>IF(report_B_CategorieBoekjaar[[#This Row],[BedrijfsCode]]="002",IF(report_B_CategorieBoekjaar[[#This Row],[Boekjaar]]=Projectbegroting!$K$1,report_B_CategorieBoekjaar[[#This Row],[CategorieCode]],0),0)</f>
        <v>0</v>
      </c>
      <c r="I1909">
        <f>IF(report_B_CategorieBoekjaar[[#This Row],[BedrijfsCode]]="001",IF(report_B_CategorieBoekjaar[[#This Row],[Boekjaar]]=Projectbegroting!$K$1,report_B_CategorieBoekjaar[[#This Row],[CategorieCode]],0),0)</f>
        <v>0</v>
      </c>
    </row>
    <row r="1910" spans="1:9" x14ac:dyDescent="0.3">
      <c r="A1910" t="s">
        <v>330</v>
      </c>
      <c r="B1910" s="20">
        <v>43466</v>
      </c>
      <c r="C1910" t="s">
        <v>391</v>
      </c>
      <c r="D1910" t="s">
        <v>392</v>
      </c>
      <c r="E1910" t="s">
        <v>381</v>
      </c>
      <c r="F1910">
        <v>53</v>
      </c>
      <c r="G1910">
        <v>0</v>
      </c>
      <c r="H1910">
        <f>IF(report_B_CategorieBoekjaar[[#This Row],[BedrijfsCode]]="002",IF(report_B_CategorieBoekjaar[[#This Row],[Boekjaar]]=Projectbegroting!$K$1,report_B_CategorieBoekjaar[[#This Row],[CategorieCode]],0),0)</f>
        <v>0</v>
      </c>
      <c r="I1910">
        <f>IF(report_B_CategorieBoekjaar[[#This Row],[BedrijfsCode]]="001",IF(report_B_CategorieBoekjaar[[#This Row],[Boekjaar]]=Projectbegroting!$K$1,report_B_CategorieBoekjaar[[#This Row],[CategorieCode]],0),0)</f>
        <v>0</v>
      </c>
    </row>
    <row r="1911" spans="1:9" x14ac:dyDescent="0.3">
      <c r="A1911" t="s">
        <v>330</v>
      </c>
      <c r="B1911" s="20">
        <v>43466</v>
      </c>
      <c r="C1911" t="s">
        <v>393</v>
      </c>
      <c r="D1911" t="s">
        <v>394</v>
      </c>
      <c r="E1911" t="s">
        <v>384</v>
      </c>
      <c r="F1911">
        <v>0</v>
      </c>
      <c r="G1911">
        <v>0</v>
      </c>
      <c r="H1911">
        <f>IF(report_B_CategorieBoekjaar[[#This Row],[BedrijfsCode]]="002",IF(report_B_CategorieBoekjaar[[#This Row],[Boekjaar]]=Projectbegroting!$K$1,report_B_CategorieBoekjaar[[#This Row],[CategorieCode]],0),0)</f>
        <v>0</v>
      </c>
      <c r="I1911">
        <f>IF(report_B_CategorieBoekjaar[[#This Row],[BedrijfsCode]]="001",IF(report_B_CategorieBoekjaar[[#This Row],[Boekjaar]]=Projectbegroting!$K$1,report_B_CategorieBoekjaar[[#This Row],[CategorieCode]],0),0)</f>
        <v>0</v>
      </c>
    </row>
    <row r="1912" spans="1:9" x14ac:dyDescent="0.3">
      <c r="A1912" t="s">
        <v>330</v>
      </c>
      <c r="B1912" s="20">
        <v>43466</v>
      </c>
      <c r="C1912" t="s">
        <v>395</v>
      </c>
      <c r="D1912" t="s">
        <v>396</v>
      </c>
      <c r="E1912" t="s">
        <v>381</v>
      </c>
      <c r="F1912">
        <v>54</v>
      </c>
      <c r="G1912">
        <v>0</v>
      </c>
      <c r="H1912">
        <f>IF(report_B_CategorieBoekjaar[[#This Row],[BedrijfsCode]]="002",IF(report_B_CategorieBoekjaar[[#This Row],[Boekjaar]]=Projectbegroting!$K$1,report_B_CategorieBoekjaar[[#This Row],[CategorieCode]],0),0)</f>
        <v>0</v>
      </c>
      <c r="I1912">
        <f>IF(report_B_CategorieBoekjaar[[#This Row],[BedrijfsCode]]="001",IF(report_B_CategorieBoekjaar[[#This Row],[Boekjaar]]=Projectbegroting!$K$1,report_B_CategorieBoekjaar[[#This Row],[CategorieCode]],0),0)</f>
        <v>0</v>
      </c>
    </row>
    <row r="1913" spans="1:9" x14ac:dyDescent="0.3">
      <c r="A1913" t="s">
        <v>330</v>
      </c>
      <c r="B1913" s="20">
        <v>43466</v>
      </c>
      <c r="C1913" t="s">
        <v>397</v>
      </c>
      <c r="D1913" t="s">
        <v>398</v>
      </c>
      <c r="E1913" t="s">
        <v>384</v>
      </c>
      <c r="F1913">
        <v>0</v>
      </c>
      <c r="G1913">
        <v>0</v>
      </c>
      <c r="H1913">
        <f>IF(report_B_CategorieBoekjaar[[#This Row],[BedrijfsCode]]="002",IF(report_B_CategorieBoekjaar[[#This Row],[Boekjaar]]=Projectbegroting!$K$1,report_B_CategorieBoekjaar[[#This Row],[CategorieCode]],0),0)</f>
        <v>0</v>
      </c>
      <c r="I1913">
        <f>IF(report_B_CategorieBoekjaar[[#This Row],[BedrijfsCode]]="001",IF(report_B_CategorieBoekjaar[[#This Row],[Boekjaar]]=Projectbegroting!$K$1,report_B_CategorieBoekjaar[[#This Row],[CategorieCode]],0),0)</f>
        <v>0</v>
      </c>
    </row>
    <row r="1914" spans="1:9" x14ac:dyDescent="0.3">
      <c r="A1914" t="s">
        <v>330</v>
      </c>
      <c r="B1914" s="20">
        <v>43466</v>
      </c>
      <c r="C1914" t="s">
        <v>54</v>
      </c>
      <c r="D1914" t="s">
        <v>399</v>
      </c>
      <c r="E1914" t="s">
        <v>381</v>
      </c>
      <c r="F1914">
        <v>49</v>
      </c>
      <c r="G1914">
        <v>79</v>
      </c>
      <c r="H1914">
        <f>IF(report_B_CategorieBoekjaar[[#This Row],[BedrijfsCode]]="002",IF(report_B_CategorieBoekjaar[[#This Row],[Boekjaar]]=Projectbegroting!$K$1,report_B_CategorieBoekjaar[[#This Row],[CategorieCode]],0),0)</f>
        <v>0</v>
      </c>
      <c r="I1914">
        <f>IF(report_B_CategorieBoekjaar[[#This Row],[BedrijfsCode]]="001",IF(report_B_CategorieBoekjaar[[#This Row],[Boekjaar]]=Projectbegroting!$K$1,report_B_CategorieBoekjaar[[#This Row],[CategorieCode]],0),0)</f>
        <v>0</v>
      </c>
    </row>
    <row r="1915" spans="1:9" x14ac:dyDescent="0.3">
      <c r="A1915" t="s">
        <v>330</v>
      </c>
      <c r="B1915" s="20">
        <v>43466</v>
      </c>
      <c r="C1915" t="s">
        <v>400</v>
      </c>
      <c r="D1915" t="s">
        <v>401</v>
      </c>
      <c r="E1915" t="s">
        <v>384</v>
      </c>
      <c r="F1915">
        <v>0</v>
      </c>
      <c r="G1915">
        <v>0</v>
      </c>
      <c r="H1915">
        <f>IF(report_B_CategorieBoekjaar[[#This Row],[BedrijfsCode]]="002",IF(report_B_CategorieBoekjaar[[#This Row],[Boekjaar]]=Projectbegroting!$K$1,report_B_CategorieBoekjaar[[#This Row],[CategorieCode]],0),0)</f>
        <v>0</v>
      </c>
      <c r="I1915">
        <f>IF(report_B_CategorieBoekjaar[[#This Row],[BedrijfsCode]]="001",IF(report_B_CategorieBoekjaar[[#This Row],[Boekjaar]]=Projectbegroting!$K$1,report_B_CategorieBoekjaar[[#This Row],[CategorieCode]],0),0)</f>
        <v>0</v>
      </c>
    </row>
    <row r="1916" spans="1:9" x14ac:dyDescent="0.3">
      <c r="A1916" t="s">
        <v>330</v>
      </c>
      <c r="B1916" s="20">
        <v>43466</v>
      </c>
      <c r="C1916" t="s">
        <v>56</v>
      </c>
      <c r="D1916" t="s">
        <v>402</v>
      </c>
      <c r="E1916" t="s">
        <v>381</v>
      </c>
      <c r="F1916">
        <v>66</v>
      </c>
      <c r="G1916">
        <v>0</v>
      </c>
      <c r="H1916">
        <f>IF(report_B_CategorieBoekjaar[[#This Row],[BedrijfsCode]]="002",IF(report_B_CategorieBoekjaar[[#This Row],[Boekjaar]]=Projectbegroting!$K$1,report_B_CategorieBoekjaar[[#This Row],[CategorieCode]],0),0)</f>
        <v>0</v>
      </c>
      <c r="I1916">
        <f>IF(report_B_CategorieBoekjaar[[#This Row],[BedrijfsCode]]="001",IF(report_B_CategorieBoekjaar[[#This Row],[Boekjaar]]=Projectbegroting!$K$1,report_B_CategorieBoekjaar[[#This Row],[CategorieCode]],0),0)</f>
        <v>0</v>
      </c>
    </row>
    <row r="1917" spans="1:9" x14ac:dyDescent="0.3">
      <c r="A1917" t="s">
        <v>330</v>
      </c>
      <c r="B1917" s="20">
        <v>43466</v>
      </c>
      <c r="C1917" t="s">
        <v>403</v>
      </c>
      <c r="D1917" t="s">
        <v>404</v>
      </c>
      <c r="E1917" t="s">
        <v>384</v>
      </c>
      <c r="F1917">
        <v>0</v>
      </c>
      <c r="G1917">
        <v>0</v>
      </c>
      <c r="H1917">
        <f>IF(report_B_CategorieBoekjaar[[#This Row],[BedrijfsCode]]="002",IF(report_B_CategorieBoekjaar[[#This Row],[Boekjaar]]=Projectbegroting!$K$1,report_B_CategorieBoekjaar[[#This Row],[CategorieCode]],0),0)</f>
        <v>0</v>
      </c>
      <c r="I1917">
        <f>IF(report_B_CategorieBoekjaar[[#This Row],[BedrijfsCode]]="001",IF(report_B_CategorieBoekjaar[[#This Row],[Boekjaar]]=Projectbegroting!$K$1,report_B_CategorieBoekjaar[[#This Row],[CategorieCode]],0),0)</f>
        <v>0</v>
      </c>
    </row>
    <row r="1918" spans="1:9" x14ac:dyDescent="0.3">
      <c r="A1918" t="s">
        <v>330</v>
      </c>
      <c r="B1918" s="20">
        <v>43466</v>
      </c>
      <c r="C1918" t="s">
        <v>405</v>
      </c>
      <c r="D1918" t="s">
        <v>16</v>
      </c>
      <c r="E1918" t="s">
        <v>381</v>
      </c>
      <c r="F1918">
        <v>52</v>
      </c>
      <c r="G1918">
        <v>0</v>
      </c>
      <c r="H1918">
        <f>IF(report_B_CategorieBoekjaar[[#This Row],[BedrijfsCode]]="002",IF(report_B_CategorieBoekjaar[[#This Row],[Boekjaar]]=Projectbegroting!$K$1,report_B_CategorieBoekjaar[[#This Row],[CategorieCode]],0),0)</f>
        <v>0</v>
      </c>
      <c r="I1918">
        <f>IF(report_B_CategorieBoekjaar[[#This Row],[BedrijfsCode]]="001",IF(report_B_CategorieBoekjaar[[#This Row],[Boekjaar]]=Projectbegroting!$K$1,report_B_CategorieBoekjaar[[#This Row],[CategorieCode]],0),0)</f>
        <v>0</v>
      </c>
    </row>
    <row r="1919" spans="1:9" x14ac:dyDescent="0.3">
      <c r="A1919" t="s">
        <v>330</v>
      </c>
      <c r="B1919" s="20">
        <v>43466</v>
      </c>
      <c r="C1919" t="s">
        <v>58</v>
      </c>
      <c r="D1919" t="s">
        <v>406</v>
      </c>
      <c r="E1919" t="s">
        <v>381</v>
      </c>
      <c r="F1919">
        <v>49</v>
      </c>
      <c r="G1919">
        <v>0</v>
      </c>
      <c r="H1919">
        <f>IF(report_B_CategorieBoekjaar[[#This Row],[BedrijfsCode]]="002",IF(report_B_CategorieBoekjaar[[#This Row],[Boekjaar]]=Projectbegroting!$K$1,report_B_CategorieBoekjaar[[#This Row],[CategorieCode]],0),0)</f>
        <v>0</v>
      </c>
      <c r="I1919">
        <f>IF(report_B_CategorieBoekjaar[[#This Row],[BedrijfsCode]]="001",IF(report_B_CategorieBoekjaar[[#This Row],[Boekjaar]]=Projectbegroting!$K$1,report_B_CategorieBoekjaar[[#This Row],[CategorieCode]],0),0)</f>
        <v>0</v>
      </c>
    </row>
    <row r="1920" spans="1:9" x14ac:dyDescent="0.3">
      <c r="A1920" t="s">
        <v>330</v>
      </c>
      <c r="B1920" s="20">
        <v>43466</v>
      </c>
      <c r="C1920" t="s">
        <v>407</v>
      </c>
      <c r="D1920" t="s">
        <v>408</v>
      </c>
      <c r="E1920" t="s">
        <v>384</v>
      </c>
      <c r="F1920">
        <v>0</v>
      </c>
      <c r="G1920">
        <v>0</v>
      </c>
      <c r="H1920">
        <f>IF(report_B_CategorieBoekjaar[[#This Row],[BedrijfsCode]]="002",IF(report_B_CategorieBoekjaar[[#This Row],[Boekjaar]]=Projectbegroting!$K$1,report_B_CategorieBoekjaar[[#This Row],[CategorieCode]],0),0)</f>
        <v>0</v>
      </c>
      <c r="I1920">
        <f>IF(report_B_CategorieBoekjaar[[#This Row],[BedrijfsCode]]="001",IF(report_B_CategorieBoekjaar[[#This Row],[Boekjaar]]=Projectbegroting!$K$1,report_B_CategorieBoekjaar[[#This Row],[CategorieCode]],0),0)</f>
        <v>0</v>
      </c>
    </row>
    <row r="1921" spans="1:9" x14ac:dyDescent="0.3">
      <c r="A1921" t="s">
        <v>330</v>
      </c>
      <c r="B1921" s="20">
        <v>43466</v>
      </c>
      <c r="C1921" t="s">
        <v>60</v>
      </c>
      <c r="D1921" t="s">
        <v>61</v>
      </c>
      <c r="E1921" t="s">
        <v>381</v>
      </c>
      <c r="F1921">
        <v>63</v>
      </c>
      <c r="G1921">
        <v>91</v>
      </c>
      <c r="H1921">
        <f>IF(report_B_CategorieBoekjaar[[#This Row],[BedrijfsCode]]="002",IF(report_B_CategorieBoekjaar[[#This Row],[Boekjaar]]=Projectbegroting!$K$1,report_B_CategorieBoekjaar[[#This Row],[CategorieCode]],0),0)</f>
        <v>0</v>
      </c>
      <c r="I1921">
        <f>IF(report_B_CategorieBoekjaar[[#This Row],[BedrijfsCode]]="001",IF(report_B_CategorieBoekjaar[[#This Row],[Boekjaar]]=Projectbegroting!$K$1,report_B_CategorieBoekjaar[[#This Row],[CategorieCode]],0),0)</f>
        <v>0</v>
      </c>
    </row>
    <row r="1922" spans="1:9" x14ac:dyDescent="0.3">
      <c r="A1922" t="s">
        <v>330</v>
      </c>
      <c r="B1922" s="20">
        <v>43466</v>
      </c>
      <c r="C1922" t="s">
        <v>168</v>
      </c>
      <c r="D1922" t="s">
        <v>409</v>
      </c>
      <c r="E1922" t="s">
        <v>384</v>
      </c>
      <c r="F1922">
        <v>0</v>
      </c>
      <c r="G1922">
        <v>0</v>
      </c>
      <c r="H1922">
        <f>IF(report_B_CategorieBoekjaar[[#This Row],[BedrijfsCode]]="002",IF(report_B_CategorieBoekjaar[[#This Row],[Boekjaar]]=Projectbegroting!$K$1,report_B_CategorieBoekjaar[[#This Row],[CategorieCode]],0),0)</f>
        <v>0</v>
      </c>
      <c r="I1922">
        <f>IF(report_B_CategorieBoekjaar[[#This Row],[BedrijfsCode]]="001",IF(report_B_CategorieBoekjaar[[#This Row],[Boekjaar]]=Projectbegroting!$K$1,report_B_CategorieBoekjaar[[#This Row],[CategorieCode]],0),0)</f>
        <v>0</v>
      </c>
    </row>
    <row r="1923" spans="1:9" x14ac:dyDescent="0.3">
      <c r="A1923" t="s">
        <v>330</v>
      </c>
      <c r="B1923" s="20">
        <v>43466</v>
      </c>
      <c r="C1923" t="s">
        <v>410</v>
      </c>
      <c r="D1923" t="s">
        <v>411</v>
      </c>
      <c r="E1923" t="s">
        <v>381</v>
      </c>
      <c r="F1923">
        <v>34</v>
      </c>
      <c r="G1923">
        <v>0</v>
      </c>
      <c r="H1923">
        <f>IF(report_B_CategorieBoekjaar[[#This Row],[BedrijfsCode]]="002",IF(report_B_CategorieBoekjaar[[#This Row],[Boekjaar]]=Projectbegroting!$K$1,report_B_CategorieBoekjaar[[#This Row],[CategorieCode]],0),0)</f>
        <v>0</v>
      </c>
      <c r="I1923">
        <f>IF(report_B_CategorieBoekjaar[[#This Row],[BedrijfsCode]]="001",IF(report_B_CategorieBoekjaar[[#This Row],[Boekjaar]]=Projectbegroting!$K$1,report_B_CategorieBoekjaar[[#This Row],[CategorieCode]],0),0)</f>
        <v>0</v>
      </c>
    </row>
    <row r="1924" spans="1:9" x14ac:dyDescent="0.3">
      <c r="A1924" t="s">
        <v>330</v>
      </c>
      <c r="B1924" s="20">
        <v>43466</v>
      </c>
      <c r="C1924" t="s">
        <v>412</v>
      </c>
      <c r="D1924" t="s">
        <v>413</v>
      </c>
      <c r="E1924" t="s">
        <v>381</v>
      </c>
      <c r="F1924">
        <v>35</v>
      </c>
      <c r="G1924">
        <v>0</v>
      </c>
      <c r="H1924">
        <f>IF(report_B_CategorieBoekjaar[[#This Row],[BedrijfsCode]]="002",IF(report_B_CategorieBoekjaar[[#This Row],[Boekjaar]]=Projectbegroting!$K$1,report_B_CategorieBoekjaar[[#This Row],[CategorieCode]],0),0)</f>
        <v>0</v>
      </c>
      <c r="I1924">
        <f>IF(report_B_CategorieBoekjaar[[#This Row],[BedrijfsCode]]="001",IF(report_B_CategorieBoekjaar[[#This Row],[Boekjaar]]=Projectbegroting!$K$1,report_B_CategorieBoekjaar[[#This Row],[CategorieCode]],0),0)</f>
        <v>0</v>
      </c>
    </row>
    <row r="1925" spans="1:9" x14ac:dyDescent="0.3">
      <c r="A1925" t="s">
        <v>330</v>
      </c>
      <c r="B1925" s="20">
        <v>43466</v>
      </c>
      <c r="C1925" t="s">
        <v>414</v>
      </c>
      <c r="D1925" t="s">
        <v>415</v>
      </c>
      <c r="E1925" t="s">
        <v>384</v>
      </c>
      <c r="F1925">
        <v>0</v>
      </c>
      <c r="G1925">
        <v>0</v>
      </c>
      <c r="H1925">
        <f>IF(report_B_CategorieBoekjaar[[#This Row],[BedrijfsCode]]="002",IF(report_B_CategorieBoekjaar[[#This Row],[Boekjaar]]=Projectbegroting!$K$1,report_B_CategorieBoekjaar[[#This Row],[CategorieCode]],0),0)</f>
        <v>0</v>
      </c>
      <c r="I1925">
        <f>IF(report_B_CategorieBoekjaar[[#This Row],[BedrijfsCode]]="001",IF(report_B_CategorieBoekjaar[[#This Row],[Boekjaar]]=Projectbegroting!$K$1,report_B_CategorieBoekjaar[[#This Row],[CategorieCode]],0),0)</f>
        <v>0</v>
      </c>
    </row>
    <row r="1926" spans="1:9" x14ac:dyDescent="0.3">
      <c r="A1926" t="s">
        <v>330</v>
      </c>
      <c r="B1926" s="20">
        <v>43466</v>
      </c>
      <c r="C1926" t="s">
        <v>82</v>
      </c>
      <c r="D1926" t="s">
        <v>416</v>
      </c>
      <c r="E1926" t="s">
        <v>381</v>
      </c>
      <c r="F1926">
        <v>69</v>
      </c>
      <c r="G1926">
        <v>97</v>
      </c>
      <c r="H1926">
        <f>IF(report_B_CategorieBoekjaar[[#This Row],[BedrijfsCode]]="002",IF(report_B_CategorieBoekjaar[[#This Row],[Boekjaar]]=Projectbegroting!$K$1,report_B_CategorieBoekjaar[[#This Row],[CategorieCode]],0),0)</f>
        <v>0</v>
      </c>
      <c r="I1926">
        <f>IF(report_B_CategorieBoekjaar[[#This Row],[BedrijfsCode]]="001",IF(report_B_CategorieBoekjaar[[#This Row],[Boekjaar]]=Projectbegroting!$K$1,report_B_CategorieBoekjaar[[#This Row],[CategorieCode]],0),0)</f>
        <v>0</v>
      </c>
    </row>
    <row r="1927" spans="1:9" x14ac:dyDescent="0.3">
      <c r="A1927" t="s">
        <v>330</v>
      </c>
      <c r="B1927" s="20">
        <v>43466</v>
      </c>
      <c r="C1927" t="s">
        <v>169</v>
      </c>
      <c r="D1927" t="s">
        <v>417</v>
      </c>
      <c r="E1927" t="s">
        <v>384</v>
      </c>
      <c r="F1927">
        <v>0</v>
      </c>
      <c r="G1927">
        <v>0</v>
      </c>
      <c r="H1927">
        <f>IF(report_B_CategorieBoekjaar[[#This Row],[BedrijfsCode]]="002",IF(report_B_CategorieBoekjaar[[#This Row],[Boekjaar]]=Projectbegroting!$K$1,report_B_CategorieBoekjaar[[#This Row],[CategorieCode]],0),0)</f>
        <v>0</v>
      </c>
      <c r="I1927">
        <f>IF(report_B_CategorieBoekjaar[[#This Row],[BedrijfsCode]]="001",IF(report_B_CategorieBoekjaar[[#This Row],[Boekjaar]]=Projectbegroting!$K$1,report_B_CategorieBoekjaar[[#This Row],[CategorieCode]],0),0)</f>
        <v>0</v>
      </c>
    </row>
    <row r="1928" spans="1:9" x14ac:dyDescent="0.3">
      <c r="A1928" t="s">
        <v>330</v>
      </c>
      <c r="B1928" s="20">
        <v>43466</v>
      </c>
      <c r="C1928" t="s">
        <v>418</v>
      </c>
      <c r="D1928" t="s">
        <v>419</v>
      </c>
      <c r="E1928" t="s">
        <v>381</v>
      </c>
      <c r="F1928">
        <v>66</v>
      </c>
      <c r="G1928">
        <v>102</v>
      </c>
      <c r="H1928">
        <f>IF(report_B_CategorieBoekjaar[[#This Row],[BedrijfsCode]]="002",IF(report_B_CategorieBoekjaar[[#This Row],[Boekjaar]]=Projectbegroting!$K$1,report_B_CategorieBoekjaar[[#This Row],[CategorieCode]],0),0)</f>
        <v>0</v>
      </c>
      <c r="I1928">
        <f>IF(report_B_CategorieBoekjaar[[#This Row],[BedrijfsCode]]="001",IF(report_B_CategorieBoekjaar[[#This Row],[Boekjaar]]=Projectbegroting!$K$1,report_B_CategorieBoekjaar[[#This Row],[CategorieCode]],0),0)</f>
        <v>0</v>
      </c>
    </row>
    <row r="1929" spans="1:9" x14ac:dyDescent="0.3">
      <c r="A1929" t="s">
        <v>330</v>
      </c>
      <c r="B1929" s="20">
        <v>43466</v>
      </c>
      <c r="C1929" t="s">
        <v>84</v>
      </c>
      <c r="D1929" t="s">
        <v>420</v>
      </c>
      <c r="E1929" t="s">
        <v>381</v>
      </c>
      <c r="F1929">
        <v>55</v>
      </c>
      <c r="G1929">
        <v>83</v>
      </c>
      <c r="H1929">
        <f>IF(report_B_CategorieBoekjaar[[#This Row],[BedrijfsCode]]="002",IF(report_B_CategorieBoekjaar[[#This Row],[Boekjaar]]=Projectbegroting!$K$1,report_B_CategorieBoekjaar[[#This Row],[CategorieCode]],0),0)</f>
        <v>0</v>
      </c>
      <c r="I1929">
        <f>IF(report_B_CategorieBoekjaar[[#This Row],[BedrijfsCode]]="001",IF(report_B_CategorieBoekjaar[[#This Row],[Boekjaar]]=Projectbegroting!$K$1,report_B_CategorieBoekjaar[[#This Row],[CategorieCode]],0),0)</f>
        <v>0</v>
      </c>
    </row>
    <row r="1930" spans="1:9" x14ac:dyDescent="0.3">
      <c r="A1930" t="s">
        <v>330</v>
      </c>
      <c r="B1930" s="20">
        <v>43466</v>
      </c>
      <c r="C1930" t="s">
        <v>170</v>
      </c>
      <c r="D1930" t="s">
        <v>421</v>
      </c>
      <c r="E1930" t="s">
        <v>384</v>
      </c>
      <c r="F1930">
        <v>0</v>
      </c>
      <c r="G1930">
        <v>0</v>
      </c>
      <c r="H1930">
        <f>IF(report_B_CategorieBoekjaar[[#This Row],[BedrijfsCode]]="002",IF(report_B_CategorieBoekjaar[[#This Row],[Boekjaar]]=Projectbegroting!$K$1,report_B_CategorieBoekjaar[[#This Row],[CategorieCode]],0),0)</f>
        <v>0</v>
      </c>
      <c r="I1930">
        <f>IF(report_B_CategorieBoekjaar[[#This Row],[BedrijfsCode]]="001",IF(report_B_CategorieBoekjaar[[#This Row],[Boekjaar]]=Projectbegroting!$K$1,report_B_CategorieBoekjaar[[#This Row],[CategorieCode]],0),0)</f>
        <v>0</v>
      </c>
    </row>
    <row r="1931" spans="1:9" x14ac:dyDescent="0.3">
      <c r="A1931" t="s">
        <v>330</v>
      </c>
      <c r="B1931" s="20">
        <v>43466</v>
      </c>
      <c r="C1931" t="s">
        <v>96</v>
      </c>
      <c r="D1931" t="s">
        <v>422</v>
      </c>
      <c r="E1931" t="s">
        <v>381</v>
      </c>
      <c r="F1931">
        <v>56</v>
      </c>
      <c r="G1931">
        <v>84</v>
      </c>
      <c r="H1931">
        <f>IF(report_B_CategorieBoekjaar[[#This Row],[BedrijfsCode]]="002",IF(report_B_CategorieBoekjaar[[#This Row],[Boekjaar]]=Projectbegroting!$K$1,report_B_CategorieBoekjaar[[#This Row],[CategorieCode]],0),0)</f>
        <v>0</v>
      </c>
      <c r="I1931">
        <f>IF(report_B_CategorieBoekjaar[[#This Row],[BedrijfsCode]]="001",IF(report_B_CategorieBoekjaar[[#This Row],[Boekjaar]]=Projectbegroting!$K$1,report_B_CategorieBoekjaar[[#This Row],[CategorieCode]],0),0)</f>
        <v>0</v>
      </c>
    </row>
    <row r="1932" spans="1:9" x14ac:dyDescent="0.3">
      <c r="A1932" t="s">
        <v>330</v>
      </c>
      <c r="B1932" s="20">
        <v>43466</v>
      </c>
      <c r="C1932" t="s">
        <v>171</v>
      </c>
      <c r="D1932" t="s">
        <v>423</v>
      </c>
      <c r="E1932" t="s">
        <v>384</v>
      </c>
      <c r="F1932">
        <v>0</v>
      </c>
      <c r="G1932">
        <v>0</v>
      </c>
      <c r="H1932">
        <f>IF(report_B_CategorieBoekjaar[[#This Row],[BedrijfsCode]]="002",IF(report_B_CategorieBoekjaar[[#This Row],[Boekjaar]]=Projectbegroting!$K$1,report_B_CategorieBoekjaar[[#This Row],[CategorieCode]],0),0)</f>
        <v>0</v>
      </c>
      <c r="I1932">
        <f>IF(report_B_CategorieBoekjaar[[#This Row],[BedrijfsCode]]="001",IF(report_B_CategorieBoekjaar[[#This Row],[Boekjaar]]=Projectbegroting!$K$1,report_B_CategorieBoekjaar[[#This Row],[CategorieCode]],0),0)</f>
        <v>0</v>
      </c>
    </row>
    <row r="1933" spans="1:9" x14ac:dyDescent="0.3">
      <c r="A1933" t="s">
        <v>330</v>
      </c>
      <c r="B1933" s="20">
        <v>43466</v>
      </c>
      <c r="C1933" t="s">
        <v>86</v>
      </c>
      <c r="D1933" t="s">
        <v>424</v>
      </c>
      <c r="E1933" t="s">
        <v>381</v>
      </c>
      <c r="F1933">
        <v>47</v>
      </c>
      <c r="G1933">
        <v>75</v>
      </c>
      <c r="H1933">
        <f>IF(report_B_CategorieBoekjaar[[#This Row],[BedrijfsCode]]="002",IF(report_B_CategorieBoekjaar[[#This Row],[Boekjaar]]=Projectbegroting!$K$1,report_B_CategorieBoekjaar[[#This Row],[CategorieCode]],0),0)</f>
        <v>0</v>
      </c>
      <c r="I1933">
        <f>IF(report_B_CategorieBoekjaar[[#This Row],[BedrijfsCode]]="001",IF(report_B_CategorieBoekjaar[[#This Row],[Boekjaar]]=Projectbegroting!$K$1,report_B_CategorieBoekjaar[[#This Row],[CategorieCode]],0),0)</f>
        <v>0</v>
      </c>
    </row>
    <row r="1934" spans="1:9" x14ac:dyDescent="0.3">
      <c r="A1934" t="s">
        <v>330</v>
      </c>
      <c r="B1934" s="20">
        <v>43466</v>
      </c>
      <c r="C1934" t="s">
        <v>172</v>
      </c>
      <c r="D1934" t="s">
        <v>425</v>
      </c>
      <c r="E1934" t="s">
        <v>384</v>
      </c>
      <c r="F1934">
        <v>0</v>
      </c>
      <c r="G1934">
        <v>0</v>
      </c>
      <c r="H1934">
        <f>IF(report_B_CategorieBoekjaar[[#This Row],[BedrijfsCode]]="002",IF(report_B_CategorieBoekjaar[[#This Row],[Boekjaar]]=Projectbegroting!$K$1,report_B_CategorieBoekjaar[[#This Row],[CategorieCode]],0),0)</f>
        <v>0</v>
      </c>
      <c r="I1934">
        <f>IF(report_B_CategorieBoekjaar[[#This Row],[BedrijfsCode]]="001",IF(report_B_CategorieBoekjaar[[#This Row],[Boekjaar]]=Projectbegroting!$K$1,report_B_CategorieBoekjaar[[#This Row],[CategorieCode]],0),0)</f>
        <v>0</v>
      </c>
    </row>
    <row r="1935" spans="1:9" x14ac:dyDescent="0.3">
      <c r="A1935" t="s">
        <v>330</v>
      </c>
      <c r="B1935" s="20">
        <v>43466</v>
      </c>
      <c r="C1935" t="s">
        <v>173</v>
      </c>
      <c r="D1935" t="s">
        <v>427</v>
      </c>
      <c r="E1935" t="s">
        <v>384</v>
      </c>
      <c r="F1935">
        <v>0</v>
      </c>
      <c r="G1935">
        <v>0</v>
      </c>
      <c r="H1935">
        <f>IF(report_B_CategorieBoekjaar[[#This Row],[BedrijfsCode]]="002",IF(report_B_CategorieBoekjaar[[#This Row],[Boekjaar]]=Projectbegroting!$K$1,report_B_CategorieBoekjaar[[#This Row],[CategorieCode]],0),0)</f>
        <v>0</v>
      </c>
      <c r="I1935">
        <f>IF(report_B_CategorieBoekjaar[[#This Row],[BedrijfsCode]]="001",IF(report_B_CategorieBoekjaar[[#This Row],[Boekjaar]]=Projectbegroting!$K$1,report_B_CategorieBoekjaar[[#This Row],[CategorieCode]],0),0)</f>
        <v>0</v>
      </c>
    </row>
    <row r="1936" spans="1:9" x14ac:dyDescent="0.3">
      <c r="A1936" t="s">
        <v>330</v>
      </c>
      <c r="B1936" s="20">
        <v>43466</v>
      </c>
      <c r="C1936" t="s">
        <v>88</v>
      </c>
      <c r="D1936" t="s">
        <v>89</v>
      </c>
      <c r="E1936" t="s">
        <v>381</v>
      </c>
      <c r="F1936">
        <v>62</v>
      </c>
      <c r="G1936">
        <v>98</v>
      </c>
      <c r="H1936">
        <f>IF(report_B_CategorieBoekjaar[[#This Row],[BedrijfsCode]]="002",IF(report_B_CategorieBoekjaar[[#This Row],[Boekjaar]]=Projectbegroting!$K$1,report_B_CategorieBoekjaar[[#This Row],[CategorieCode]],0),0)</f>
        <v>0</v>
      </c>
      <c r="I1936">
        <f>IF(report_B_CategorieBoekjaar[[#This Row],[BedrijfsCode]]="001",IF(report_B_CategorieBoekjaar[[#This Row],[Boekjaar]]=Projectbegroting!$K$1,report_B_CategorieBoekjaar[[#This Row],[CategorieCode]],0),0)</f>
        <v>0</v>
      </c>
    </row>
    <row r="1937" spans="1:9" x14ac:dyDescent="0.3">
      <c r="A1937" t="s">
        <v>330</v>
      </c>
      <c r="B1937" s="20">
        <v>43466</v>
      </c>
      <c r="C1937" t="s">
        <v>174</v>
      </c>
      <c r="D1937" t="s">
        <v>428</v>
      </c>
      <c r="E1937" t="s">
        <v>384</v>
      </c>
      <c r="F1937">
        <v>0</v>
      </c>
      <c r="G1937">
        <v>0</v>
      </c>
      <c r="H1937">
        <f>IF(report_B_CategorieBoekjaar[[#This Row],[BedrijfsCode]]="002",IF(report_B_CategorieBoekjaar[[#This Row],[Boekjaar]]=Projectbegroting!$K$1,report_B_CategorieBoekjaar[[#This Row],[CategorieCode]],0),0)</f>
        <v>0</v>
      </c>
      <c r="I1937">
        <f>IF(report_B_CategorieBoekjaar[[#This Row],[BedrijfsCode]]="001",IF(report_B_CategorieBoekjaar[[#This Row],[Boekjaar]]=Projectbegroting!$K$1,report_B_CategorieBoekjaar[[#This Row],[CategorieCode]],0),0)</f>
        <v>0</v>
      </c>
    </row>
    <row r="1938" spans="1:9" x14ac:dyDescent="0.3">
      <c r="A1938" t="s">
        <v>330</v>
      </c>
      <c r="B1938" s="20">
        <v>43466</v>
      </c>
      <c r="C1938" t="s">
        <v>90</v>
      </c>
      <c r="D1938" t="s">
        <v>91</v>
      </c>
      <c r="E1938" t="s">
        <v>381</v>
      </c>
      <c r="F1938">
        <v>37</v>
      </c>
      <c r="G1938">
        <v>68</v>
      </c>
      <c r="H1938">
        <f>IF(report_B_CategorieBoekjaar[[#This Row],[BedrijfsCode]]="002",IF(report_B_CategorieBoekjaar[[#This Row],[Boekjaar]]=Projectbegroting!$K$1,report_B_CategorieBoekjaar[[#This Row],[CategorieCode]],0),0)</f>
        <v>0</v>
      </c>
      <c r="I1938">
        <f>IF(report_B_CategorieBoekjaar[[#This Row],[BedrijfsCode]]="001",IF(report_B_CategorieBoekjaar[[#This Row],[Boekjaar]]=Projectbegroting!$K$1,report_B_CategorieBoekjaar[[#This Row],[CategorieCode]],0),0)</f>
        <v>0</v>
      </c>
    </row>
    <row r="1939" spans="1:9" x14ac:dyDescent="0.3">
      <c r="A1939" t="s">
        <v>330</v>
      </c>
      <c r="B1939" s="20">
        <v>43466</v>
      </c>
      <c r="C1939" t="s">
        <v>429</v>
      </c>
      <c r="D1939" t="s">
        <v>430</v>
      </c>
      <c r="E1939" t="s">
        <v>384</v>
      </c>
      <c r="F1939">
        <v>0</v>
      </c>
      <c r="G1939">
        <v>0</v>
      </c>
      <c r="H1939">
        <f>IF(report_B_CategorieBoekjaar[[#This Row],[BedrijfsCode]]="002",IF(report_B_CategorieBoekjaar[[#This Row],[Boekjaar]]=Projectbegroting!$K$1,report_B_CategorieBoekjaar[[#This Row],[CategorieCode]],0),0)</f>
        <v>0</v>
      </c>
      <c r="I1939">
        <f>IF(report_B_CategorieBoekjaar[[#This Row],[BedrijfsCode]]="001",IF(report_B_CategorieBoekjaar[[#This Row],[Boekjaar]]=Projectbegroting!$K$1,report_B_CategorieBoekjaar[[#This Row],[CategorieCode]],0),0)</f>
        <v>0</v>
      </c>
    </row>
    <row r="1940" spans="1:9" x14ac:dyDescent="0.3">
      <c r="A1940" t="s">
        <v>330</v>
      </c>
      <c r="B1940" s="20">
        <v>43466</v>
      </c>
      <c r="C1940" t="s">
        <v>431</v>
      </c>
      <c r="D1940" t="s">
        <v>432</v>
      </c>
      <c r="E1940" t="s">
        <v>381</v>
      </c>
      <c r="F1940">
        <v>62</v>
      </c>
      <c r="G1940">
        <v>90</v>
      </c>
      <c r="H1940">
        <f>IF(report_B_CategorieBoekjaar[[#This Row],[BedrijfsCode]]="002",IF(report_B_CategorieBoekjaar[[#This Row],[Boekjaar]]=Projectbegroting!$K$1,report_B_CategorieBoekjaar[[#This Row],[CategorieCode]],0),0)</f>
        <v>0</v>
      </c>
      <c r="I1940">
        <f>IF(report_B_CategorieBoekjaar[[#This Row],[BedrijfsCode]]="001",IF(report_B_CategorieBoekjaar[[#This Row],[Boekjaar]]=Projectbegroting!$K$1,report_B_CategorieBoekjaar[[#This Row],[CategorieCode]],0),0)</f>
        <v>0</v>
      </c>
    </row>
    <row r="1941" spans="1:9" x14ac:dyDescent="0.3">
      <c r="A1941" t="s">
        <v>330</v>
      </c>
      <c r="B1941" s="20">
        <v>43466</v>
      </c>
      <c r="C1941" t="s">
        <v>433</v>
      </c>
      <c r="D1941" t="s">
        <v>434</v>
      </c>
      <c r="E1941" t="s">
        <v>384</v>
      </c>
      <c r="F1941">
        <v>0</v>
      </c>
      <c r="G1941">
        <v>0</v>
      </c>
      <c r="H1941">
        <f>IF(report_B_CategorieBoekjaar[[#This Row],[BedrijfsCode]]="002",IF(report_B_CategorieBoekjaar[[#This Row],[Boekjaar]]=Projectbegroting!$K$1,report_B_CategorieBoekjaar[[#This Row],[CategorieCode]],0),0)</f>
        <v>0</v>
      </c>
      <c r="I1941">
        <f>IF(report_B_CategorieBoekjaar[[#This Row],[BedrijfsCode]]="001",IF(report_B_CategorieBoekjaar[[#This Row],[Boekjaar]]=Projectbegroting!$K$1,report_B_CategorieBoekjaar[[#This Row],[CategorieCode]],0),0)</f>
        <v>0</v>
      </c>
    </row>
    <row r="1942" spans="1:9" x14ac:dyDescent="0.3">
      <c r="A1942" t="s">
        <v>330</v>
      </c>
      <c r="B1942" s="20">
        <v>43466</v>
      </c>
      <c r="C1942" t="s">
        <v>435</v>
      </c>
      <c r="D1942" t="s">
        <v>436</v>
      </c>
      <c r="E1942" t="s">
        <v>381</v>
      </c>
      <c r="F1942">
        <v>50</v>
      </c>
      <c r="G1942">
        <v>0</v>
      </c>
      <c r="H1942">
        <f>IF(report_B_CategorieBoekjaar[[#This Row],[BedrijfsCode]]="002",IF(report_B_CategorieBoekjaar[[#This Row],[Boekjaar]]=Projectbegroting!$K$1,report_B_CategorieBoekjaar[[#This Row],[CategorieCode]],0),0)</f>
        <v>0</v>
      </c>
      <c r="I1942">
        <f>IF(report_B_CategorieBoekjaar[[#This Row],[BedrijfsCode]]="001",IF(report_B_CategorieBoekjaar[[#This Row],[Boekjaar]]=Projectbegroting!$K$1,report_B_CategorieBoekjaar[[#This Row],[CategorieCode]],0),0)</f>
        <v>0</v>
      </c>
    </row>
    <row r="1943" spans="1:9" x14ac:dyDescent="0.3">
      <c r="A1943" t="s">
        <v>330</v>
      </c>
      <c r="B1943" s="20">
        <v>43466</v>
      </c>
      <c r="C1943" t="s">
        <v>437</v>
      </c>
      <c r="D1943" t="s">
        <v>438</v>
      </c>
      <c r="E1943" t="s">
        <v>384</v>
      </c>
      <c r="F1943">
        <v>0</v>
      </c>
      <c r="G1943">
        <v>0</v>
      </c>
      <c r="H1943">
        <f>IF(report_B_CategorieBoekjaar[[#This Row],[BedrijfsCode]]="002",IF(report_B_CategorieBoekjaar[[#This Row],[Boekjaar]]=Projectbegroting!$K$1,report_B_CategorieBoekjaar[[#This Row],[CategorieCode]],0),0)</f>
        <v>0</v>
      </c>
      <c r="I1943">
        <f>IF(report_B_CategorieBoekjaar[[#This Row],[BedrijfsCode]]="001",IF(report_B_CategorieBoekjaar[[#This Row],[Boekjaar]]=Projectbegroting!$K$1,report_B_CategorieBoekjaar[[#This Row],[CategorieCode]],0),0)</f>
        <v>0</v>
      </c>
    </row>
    <row r="1944" spans="1:9" x14ac:dyDescent="0.3">
      <c r="A1944" t="s">
        <v>330</v>
      </c>
      <c r="B1944" s="20">
        <v>43466</v>
      </c>
      <c r="C1944" t="s">
        <v>439</v>
      </c>
      <c r="D1944" t="s">
        <v>440</v>
      </c>
      <c r="E1944" t="s">
        <v>381</v>
      </c>
      <c r="F1944">
        <v>32</v>
      </c>
      <c r="G1944">
        <v>0</v>
      </c>
      <c r="H1944">
        <f>IF(report_B_CategorieBoekjaar[[#This Row],[BedrijfsCode]]="002",IF(report_B_CategorieBoekjaar[[#This Row],[Boekjaar]]=Projectbegroting!$K$1,report_B_CategorieBoekjaar[[#This Row],[CategorieCode]],0),0)</f>
        <v>0</v>
      </c>
      <c r="I1944">
        <f>IF(report_B_CategorieBoekjaar[[#This Row],[BedrijfsCode]]="001",IF(report_B_CategorieBoekjaar[[#This Row],[Boekjaar]]=Projectbegroting!$K$1,report_B_CategorieBoekjaar[[#This Row],[CategorieCode]],0),0)</f>
        <v>0</v>
      </c>
    </row>
    <row r="1945" spans="1:9" x14ac:dyDescent="0.3">
      <c r="A1945" t="s">
        <v>330</v>
      </c>
      <c r="B1945" s="20">
        <v>43466</v>
      </c>
      <c r="C1945" t="s">
        <v>441</v>
      </c>
      <c r="D1945" t="s">
        <v>442</v>
      </c>
      <c r="E1945" t="s">
        <v>381</v>
      </c>
      <c r="F1945">
        <v>46</v>
      </c>
      <c r="G1945">
        <v>0</v>
      </c>
      <c r="H1945">
        <f>IF(report_B_CategorieBoekjaar[[#This Row],[BedrijfsCode]]="002",IF(report_B_CategorieBoekjaar[[#This Row],[Boekjaar]]=Projectbegroting!$K$1,report_B_CategorieBoekjaar[[#This Row],[CategorieCode]],0),0)</f>
        <v>0</v>
      </c>
      <c r="I1945">
        <f>IF(report_B_CategorieBoekjaar[[#This Row],[BedrijfsCode]]="001",IF(report_B_CategorieBoekjaar[[#This Row],[Boekjaar]]=Projectbegroting!$K$1,report_B_CategorieBoekjaar[[#This Row],[CategorieCode]],0),0)</f>
        <v>0</v>
      </c>
    </row>
    <row r="1946" spans="1:9" x14ac:dyDescent="0.3">
      <c r="A1946" t="s">
        <v>330</v>
      </c>
      <c r="B1946" s="20">
        <v>43466</v>
      </c>
      <c r="C1946" t="s">
        <v>443</v>
      </c>
      <c r="D1946" t="s">
        <v>444</v>
      </c>
      <c r="E1946" t="s">
        <v>384</v>
      </c>
      <c r="F1946">
        <v>0</v>
      </c>
      <c r="G1946">
        <v>0</v>
      </c>
      <c r="H1946">
        <f>IF(report_B_CategorieBoekjaar[[#This Row],[BedrijfsCode]]="002",IF(report_B_CategorieBoekjaar[[#This Row],[Boekjaar]]=Projectbegroting!$K$1,report_B_CategorieBoekjaar[[#This Row],[CategorieCode]],0),0)</f>
        <v>0</v>
      </c>
      <c r="I1946">
        <f>IF(report_B_CategorieBoekjaar[[#This Row],[BedrijfsCode]]="001",IF(report_B_CategorieBoekjaar[[#This Row],[Boekjaar]]=Projectbegroting!$K$1,report_B_CategorieBoekjaar[[#This Row],[CategorieCode]],0),0)</f>
        <v>0</v>
      </c>
    </row>
    <row r="1947" spans="1:9" x14ac:dyDescent="0.3">
      <c r="A1947" t="s">
        <v>330</v>
      </c>
      <c r="B1947" s="20">
        <v>43466</v>
      </c>
      <c r="C1947" t="s">
        <v>445</v>
      </c>
      <c r="D1947" t="s">
        <v>446</v>
      </c>
      <c r="E1947" t="s">
        <v>381</v>
      </c>
      <c r="F1947">
        <v>77</v>
      </c>
      <c r="G1947">
        <v>105</v>
      </c>
      <c r="H1947">
        <f>IF(report_B_CategorieBoekjaar[[#This Row],[BedrijfsCode]]="002",IF(report_B_CategorieBoekjaar[[#This Row],[Boekjaar]]=Projectbegroting!$K$1,report_B_CategorieBoekjaar[[#This Row],[CategorieCode]],0),0)</f>
        <v>0</v>
      </c>
      <c r="I1947">
        <f>IF(report_B_CategorieBoekjaar[[#This Row],[BedrijfsCode]]="001",IF(report_B_CategorieBoekjaar[[#This Row],[Boekjaar]]=Projectbegroting!$K$1,report_B_CategorieBoekjaar[[#This Row],[CategorieCode]],0),0)</f>
        <v>0</v>
      </c>
    </row>
    <row r="1948" spans="1:9" x14ac:dyDescent="0.3">
      <c r="A1948" t="s">
        <v>330</v>
      </c>
      <c r="B1948" s="20">
        <v>43466</v>
      </c>
      <c r="C1948" t="s">
        <v>447</v>
      </c>
      <c r="D1948" t="s">
        <v>448</v>
      </c>
      <c r="E1948" t="s">
        <v>384</v>
      </c>
      <c r="F1948">
        <v>0</v>
      </c>
      <c r="G1948">
        <v>0</v>
      </c>
      <c r="H1948">
        <f>IF(report_B_CategorieBoekjaar[[#This Row],[BedrijfsCode]]="002",IF(report_B_CategorieBoekjaar[[#This Row],[Boekjaar]]=Projectbegroting!$K$1,report_B_CategorieBoekjaar[[#This Row],[CategorieCode]],0),0)</f>
        <v>0</v>
      </c>
      <c r="I1948">
        <f>IF(report_B_CategorieBoekjaar[[#This Row],[BedrijfsCode]]="001",IF(report_B_CategorieBoekjaar[[#This Row],[Boekjaar]]=Projectbegroting!$K$1,report_B_CategorieBoekjaar[[#This Row],[CategorieCode]],0),0)</f>
        <v>0</v>
      </c>
    </row>
    <row r="1949" spans="1:9" x14ac:dyDescent="0.3">
      <c r="A1949" t="s">
        <v>330</v>
      </c>
      <c r="B1949" s="20">
        <v>43466</v>
      </c>
      <c r="C1949" t="s">
        <v>449</v>
      </c>
      <c r="D1949" t="s">
        <v>450</v>
      </c>
      <c r="E1949" t="s">
        <v>381</v>
      </c>
      <c r="F1949">
        <v>31</v>
      </c>
      <c r="G1949">
        <v>0</v>
      </c>
      <c r="H1949">
        <f>IF(report_B_CategorieBoekjaar[[#This Row],[BedrijfsCode]]="002",IF(report_B_CategorieBoekjaar[[#This Row],[Boekjaar]]=Projectbegroting!$K$1,report_B_CategorieBoekjaar[[#This Row],[CategorieCode]],0),0)</f>
        <v>0</v>
      </c>
      <c r="I1949">
        <f>IF(report_B_CategorieBoekjaar[[#This Row],[BedrijfsCode]]="001",IF(report_B_CategorieBoekjaar[[#This Row],[Boekjaar]]=Projectbegroting!$K$1,report_B_CategorieBoekjaar[[#This Row],[CategorieCode]],0),0)</f>
        <v>0</v>
      </c>
    </row>
    <row r="1950" spans="1:9" x14ac:dyDescent="0.3">
      <c r="A1950" t="s">
        <v>330</v>
      </c>
      <c r="B1950" s="20">
        <v>43466</v>
      </c>
      <c r="C1950" t="s">
        <v>451</v>
      </c>
      <c r="D1950" t="s">
        <v>452</v>
      </c>
      <c r="E1950" t="s">
        <v>384</v>
      </c>
      <c r="F1950">
        <v>0</v>
      </c>
      <c r="G1950">
        <v>0</v>
      </c>
      <c r="H1950">
        <f>IF(report_B_CategorieBoekjaar[[#This Row],[BedrijfsCode]]="002",IF(report_B_CategorieBoekjaar[[#This Row],[Boekjaar]]=Projectbegroting!$K$1,report_B_CategorieBoekjaar[[#This Row],[CategorieCode]],0),0)</f>
        <v>0</v>
      </c>
      <c r="I1950">
        <f>IF(report_B_CategorieBoekjaar[[#This Row],[BedrijfsCode]]="001",IF(report_B_CategorieBoekjaar[[#This Row],[Boekjaar]]=Projectbegroting!$K$1,report_B_CategorieBoekjaar[[#This Row],[CategorieCode]],0),0)</f>
        <v>0</v>
      </c>
    </row>
    <row r="1951" spans="1:9" x14ac:dyDescent="0.3">
      <c r="A1951" t="s">
        <v>330</v>
      </c>
      <c r="B1951" s="20">
        <v>43466</v>
      </c>
      <c r="C1951" t="s">
        <v>453</v>
      </c>
      <c r="D1951" t="s">
        <v>454</v>
      </c>
      <c r="E1951" t="s">
        <v>381</v>
      </c>
      <c r="F1951">
        <v>57</v>
      </c>
      <c r="G1951">
        <v>86</v>
      </c>
      <c r="H1951">
        <f>IF(report_B_CategorieBoekjaar[[#This Row],[BedrijfsCode]]="002",IF(report_B_CategorieBoekjaar[[#This Row],[Boekjaar]]=Projectbegroting!$K$1,report_B_CategorieBoekjaar[[#This Row],[CategorieCode]],0),0)</f>
        <v>0</v>
      </c>
      <c r="I1951">
        <f>IF(report_B_CategorieBoekjaar[[#This Row],[BedrijfsCode]]="001",IF(report_B_CategorieBoekjaar[[#This Row],[Boekjaar]]=Projectbegroting!$K$1,report_B_CategorieBoekjaar[[#This Row],[CategorieCode]],0),0)</f>
        <v>0</v>
      </c>
    </row>
    <row r="1952" spans="1:9" x14ac:dyDescent="0.3">
      <c r="A1952" t="s">
        <v>330</v>
      </c>
      <c r="B1952" s="20">
        <v>43466</v>
      </c>
      <c r="C1952" t="s">
        <v>455</v>
      </c>
      <c r="D1952" t="s">
        <v>456</v>
      </c>
      <c r="E1952" t="s">
        <v>381</v>
      </c>
      <c r="F1952">
        <v>78</v>
      </c>
      <c r="G1952">
        <v>114</v>
      </c>
      <c r="H1952">
        <f>IF(report_B_CategorieBoekjaar[[#This Row],[BedrijfsCode]]="002",IF(report_B_CategorieBoekjaar[[#This Row],[Boekjaar]]=Projectbegroting!$K$1,report_B_CategorieBoekjaar[[#This Row],[CategorieCode]],0),0)</f>
        <v>0</v>
      </c>
      <c r="I1952">
        <f>IF(report_B_CategorieBoekjaar[[#This Row],[BedrijfsCode]]="001",IF(report_B_CategorieBoekjaar[[#This Row],[Boekjaar]]=Projectbegroting!$K$1,report_B_CategorieBoekjaar[[#This Row],[CategorieCode]],0),0)</f>
        <v>0</v>
      </c>
    </row>
    <row r="1953" spans="1:9" x14ac:dyDescent="0.3">
      <c r="A1953" t="s">
        <v>330</v>
      </c>
      <c r="B1953" s="20">
        <v>43466</v>
      </c>
      <c r="C1953" t="s">
        <v>457</v>
      </c>
      <c r="D1953" t="s">
        <v>458</v>
      </c>
      <c r="E1953" t="s">
        <v>384</v>
      </c>
      <c r="F1953">
        <v>0</v>
      </c>
      <c r="G1953">
        <v>0</v>
      </c>
      <c r="H1953">
        <f>IF(report_B_CategorieBoekjaar[[#This Row],[BedrijfsCode]]="002",IF(report_B_CategorieBoekjaar[[#This Row],[Boekjaar]]=Projectbegroting!$K$1,report_B_CategorieBoekjaar[[#This Row],[CategorieCode]],0),0)</f>
        <v>0</v>
      </c>
      <c r="I1953">
        <f>IF(report_B_CategorieBoekjaar[[#This Row],[BedrijfsCode]]="001",IF(report_B_CategorieBoekjaar[[#This Row],[Boekjaar]]=Projectbegroting!$K$1,report_B_CategorieBoekjaar[[#This Row],[CategorieCode]],0),0)</f>
        <v>0</v>
      </c>
    </row>
    <row r="1954" spans="1:9" x14ac:dyDescent="0.3">
      <c r="A1954" t="s">
        <v>330</v>
      </c>
      <c r="B1954" s="20">
        <v>43466</v>
      </c>
      <c r="C1954" t="s">
        <v>459</v>
      </c>
      <c r="D1954" t="s">
        <v>460</v>
      </c>
      <c r="E1954" t="s">
        <v>381</v>
      </c>
      <c r="F1954">
        <v>90</v>
      </c>
      <c r="G1954">
        <v>127</v>
      </c>
      <c r="H1954">
        <f>IF(report_B_CategorieBoekjaar[[#This Row],[BedrijfsCode]]="002",IF(report_B_CategorieBoekjaar[[#This Row],[Boekjaar]]=Projectbegroting!$K$1,report_B_CategorieBoekjaar[[#This Row],[CategorieCode]],0),0)</f>
        <v>0</v>
      </c>
      <c r="I1954">
        <f>IF(report_B_CategorieBoekjaar[[#This Row],[BedrijfsCode]]="001",IF(report_B_CategorieBoekjaar[[#This Row],[Boekjaar]]=Projectbegroting!$K$1,report_B_CategorieBoekjaar[[#This Row],[CategorieCode]],0),0)</f>
        <v>0</v>
      </c>
    </row>
    <row r="1955" spans="1:9" x14ac:dyDescent="0.3">
      <c r="A1955" t="s">
        <v>330</v>
      </c>
      <c r="B1955" s="20">
        <v>43466</v>
      </c>
      <c r="C1955" t="s">
        <v>461</v>
      </c>
      <c r="D1955" t="s">
        <v>462</v>
      </c>
      <c r="E1955" t="s">
        <v>384</v>
      </c>
      <c r="F1955">
        <v>0</v>
      </c>
      <c r="G1955">
        <v>0</v>
      </c>
      <c r="H1955">
        <f>IF(report_B_CategorieBoekjaar[[#This Row],[BedrijfsCode]]="002",IF(report_B_CategorieBoekjaar[[#This Row],[Boekjaar]]=Projectbegroting!$K$1,report_B_CategorieBoekjaar[[#This Row],[CategorieCode]],0),0)</f>
        <v>0</v>
      </c>
      <c r="I1955">
        <f>IF(report_B_CategorieBoekjaar[[#This Row],[BedrijfsCode]]="001",IF(report_B_CategorieBoekjaar[[#This Row],[Boekjaar]]=Projectbegroting!$K$1,report_B_CategorieBoekjaar[[#This Row],[CategorieCode]],0),0)</f>
        <v>0</v>
      </c>
    </row>
    <row r="1956" spans="1:9" x14ac:dyDescent="0.3">
      <c r="A1956" t="s">
        <v>330</v>
      </c>
      <c r="B1956" s="20">
        <v>43466</v>
      </c>
      <c r="C1956" t="s">
        <v>463</v>
      </c>
      <c r="D1956" t="s">
        <v>464</v>
      </c>
      <c r="E1956" t="s">
        <v>384</v>
      </c>
      <c r="F1956">
        <v>0</v>
      </c>
      <c r="G1956">
        <v>0</v>
      </c>
      <c r="H1956">
        <f>IF(report_B_CategorieBoekjaar[[#This Row],[BedrijfsCode]]="002",IF(report_B_CategorieBoekjaar[[#This Row],[Boekjaar]]=Projectbegroting!$K$1,report_B_CategorieBoekjaar[[#This Row],[CategorieCode]],0),0)</f>
        <v>0</v>
      </c>
      <c r="I1956">
        <f>IF(report_B_CategorieBoekjaar[[#This Row],[BedrijfsCode]]="001",IF(report_B_CategorieBoekjaar[[#This Row],[Boekjaar]]=Projectbegroting!$K$1,report_B_CategorieBoekjaar[[#This Row],[CategorieCode]],0),0)</f>
        <v>0</v>
      </c>
    </row>
    <row r="1957" spans="1:9" x14ac:dyDescent="0.3">
      <c r="A1957" t="s">
        <v>330</v>
      </c>
      <c r="B1957" s="20">
        <v>43466</v>
      </c>
      <c r="C1957" t="s">
        <v>465</v>
      </c>
      <c r="D1957" t="s">
        <v>466</v>
      </c>
      <c r="E1957" t="s">
        <v>381</v>
      </c>
      <c r="F1957">
        <v>32</v>
      </c>
      <c r="G1957">
        <v>0</v>
      </c>
      <c r="H1957">
        <f>IF(report_B_CategorieBoekjaar[[#This Row],[BedrijfsCode]]="002",IF(report_B_CategorieBoekjaar[[#This Row],[Boekjaar]]=Projectbegroting!$K$1,report_B_CategorieBoekjaar[[#This Row],[CategorieCode]],0),0)</f>
        <v>0</v>
      </c>
      <c r="I1957">
        <f>IF(report_B_CategorieBoekjaar[[#This Row],[BedrijfsCode]]="001",IF(report_B_CategorieBoekjaar[[#This Row],[Boekjaar]]=Projectbegroting!$K$1,report_B_CategorieBoekjaar[[#This Row],[CategorieCode]],0),0)</f>
        <v>0</v>
      </c>
    </row>
    <row r="1958" spans="1:9" x14ac:dyDescent="0.3">
      <c r="A1958" t="s">
        <v>330</v>
      </c>
      <c r="B1958" s="20">
        <v>43466</v>
      </c>
      <c r="C1958" t="s">
        <v>467</v>
      </c>
      <c r="D1958" t="s">
        <v>468</v>
      </c>
      <c r="E1958" t="s">
        <v>384</v>
      </c>
      <c r="F1958">
        <v>0</v>
      </c>
      <c r="G1958">
        <v>0</v>
      </c>
      <c r="H1958">
        <f>IF(report_B_CategorieBoekjaar[[#This Row],[BedrijfsCode]]="002",IF(report_B_CategorieBoekjaar[[#This Row],[Boekjaar]]=Projectbegroting!$K$1,report_B_CategorieBoekjaar[[#This Row],[CategorieCode]],0),0)</f>
        <v>0</v>
      </c>
      <c r="I1958">
        <f>IF(report_B_CategorieBoekjaar[[#This Row],[BedrijfsCode]]="001",IF(report_B_CategorieBoekjaar[[#This Row],[Boekjaar]]=Projectbegroting!$K$1,report_B_CategorieBoekjaar[[#This Row],[CategorieCode]],0),0)</f>
        <v>0</v>
      </c>
    </row>
    <row r="1959" spans="1:9" x14ac:dyDescent="0.3">
      <c r="A1959" t="s">
        <v>330</v>
      </c>
      <c r="B1959" s="20">
        <v>43466</v>
      </c>
      <c r="C1959" t="s">
        <v>469</v>
      </c>
      <c r="D1959" t="s">
        <v>470</v>
      </c>
      <c r="E1959" t="s">
        <v>381</v>
      </c>
      <c r="F1959">
        <v>39</v>
      </c>
      <c r="G1959">
        <v>74</v>
      </c>
      <c r="H1959">
        <f>IF(report_B_CategorieBoekjaar[[#This Row],[BedrijfsCode]]="002",IF(report_B_CategorieBoekjaar[[#This Row],[Boekjaar]]=Projectbegroting!$K$1,report_B_CategorieBoekjaar[[#This Row],[CategorieCode]],0),0)</f>
        <v>0</v>
      </c>
      <c r="I1959">
        <f>IF(report_B_CategorieBoekjaar[[#This Row],[BedrijfsCode]]="001",IF(report_B_CategorieBoekjaar[[#This Row],[Boekjaar]]=Projectbegroting!$K$1,report_B_CategorieBoekjaar[[#This Row],[CategorieCode]],0),0)</f>
        <v>0</v>
      </c>
    </row>
    <row r="1960" spans="1:9" x14ac:dyDescent="0.3">
      <c r="A1960" t="s">
        <v>330</v>
      </c>
      <c r="B1960" s="20">
        <v>43466</v>
      </c>
      <c r="C1960" t="s">
        <v>471</v>
      </c>
      <c r="D1960" t="s">
        <v>472</v>
      </c>
      <c r="E1960" t="s">
        <v>384</v>
      </c>
      <c r="F1960">
        <v>0</v>
      </c>
      <c r="G1960">
        <v>0</v>
      </c>
      <c r="H1960">
        <f>IF(report_B_CategorieBoekjaar[[#This Row],[BedrijfsCode]]="002",IF(report_B_CategorieBoekjaar[[#This Row],[Boekjaar]]=Projectbegroting!$K$1,report_B_CategorieBoekjaar[[#This Row],[CategorieCode]],0),0)</f>
        <v>0</v>
      </c>
      <c r="I1960">
        <f>IF(report_B_CategorieBoekjaar[[#This Row],[BedrijfsCode]]="001",IF(report_B_CategorieBoekjaar[[#This Row],[Boekjaar]]=Projectbegroting!$K$1,report_B_CategorieBoekjaar[[#This Row],[CategorieCode]],0),0)</f>
        <v>0</v>
      </c>
    </row>
    <row r="1961" spans="1:9" x14ac:dyDescent="0.3">
      <c r="A1961" t="s">
        <v>330</v>
      </c>
      <c r="B1961" s="20">
        <v>43466</v>
      </c>
      <c r="C1961" t="s">
        <v>62</v>
      </c>
      <c r="D1961" t="s">
        <v>473</v>
      </c>
      <c r="E1961" t="s">
        <v>381</v>
      </c>
      <c r="F1961">
        <v>42</v>
      </c>
      <c r="G1961">
        <v>0</v>
      </c>
      <c r="H1961">
        <f>IF(report_B_CategorieBoekjaar[[#This Row],[BedrijfsCode]]="002",IF(report_B_CategorieBoekjaar[[#This Row],[Boekjaar]]=Projectbegroting!$K$1,report_B_CategorieBoekjaar[[#This Row],[CategorieCode]],0),0)</f>
        <v>0</v>
      </c>
      <c r="I1961">
        <f>IF(report_B_CategorieBoekjaar[[#This Row],[BedrijfsCode]]="001",IF(report_B_CategorieBoekjaar[[#This Row],[Boekjaar]]=Projectbegroting!$K$1,report_B_CategorieBoekjaar[[#This Row],[CategorieCode]],0),0)</f>
        <v>0</v>
      </c>
    </row>
    <row r="1962" spans="1:9" x14ac:dyDescent="0.3">
      <c r="A1962" t="s">
        <v>330</v>
      </c>
      <c r="B1962" s="20">
        <v>43466</v>
      </c>
      <c r="C1962" t="s">
        <v>474</v>
      </c>
      <c r="D1962" t="s">
        <v>475</v>
      </c>
      <c r="E1962" t="s">
        <v>384</v>
      </c>
      <c r="F1962">
        <v>0</v>
      </c>
      <c r="G1962">
        <v>0</v>
      </c>
      <c r="H1962">
        <f>IF(report_B_CategorieBoekjaar[[#This Row],[BedrijfsCode]]="002",IF(report_B_CategorieBoekjaar[[#This Row],[Boekjaar]]=Projectbegroting!$K$1,report_B_CategorieBoekjaar[[#This Row],[CategorieCode]],0),0)</f>
        <v>0</v>
      </c>
      <c r="I1962">
        <f>IF(report_B_CategorieBoekjaar[[#This Row],[BedrijfsCode]]="001",IF(report_B_CategorieBoekjaar[[#This Row],[Boekjaar]]=Projectbegroting!$K$1,report_B_CategorieBoekjaar[[#This Row],[CategorieCode]],0),0)</f>
        <v>0</v>
      </c>
    </row>
    <row r="1963" spans="1:9" x14ac:dyDescent="0.3">
      <c r="A1963" t="s">
        <v>330</v>
      </c>
      <c r="B1963" s="20">
        <v>43466</v>
      </c>
      <c r="C1963" t="s">
        <v>64</v>
      </c>
      <c r="D1963" t="s">
        <v>476</v>
      </c>
      <c r="E1963" t="s">
        <v>381</v>
      </c>
      <c r="F1963">
        <v>38</v>
      </c>
      <c r="G1963">
        <v>0</v>
      </c>
      <c r="H1963">
        <f>IF(report_B_CategorieBoekjaar[[#This Row],[BedrijfsCode]]="002",IF(report_B_CategorieBoekjaar[[#This Row],[Boekjaar]]=Projectbegroting!$K$1,report_B_CategorieBoekjaar[[#This Row],[CategorieCode]],0),0)</f>
        <v>0</v>
      </c>
      <c r="I1963">
        <f>IF(report_B_CategorieBoekjaar[[#This Row],[BedrijfsCode]]="001",IF(report_B_CategorieBoekjaar[[#This Row],[Boekjaar]]=Projectbegroting!$K$1,report_B_CategorieBoekjaar[[#This Row],[CategorieCode]],0),0)</f>
        <v>0</v>
      </c>
    </row>
    <row r="1964" spans="1:9" x14ac:dyDescent="0.3">
      <c r="A1964" t="s">
        <v>330</v>
      </c>
      <c r="B1964" s="20">
        <v>43466</v>
      </c>
      <c r="C1964" t="s">
        <v>477</v>
      </c>
      <c r="D1964" t="s">
        <v>478</v>
      </c>
      <c r="E1964" t="s">
        <v>384</v>
      </c>
      <c r="F1964">
        <v>0</v>
      </c>
      <c r="G1964">
        <v>0</v>
      </c>
      <c r="H1964">
        <f>IF(report_B_CategorieBoekjaar[[#This Row],[BedrijfsCode]]="002",IF(report_B_CategorieBoekjaar[[#This Row],[Boekjaar]]=Projectbegroting!$K$1,report_B_CategorieBoekjaar[[#This Row],[CategorieCode]],0),0)</f>
        <v>0</v>
      </c>
      <c r="I1964">
        <f>IF(report_B_CategorieBoekjaar[[#This Row],[BedrijfsCode]]="001",IF(report_B_CategorieBoekjaar[[#This Row],[Boekjaar]]=Projectbegroting!$K$1,report_B_CategorieBoekjaar[[#This Row],[CategorieCode]],0),0)</f>
        <v>0</v>
      </c>
    </row>
    <row r="1965" spans="1:9" x14ac:dyDescent="0.3">
      <c r="A1965" t="s">
        <v>330</v>
      </c>
      <c r="B1965" s="20">
        <v>43466</v>
      </c>
      <c r="C1965" t="s">
        <v>80</v>
      </c>
      <c r="D1965" t="s">
        <v>81</v>
      </c>
      <c r="E1965" t="s">
        <v>381</v>
      </c>
      <c r="F1965">
        <v>66</v>
      </c>
      <c r="G1965">
        <v>0</v>
      </c>
      <c r="H1965">
        <f>IF(report_B_CategorieBoekjaar[[#This Row],[BedrijfsCode]]="002",IF(report_B_CategorieBoekjaar[[#This Row],[Boekjaar]]=Projectbegroting!$K$1,report_B_CategorieBoekjaar[[#This Row],[CategorieCode]],0),0)</f>
        <v>0</v>
      </c>
      <c r="I1965">
        <f>IF(report_B_CategorieBoekjaar[[#This Row],[BedrijfsCode]]="001",IF(report_B_CategorieBoekjaar[[#This Row],[Boekjaar]]=Projectbegroting!$K$1,report_B_CategorieBoekjaar[[#This Row],[CategorieCode]],0),0)</f>
        <v>0</v>
      </c>
    </row>
    <row r="1966" spans="1:9" x14ac:dyDescent="0.3">
      <c r="A1966" t="s">
        <v>330</v>
      </c>
      <c r="B1966" s="20">
        <v>43466</v>
      </c>
      <c r="C1966" t="s">
        <v>479</v>
      </c>
      <c r="D1966" t="s">
        <v>480</v>
      </c>
      <c r="E1966" t="s">
        <v>384</v>
      </c>
      <c r="F1966">
        <v>0</v>
      </c>
      <c r="G1966">
        <v>0</v>
      </c>
      <c r="H1966">
        <f>IF(report_B_CategorieBoekjaar[[#This Row],[BedrijfsCode]]="002",IF(report_B_CategorieBoekjaar[[#This Row],[Boekjaar]]=Projectbegroting!$K$1,report_B_CategorieBoekjaar[[#This Row],[CategorieCode]],0),0)</f>
        <v>0</v>
      </c>
      <c r="I1966">
        <f>IF(report_B_CategorieBoekjaar[[#This Row],[BedrijfsCode]]="001",IF(report_B_CategorieBoekjaar[[#This Row],[Boekjaar]]=Projectbegroting!$K$1,report_B_CategorieBoekjaar[[#This Row],[CategorieCode]],0),0)</f>
        <v>0</v>
      </c>
    </row>
    <row r="1967" spans="1:9" x14ac:dyDescent="0.3">
      <c r="A1967" t="s">
        <v>330</v>
      </c>
      <c r="B1967" s="20">
        <v>43466</v>
      </c>
      <c r="C1967" t="s">
        <v>481</v>
      </c>
      <c r="D1967" t="s">
        <v>482</v>
      </c>
      <c r="E1967" t="s">
        <v>384</v>
      </c>
      <c r="F1967">
        <v>0</v>
      </c>
      <c r="G1967">
        <v>0</v>
      </c>
      <c r="H1967">
        <f>IF(report_B_CategorieBoekjaar[[#This Row],[BedrijfsCode]]="002",IF(report_B_CategorieBoekjaar[[#This Row],[Boekjaar]]=Projectbegroting!$K$1,report_B_CategorieBoekjaar[[#This Row],[CategorieCode]],0),0)</f>
        <v>0</v>
      </c>
      <c r="I1967">
        <f>IF(report_B_CategorieBoekjaar[[#This Row],[BedrijfsCode]]="001",IF(report_B_CategorieBoekjaar[[#This Row],[Boekjaar]]=Projectbegroting!$K$1,report_B_CategorieBoekjaar[[#This Row],[CategorieCode]],0),0)</f>
        <v>0</v>
      </c>
    </row>
    <row r="1968" spans="1:9" x14ac:dyDescent="0.3">
      <c r="A1968" t="s">
        <v>330</v>
      </c>
      <c r="B1968" s="20">
        <v>43466</v>
      </c>
      <c r="C1968" t="s">
        <v>98</v>
      </c>
      <c r="D1968" t="s">
        <v>99</v>
      </c>
      <c r="E1968" t="s">
        <v>381</v>
      </c>
      <c r="F1968">
        <v>54</v>
      </c>
      <c r="G1968">
        <v>94</v>
      </c>
      <c r="H1968">
        <f>IF(report_B_CategorieBoekjaar[[#This Row],[BedrijfsCode]]="002",IF(report_B_CategorieBoekjaar[[#This Row],[Boekjaar]]=Projectbegroting!$K$1,report_B_CategorieBoekjaar[[#This Row],[CategorieCode]],0),0)</f>
        <v>0</v>
      </c>
      <c r="I1968">
        <f>IF(report_B_CategorieBoekjaar[[#This Row],[BedrijfsCode]]="001",IF(report_B_CategorieBoekjaar[[#This Row],[Boekjaar]]=Projectbegroting!$K$1,report_B_CategorieBoekjaar[[#This Row],[CategorieCode]],0),0)</f>
        <v>0</v>
      </c>
    </row>
    <row r="1969" spans="1:9" x14ac:dyDescent="0.3">
      <c r="A1969" t="s">
        <v>330</v>
      </c>
      <c r="B1969" s="20">
        <v>43466</v>
      </c>
      <c r="C1969" t="s">
        <v>485</v>
      </c>
      <c r="D1969" t="s">
        <v>486</v>
      </c>
      <c r="E1969" t="s">
        <v>384</v>
      </c>
      <c r="F1969">
        <v>0</v>
      </c>
      <c r="G1969">
        <v>0</v>
      </c>
      <c r="H1969">
        <f>IF(report_B_CategorieBoekjaar[[#This Row],[BedrijfsCode]]="002",IF(report_B_CategorieBoekjaar[[#This Row],[Boekjaar]]=Projectbegroting!$K$1,report_B_CategorieBoekjaar[[#This Row],[CategorieCode]],0),0)</f>
        <v>0</v>
      </c>
      <c r="I1969">
        <f>IF(report_B_CategorieBoekjaar[[#This Row],[BedrijfsCode]]="001",IF(report_B_CategorieBoekjaar[[#This Row],[Boekjaar]]=Projectbegroting!$K$1,report_B_CategorieBoekjaar[[#This Row],[CategorieCode]],0),0)</f>
        <v>0</v>
      </c>
    </row>
    <row r="1970" spans="1:9" x14ac:dyDescent="0.3">
      <c r="A1970" t="s">
        <v>330</v>
      </c>
      <c r="B1970" s="20">
        <v>43466</v>
      </c>
      <c r="C1970" t="s">
        <v>175</v>
      </c>
      <c r="D1970" t="s">
        <v>487</v>
      </c>
      <c r="E1970" t="s">
        <v>384</v>
      </c>
      <c r="F1970">
        <v>0</v>
      </c>
      <c r="G1970">
        <v>0</v>
      </c>
      <c r="H1970">
        <f>IF(report_B_CategorieBoekjaar[[#This Row],[BedrijfsCode]]="002",IF(report_B_CategorieBoekjaar[[#This Row],[Boekjaar]]=Projectbegroting!$K$1,report_B_CategorieBoekjaar[[#This Row],[CategorieCode]],0),0)</f>
        <v>0</v>
      </c>
      <c r="I1970">
        <f>IF(report_B_CategorieBoekjaar[[#This Row],[BedrijfsCode]]="001",IF(report_B_CategorieBoekjaar[[#This Row],[Boekjaar]]=Projectbegroting!$K$1,report_B_CategorieBoekjaar[[#This Row],[CategorieCode]],0),0)</f>
        <v>0</v>
      </c>
    </row>
    <row r="1971" spans="1:9" x14ac:dyDescent="0.3">
      <c r="A1971" t="s">
        <v>330</v>
      </c>
      <c r="B1971" s="20">
        <v>43466</v>
      </c>
      <c r="C1971" t="s">
        <v>488</v>
      </c>
      <c r="D1971" t="s">
        <v>489</v>
      </c>
      <c r="E1971" t="s">
        <v>381</v>
      </c>
      <c r="F1971">
        <v>70</v>
      </c>
      <c r="G1971">
        <v>98</v>
      </c>
      <c r="H1971">
        <f>IF(report_B_CategorieBoekjaar[[#This Row],[BedrijfsCode]]="002",IF(report_B_CategorieBoekjaar[[#This Row],[Boekjaar]]=Projectbegroting!$K$1,report_B_CategorieBoekjaar[[#This Row],[CategorieCode]],0),0)</f>
        <v>0</v>
      </c>
      <c r="I1971">
        <f>IF(report_B_CategorieBoekjaar[[#This Row],[BedrijfsCode]]="001",IF(report_B_CategorieBoekjaar[[#This Row],[Boekjaar]]=Projectbegroting!$K$1,report_B_CategorieBoekjaar[[#This Row],[CategorieCode]],0),0)</f>
        <v>0</v>
      </c>
    </row>
    <row r="1972" spans="1:9" x14ac:dyDescent="0.3">
      <c r="A1972" t="s">
        <v>330</v>
      </c>
      <c r="B1972" s="20">
        <v>43466</v>
      </c>
      <c r="C1972" t="s">
        <v>490</v>
      </c>
      <c r="D1972" t="s">
        <v>491</v>
      </c>
      <c r="E1972" t="s">
        <v>384</v>
      </c>
      <c r="F1972">
        <v>0</v>
      </c>
      <c r="G1972">
        <v>0</v>
      </c>
      <c r="H1972">
        <f>IF(report_B_CategorieBoekjaar[[#This Row],[BedrijfsCode]]="002",IF(report_B_CategorieBoekjaar[[#This Row],[Boekjaar]]=Projectbegroting!$K$1,report_B_CategorieBoekjaar[[#This Row],[CategorieCode]],0),0)</f>
        <v>0</v>
      </c>
      <c r="I1972">
        <f>IF(report_B_CategorieBoekjaar[[#This Row],[BedrijfsCode]]="001",IF(report_B_CategorieBoekjaar[[#This Row],[Boekjaar]]=Projectbegroting!$K$1,report_B_CategorieBoekjaar[[#This Row],[CategorieCode]],0),0)</f>
        <v>0</v>
      </c>
    </row>
    <row r="1973" spans="1:9" x14ac:dyDescent="0.3">
      <c r="A1973" t="s">
        <v>330</v>
      </c>
      <c r="B1973" s="20">
        <v>43466</v>
      </c>
      <c r="C1973" t="s">
        <v>68</v>
      </c>
      <c r="D1973" t="s">
        <v>492</v>
      </c>
      <c r="E1973" t="s">
        <v>381</v>
      </c>
      <c r="F1973">
        <v>44</v>
      </c>
      <c r="G1973">
        <v>79</v>
      </c>
      <c r="H1973">
        <f>IF(report_B_CategorieBoekjaar[[#This Row],[BedrijfsCode]]="002",IF(report_B_CategorieBoekjaar[[#This Row],[Boekjaar]]=Projectbegroting!$K$1,report_B_CategorieBoekjaar[[#This Row],[CategorieCode]],0),0)</f>
        <v>0</v>
      </c>
      <c r="I1973">
        <f>IF(report_B_CategorieBoekjaar[[#This Row],[BedrijfsCode]]="001",IF(report_B_CategorieBoekjaar[[#This Row],[Boekjaar]]=Projectbegroting!$K$1,report_B_CategorieBoekjaar[[#This Row],[CategorieCode]],0),0)</f>
        <v>0</v>
      </c>
    </row>
    <row r="1974" spans="1:9" x14ac:dyDescent="0.3">
      <c r="A1974" t="s">
        <v>330</v>
      </c>
      <c r="B1974" s="20">
        <v>43466</v>
      </c>
      <c r="C1974" t="s">
        <v>177</v>
      </c>
      <c r="D1974" t="s">
        <v>493</v>
      </c>
      <c r="E1974" t="s">
        <v>384</v>
      </c>
      <c r="F1974">
        <v>0</v>
      </c>
      <c r="G1974">
        <v>0</v>
      </c>
      <c r="H1974">
        <f>IF(report_B_CategorieBoekjaar[[#This Row],[BedrijfsCode]]="002",IF(report_B_CategorieBoekjaar[[#This Row],[Boekjaar]]=Projectbegroting!$K$1,report_B_CategorieBoekjaar[[#This Row],[CategorieCode]],0),0)</f>
        <v>0</v>
      </c>
      <c r="I1974">
        <f>IF(report_B_CategorieBoekjaar[[#This Row],[BedrijfsCode]]="001",IF(report_B_CategorieBoekjaar[[#This Row],[Boekjaar]]=Projectbegroting!$K$1,report_B_CategorieBoekjaar[[#This Row],[CategorieCode]],0),0)</f>
        <v>0</v>
      </c>
    </row>
    <row r="1975" spans="1:9" x14ac:dyDescent="0.3">
      <c r="A1975" t="s">
        <v>330</v>
      </c>
      <c r="B1975" s="20">
        <v>43466</v>
      </c>
      <c r="C1975" t="s">
        <v>494</v>
      </c>
      <c r="D1975" t="s">
        <v>495</v>
      </c>
      <c r="E1975" t="s">
        <v>381</v>
      </c>
      <c r="F1975">
        <v>39</v>
      </c>
      <c r="G1975">
        <v>74</v>
      </c>
      <c r="H1975">
        <f>IF(report_B_CategorieBoekjaar[[#This Row],[BedrijfsCode]]="002",IF(report_B_CategorieBoekjaar[[#This Row],[Boekjaar]]=Projectbegroting!$K$1,report_B_CategorieBoekjaar[[#This Row],[CategorieCode]],0),0)</f>
        <v>0</v>
      </c>
      <c r="I1975">
        <f>IF(report_B_CategorieBoekjaar[[#This Row],[BedrijfsCode]]="001",IF(report_B_CategorieBoekjaar[[#This Row],[Boekjaar]]=Projectbegroting!$K$1,report_B_CategorieBoekjaar[[#This Row],[CategorieCode]],0),0)</f>
        <v>0</v>
      </c>
    </row>
    <row r="1976" spans="1:9" x14ac:dyDescent="0.3">
      <c r="A1976" t="s">
        <v>330</v>
      </c>
      <c r="B1976" s="20">
        <v>43466</v>
      </c>
      <c r="C1976" t="s">
        <v>496</v>
      </c>
      <c r="D1976" t="s">
        <v>497</v>
      </c>
      <c r="E1976" t="s">
        <v>384</v>
      </c>
      <c r="F1976">
        <v>0</v>
      </c>
      <c r="G1976">
        <v>0</v>
      </c>
      <c r="H1976">
        <f>IF(report_B_CategorieBoekjaar[[#This Row],[BedrijfsCode]]="002",IF(report_B_CategorieBoekjaar[[#This Row],[Boekjaar]]=Projectbegroting!$K$1,report_B_CategorieBoekjaar[[#This Row],[CategorieCode]],0),0)</f>
        <v>0</v>
      </c>
      <c r="I1976">
        <f>IF(report_B_CategorieBoekjaar[[#This Row],[BedrijfsCode]]="001",IF(report_B_CategorieBoekjaar[[#This Row],[Boekjaar]]=Projectbegroting!$K$1,report_B_CategorieBoekjaar[[#This Row],[CategorieCode]],0),0)</f>
        <v>0</v>
      </c>
    </row>
    <row r="1977" spans="1:9" x14ac:dyDescent="0.3">
      <c r="A1977" t="s">
        <v>330</v>
      </c>
      <c r="B1977" s="20">
        <v>43466</v>
      </c>
      <c r="C1977" t="s">
        <v>70</v>
      </c>
      <c r="D1977" t="s">
        <v>498</v>
      </c>
      <c r="E1977" t="s">
        <v>381</v>
      </c>
      <c r="F1977">
        <v>34</v>
      </c>
      <c r="G1977">
        <v>0</v>
      </c>
      <c r="H1977">
        <f>IF(report_B_CategorieBoekjaar[[#This Row],[BedrijfsCode]]="002",IF(report_B_CategorieBoekjaar[[#This Row],[Boekjaar]]=Projectbegroting!$K$1,report_B_CategorieBoekjaar[[#This Row],[CategorieCode]],0),0)</f>
        <v>0</v>
      </c>
      <c r="I1977">
        <f>IF(report_B_CategorieBoekjaar[[#This Row],[BedrijfsCode]]="001",IF(report_B_CategorieBoekjaar[[#This Row],[Boekjaar]]=Projectbegroting!$K$1,report_B_CategorieBoekjaar[[#This Row],[CategorieCode]],0),0)</f>
        <v>0</v>
      </c>
    </row>
    <row r="1978" spans="1:9" x14ac:dyDescent="0.3">
      <c r="A1978" t="s">
        <v>330</v>
      </c>
      <c r="B1978" s="20">
        <v>43466</v>
      </c>
      <c r="C1978" t="s">
        <v>499</v>
      </c>
      <c r="D1978" t="s">
        <v>500</v>
      </c>
      <c r="E1978" t="s">
        <v>384</v>
      </c>
      <c r="F1978">
        <v>0</v>
      </c>
      <c r="G1978">
        <v>0</v>
      </c>
      <c r="H1978">
        <f>IF(report_B_CategorieBoekjaar[[#This Row],[BedrijfsCode]]="002",IF(report_B_CategorieBoekjaar[[#This Row],[Boekjaar]]=Projectbegroting!$K$1,report_B_CategorieBoekjaar[[#This Row],[CategorieCode]],0),0)</f>
        <v>0</v>
      </c>
      <c r="I1978">
        <f>IF(report_B_CategorieBoekjaar[[#This Row],[BedrijfsCode]]="001",IF(report_B_CategorieBoekjaar[[#This Row],[Boekjaar]]=Projectbegroting!$K$1,report_B_CategorieBoekjaar[[#This Row],[CategorieCode]],0),0)</f>
        <v>0</v>
      </c>
    </row>
    <row r="1979" spans="1:9" x14ac:dyDescent="0.3">
      <c r="A1979" t="s">
        <v>330</v>
      </c>
      <c r="B1979" s="20">
        <v>43466</v>
      </c>
      <c r="C1979" t="s">
        <v>501</v>
      </c>
      <c r="D1979" t="s">
        <v>502</v>
      </c>
      <c r="E1979" t="s">
        <v>381</v>
      </c>
      <c r="F1979">
        <v>71</v>
      </c>
      <c r="G1979">
        <v>107</v>
      </c>
      <c r="H1979">
        <f>IF(report_B_CategorieBoekjaar[[#This Row],[BedrijfsCode]]="002",IF(report_B_CategorieBoekjaar[[#This Row],[Boekjaar]]=Projectbegroting!$K$1,report_B_CategorieBoekjaar[[#This Row],[CategorieCode]],0),0)</f>
        <v>0</v>
      </c>
      <c r="I1979">
        <f>IF(report_B_CategorieBoekjaar[[#This Row],[BedrijfsCode]]="001",IF(report_B_CategorieBoekjaar[[#This Row],[Boekjaar]]=Projectbegroting!$K$1,report_B_CategorieBoekjaar[[#This Row],[CategorieCode]],0),0)</f>
        <v>0</v>
      </c>
    </row>
    <row r="1980" spans="1:9" x14ac:dyDescent="0.3">
      <c r="A1980" t="s">
        <v>330</v>
      </c>
      <c r="B1980" s="20">
        <v>43466</v>
      </c>
      <c r="C1980" t="s">
        <v>503</v>
      </c>
      <c r="D1980" t="s">
        <v>504</v>
      </c>
      <c r="E1980" t="s">
        <v>384</v>
      </c>
      <c r="F1980">
        <v>0</v>
      </c>
      <c r="G1980">
        <v>0</v>
      </c>
      <c r="H1980">
        <f>IF(report_B_CategorieBoekjaar[[#This Row],[BedrijfsCode]]="002",IF(report_B_CategorieBoekjaar[[#This Row],[Boekjaar]]=Projectbegroting!$K$1,report_B_CategorieBoekjaar[[#This Row],[CategorieCode]],0),0)</f>
        <v>0</v>
      </c>
      <c r="I1980">
        <f>IF(report_B_CategorieBoekjaar[[#This Row],[BedrijfsCode]]="001",IF(report_B_CategorieBoekjaar[[#This Row],[Boekjaar]]=Projectbegroting!$K$1,report_B_CategorieBoekjaar[[#This Row],[CategorieCode]],0),0)</f>
        <v>0</v>
      </c>
    </row>
    <row r="1981" spans="1:9" x14ac:dyDescent="0.3">
      <c r="A1981" t="s">
        <v>330</v>
      </c>
      <c r="B1981" s="20">
        <v>43466</v>
      </c>
      <c r="C1981" t="s">
        <v>505</v>
      </c>
      <c r="D1981" t="s">
        <v>506</v>
      </c>
      <c r="E1981" t="s">
        <v>381</v>
      </c>
      <c r="F1981">
        <v>46</v>
      </c>
      <c r="G1981">
        <v>0</v>
      </c>
      <c r="H1981">
        <f>IF(report_B_CategorieBoekjaar[[#This Row],[BedrijfsCode]]="002",IF(report_B_CategorieBoekjaar[[#This Row],[Boekjaar]]=Projectbegroting!$K$1,report_B_CategorieBoekjaar[[#This Row],[CategorieCode]],0),0)</f>
        <v>0</v>
      </c>
      <c r="I1981">
        <f>IF(report_B_CategorieBoekjaar[[#This Row],[BedrijfsCode]]="001",IF(report_B_CategorieBoekjaar[[#This Row],[Boekjaar]]=Projectbegroting!$K$1,report_B_CategorieBoekjaar[[#This Row],[CategorieCode]],0),0)</f>
        <v>0</v>
      </c>
    </row>
    <row r="1982" spans="1:9" x14ac:dyDescent="0.3">
      <c r="A1982" t="s">
        <v>330</v>
      </c>
      <c r="B1982" s="20">
        <v>43466</v>
      </c>
      <c r="C1982" t="s">
        <v>507</v>
      </c>
      <c r="D1982" t="s">
        <v>508</v>
      </c>
      <c r="E1982" t="s">
        <v>384</v>
      </c>
      <c r="F1982">
        <v>0</v>
      </c>
      <c r="G1982">
        <v>0</v>
      </c>
      <c r="H1982">
        <f>IF(report_B_CategorieBoekjaar[[#This Row],[BedrijfsCode]]="002",IF(report_B_CategorieBoekjaar[[#This Row],[Boekjaar]]=Projectbegroting!$K$1,report_B_CategorieBoekjaar[[#This Row],[CategorieCode]],0),0)</f>
        <v>0</v>
      </c>
      <c r="I1982">
        <f>IF(report_B_CategorieBoekjaar[[#This Row],[BedrijfsCode]]="001",IF(report_B_CategorieBoekjaar[[#This Row],[Boekjaar]]=Projectbegroting!$K$1,report_B_CategorieBoekjaar[[#This Row],[CategorieCode]],0),0)</f>
        <v>0</v>
      </c>
    </row>
    <row r="1983" spans="1:9" x14ac:dyDescent="0.3">
      <c r="A1983" t="s">
        <v>330</v>
      </c>
      <c r="B1983" s="20">
        <v>43466</v>
      </c>
      <c r="C1983" t="s">
        <v>509</v>
      </c>
      <c r="D1983" t="s">
        <v>510</v>
      </c>
      <c r="E1983" t="s">
        <v>381</v>
      </c>
      <c r="F1983">
        <v>154</v>
      </c>
      <c r="G1983">
        <v>0</v>
      </c>
      <c r="H1983">
        <f>IF(report_B_CategorieBoekjaar[[#This Row],[BedrijfsCode]]="002",IF(report_B_CategorieBoekjaar[[#This Row],[Boekjaar]]=Projectbegroting!$K$1,report_B_CategorieBoekjaar[[#This Row],[CategorieCode]],0),0)</f>
        <v>0</v>
      </c>
      <c r="I1983">
        <f>IF(report_B_CategorieBoekjaar[[#This Row],[BedrijfsCode]]="001",IF(report_B_CategorieBoekjaar[[#This Row],[Boekjaar]]=Projectbegroting!$K$1,report_B_CategorieBoekjaar[[#This Row],[CategorieCode]],0),0)</f>
        <v>0</v>
      </c>
    </row>
    <row r="1984" spans="1:9" x14ac:dyDescent="0.3">
      <c r="A1984" t="s">
        <v>330</v>
      </c>
      <c r="B1984" s="20">
        <v>43466</v>
      </c>
      <c r="C1984" t="s">
        <v>511</v>
      </c>
      <c r="D1984" t="s">
        <v>512</v>
      </c>
      <c r="E1984" t="s">
        <v>381</v>
      </c>
      <c r="F1984">
        <v>0</v>
      </c>
      <c r="G1984">
        <v>0</v>
      </c>
      <c r="H1984">
        <f>IF(report_B_CategorieBoekjaar[[#This Row],[BedrijfsCode]]="002",IF(report_B_CategorieBoekjaar[[#This Row],[Boekjaar]]=Projectbegroting!$K$1,report_B_CategorieBoekjaar[[#This Row],[CategorieCode]],0),0)</f>
        <v>0</v>
      </c>
      <c r="I1984">
        <f>IF(report_B_CategorieBoekjaar[[#This Row],[BedrijfsCode]]="001",IF(report_B_CategorieBoekjaar[[#This Row],[Boekjaar]]=Projectbegroting!$K$1,report_B_CategorieBoekjaar[[#This Row],[CategorieCode]],0),0)</f>
        <v>0</v>
      </c>
    </row>
    <row r="1985" spans="1:9" x14ac:dyDescent="0.3">
      <c r="A1985" t="s">
        <v>330</v>
      </c>
      <c r="B1985" s="20">
        <v>43466</v>
      </c>
      <c r="C1985" t="s">
        <v>92</v>
      </c>
      <c r="D1985" t="s">
        <v>513</v>
      </c>
      <c r="E1985" t="s">
        <v>381</v>
      </c>
      <c r="F1985">
        <v>58</v>
      </c>
      <c r="G1985">
        <v>86</v>
      </c>
      <c r="H1985">
        <f>IF(report_B_CategorieBoekjaar[[#This Row],[BedrijfsCode]]="002",IF(report_B_CategorieBoekjaar[[#This Row],[Boekjaar]]=Projectbegroting!$K$1,report_B_CategorieBoekjaar[[#This Row],[CategorieCode]],0),0)</f>
        <v>0</v>
      </c>
      <c r="I1985">
        <f>IF(report_B_CategorieBoekjaar[[#This Row],[BedrijfsCode]]="001",IF(report_B_CategorieBoekjaar[[#This Row],[Boekjaar]]=Projectbegroting!$K$1,report_B_CategorieBoekjaar[[#This Row],[CategorieCode]],0),0)</f>
        <v>0</v>
      </c>
    </row>
    <row r="1986" spans="1:9" x14ac:dyDescent="0.3">
      <c r="A1986" t="s">
        <v>330</v>
      </c>
      <c r="B1986" s="20">
        <v>43466</v>
      </c>
      <c r="C1986" t="s">
        <v>514</v>
      </c>
      <c r="D1986" t="s">
        <v>515</v>
      </c>
      <c r="E1986" t="s">
        <v>384</v>
      </c>
      <c r="F1986">
        <v>0</v>
      </c>
      <c r="G1986">
        <v>0</v>
      </c>
      <c r="H1986">
        <f>IF(report_B_CategorieBoekjaar[[#This Row],[BedrijfsCode]]="002",IF(report_B_CategorieBoekjaar[[#This Row],[Boekjaar]]=Projectbegroting!$K$1,report_B_CategorieBoekjaar[[#This Row],[CategorieCode]],0),0)</f>
        <v>0</v>
      </c>
      <c r="I1986">
        <f>IF(report_B_CategorieBoekjaar[[#This Row],[BedrijfsCode]]="001",IF(report_B_CategorieBoekjaar[[#This Row],[Boekjaar]]=Projectbegroting!$K$1,report_B_CategorieBoekjaar[[#This Row],[CategorieCode]],0),0)</f>
        <v>0</v>
      </c>
    </row>
    <row r="1987" spans="1:9" x14ac:dyDescent="0.3">
      <c r="A1987" t="s">
        <v>330</v>
      </c>
      <c r="B1987" s="20">
        <v>43466</v>
      </c>
      <c r="C1987" t="s">
        <v>72</v>
      </c>
      <c r="D1987" t="s">
        <v>516</v>
      </c>
      <c r="E1987" t="s">
        <v>381</v>
      </c>
      <c r="F1987">
        <v>42</v>
      </c>
      <c r="G1987">
        <v>70</v>
      </c>
      <c r="H1987">
        <f>IF(report_B_CategorieBoekjaar[[#This Row],[BedrijfsCode]]="002",IF(report_B_CategorieBoekjaar[[#This Row],[Boekjaar]]=Projectbegroting!$K$1,report_B_CategorieBoekjaar[[#This Row],[CategorieCode]],0),0)</f>
        <v>0</v>
      </c>
      <c r="I1987">
        <f>IF(report_B_CategorieBoekjaar[[#This Row],[BedrijfsCode]]="001",IF(report_B_CategorieBoekjaar[[#This Row],[Boekjaar]]=Projectbegroting!$K$1,report_B_CategorieBoekjaar[[#This Row],[CategorieCode]],0),0)</f>
        <v>0</v>
      </c>
    </row>
    <row r="1988" spans="1:9" x14ac:dyDescent="0.3">
      <c r="A1988" t="s">
        <v>330</v>
      </c>
      <c r="B1988" s="20">
        <v>43466</v>
      </c>
      <c r="C1988" t="s">
        <v>517</v>
      </c>
      <c r="D1988" t="s">
        <v>518</v>
      </c>
      <c r="E1988" t="s">
        <v>384</v>
      </c>
      <c r="F1988">
        <v>0</v>
      </c>
      <c r="G1988">
        <v>0</v>
      </c>
      <c r="H1988">
        <f>IF(report_B_CategorieBoekjaar[[#This Row],[BedrijfsCode]]="002",IF(report_B_CategorieBoekjaar[[#This Row],[Boekjaar]]=Projectbegroting!$K$1,report_B_CategorieBoekjaar[[#This Row],[CategorieCode]],0),0)</f>
        <v>0</v>
      </c>
      <c r="I1988">
        <f>IF(report_B_CategorieBoekjaar[[#This Row],[BedrijfsCode]]="001",IF(report_B_CategorieBoekjaar[[#This Row],[Boekjaar]]=Projectbegroting!$K$1,report_B_CategorieBoekjaar[[#This Row],[CategorieCode]],0),0)</f>
        <v>0</v>
      </c>
    </row>
    <row r="1989" spans="1:9" x14ac:dyDescent="0.3">
      <c r="A1989" t="s">
        <v>330</v>
      </c>
      <c r="B1989" s="20">
        <v>43466</v>
      </c>
      <c r="C1989" t="s">
        <v>74</v>
      </c>
      <c r="D1989" t="s">
        <v>75</v>
      </c>
      <c r="E1989" t="s">
        <v>381</v>
      </c>
      <c r="F1989">
        <v>36</v>
      </c>
      <c r="G1989">
        <v>64</v>
      </c>
      <c r="H1989">
        <f>IF(report_B_CategorieBoekjaar[[#This Row],[BedrijfsCode]]="002",IF(report_B_CategorieBoekjaar[[#This Row],[Boekjaar]]=Projectbegroting!$K$1,report_B_CategorieBoekjaar[[#This Row],[CategorieCode]],0),0)</f>
        <v>0</v>
      </c>
      <c r="I1989">
        <f>IF(report_B_CategorieBoekjaar[[#This Row],[BedrijfsCode]]="001",IF(report_B_CategorieBoekjaar[[#This Row],[Boekjaar]]=Projectbegroting!$K$1,report_B_CategorieBoekjaar[[#This Row],[CategorieCode]],0),0)</f>
        <v>0</v>
      </c>
    </row>
    <row r="1990" spans="1:9" x14ac:dyDescent="0.3">
      <c r="A1990" t="s">
        <v>330</v>
      </c>
      <c r="B1990" s="20">
        <v>43466</v>
      </c>
      <c r="C1990" t="s">
        <v>178</v>
      </c>
      <c r="D1990" t="s">
        <v>519</v>
      </c>
      <c r="E1990" t="s">
        <v>384</v>
      </c>
      <c r="F1990">
        <v>0</v>
      </c>
      <c r="G1990">
        <v>0</v>
      </c>
      <c r="H1990">
        <f>IF(report_B_CategorieBoekjaar[[#This Row],[BedrijfsCode]]="002",IF(report_B_CategorieBoekjaar[[#This Row],[Boekjaar]]=Projectbegroting!$K$1,report_B_CategorieBoekjaar[[#This Row],[CategorieCode]],0),0)</f>
        <v>0</v>
      </c>
      <c r="I1990">
        <f>IF(report_B_CategorieBoekjaar[[#This Row],[BedrijfsCode]]="001",IF(report_B_CategorieBoekjaar[[#This Row],[Boekjaar]]=Projectbegroting!$K$1,report_B_CategorieBoekjaar[[#This Row],[CategorieCode]],0),0)</f>
        <v>0</v>
      </c>
    </row>
    <row r="1991" spans="1:9" x14ac:dyDescent="0.3">
      <c r="A1991" t="s">
        <v>330</v>
      </c>
      <c r="B1991" s="20">
        <v>43466</v>
      </c>
      <c r="C1991" t="s">
        <v>520</v>
      </c>
      <c r="D1991" t="s">
        <v>521</v>
      </c>
      <c r="E1991" t="s">
        <v>384</v>
      </c>
      <c r="F1991">
        <v>0</v>
      </c>
      <c r="G1991">
        <v>0</v>
      </c>
      <c r="H1991">
        <f>IF(report_B_CategorieBoekjaar[[#This Row],[BedrijfsCode]]="002",IF(report_B_CategorieBoekjaar[[#This Row],[Boekjaar]]=Projectbegroting!$K$1,report_B_CategorieBoekjaar[[#This Row],[CategorieCode]],0),0)</f>
        <v>0</v>
      </c>
      <c r="I1991">
        <f>IF(report_B_CategorieBoekjaar[[#This Row],[BedrijfsCode]]="001",IF(report_B_CategorieBoekjaar[[#This Row],[Boekjaar]]=Projectbegroting!$K$1,report_B_CategorieBoekjaar[[#This Row],[CategorieCode]],0),0)</f>
        <v>0</v>
      </c>
    </row>
    <row r="1992" spans="1:9" x14ac:dyDescent="0.3">
      <c r="A1992" t="s">
        <v>330</v>
      </c>
      <c r="B1992" s="20">
        <v>43466</v>
      </c>
      <c r="C1992" t="s">
        <v>522</v>
      </c>
      <c r="D1992" t="s">
        <v>523</v>
      </c>
      <c r="E1992" t="s">
        <v>381</v>
      </c>
      <c r="F1992">
        <v>75</v>
      </c>
      <c r="G1992">
        <v>0</v>
      </c>
      <c r="H1992">
        <f>IF(report_B_CategorieBoekjaar[[#This Row],[BedrijfsCode]]="002",IF(report_B_CategorieBoekjaar[[#This Row],[Boekjaar]]=Projectbegroting!$K$1,report_B_CategorieBoekjaar[[#This Row],[CategorieCode]],0),0)</f>
        <v>0</v>
      </c>
      <c r="I1992">
        <f>IF(report_B_CategorieBoekjaar[[#This Row],[BedrijfsCode]]="001",IF(report_B_CategorieBoekjaar[[#This Row],[Boekjaar]]=Projectbegroting!$K$1,report_B_CategorieBoekjaar[[#This Row],[CategorieCode]],0),0)</f>
        <v>0</v>
      </c>
    </row>
    <row r="1993" spans="1:9" x14ac:dyDescent="0.3">
      <c r="A1993" t="s">
        <v>330</v>
      </c>
      <c r="B1993" s="20">
        <v>43466</v>
      </c>
      <c r="C1993" t="s">
        <v>78</v>
      </c>
      <c r="D1993" t="s">
        <v>79</v>
      </c>
      <c r="E1993" t="s">
        <v>381</v>
      </c>
      <c r="F1993">
        <v>65</v>
      </c>
      <c r="G1993">
        <v>101</v>
      </c>
      <c r="H1993">
        <f>IF(report_B_CategorieBoekjaar[[#This Row],[BedrijfsCode]]="002",IF(report_B_CategorieBoekjaar[[#This Row],[Boekjaar]]=Projectbegroting!$K$1,report_B_CategorieBoekjaar[[#This Row],[CategorieCode]],0),0)</f>
        <v>0</v>
      </c>
      <c r="I1993">
        <f>IF(report_B_CategorieBoekjaar[[#This Row],[BedrijfsCode]]="001",IF(report_B_CategorieBoekjaar[[#This Row],[Boekjaar]]=Projectbegroting!$K$1,report_B_CategorieBoekjaar[[#This Row],[CategorieCode]],0),0)</f>
        <v>0</v>
      </c>
    </row>
    <row r="1994" spans="1:9" x14ac:dyDescent="0.3">
      <c r="A1994" t="s">
        <v>330</v>
      </c>
      <c r="B1994" s="20">
        <v>43466</v>
      </c>
      <c r="C1994" t="s">
        <v>176</v>
      </c>
      <c r="D1994" t="s">
        <v>524</v>
      </c>
      <c r="E1994" t="s">
        <v>384</v>
      </c>
      <c r="F1994">
        <v>0</v>
      </c>
      <c r="G1994">
        <v>0</v>
      </c>
      <c r="H1994">
        <f>IF(report_B_CategorieBoekjaar[[#This Row],[BedrijfsCode]]="002",IF(report_B_CategorieBoekjaar[[#This Row],[Boekjaar]]=Projectbegroting!$K$1,report_B_CategorieBoekjaar[[#This Row],[CategorieCode]],0),0)</f>
        <v>0</v>
      </c>
      <c r="I1994">
        <f>IF(report_B_CategorieBoekjaar[[#This Row],[BedrijfsCode]]="001",IF(report_B_CategorieBoekjaar[[#This Row],[Boekjaar]]=Projectbegroting!$K$1,report_B_CategorieBoekjaar[[#This Row],[CategorieCode]],0),0)</f>
        <v>0</v>
      </c>
    </row>
    <row r="1995" spans="1:9" hidden="1" x14ac:dyDescent="0.3">
      <c r="A1995" t="s">
        <v>525</v>
      </c>
      <c r="B1995" s="20">
        <v>43466</v>
      </c>
      <c r="C1995" t="s">
        <v>179</v>
      </c>
      <c r="D1995" t="s">
        <v>331</v>
      </c>
      <c r="E1995" t="s">
        <v>217</v>
      </c>
      <c r="F1995">
        <v>0</v>
      </c>
      <c r="G1995">
        <v>0</v>
      </c>
      <c r="H1995">
        <f>IF(report_B_CategorieBoekjaar[[#This Row],[BedrijfsCode]]="002",IF(report_B_CategorieBoekjaar[[#This Row],[Boekjaar]]=Projectbegroting!$K$1,report_B_CategorieBoekjaar[[#This Row],[CategorieCode]],0),0)</f>
        <v>0</v>
      </c>
      <c r="I1995">
        <f>IF(report_B_CategorieBoekjaar[[#This Row],[BedrijfsCode]]="001",IF(report_B_CategorieBoekjaar[[#This Row],[Boekjaar]]=Projectbegroting!$K$1,report_B_CategorieBoekjaar[[#This Row],[CategorieCode]],0),0)</f>
        <v>0</v>
      </c>
    </row>
    <row r="1996" spans="1:9" hidden="1" x14ac:dyDescent="0.3">
      <c r="A1996" t="s">
        <v>525</v>
      </c>
      <c r="B1996" s="20">
        <v>43466</v>
      </c>
      <c r="C1996" t="s">
        <v>180</v>
      </c>
      <c r="D1996" t="s">
        <v>332</v>
      </c>
      <c r="E1996" t="s">
        <v>217</v>
      </c>
      <c r="F1996">
        <v>0</v>
      </c>
      <c r="G1996">
        <v>0</v>
      </c>
      <c r="H1996">
        <f>IF(report_B_CategorieBoekjaar[[#This Row],[BedrijfsCode]]="002",IF(report_B_CategorieBoekjaar[[#This Row],[Boekjaar]]=Projectbegroting!$K$1,report_B_CategorieBoekjaar[[#This Row],[CategorieCode]],0),0)</f>
        <v>0</v>
      </c>
      <c r="I1996">
        <f>IF(report_B_CategorieBoekjaar[[#This Row],[BedrijfsCode]]="001",IF(report_B_CategorieBoekjaar[[#This Row],[Boekjaar]]=Projectbegroting!$K$1,report_B_CategorieBoekjaar[[#This Row],[CategorieCode]],0),0)</f>
        <v>0</v>
      </c>
    </row>
    <row r="1997" spans="1:9" hidden="1" x14ac:dyDescent="0.3">
      <c r="A1997" t="s">
        <v>525</v>
      </c>
      <c r="B1997" s="20">
        <v>43466</v>
      </c>
      <c r="C1997" t="s">
        <v>181</v>
      </c>
      <c r="D1997" t="s">
        <v>333</v>
      </c>
      <c r="E1997" t="s">
        <v>217</v>
      </c>
      <c r="F1997">
        <v>0</v>
      </c>
      <c r="G1997">
        <v>0</v>
      </c>
      <c r="H1997">
        <f>IF(report_B_CategorieBoekjaar[[#This Row],[BedrijfsCode]]="002",IF(report_B_CategorieBoekjaar[[#This Row],[Boekjaar]]=Projectbegroting!$K$1,report_B_CategorieBoekjaar[[#This Row],[CategorieCode]],0),0)</f>
        <v>0</v>
      </c>
      <c r="I1997">
        <f>IF(report_B_CategorieBoekjaar[[#This Row],[BedrijfsCode]]="001",IF(report_B_CategorieBoekjaar[[#This Row],[Boekjaar]]=Projectbegroting!$K$1,report_B_CategorieBoekjaar[[#This Row],[CategorieCode]],0),0)</f>
        <v>0</v>
      </c>
    </row>
    <row r="1998" spans="1:9" hidden="1" x14ac:dyDescent="0.3">
      <c r="A1998" t="s">
        <v>525</v>
      </c>
      <c r="B1998" s="20">
        <v>43466</v>
      </c>
      <c r="C1998" t="s">
        <v>182</v>
      </c>
      <c r="D1998" t="s">
        <v>334</v>
      </c>
      <c r="E1998" t="s">
        <v>217</v>
      </c>
      <c r="F1998">
        <v>0</v>
      </c>
      <c r="G1998">
        <v>0</v>
      </c>
      <c r="H1998">
        <f>IF(report_B_CategorieBoekjaar[[#This Row],[BedrijfsCode]]="002",IF(report_B_CategorieBoekjaar[[#This Row],[Boekjaar]]=Projectbegroting!$K$1,report_B_CategorieBoekjaar[[#This Row],[CategorieCode]],0),0)</f>
        <v>0</v>
      </c>
      <c r="I1998">
        <f>IF(report_B_CategorieBoekjaar[[#This Row],[BedrijfsCode]]="001",IF(report_B_CategorieBoekjaar[[#This Row],[Boekjaar]]=Projectbegroting!$K$1,report_B_CategorieBoekjaar[[#This Row],[CategorieCode]],0),0)</f>
        <v>0</v>
      </c>
    </row>
    <row r="1999" spans="1:9" hidden="1" x14ac:dyDescent="0.3">
      <c r="A1999" t="s">
        <v>525</v>
      </c>
      <c r="B1999" s="20">
        <v>43466</v>
      </c>
      <c r="C1999" t="s">
        <v>183</v>
      </c>
      <c r="D1999" t="s">
        <v>335</v>
      </c>
      <c r="E1999" t="s">
        <v>217</v>
      </c>
      <c r="F1999">
        <v>0</v>
      </c>
      <c r="G1999">
        <v>0</v>
      </c>
      <c r="H1999">
        <f>IF(report_B_CategorieBoekjaar[[#This Row],[BedrijfsCode]]="002",IF(report_B_CategorieBoekjaar[[#This Row],[Boekjaar]]=Projectbegroting!$K$1,report_B_CategorieBoekjaar[[#This Row],[CategorieCode]],0),0)</f>
        <v>0</v>
      </c>
      <c r="I1999">
        <f>IF(report_B_CategorieBoekjaar[[#This Row],[BedrijfsCode]]="001",IF(report_B_CategorieBoekjaar[[#This Row],[Boekjaar]]=Projectbegroting!$K$1,report_B_CategorieBoekjaar[[#This Row],[CategorieCode]],0),0)</f>
        <v>0</v>
      </c>
    </row>
    <row r="2000" spans="1:9" hidden="1" x14ac:dyDescent="0.3">
      <c r="A2000" t="s">
        <v>525</v>
      </c>
      <c r="B2000" s="20">
        <v>43466</v>
      </c>
      <c r="C2000" t="s">
        <v>184</v>
      </c>
      <c r="D2000" t="s">
        <v>336</v>
      </c>
      <c r="E2000" t="s">
        <v>217</v>
      </c>
      <c r="F2000">
        <v>0</v>
      </c>
      <c r="G2000">
        <v>0</v>
      </c>
      <c r="H2000">
        <f>IF(report_B_CategorieBoekjaar[[#This Row],[BedrijfsCode]]="002",IF(report_B_CategorieBoekjaar[[#This Row],[Boekjaar]]=Projectbegroting!$K$1,report_B_CategorieBoekjaar[[#This Row],[CategorieCode]],0),0)</f>
        <v>0</v>
      </c>
      <c r="I2000">
        <f>IF(report_B_CategorieBoekjaar[[#This Row],[BedrijfsCode]]="001",IF(report_B_CategorieBoekjaar[[#This Row],[Boekjaar]]=Projectbegroting!$K$1,report_B_CategorieBoekjaar[[#This Row],[CategorieCode]],0),0)</f>
        <v>0</v>
      </c>
    </row>
    <row r="2001" spans="1:9" hidden="1" x14ac:dyDescent="0.3">
      <c r="A2001" t="s">
        <v>525</v>
      </c>
      <c r="B2001" s="20">
        <v>43466</v>
      </c>
      <c r="C2001" t="s">
        <v>185</v>
      </c>
      <c r="D2001" t="s">
        <v>337</v>
      </c>
      <c r="E2001" t="s">
        <v>217</v>
      </c>
      <c r="F2001">
        <v>0</v>
      </c>
      <c r="G2001">
        <v>0</v>
      </c>
      <c r="H2001">
        <f>IF(report_B_CategorieBoekjaar[[#This Row],[BedrijfsCode]]="002",IF(report_B_CategorieBoekjaar[[#This Row],[Boekjaar]]=Projectbegroting!$K$1,report_B_CategorieBoekjaar[[#This Row],[CategorieCode]],0),0)</f>
        <v>0</v>
      </c>
      <c r="I2001">
        <f>IF(report_B_CategorieBoekjaar[[#This Row],[BedrijfsCode]]="001",IF(report_B_CategorieBoekjaar[[#This Row],[Boekjaar]]=Projectbegroting!$K$1,report_B_CategorieBoekjaar[[#This Row],[CategorieCode]],0),0)</f>
        <v>0</v>
      </c>
    </row>
    <row r="2002" spans="1:9" hidden="1" x14ac:dyDescent="0.3">
      <c r="A2002" t="s">
        <v>525</v>
      </c>
      <c r="B2002" s="20">
        <v>43466</v>
      </c>
      <c r="C2002" t="s">
        <v>186</v>
      </c>
      <c r="D2002" t="s">
        <v>338</v>
      </c>
      <c r="E2002" t="s">
        <v>217</v>
      </c>
      <c r="F2002">
        <v>0</v>
      </c>
      <c r="G2002">
        <v>0</v>
      </c>
      <c r="H2002">
        <f>IF(report_B_CategorieBoekjaar[[#This Row],[BedrijfsCode]]="002",IF(report_B_CategorieBoekjaar[[#This Row],[Boekjaar]]=Projectbegroting!$K$1,report_B_CategorieBoekjaar[[#This Row],[CategorieCode]],0),0)</f>
        <v>0</v>
      </c>
      <c r="I2002">
        <f>IF(report_B_CategorieBoekjaar[[#This Row],[BedrijfsCode]]="001",IF(report_B_CategorieBoekjaar[[#This Row],[Boekjaar]]=Projectbegroting!$K$1,report_B_CategorieBoekjaar[[#This Row],[CategorieCode]],0),0)</f>
        <v>0</v>
      </c>
    </row>
    <row r="2003" spans="1:9" hidden="1" x14ac:dyDescent="0.3">
      <c r="A2003" t="s">
        <v>525</v>
      </c>
      <c r="B2003" s="20">
        <v>43466</v>
      </c>
      <c r="C2003" t="s">
        <v>187</v>
      </c>
      <c r="D2003" t="s">
        <v>339</v>
      </c>
      <c r="E2003" t="s">
        <v>217</v>
      </c>
      <c r="F2003">
        <v>0</v>
      </c>
      <c r="G2003">
        <v>0</v>
      </c>
      <c r="H2003">
        <f>IF(report_B_CategorieBoekjaar[[#This Row],[BedrijfsCode]]="002",IF(report_B_CategorieBoekjaar[[#This Row],[Boekjaar]]=Projectbegroting!$K$1,report_B_CategorieBoekjaar[[#This Row],[CategorieCode]],0),0)</f>
        <v>0</v>
      </c>
      <c r="I2003">
        <f>IF(report_B_CategorieBoekjaar[[#This Row],[BedrijfsCode]]="001",IF(report_B_CategorieBoekjaar[[#This Row],[Boekjaar]]=Projectbegroting!$K$1,report_B_CategorieBoekjaar[[#This Row],[CategorieCode]],0),0)</f>
        <v>0</v>
      </c>
    </row>
    <row r="2004" spans="1:9" hidden="1" x14ac:dyDescent="0.3">
      <c r="A2004" t="s">
        <v>525</v>
      </c>
      <c r="B2004" s="20">
        <v>43466</v>
      </c>
      <c r="C2004" t="s">
        <v>188</v>
      </c>
      <c r="D2004" t="s">
        <v>340</v>
      </c>
      <c r="E2004" t="s">
        <v>217</v>
      </c>
      <c r="F2004">
        <v>0</v>
      </c>
      <c r="G2004">
        <v>0</v>
      </c>
      <c r="H2004">
        <f>IF(report_B_CategorieBoekjaar[[#This Row],[BedrijfsCode]]="002",IF(report_B_CategorieBoekjaar[[#This Row],[Boekjaar]]=Projectbegroting!$K$1,report_B_CategorieBoekjaar[[#This Row],[CategorieCode]],0),0)</f>
        <v>0</v>
      </c>
      <c r="I2004">
        <f>IF(report_B_CategorieBoekjaar[[#This Row],[BedrijfsCode]]="001",IF(report_B_CategorieBoekjaar[[#This Row],[Boekjaar]]=Projectbegroting!$K$1,report_B_CategorieBoekjaar[[#This Row],[CategorieCode]],0),0)</f>
        <v>0</v>
      </c>
    </row>
    <row r="2005" spans="1:9" hidden="1" x14ac:dyDescent="0.3">
      <c r="A2005" t="s">
        <v>525</v>
      </c>
      <c r="B2005" s="20">
        <v>43466</v>
      </c>
      <c r="C2005" t="s">
        <v>189</v>
      </c>
      <c r="D2005" t="s">
        <v>341</v>
      </c>
      <c r="E2005" t="s">
        <v>217</v>
      </c>
      <c r="F2005">
        <v>0</v>
      </c>
      <c r="G2005">
        <v>0</v>
      </c>
      <c r="H2005">
        <f>IF(report_B_CategorieBoekjaar[[#This Row],[BedrijfsCode]]="002",IF(report_B_CategorieBoekjaar[[#This Row],[Boekjaar]]=Projectbegroting!$K$1,report_B_CategorieBoekjaar[[#This Row],[CategorieCode]],0),0)</f>
        <v>0</v>
      </c>
      <c r="I2005">
        <f>IF(report_B_CategorieBoekjaar[[#This Row],[BedrijfsCode]]="001",IF(report_B_CategorieBoekjaar[[#This Row],[Boekjaar]]=Projectbegroting!$K$1,report_B_CategorieBoekjaar[[#This Row],[CategorieCode]],0),0)</f>
        <v>0</v>
      </c>
    </row>
    <row r="2006" spans="1:9" hidden="1" x14ac:dyDescent="0.3">
      <c r="A2006" t="s">
        <v>525</v>
      </c>
      <c r="B2006" s="20">
        <v>43466</v>
      </c>
      <c r="C2006" t="s">
        <v>190</v>
      </c>
      <c r="D2006" t="s">
        <v>342</v>
      </c>
      <c r="E2006" t="s">
        <v>217</v>
      </c>
      <c r="F2006">
        <v>0</v>
      </c>
      <c r="G2006">
        <v>0</v>
      </c>
      <c r="H2006">
        <f>IF(report_B_CategorieBoekjaar[[#This Row],[BedrijfsCode]]="002",IF(report_B_CategorieBoekjaar[[#This Row],[Boekjaar]]=Projectbegroting!$K$1,report_B_CategorieBoekjaar[[#This Row],[CategorieCode]],0),0)</f>
        <v>0</v>
      </c>
      <c r="I2006">
        <f>IF(report_B_CategorieBoekjaar[[#This Row],[BedrijfsCode]]="001",IF(report_B_CategorieBoekjaar[[#This Row],[Boekjaar]]=Projectbegroting!$K$1,report_B_CategorieBoekjaar[[#This Row],[CategorieCode]],0),0)</f>
        <v>0</v>
      </c>
    </row>
    <row r="2007" spans="1:9" hidden="1" x14ac:dyDescent="0.3">
      <c r="A2007" t="s">
        <v>525</v>
      </c>
      <c r="B2007" s="20">
        <v>43466</v>
      </c>
      <c r="C2007" t="s">
        <v>191</v>
      </c>
      <c r="D2007" t="s">
        <v>343</v>
      </c>
      <c r="E2007" t="s">
        <v>217</v>
      </c>
      <c r="F2007">
        <v>0</v>
      </c>
      <c r="G2007">
        <v>0</v>
      </c>
      <c r="H2007">
        <f>IF(report_B_CategorieBoekjaar[[#This Row],[BedrijfsCode]]="002",IF(report_B_CategorieBoekjaar[[#This Row],[Boekjaar]]=Projectbegroting!$K$1,report_B_CategorieBoekjaar[[#This Row],[CategorieCode]],0),0)</f>
        <v>0</v>
      </c>
      <c r="I2007">
        <f>IF(report_B_CategorieBoekjaar[[#This Row],[BedrijfsCode]]="001",IF(report_B_CategorieBoekjaar[[#This Row],[Boekjaar]]=Projectbegroting!$K$1,report_B_CategorieBoekjaar[[#This Row],[CategorieCode]],0),0)</f>
        <v>0</v>
      </c>
    </row>
    <row r="2008" spans="1:9" hidden="1" x14ac:dyDescent="0.3">
      <c r="A2008" t="s">
        <v>525</v>
      </c>
      <c r="B2008" s="20">
        <v>43466</v>
      </c>
      <c r="C2008" t="s">
        <v>192</v>
      </c>
      <c r="D2008" t="s">
        <v>344</v>
      </c>
      <c r="E2008" t="s">
        <v>217</v>
      </c>
      <c r="F2008">
        <v>0</v>
      </c>
      <c r="G2008">
        <v>0</v>
      </c>
      <c r="H2008">
        <f>IF(report_B_CategorieBoekjaar[[#This Row],[BedrijfsCode]]="002",IF(report_B_CategorieBoekjaar[[#This Row],[Boekjaar]]=Projectbegroting!$K$1,report_B_CategorieBoekjaar[[#This Row],[CategorieCode]],0),0)</f>
        <v>0</v>
      </c>
      <c r="I2008">
        <f>IF(report_B_CategorieBoekjaar[[#This Row],[BedrijfsCode]]="001",IF(report_B_CategorieBoekjaar[[#This Row],[Boekjaar]]=Projectbegroting!$K$1,report_B_CategorieBoekjaar[[#This Row],[CategorieCode]],0),0)</f>
        <v>0</v>
      </c>
    </row>
    <row r="2009" spans="1:9" hidden="1" x14ac:dyDescent="0.3">
      <c r="A2009" t="s">
        <v>525</v>
      </c>
      <c r="B2009" s="20">
        <v>43466</v>
      </c>
      <c r="C2009" t="s">
        <v>193</v>
      </c>
      <c r="D2009" t="s">
        <v>345</v>
      </c>
      <c r="E2009" t="s">
        <v>217</v>
      </c>
      <c r="F2009">
        <v>0</v>
      </c>
      <c r="G2009">
        <v>0</v>
      </c>
      <c r="H2009">
        <f>IF(report_B_CategorieBoekjaar[[#This Row],[BedrijfsCode]]="002",IF(report_B_CategorieBoekjaar[[#This Row],[Boekjaar]]=Projectbegroting!$K$1,report_B_CategorieBoekjaar[[#This Row],[CategorieCode]],0),0)</f>
        <v>0</v>
      </c>
      <c r="I2009">
        <f>IF(report_B_CategorieBoekjaar[[#This Row],[BedrijfsCode]]="001",IF(report_B_CategorieBoekjaar[[#This Row],[Boekjaar]]=Projectbegroting!$K$1,report_B_CategorieBoekjaar[[#This Row],[CategorieCode]],0),0)</f>
        <v>0</v>
      </c>
    </row>
    <row r="2010" spans="1:9" hidden="1" x14ac:dyDescent="0.3">
      <c r="A2010" t="s">
        <v>525</v>
      </c>
      <c r="B2010" s="20">
        <v>43466</v>
      </c>
      <c r="C2010" t="s">
        <v>194</v>
      </c>
      <c r="D2010" t="s">
        <v>346</v>
      </c>
      <c r="E2010" t="s">
        <v>217</v>
      </c>
      <c r="F2010">
        <v>0</v>
      </c>
      <c r="G2010">
        <v>0</v>
      </c>
      <c r="H2010">
        <f>IF(report_B_CategorieBoekjaar[[#This Row],[BedrijfsCode]]="002",IF(report_B_CategorieBoekjaar[[#This Row],[Boekjaar]]=Projectbegroting!$K$1,report_B_CategorieBoekjaar[[#This Row],[CategorieCode]],0),0)</f>
        <v>0</v>
      </c>
      <c r="I2010">
        <f>IF(report_B_CategorieBoekjaar[[#This Row],[BedrijfsCode]]="001",IF(report_B_CategorieBoekjaar[[#This Row],[Boekjaar]]=Projectbegroting!$K$1,report_B_CategorieBoekjaar[[#This Row],[CategorieCode]],0),0)</f>
        <v>0</v>
      </c>
    </row>
    <row r="2011" spans="1:9" hidden="1" x14ac:dyDescent="0.3">
      <c r="A2011" t="s">
        <v>525</v>
      </c>
      <c r="B2011" s="20">
        <v>43466</v>
      </c>
      <c r="C2011" t="s">
        <v>195</v>
      </c>
      <c r="D2011" t="s">
        <v>347</v>
      </c>
      <c r="E2011" t="s">
        <v>217</v>
      </c>
      <c r="F2011">
        <v>0</v>
      </c>
      <c r="G2011">
        <v>0</v>
      </c>
      <c r="H2011">
        <f>IF(report_B_CategorieBoekjaar[[#This Row],[BedrijfsCode]]="002",IF(report_B_CategorieBoekjaar[[#This Row],[Boekjaar]]=Projectbegroting!$K$1,report_B_CategorieBoekjaar[[#This Row],[CategorieCode]],0),0)</f>
        <v>0</v>
      </c>
      <c r="I2011">
        <f>IF(report_B_CategorieBoekjaar[[#This Row],[BedrijfsCode]]="001",IF(report_B_CategorieBoekjaar[[#This Row],[Boekjaar]]=Projectbegroting!$K$1,report_B_CategorieBoekjaar[[#This Row],[CategorieCode]],0),0)</f>
        <v>0</v>
      </c>
    </row>
    <row r="2012" spans="1:9" hidden="1" x14ac:dyDescent="0.3">
      <c r="A2012" t="s">
        <v>525</v>
      </c>
      <c r="B2012" s="20">
        <v>43466</v>
      </c>
      <c r="C2012" t="s">
        <v>196</v>
      </c>
      <c r="D2012" t="s">
        <v>348</v>
      </c>
      <c r="E2012" t="s">
        <v>217</v>
      </c>
      <c r="F2012">
        <v>0</v>
      </c>
      <c r="G2012">
        <v>0</v>
      </c>
      <c r="H2012">
        <f>IF(report_B_CategorieBoekjaar[[#This Row],[BedrijfsCode]]="002",IF(report_B_CategorieBoekjaar[[#This Row],[Boekjaar]]=Projectbegroting!$K$1,report_B_CategorieBoekjaar[[#This Row],[CategorieCode]],0),0)</f>
        <v>0</v>
      </c>
      <c r="I2012">
        <f>IF(report_B_CategorieBoekjaar[[#This Row],[BedrijfsCode]]="001",IF(report_B_CategorieBoekjaar[[#This Row],[Boekjaar]]=Projectbegroting!$K$1,report_B_CategorieBoekjaar[[#This Row],[CategorieCode]],0),0)</f>
        <v>0</v>
      </c>
    </row>
    <row r="2013" spans="1:9" hidden="1" x14ac:dyDescent="0.3">
      <c r="A2013" t="s">
        <v>525</v>
      </c>
      <c r="B2013" s="20">
        <v>43466</v>
      </c>
      <c r="C2013" t="s">
        <v>349</v>
      </c>
      <c r="D2013" t="s">
        <v>350</v>
      </c>
      <c r="E2013" t="s">
        <v>217</v>
      </c>
      <c r="F2013">
        <v>0</v>
      </c>
      <c r="G2013">
        <v>0</v>
      </c>
      <c r="H2013">
        <f>IF(report_B_CategorieBoekjaar[[#This Row],[BedrijfsCode]]="002",IF(report_B_CategorieBoekjaar[[#This Row],[Boekjaar]]=Projectbegroting!$K$1,report_B_CategorieBoekjaar[[#This Row],[CategorieCode]],0),0)</f>
        <v>0</v>
      </c>
      <c r="I2013">
        <f>IF(report_B_CategorieBoekjaar[[#This Row],[BedrijfsCode]]="001",IF(report_B_CategorieBoekjaar[[#This Row],[Boekjaar]]=Projectbegroting!$K$1,report_B_CategorieBoekjaar[[#This Row],[CategorieCode]],0),0)</f>
        <v>0</v>
      </c>
    </row>
    <row r="2014" spans="1:9" hidden="1" x14ac:dyDescent="0.3">
      <c r="A2014" t="s">
        <v>525</v>
      </c>
      <c r="B2014" s="20">
        <v>43466</v>
      </c>
      <c r="C2014" t="s">
        <v>197</v>
      </c>
      <c r="D2014" t="s">
        <v>351</v>
      </c>
      <c r="E2014" t="s">
        <v>217</v>
      </c>
      <c r="F2014">
        <v>0</v>
      </c>
      <c r="G2014">
        <v>0</v>
      </c>
      <c r="H2014">
        <f>IF(report_B_CategorieBoekjaar[[#This Row],[BedrijfsCode]]="002",IF(report_B_CategorieBoekjaar[[#This Row],[Boekjaar]]=Projectbegroting!$K$1,report_B_CategorieBoekjaar[[#This Row],[CategorieCode]],0),0)</f>
        <v>0</v>
      </c>
      <c r="I2014">
        <f>IF(report_B_CategorieBoekjaar[[#This Row],[BedrijfsCode]]="001",IF(report_B_CategorieBoekjaar[[#This Row],[Boekjaar]]=Projectbegroting!$K$1,report_B_CategorieBoekjaar[[#This Row],[CategorieCode]],0),0)</f>
        <v>0</v>
      </c>
    </row>
    <row r="2015" spans="1:9" hidden="1" x14ac:dyDescent="0.3">
      <c r="A2015" t="s">
        <v>525</v>
      </c>
      <c r="B2015" s="20">
        <v>43466</v>
      </c>
      <c r="C2015" t="s">
        <v>198</v>
      </c>
      <c r="D2015" t="s">
        <v>352</v>
      </c>
      <c r="E2015" t="s">
        <v>217</v>
      </c>
      <c r="F2015">
        <v>0</v>
      </c>
      <c r="G2015">
        <v>0</v>
      </c>
      <c r="H2015">
        <f>IF(report_B_CategorieBoekjaar[[#This Row],[BedrijfsCode]]="002",IF(report_B_CategorieBoekjaar[[#This Row],[Boekjaar]]=Projectbegroting!$K$1,report_B_CategorieBoekjaar[[#This Row],[CategorieCode]],0),0)</f>
        <v>0</v>
      </c>
      <c r="I2015">
        <f>IF(report_B_CategorieBoekjaar[[#This Row],[BedrijfsCode]]="001",IF(report_B_CategorieBoekjaar[[#This Row],[Boekjaar]]=Projectbegroting!$K$1,report_B_CategorieBoekjaar[[#This Row],[CategorieCode]],0),0)</f>
        <v>0</v>
      </c>
    </row>
    <row r="2016" spans="1:9" hidden="1" x14ac:dyDescent="0.3">
      <c r="A2016" t="s">
        <v>525</v>
      </c>
      <c r="B2016" s="20">
        <v>43466</v>
      </c>
      <c r="C2016" t="s">
        <v>353</v>
      </c>
      <c r="D2016" t="s">
        <v>354</v>
      </c>
      <c r="E2016" t="s">
        <v>217</v>
      </c>
      <c r="F2016">
        <v>0</v>
      </c>
      <c r="G2016">
        <v>0</v>
      </c>
      <c r="H2016">
        <f>IF(report_B_CategorieBoekjaar[[#This Row],[BedrijfsCode]]="002",IF(report_B_CategorieBoekjaar[[#This Row],[Boekjaar]]=Projectbegroting!$K$1,report_B_CategorieBoekjaar[[#This Row],[CategorieCode]],0),0)</f>
        <v>0</v>
      </c>
      <c r="I2016">
        <f>IF(report_B_CategorieBoekjaar[[#This Row],[BedrijfsCode]]="001",IF(report_B_CategorieBoekjaar[[#This Row],[Boekjaar]]=Projectbegroting!$K$1,report_B_CategorieBoekjaar[[#This Row],[CategorieCode]],0),0)</f>
        <v>0</v>
      </c>
    </row>
    <row r="2017" spans="1:9" hidden="1" x14ac:dyDescent="0.3">
      <c r="A2017" t="s">
        <v>525</v>
      </c>
      <c r="B2017" s="20">
        <v>43466</v>
      </c>
      <c r="C2017" t="s">
        <v>199</v>
      </c>
      <c r="D2017" t="s">
        <v>355</v>
      </c>
      <c r="E2017" t="s">
        <v>217</v>
      </c>
      <c r="F2017">
        <v>0</v>
      </c>
      <c r="G2017">
        <v>0</v>
      </c>
      <c r="H2017">
        <f>IF(report_B_CategorieBoekjaar[[#This Row],[BedrijfsCode]]="002",IF(report_B_CategorieBoekjaar[[#This Row],[Boekjaar]]=Projectbegroting!$K$1,report_B_CategorieBoekjaar[[#This Row],[CategorieCode]],0),0)</f>
        <v>0</v>
      </c>
      <c r="I2017">
        <f>IF(report_B_CategorieBoekjaar[[#This Row],[BedrijfsCode]]="001",IF(report_B_CategorieBoekjaar[[#This Row],[Boekjaar]]=Projectbegroting!$K$1,report_B_CategorieBoekjaar[[#This Row],[CategorieCode]],0),0)</f>
        <v>0</v>
      </c>
    </row>
    <row r="2018" spans="1:9" hidden="1" x14ac:dyDescent="0.3">
      <c r="A2018" t="s">
        <v>525</v>
      </c>
      <c r="B2018" s="20">
        <v>43466</v>
      </c>
      <c r="C2018" t="s">
        <v>200</v>
      </c>
      <c r="D2018" t="s">
        <v>356</v>
      </c>
      <c r="E2018" t="s">
        <v>217</v>
      </c>
      <c r="F2018">
        <v>0</v>
      </c>
      <c r="G2018">
        <v>0</v>
      </c>
      <c r="H2018">
        <f>IF(report_B_CategorieBoekjaar[[#This Row],[BedrijfsCode]]="002",IF(report_B_CategorieBoekjaar[[#This Row],[Boekjaar]]=Projectbegroting!$K$1,report_B_CategorieBoekjaar[[#This Row],[CategorieCode]],0),0)</f>
        <v>0</v>
      </c>
      <c r="I2018">
        <f>IF(report_B_CategorieBoekjaar[[#This Row],[BedrijfsCode]]="001",IF(report_B_CategorieBoekjaar[[#This Row],[Boekjaar]]=Projectbegroting!$K$1,report_B_CategorieBoekjaar[[#This Row],[CategorieCode]],0),0)</f>
        <v>0</v>
      </c>
    </row>
    <row r="2019" spans="1:9" hidden="1" x14ac:dyDescent="0.3">
      <c r="A2019" t="s">
        <v>525</v>
      </c>
      <c r="B2019" s="20">
        <v>43466</v>
      </c>
      <c r="C2019" t="s">
        <v>201</v>
      </c>
      <c r="D2019" t="s">
        <v>357</v>
      </c>
      <c r="E2019" t="s">
        <v>217</v>
      </c>
      <c r="F2019">
        <v>0</v>
      </c>
      <c r="G2019">
        <v>0</v>
      </c>
      <c r="H2019">
        <f>IF(report_B_CategorieBoekjaar[[#This Row],[BedrijfsCode]]="002",IF(report_B_CategorieBoekjaar[[#This Row],[Boekjaar]]=Projectbegroting!$K$1,report_B_CategorieBoekjaar[[#This Row],[CategorieCode]],0),0)</f>
        <v>0</v>
      </c>
      <c r="I2019">
        <f>IF(report_B_CategorieBoekjaar[[#This Row],[BedrijfsCode]]="001",IF(report_B_CategorieBoekjaar[[#This Row],[Boekjaar]]=Projectbegroting!$K$1,report_B_CategorieBoekjaar[[#This Row],[CategorieCode]],0),0)</f>
        <v>0</v>
      </c>
    </row>
    <row r="2020" spans="1:9" hidden="1" x14ac:dyDescent="0.3">
      <c r="A2020" t="s">
        <v>525</v>
      </c>
      <c r="B2020" s="20">
        <v>43466</v>
      </c>
      <c r="C2020" t="s">
        <v>202</v>
      </c>
      <c r="D2020" t="s">
        <v>358</v>
      </c>
      <c r="E2020" t="s">
        <v>217</v>
      </c>
      <c r="F2020">
        <v>0</v>
      </c>
      <c r="G2020">
        <v>0</v>
      </c>
      <c r="H2020">
        <f>IF(report_B_CategorieBoekjaar[[#This Row],[BedrijfsCode]]="002",IF(report_B_CategorieBoekjaar[[#This Row],[Boekjaar]]=Projectbegroting!$K$1,report_B_CategorieBoekjaar[[#This Row],[CategorieCode]],0),0)</f>
        <v>0</v>
      </c>
      <c r="I2020">
        <f>IF(report_B_CategorieBoekjaar[[#This Row],[BedrijfsCode]]="001",IF(report_B_CategorieBoekjaar[[#This Row],[Boekjaar]]=Projectbegroting!$K$1,report_B_CategorieBoekjaar[[#This Row],[CategorieCode]],0),0)</f>
        <v>0</v>
      </c>
    </row>
    <row r="2021" spans="1:9" hidden="1" x14ac:dyDescent="0.3">
      <c r="A2021" t="s">
        <v>525</v>
      </c>
      <c r="B2021" s="20">
        <v>43466</v>
      </c>
      <c r="C2021" t="s">
        <v>203</v>
      </c>
      <c r="D2021" t="s">
        <v>359</v>
      </c>
      <c r="E2021" t="s">
        <v>217</v>
      </c>
      <c r="F2021">
        <v>0</v>
      </c>
      <c r="G2021">
        <v>0</v>
      </c>
      <c r="H2021">
        <f>IF(report_B_CategorieBoekjaar[[#This Row],[BedrijfsCode]]="002",IF(report_B_CategorieBoekjaar[[#This Row],[Boekjaar]]=Projectbegroting!$K$1,report_B_CategorieBoekjaar[[#This Row],[CategorieCode]],0),0)</f>
        <v>0</v>
      </c>
      <c r="I2021">
        <f>IF(report_B_CategorieBoekjaar[[#This Row],[BedrijfsCode]]="001",IF(report_B_CategorieBoekjaar[[#This Row],[Boekjaar]]=Projectbegroting!$K$1,report_B_CategorieBoekjaar[[#This Row],[CategorieCode]],0),0)</f>
        <v>0</v>
      </c>
    </row>
    <row r="2022" spans="1:9" hidden="1" x14ac:dyDescent="0.3">
      <c r="A2022" t="s">
        <v>525</v>
      </c>
      <c r="B2022" s="20">
        <v>43466</v>
      </c>
      <c r="C2022" t="s">
        <v>204</v>
      </c>
      <c r="D2022" t="s">
        <v>360</v>
      </c>
      <c r="E2022" t="s">
        <v>217</v>
      </c>
      <c r="F2022">
        <v>0</v>
      </c>
      <c r="G2022">
        <v>0</v>
      </c>
      <c r="H2022">
        <f>IF(report_B_CategorieBoekjaar[[#This Row],[BedrijfsCode]]="002",IF(report_B_CategorieBoekjaar[[#This Row],[Boekjaar]]=Projectbegroting!$K$1,report_B_CategorieBoekjaar[[#This Row],[CategorieCode]],0),0)</f>
        <v>0</v>
      </c>
      <c r="I2022">
        <f>IF(report_B_CategorieBoekjaar[[#This Row],[BedrijfsCode]]="001",IF(report_B_CategorieBoekjaar[[#This Row],[Boekjaar]]=Projectbegroting!$K$1,report_B_CategorieBoekjaar[[#This Row],[CategorieCode]],0),0)</f>
        <v>0</v>
      </c>
    </row>
    <row r="2023" spans="1:9" hidden="1" x14ac:dyDescent="0.3">
      <c r="A2023" t="s">
        <v>525</v>
      </c>
      <c r="B2023" s="20">
        <v>43466</v>
      </c>
      <c r="C2023" t="s">
        <v>205</v>
      </c>
      <c r="D2023" t="s">
        <v>361</v>
      </c>
      <c r="E2023" t="s">
        <v>217</v>
      </c>
      <c r="F2023">
        <v>0</v>
      </c>
      <c r="G2023">
        <v>0</v>
      </c>
      <c r="H2023">
        <f>IF(report_B_CategorieBoekjaar[[#This Row],[BedrijfsCode]]="002",IF(report_B_CategorieBoekjaar[[#This Row],[Boekjaar]]=Projectbegroting!$K$1,report_B_CategorieBoekjaar[[#This Row],[CategorieCode]],0),0)</f>
        <v>0</v>
      </c>
      <c r="I2023">
        <f>IF(report_B_CategorieBoekjaar[[#This Row],[BedrijfsCode]]="001",IF(report_B_CategorieBoekjaar[[#This Row],[Boekjaar]]=Projectbegroting!$K$1,report_B_CategorieBoekjaar[[#This Row],[CategorieCode]],0),0)</f>
        <v>0</v>
      </c>
    </row>
    <row r="2024" spans="1:9" hidden="1" x14ac:dyDescent="0.3">
      <c r="A2024" t="s">
        <v>525</v>
      </c>
      <c r="B2024" s="20">
        <v>43466</v>
      </c>
      <c r="C2024" t="s">
        <v>206</v>
      </c>
      <c r="D2024" t="s">
        <v>362</v>
      </c>
      <c r="E2024" t="s">
        <v>217</v>
      </c>
      <c r="F2024">
        <v>0</v>
      </c>
      <c r="G2024">
        <v>0</v>
      </c>
      <c r="H2024">
        <f>IF(report_B_CategorieBoekjaar[[#This Row],[BedrijfsCode]]="002",IF(report_B_CategorieBoekjaar[[#This Row],[Boekjaar]]=Projectbegroting!$K$1,report_B_CategorieBoekjaar[[#This Row],[CategorieCode]],0),0)</f>
        <v>0</v>
      </c>
      <c r="I2024">
        <f>IF(report_B_CategorieBoekjaar[[#This Row],[BedrijfsCode]]="001",IF(report_B_CategorieBoekjaar[[#This Row],[Boekjaar]]=Projectbegroting!$K$1,report_B_CategorieBoekjaar[[#This Row],[CategorieCode]],0),0)</f>
        <v>0</v>
      </c>
    </row>
    <row r="2025" spans="1:9" hidden="1" x14ac:dyDescent="0.3">
      <c r="A2025" t="s">
        <v>525</v>
      </c>
      <c r="B2025" s="20">
        <v>43466</v>
      </c>
      <c r="C2025" t="s">
        <v>363</v>
      </c>
      <c r="D2025" t="s">
        <v>364</v>
      </c>
      <c r="E2025" t="s">
        <v>217</v>
      </c>
      <c r="F2025">
        <v>0</v>
      </c>
      <c r="G2025">
        <v>0</v>
      </c>
      <c r="H2025">
        <f>IF(report_B_CategorieBoekjaar[[#This Row],[BedrijfsCode]]="002",IF(report_B_CategorieBoekjaar[[#This Row],[Boekjaar]]=Projectbegroting!$K$1,report_B_CategorieBoekjaar[[#This Row],[CategorieCode]],0),0)</f>
        <v>0</v>
      </c>
      <c r="I2025">
        <f>IF(report_B_CategorieBoekjaar[[#This Row],[BedrijfsCode]]="001",IF(report_B_CategorieBoekjaar[[#This Row],[Boekjaar]]=Projectbegroting!$K$1,report_B_CategorieBoekjaar[[#This Row],[CategorieCode]],0),0)</f>
        <v>0</v>
      </c>
    </row>
    <row r="2026" spans="1:9" hidden="1" x14ac:dyDescent="0.3">
      <c r="A2026" t="s">
        <v>525</v>
      </c>
      <c r="B2026" s="20">
        <v>43466</v>
      </c>
      <c r="C2026" t="s">
        <v>207</v>
      </c>
      <c r="D2026" t="s">
        <v>365</v>
      </c>
      <c r="E2026" t="s">
        <v>217</v>
      </c>
      <c r="F2026">
        <v>0</v>
      </c>
      <c r="G2026">
        <v>0</v>
      </c>
      <c r="H2026">
        <f>IF(report_B_CategorieBoekjaar[[#This Row],[BedrijfsCode]]="002",IF(report_B_CategorieBoekjaar[[#This Row],[Boekjaar]]=Projectbegroting!$K$1,report_B_CategorieBoekjaar[[#This Row],[CategorieCode]],0),0)</f>
        <v>0</v>
      </c>
      <c r="I2026">
        <f>IF(report_B_CategorieBoekjaar[[#This Row],[BedrijfsCode]]="001",IF(report_B_CategorieBoekjaar[[#This Row],[Boekjaar]]=Projectbegroting!$K$1,report_B_CategorieBoekjaar[[#This Row],[CategorieCode]],0),0)</f>
        <v>0</v>
      </c>
    </row>
    <row r="2027" spans="1:9" hidden="1" x14ac:dyDescent="0.3">
      <c r="A2027" t="s">
        <v>525</v>
      </c>
      <c r="B2027" s="20">
        <v>43466</v>
      </c>
      <c r="C2027" t="s">
        <v>208</v>
      </c>
      <c r="D2027" t="s">
        <v>366</v>
      </c>
      <c r="E2027" t="s">
        <v>217</v>
      </c>
      <c r="F2027">
        <v>0</v>
      </c>
      <c r="G2027">
        <v>0</v>
      </c>
      <c r="H2027">
        <f>IF(report_B_CategorieBoekjaar[[#This Row],[BedrijfsCode]]="002",IF(report_B_CategorieBoekjaar[[#This Row],[Boekjaar]]=Projectbegroting!$K$1,report_B_CategorieBoekjaar[[#This Row],[CategorieCode]],0),0)</f>
        <v>0</v>
      </c>
      <c r="I2027">
        <f>IF(report_B_CategorieBoekjaar[[#This Row],[BedrijfsCode]]="001",IF(report_B_CategorieBoekjaar[[#This Row],[Boekjaar]]=Projectbegroting!$K$1,report_B_CategorieBoekjaar[[#This Row],[CategorieCode]],0),0)</f>
        <v>0</v>
      </c>
    </row>
    <row r="2028" spans="1:9" hidden="1" x14ac:dyDescent="0.3">
      <c r="A2028" t="s">
        <v>525</v>
      </c>
      <c r="B2028" s="20">
        <v>43466</v>
      </c>
      <c r="C2028" t="s">
        <v>209</v>
      </c>
      <c r="D2028" t="s">
        <v>367</v>
      </c>
      <c r="E2028" t="s">
        <v>217</v>
      </c>
      <c r="F2028">
        <v>0</v>
      </c>
      <c r="G2028">
        <v>0</v>
      </c>
      <c r="H2028">
        <f>IF(report_B_CategorieBoekjaar[[#This Row],[BedrijfsCode]]="002",IF(report_B_CategorieBoekjaar[[#This Row],[Boekjaar]]=Projectbegroting!$K$1,report_B_CategorieBoekjaar[[#This Row],[CategorieCode]],0),0)</f>
        <v>0</v>
      </c>
      <c r="I2028">
        <f>IF(report_B_CategorieBoekjaar[[#This Row],[BedrijfsCode]]="001",IF(report_B_CategorieBoekjaar[[#This Row],[Boekjaar]]=Projectbegroting!$K$1,report_B_CategorieBoekjaar[[#This Row],[CategorieCode]],0),0)</f>
        <v>0</v>
      </c>
    </row>
    <row r="2029" spans="1:9" hidden="1" x14ac:dyDescent="0.3">
      <c r="A2029" t="s">
        <v>525</v>
      </c>
      <c r="B2029" s="20">
        <v>43466</v>
      </c>
      <c r="C2029" t="s">
        <v>210</v>
      </c>
      <c r="D2029" t="s">
        <v>368</v>
      </c>
      <c r="E2029" t="s">
        <v>217</v>
      </c>
      <c r="F2029">
        <v>0</v>
      </c>
      <c r="G2029">
        <v>0</v>
      </c>
      <c r="H2029">
        <f>IF(report_B_CategorieBoekjaar[[#This Row],[BedrijfsCode]]="002",IF(report_B_CategorieBoekjaar[[#This Row],[Boekjaar]]=Projectbegroting!$K$1,report_B_CategorieBoekjaar[[#This Row],[CategorieCode]],0),0)</f>
        <v>0</v>
      </c>
      <c r="I2029">
        <f>IF(report_B_CategorieBoekjaar[[#This Row],[BedrijfsCode]]="001",IF(report_B_CategorieBoekjaar[[#This Row],[Boekjaar]]=Projectbegroting!$K$1,report_B_CategorieBoekjaar[[#This Row],[CategorieCode]],0),0)</f>
        <v>0</v>
      </c>
    </row>
    <row r="2030" spans="1:9" hidden="1" x14ac:dyDescent="0.3">
      <c r="A2030" t="s">
        <v>525</v>
      </c>
      <c r="B2030" s="20">
        <v>43466</v>
      </c>
      <c r="C2030" t="s">
        <v>369</v>
      </c>
      <c r="D2030" t="s">
        <v>370</v>
      </c>
      <c r="E2030" t="s">
        <v>217</v>
      </c>
      <c r="F2030">
        <v>0</v>
      </c>
      <c r="G2030">
        <v>0</v>
      </c>
      <c r="H2030">
        <f>IF(report_B_CategorieBoekjaar[[#This Row],[BedrijfsCode]]="002",IF(report_B_CategorieBoekjaar[[#This Row],[Boekjaar]]=Projectbegroting!$K$1,report_B_CategorieBoekjaar[[#This Row],[CategorieCode]],0),0)</f>
        <v>0</v>
      </c>
      <c r="I2030">
        <f>IF(report_B_CategorieBoekjaar[[#This Row],[BedrijfsCode]]="001",IF(report_B_CategorieBoekjaar[[#This Row],[Boekjaar]]=Projectbegroting!$K$1,report_B_CategorieBoekjaar[[#This Row],[CategorieCode]],0),0)</f>
        <v>0</v>
      </c>
    </row>
    <row r="2031" spans="1:9" hidden="1" x14ac:dyDescent="0.3">
      <c r="A2031" t="s">
        <v>525</v>
      </c>
      <c r="B2031" s="20">
        <v>43466</v>
      </c>
      <c r="C2031" t="s">
        <v>371</v>
      </c>
      <c r="D2031" t="s">
        <v>372</v>
      </c>
      <c r="E2031" t="s">
        <v>217</v>
      </c>
      <c r="F2031">
        <v>0</v>
      </c>
      <c r="G2031">
        <v>0</v>
      </c>
      <c r="H2031">
        <f>IF(report_B_CategorieBoekjaar[[#This Row],[BedrijfsCode]]="002",IF(report_B_CategorieBoekjaar[[#This Row],[Boekjaar]]=Projectbegroting!$K$1,report_B_CategorieBoekjaar[[#This Row],[CategorieCode]],0),0)</f>
        <v>0</v>
      </c>
      <c r="I2031">
        <f>IF(report_B_CategorieBoekjaar[[#This Row],[BedrijfsCode]]="001",IF(report_B_CategorieBoekjaar[[#This Row],[Boekjaar]]=Projectbegroting!$K$1,report_B_CategorieBoekjaar[[#This Row],[CategorieCode]],0),0)</f>
        <v>0</v>
      </c>
    </row>
    <row r="2032" spans="1:9" hidden="1" x14ac:dyDescent="0.3">
      <c r="A2032" t="s">
        <v>525</v>
      </c>
      <c r="B2032" s="20">
        <v>43466</v>
      </c>
      <c r="C2032" t="s">
        <v>373</v>
      </c>
      <c r="D2032" t="s">
        <v>374</v>
      </c>
      <c r="E2032" t="s">
        <v>217</v>
      </c>
      <c r="F2032">
        <v>0</v>
      </c>
      <c r="G2032">
        <v>0</v>
      </c>
      <c r="H2032">
        <f>IF(report_B_CategorieBoekjaar[[#This Row],[BedrijfsCode]]="002",IF(report_B_CategorieBoekjaar[[#This Row],[Boekjaar]]=Projectbegroting!$K$1,report_B_CategorieBoekjaar[[#This Row],[CategorieCode]],0),0)</f>
        <v>0</v>
      </c>
      <c r="I2032">
        <f>IF(report_B_CategorieBoekjaar[[#This Row],[BedrijfsCode]]="001",IF(report_B_CategorieBoekjaar[[#This Row],[Boekjaar]]=Projectbegroting!$K$1,report_B_CategorieBoekjaar[[#This Row],[CategorieCode]],0),0)</f>
        <v>0</v>
      </c>
    </row>
    <row r="2033" spans="1:9" hidden="1" x14ac:dyDescent="0.3">
      <c r="A2033" t="s">
        <v>525</v>
      </c>
      <c r="B2033" s="20">
        <v>43466</v>
      </c>
      <c r="C2033" t="s">
        <v>375</v>
      </c>
      <c r="D2033" t="s">
        <v>376</v>
      </c>
      <c r="E2033" t="s">
        <v>217</v>
      </c>
      <c r="F2033">
        <v>0</v>
      </c>
      <c r="G2033">
        <v>0</v>
      </c>
      <c r="H2033">
        <f>IF(report_B_CategorieBoekjaar[[#This Row],[BedrijfsCode]]="002",IF(report_B_CategorieBoekjaar[[#This Row],[Boekjaar]]=Projectbegroting!$K$1,report_B_CategorieBoekjaar[[#This Row],[CategorieCode]],0),0)</f>
        <v>0</v>
      </c>
      <c r="I2033">
        <f>IF(report_B_CategorieBoekjaar[[#This Row],[BedrijfsCode]]="001",IF(report_B_CategorieBoekjaar[[#This Row],[Boekjaar]]=Projectbegroting!$K$1,report_B_CategorieBoekjaar[[#This Row],[CategorieCode]],0),0)</f>
        <v>0</v>
      </c>
    </row>
    <row r="2034" spans="1:9" hidden="1" x14ac:dyDescent="0.3">
      <c r="A2034" t="s">
        <v>525</v>
      </c>
      <c r="B2034" s="20">
        <v>43466</v>
      </c>
      <c r="C2034" t="s">
        <v>377</v>
      </c>
      <c r="D2034" t="s">
        <v>378</v>
      </c>
      <c r="E2034" t="s">
        <v>217</v>
      </c>
      <c r="F2034">
        <v>0</v>
      </c>
      <c r="G2034">
        <v>0</v>
      </c>
      <c r="H2034">
        <f>IF(report_B_CategorieBoekjaar[[#This Row],[BedrijfsCode]]="002",IF(report_B_CategorieBoekjaar[[#This Row],[Boekjaar]]=Projectbegroting!$K$1,report_B_CategorieBoekjaar[[#This Row],[CategorieCode]],0),0)</f>
        <v>0</v>
      </c>
      <c r="I2034">
        <f>IF(report_B_CategorieBoekjaar[[#This Row],[BedrijfsCode]]="001",IF(report_B_CategorieBoekjaar[[#This Row],[Boekjaar]]=Projectbegroting!$K$1,report_B_CategorieBoekjaar[[#This Row],[CategorieCode]],0),0)</f>
        <v>0</v>
      </c>
    </row>
    <row r="2035" spans="1:9" hidden="1" x14ac:dyDescent="0.3">
      <c r="A2035" t="s">
        <v>525</v>
      </c>
      <c r="B2035" s="20">
        <v>43466</v>
      </c>
      <c r="C2035" t="s">
        <v>379</v>
      </c>
      <c r="D2035" t="s">
        <v>380</v>
      </c>
      <c r="E2035" t="s">
        <v>381</v>
      </c>
      <c r="F2035">
        <v>39</v>
      </c>
      <c r="G2035">
        <v>69</v>
      </c>
      <c r="H2035">
        <f>IF(report_B_CategorieBoekjaar[[#This Row],[BedrijfsCode]]="002",IF(report_B_CategorieBoekjaar[[#This Row],[Boekjaar]]=Projectbegroting!$K$1,report_B_CategorieBoekjaar[[#This Row],[CategorieCode]],0),0)</f>
        <v>0</v>
      </c>
      <c r="I2035">
        <f>IF(report_B_CategorieBoekjaar[[#This Row],[BedrijfsCode]]="001",IF(report_B_CategorieBoekjaar[[#This Row],[Boekjaar]]=Projectbegroting!$K$1,report_B_CategorieBoekjaar[[#This Row],[CategorieCode]],0),0)</f>
        <v>0</v>
      </c>
    </row>
    <row r="2036" spans="1:9" hidden="1" x14ac:dyDescent="0.3">
      <c r="A2036" t="s">
        <v>525</v>
      </c>
      <c r="B2036" s="20">
        <v>43466</v>
      </c>
      <c r="C2036" t="s">
        <v>382</v>
      </c>
      <c r="D2036" t="s">
        <v>383</v>
      </c>
      <c r="E2036" t="s">
        <v>384</v>
      </c>
      <c r="F2036">
        <v>0</v>
      </c>
      <c r="G2036">
        <v>0</v>
      </c>
      <c r="H2036">
        <f>IF(report_B_CategorieBoekjaar[[#This Row],[BedrijfsCode]]="002",IF(report_B_CategorieBoekjaar[[#This Row],[Boekjaar]]=Projectbegroting!$K$1,report_B_CategorieBoekjaar[[#This Row],[CategorieCode]],0),0)</f>
        <v>0</v>
      </c>
      <c r="I2036">
        <f>IF(report_B_CategorieBoekjaar[[#This Row],[BedrijfsCode]]="001",IF(report_B_CategorieBoekjaar[[#This Row],[Boekjaar]]=Projectbegroting!$K$1,report_B_CategorieBoekjaar[[#This Row],[CategorieCode]],0),0)</f>
        <v>0</v>
      </c>
    </row>
    <row r="2037" spans="1:9" hidden="1" x14ac:dyDescent="0.3">
      <c r="A2037" t="s">
        <v>525</v>
      </c>
      <c r="B2037" s="20">
        <v>43466</v>
      </c>
      <c r="C2037" t="s">
        <v>385</v>
      </c>
      <c r="D2037" t="s">
        <v>386</v>
      </c>
      <c r="E2037" t="s">
        <v>381</v>
      </c>
      <c r="F2037">
        <v>64</v>
      </c>
      <c r="G2037">
        <v>93</v>
      </c>
      <c r="H2037">
        <f>IF(report_B_CategorieBoekjaar[[#This Row],[BedrijfsCode]]="002",IF(report_B_CategorieBoekjaar[[#This Row],[Boekjaar]]=Projectbegroting!$K$1,report_B_CategorieBoekjaar[[#This Row],[CategorieCode]],0),0)</f>
        <v>0</v>
      </c>
      <c r="I2037">
        <f>IF(report_B_CategorieBoekjaar[[#This Row],[BedrijfsCode]]="001",IF(report_B_CategorieBoekjaar[[#This Row],[Boekjaar]]=Projectbegroting!$K$1,report_B_CategorieBoekjaar[[#This Row],[CategorieCode]],0),0)</f>
        <v>0</v>
      </c>
    </row>
    <row r="2038" spans="1:9" hidden="1" x14ac:dyDescent="0.3">
      <c r="A2038" t="s">
        <v>525</v>
      </c>
      <c r="B2038" s="20">
        <v>43466</v>
      </c>
      <c r="C2038" t="s">
        <v>387</v>
      </c>
      <c r="D2038" t="s">
        <v>388</v>
      </c>
      <c r="E2038" t="s">
        <v>384</v>
      </c>
      <c r="F2038">
        <v>0</v>
      </c>
      <c r="G2038">
        <v>0</v>
      </c>
      <c r="H2038">
        <f>IF(report_B_CategorieBoekjaar[[#This Row],[BedrijfsCode]]="002",IF(report_B_CategorieBoekjaar[[#This Row],[Boekjaar]]=Projectbegroting!$K$1,report_B_CategorieBoekjaar[[#This Row],[CategorieCode]],0),0)</f>
        <v>0</v>
      </c>
      <c r="I2038">
        <f>IF(report_B_CategorieBoekjaar[[#This Row],[BedrijfsCode]]="001",IF(report_B_CategorieBoekjaar[[#This Row],[Boekjaar]]=Projectbegroting!$K$1,report_B_CategorieBoekjaar[[#This Row],[CategorieCode]],0),0)</f>
        <v>0</v>
      </c>
    </row>
    <row r="2039" spans="1:9" hidden="1" x14ac:dyDescent="0.3">
      <c r="A2039" t="s">
        <v>525</v>
      </c>
      <c r="B2039" s="20">
        <v>43466</v>
      </c>
      <c r="C2039" t="s">
        <v>52</v>
      </c>
      <c r="D2039" t="s">
        <v>53</v>
      </c>
      <c r="E2039" t="s">
        <v>381</v>
      </c>
      <c r="F2039">
        <v>65</v>
      </c>
      <c r="G2039">
        <v>0</v>
      </c>
      <c r="H2039">
        <f>IF(report_B_CategorieBoekjaar[[#This Row],[BedrijfsCode]]="002",IF(report_B_CategorieBoekjaar[[#This Row],[Boekjaar]]=Projectbegroting!$K$1,report_B_CategorieBoekjaar[[#This Row],[CategorieCode]],0),0)</f>
        <v>0</v>
      </c>
      <c r="I2039">
        <f>IF(report_B_CategorieBoekjaar[[#This Row],[BedrijfsCode]]="001",IF(report_B_CategorieBoekjaar[[#This Row],[Boekjaar]]=Projectbegroting!$K$1,report_B_CategorieBoekjaar[[#This Row],[CategorieCode]],0),0)</f>
        <v>0</v>
      </c>
    </row>
    <row r="2040" spans="1:9" hidden="1" x14ac:dyDescent="0.3">
      <c r="A2040" t="s">
        <v>525</v>
      </c>
      <c r="B2040" s="20">
        <v>43466</v>
      </c>
      <c r="C2040" t="s">
        <v>389</v>
      </c>
      <c r="D2040" t="s">
        <v>390</v>
      </c>
      <c r="E2040" t="s">
        <v>384</v>
      </c>
      <c r="F2040">
        <v>0</v>
      </c>
      <c r="G2040">
        <v>0</v>
      </c>
      <c r="H2040">
        <f>IF(report_B_CategorieBoekjaar[[#This Row],[BedrijfsCode]]="002",IF(report_B_CategorieBoekjaar[[#This Row],[Boekjaar]]=Projectbegroting!$K$1,report_B_CategorieBoekjaar[[#This Row],[CategorieCode]],0),0)</f>
        <v>0</v>
      </c>
      <c r="I2040">
        <f>IF(report_B_CategorieBoekjaar[[#This Row],[BedrijfsCode]]="001",IF(report_B_CategorieBoekjaar[[#This Row],[Boekjaar]]=Projectbegroting!$K$1,report_B_CategorieBoekjaar[[#This Row],[CategorieCode]],0),0)</f>
        <v>0</v>
      </c>
    </row>
    <row r="2041" spans="1:9" hidden="1" x14ac:dyDescent="0.3">
      <c r="A2041" t="s">
        <v>525</v>
      </c>
      <c r="B2041" s="20">
        <v>43466</v>
      </c>
      <c r="C2041" t="s">
        <v>391</v>
      </c>
      <c r="D2041" t="s">
        <v>392</v>
      </c>
      <c r="E2041" t="s">
        <v>381</v>
      </c>
      <c r="F2041">
        <v>53</v>
      </c>
      <c r="G2041">
        <v>0</v>
      </c>
      <c r="H2041">
        <f>IF(report_B_CategorieBoekjaar[[#This Row],[BedrijfsCode]]="002",IF(report_B_CategorieBoekjaar[[#This Row],[Boekjaar]]=Projectbegroting!$K$1,report_B_CategorieBoekjaar[[#This Row],[CategorieCode]],0),0)</f>
        <v>0</v>
      </c>
      <c r="I2041">
        <f>IF(report_B_CategorieBoekjaar[[#This Row],[BedrijfsCode]]="001",IF(report_B_CategorieBoekjaar[[#This Row],[Boekjaar]]=Projectbegroting!$K$1,report_B_CategorieBoekjaar[[#This Row],[CategorieCode]],0),0)</f>
        <v>0</v>
      </c>
    </row>
    <row r="2042" spans="1:9" hidden="1" x14ac:dyDescent="0.3">
      <c r="A2042" t="s">
        <v>525</v>
      </c>
      <c r="B2042" s="20">
        <v>43466</v>
      </c>
      <c r="C2042" t="s">
        <v>393</v>
      </c>
      <c r="D2042" t="s">
        <v>394</v>
      </c>
      <c r="E2042" t="s">
        <v>384</v>
      </c>
      <c r="F2042">
        <v>0</v>
      </c>
      <c r="G2042">
        <v>0</v>
      </c>
      <c r="H2042">
        <f>IF(report_B_CategorieBoekjaar[[#This Row],[BedrijfsCode]]="002",IF(report_B_CategorieBoekjaar[[#This Row],[Boekjaar]]=Projectbegroting!$K$1,report_B_CategorieBoekjaar[[#This Row],[CategorieCode]],0),0)</f>
        <v>0</v>
      </c>
      <c r="I2042">
        <f>IF(report_B_CategorieBoekjaar[[#This Row],[BedrijfsCode]]="001",IF(report_B_CategorieBoekjaar[[#This Row],[Boekjaar]]=Projectbegroting!$K$1,report_B_CategorieBoekjaar[[#This Row],[CategorieCode]],0),0)</f>
        <v>0</v>
      </c>
    </row>
    <row r="2043" spans="1:9" hidden="1" x14ac:dyDescent="0.3">
      <c r="A2043" t="s">
        <v>525</v>
      </c>
      <c r="B2043" s="20">
        <v>43466</v>
      </c>
      <c r="C2043" t="s">
        <v>395</v>
      </c>
      <c r="D2043" t="s">
        <v>396</v>
      </c>
      <c r="E2043" t="s">
        <v>381</v>
      </c>
      <c r="F2043">
        <v>54</v>
      </c>
      <c r="G2043">
        <v>0</v>
      </c>
      <c r="H2043">
        <f>IF(report_B_CategorieBoekjaar[[#This Row],[BedrijfsCode]]="002",IF(report_B_CategorieBoekjaar[[#This Row],[Boekjaar]]=Projectbegroting!$K$1,report_B_CategorieBoekjaar[[#This Row],[CategorieCode]],0),0)</f>
        <v>0</v>
      </c>
      <c r="I2043">
        <f>IF(report_B_CategorieBoekjaar[[#This Row],[BedrijfsCode]]="001",IF(report_B_CategorieBoekjaar[[#This Row],[Boekjaar]]=Projectbegroting!$K$1,report_B_CategorieBoekjaar[[#This Row],[CategorieCode]],0),0)</f>
        <v>0</v>
      </c>
    </row>
    <row r="2044" spans="1:9" hidden="1" x14ac:dyDescent="0.3">
      <c r="A2044" t="s">
        <v>525</v>
      </c>
      <c r="B2044" s="20">
        <v>43466</v>
      </c>
      <c r="C2044" t="s">
        <v>397</v>
      </c>
      <c r="D2044" t="s">
        <v>398</v>
      </c>
      <c r="E2044" t="s">
        <v>384</v>
      </c>
      <c r="F2044">
        <v>0</v>
      </c>
      <c r="G2044">
        <v>0</v>
      </c>
      <c r="H2044">
        <f>IF(report_B_CategorieBoekjaar[[#This Row],[BedrijfsCode]]="002",IF(report_B_CategorieBoekjaar[[#This Row],[Boekjaar]]=Projectbegroting!$K$1,report_B_CategorieBoekjaar[[#This Row],[CategorieCode]],0),0)</f>
        <v>0</v>
      </c>
      <c r="I2044">
        <f>IF(report_B_CategorieBoekjaar[[#This Row],[BedrijfsCode]]="001",IF(report_B_CategorieBoekjaar[[#This Row],[Boekjaar]]=Projectbegroting!$K$1,report_B_CategorieBoekjaar[[#This Row],[CategorieCode]],0),0)</f>
        <v>0</v>
      </c>
    </row>
    <row r="2045" spans="1:9" hidden="1" x14ac:dyDescent="0.3">
      <c r="A2045" t="s">
        <v>525</v>
      </c>
      <c r="B2045" s="20">
        <v>43466</v>
      </c>
      <c r="C2045" t="s">
        <v>54</v>
      </c>
      <c r="D2045" t="s">
        <v>399</v>
      </c>
      <c r="E2045" t="s">
        <v>381</v>
      </c>
      <c r="F2045">
        <v>49</v>
      </c>
      <c r="G2045">
        <v>79</v>
      </c>
      <c r="H2045">
        <f>IF(report_B_CategorieBoekjaar[[#This Row],[BedrijfsCode]]="002",IF(report_B_CategorieBoekjaar[[#This Row],[Boekjaar]]=Projectbegroting!$K$1,report_B_CategorieBoekjaar[[#This Row],[CategorieCode]],0),0)</f>
        <v>0</v>
      </c>
      <c r="I2045">
        <f>IF(report_B_CategorieBoekjaar[[#This Row],[BedrijfsCode]]="001",IF(report_B_CategorieBoekjaar[[#This Row],[Boekjaar]]=Projectbegroting!$K$1,report_B_CategorieBoekjaar[[#This Row],[CategorieCode]],0),0)</f>
        <v>0</v>
      </c>
    </row>
    <row r="2046" spans="1:9" hidden="1" x14ac:dyDescent="0.3">
      <c r="A2046" t="s">
        <v>525</v>
      </c>
      <c r="B2046" s="20">
        <v>43466</v>
      </c>
      <c r="C2046" t="s">
        <v>400</v>
      </c>
      <c r="D2046" t="s">
        <v>401</v>
      </c>
      <c r="E2046" t="s">
        <v>384</v>
      </c>
      <c r="F2046">
        <v>0</v>
      </c>
      <c r="G2046">
        <v>0</v>
      </c>
      <c r="H2046">
        <f>IF(report_B_CategorieBoekjaar[[#This Row],[BedrijfsCode]]="002",IF(report_B_CategorieBoekjaar[[#This Row],[Boekjaar]]=Projectbegroting!$K$1,report_B_CategorieBoekjaar[[#This Row],[CategorieCode]],0),0)</f>
        <v>0</v>
      </c>
      <c r="I2046">
        <f>IF(report_B_CategorieBoekjaar[[#This Row],[BedrijfsCode]]="001",IF(report_B_CategorieBoekjaar[[#This Row],[Boekjaar]]=Projectbegroting!$K$1,report_B_CategorieBoekjaar[[#This Row],[CategorieCode]],0),0)</f>
        <v>0</v>
      </c>
    </row>
    <row r="2047" spans="1:9" hidden="1" x14ac:dyDescent="0.3">
      <c r="A2047" t="s">
        <v>525</v>
      </c>
      <c r="B2047" s="20">
        <v>43466</v>
      </c>
      <c r="C2047" t="s">
        <v>56</v>
      </c>
      <c r="D2047" t="s">
        <v>402</v>
      </c>
      <c r="E2047" t="s">
        <v>381</v>
      </c>
      <c r="F2047">
        <v>66</v>
      </c>
      <c r="G2047">
        <v>0</v>
      </c>
      <c r="H2047">
        <f>IF(report_B_CategorieBoekjaar[[#This Row],[BedrijfsCode]]="002",IF(report_B_CategorieBoekjaar[[#This Row],[Boekjaar]]=Projectbegroting!$K$1,report_B_CategorieBoekjaar[[#This Row],[CategorieCode]],0),0)</f>
        <v>0</v>
      </c>
      <c r="I2047">
        <f>IF(report_B_CategorieBoekjaar[[#This Row],[BedrijfsCode]]="001",IF(report_B_CategorieBoekjaar[[#This Row],[Boekjaar]]=Projectbegroting!$K$1,report_B_CategorieBoekjaar[[#This Row],[CategorieCode]],0),0)</f>
        <v>0</v>
      </c>
    </row>
    <row r="2048" spans="1:9" hidden="1" x14ac:dyDescent="0.3">
      <c r="A2048" t="s">
        <v>525</v>
      </c>
      <c r="B2048" s="20">
        <v>43466</v>
      </c>
      <c r="C2048" t="s">
        <v>403</v>
      </c>
      <c r="D2048" t="s">
        <v>404</v>
      </c>
      <c r="E2048" t="s">
        <v>384</v>
      </c>
      <c r="F2048">
        <v>0</v>
      </c>
      <c r="G2048">
        <v>0</v>
      </c>
      <c r="H2048">
        <f>IF(report_B_CategorieBoekjaar[[#This Row],[BedrijfsCode]]="002",IF(report_B_CategorieBoekjaar[[#This Row],[Boekjaar]]=Projectbegroting!$K$1,report_B_CategorieBoekjaar[[#This Row],[CategorieCode]],0),0)</f>
        <v>0</v>
      </c>
      <c r="I2048">
        <f>IF(report_B_CategorieBoekjaar[[#This Row],[BedrijfsCode]]="001",IF(report_B_CategorieBoekjaar[[#This Row],[Boekjaar]]=Projectbegroting!$K$1,report_B_CategorieBoekjaar[[#This Row],[CategorieCode]],0),0)</f>
        <v>0</v>
      </c>
    </row>
    <row r="2049" spans="1:9" hidden="1" x14ac:dyDescent="0.3">
      <c r="A2049" t="s">
        <v>525</v>
      </c>
      <c r="B2049" s="20">
        <v>43466</v>
      </c>
      <c r="C2049" t="s">
        <v>405</v>
      </c>
      <c r="D2049" t="s">
        <v>16</v>
      </c>
      <c r="E2049" t="s">
        <v>381</v>
      </c>
      <c r="F2049">
        <v>52</v>
      </c>
      <c r="G2049">
        <v>0</v>
      </c>
      <c r="H2049">
        <f>IF(report_B_CategorieBoekjaar[[#This Row],[BedrijfsCode]]="002",IF(report_B_CategorieBoekjaar[[#This Row],[Boekjaar]]=Projectbegroting!$K$1,report_B_CategorieBoekjaar[[#This Row],[CategorieCode]],0),0)</f>
        <v>0</v>
      </c>
      <c r="I2049">
        <f>IF(report_B_CategorieBoekjaar[[#This Row],[BedrijfsCode]]="001",IF(report_B_CategorieBoekjaar[[#This Row],[Boekjaar]]=Projectbegroting!$K$1,report_B_CategorieBoekjaar[[#This Row],[CategorieCode]],0),0)</f>
        <v>0</v>
      </c>
    </row>
    <row r="2050" spans="1:9" hidden="1" x14ac:dyDescent="0.3">
      <c r="A2050" t="s">
        <v>525</v>
      </c>
      <c r="B2050" s="20">
        <v>43466</v>
      </c>
      <c r="C2050" t="s">
        <v>58</v>
      </c>
      <c r="D2050" t="s">
        <v>406</v>
      </c>
      <c r="E2050" t="s">
        <v>381</v>
      </c>
      <c r="F2050">
        <v>49</v>
      </c>
      <c r="G2050">
        <v>0</v>
      </c>
      <c r="H2050">
        <f>IF(report_B_CategorieBoekjaar[[#This Row],[BedrijfsCode]]="002",IF(report_B_CategorieBoekjaar[[#This Row],[Boekjaar]]=Projectbegroting!$K$1,report_B_CategorieBoekjaar[[#This Row],[CategorieCode]],0),0)</f>
        <v>0</v>
      </c>
      <c r="I2050">
        <f>IF(report_B_CategorieBoekjaar[[#This Row],[BedrijfsCode]]="001",IF(report_B_CategorieBoekjaar[[#This Row],[Boekjaar]]=Projectbegroting!$K$1,report_B_CategorieBoekjaar[[#This Row],[CategorieCode]],0),0)</f>
        <v>0</v>
      </c>
    </row>
    <row r="2051" spans="1:9" hidden="1" x14ac:dyDescent="0.3">
      <c r="A2051" t="s">
        <v>525</v>
      </c>
      <c r="B2051" s="20">
        <v>43466</v>
      </c>
      <c r="C2051" t="s">
        <v>407</v>
      </c>
      <c r="D2051" t="s">
        <v>408</v>
      </c>
      <c r="E2051" t="s">
        <v>384</v>
      </c>
      <c r="F2051">
        <v>0</v>
      </c>
      <c r="G2051">
        <v>0</v>
      </c>
      <c r="H2051">
        <f>IF(report_B_CategorieBoekjaar[[#This Row],[BedrijfsCode]]="002",IF(report_B_CategorieBoekjaar[[#This Row],[Boekjaar]]=Projectbegroting!$K$1,report_B_CategorieBoekjaar[[#This Row],[CategorieCode]],0),0)</f>
        <v>0</v>
      </c>
      <c r="I2051">
        <f>IF(report_B_CategorieBoekjaar[[#This Row],[BedrijfsCode]]="001",IF(report_B_CategorieBoekjaar[[#This Row],[Boekjaar]]=Projectbegroting!$K$1,report_B_CategorieBoekjaar[[#This Row],[CategorieCode]],0),0)</f>
        <v>0</v>
      </c>
    </row>
    <row r="2052" spans="1:9" hidden="1" x14ac:dyDescent="0.3">
      <c r="A2052" t="s">
        <v>525</v>
      </c>
      <c r="B2052" s="20">
        <v>43466</v>
      </c>
      <c r="C2052" t="s">
        <v>60</v>
      </c>
      <c r="D2052" t="s">
        <v>61</v>
      </c>
      <c r="E2052" t="s">
        <v>381</v>
      </c>
      <c r="F2052">
        <v>63</v>
      </c>
      <c r="G2052">
        <v>93</v>
      </c>
      <c r="H2052">
        <f>IF(report_B_CategorieBoekjaar[[#This Row],[BedrijfsCode]]="002",IF(report_B_CategorieBoekjaar[[#This Row],[Boekjaar]]=Projectbegroting!$K$1,report_B_CategorieBoekjaar[[#This Row],[CategorieCode]],0),0)</f>
        <v>0</v>
      </c>
      <c r="I2052">
        <f>IF(report_B_CategorieBoekjaar[[#This Row],[BedrijfsCode]]="001",IF(report_B_CategorieBoekjaar[[#This Row],[Boekjaar]]=Projectbegroting!$K$1,report_B_CategorieBoekjaar[[#This Row],[CategorieCode]],0),0)</f>
        <v>0</v>
      </c>
    </row>
    <row r="2053" spans="1:9" hidden="1" x14ac:dyDescent="0.3">
      <c r="A2053" t="s">
        <v>525</v>
      </c>
      <c r="B2053" s="20">
        <v>43466</v>
      </c>
      <c r="C2053" t="s">
        <v>168</v>
      </c>
      <c r="D2053" t="s">
        <v>409</v>
      </c>
      <c r="E2053" t="s">
        <v>384</v>
      </c>
      <c r="F2053">
        <v>0</v>
      </c>
      <c r="G2053">
        <v>0</v>
      </c>
      <c r="H2053">
        <f>IF(report_B_CategorieBoekjaar[[#This Row],[BedrijfsCode]]="002",IF(report_B_CategorieBoekjaar[[#This Row],[Boekjaar]]=Projectbegroting!$K$1,report_B_CategorieBoekjaar[[#This Row],[CategorieCode]],0),0)</f>
        <v>0</v>
      </c>
      <c r="I2053">
        <f>IF(report_B_CategorieBoekjaar[[#This Row],[BedrijfsCode]]="001",IF(report_B_CategorieBoekjaar[[#This Row],[Boekjaar]]=Projectbegroting!$K$1,report_B_CategorieBoekjaar[[#This Row],[CategorieCode]],0),0)</f>
        <v>0</v>
      </c>
    </row>
    <row r="2054" spans="1:9" hidden="1" x14ac:dyDescent="0.3">
      <c r="A2054" t="s">
        <v>525</v>
      </c>
      <c r="B2054" s="20">
        <v>43466</v>
      </c>
      <c r="C2054" t="s">
        <v>410</v>
      </c>
      <c r="D2054" t="s">
        <v>411</v>
      </c>
      <c r="E2054" t="s">
        <v>381</v>
      </c>
      <c r="F2054">
        <v>34</v>
      </c>
      <c r="G2054">
        <v>0</v>
      </c>
      <c r="H2054">
        <f>IF(report_B_CategorieBoekjaar[[#This Row],[BedrijfsCode]]="002",IF(report_B_CategorieBoekjaar[[#This Row],[Boekjaar]]=Projectbegroting!$K$1,report_B_CategorieBoekjaar[[#This Row],[CategorieCode]],0),0)</f>
        <v>0</v>
      </c>
      <c r="I2054">
        <f>IF(report_B_CategorieBoekjaar[[#This Row],[BedrijfsCode]]="001",IF(report_B_CategorieBoekjaar[[#This Row],[Boekjaar]]=Projectbegroting!$K$1,report_B_CategorieBoekjaar[[#This Row],[CategorieCode]],0),0)</f>
        <v>0</v>
      </c>
    </row>
    <row r="2055" spans="1:9" hidden="1" x14ac:dyDescent="0.3">
      <c r="A2055" t="s">
        <v>525</v>
      </c>
      <c r="B2055" s="20">
        <v>43466</v>
      </c>
      <c r="C2055" t="s">
        <v>412</v>
      </c>
      <c r="D2055" t="s">
        <v>413</v>
      </c>
      <c r="E2055" t="s">
        <v>381</v>
      </c>
      <c r="F2055">
        <v>35</v>
      </c>
      <c r="G2055">
        <v>88</v>
      </c>
      <c r="H2055">
        <f>IF(report_B_CategorieBoekjaar[[#This Row],[BedrijfsCode]]="002",IF(report_B_CategorieBoekjaar[[#This Row],[Boekjaar]]=Projectbegroting!$K$1,report_B_CategorieBoekjaar[[#This Row],[CategorieCode]],0),0)</f>
        <v>0</v>
      </c>
      <c r="I2055">
        <f>IF(report_B_CategorieBoekjaar[[#This Row],[BedrijfsCode]]="001",IF(report_B_CategorieBoekjaar[[#This Row],[Boekjaar]]=Projectbegroting!$K$1,report_B_CategorieBoekjaar[[#This Row],[CategorieCode]],0),0)</f>
        <v>0</v>
      </c>
    </row>
    <row r="2056" spans="1:9" hidden="1" x14ac:dyDescent="0.3">
      <c r="A2056" t="s">
        <v>525</v>
      </c>
      <c r="B2056" s="20">
        <v>43466</v>
      </c>
      <c r="C2056" t="s">
        <v>414</v>
      </c>
      <c r="D2056" t="s">
        <v>415</v>
      </c>
      <c r="E2056" t="s">
        <v>384</v>
      </c>
      <c r="F2056">
        <v>0</v>
      </c>
      <c r="G2056">
        <v>0</v>
      </c>
      <c r="H2056">
        <f>IF(report_B_CategorieBoekjaar[[#This Row],[BedrijfsCode]]="002",IF(report_B_CategorieBoekjaar[[#This Row],[Boekjaar]]=Projectbegroting!$K$1,report_B_CategorieBoekjaar[[#This Row],[CategorieCode]],0),0)</f>
        <v>0</v>
      </c>
      <c r="I2056">
        <f>IF(report_B_CategorieBoekjaar[[#This Row],[BedrijfsCode]]="001",IF(report_B_CategorieBoekjaar[[#This Row],[Boekjaar]]=Projectbegroting!$K$1,report_B_CategorieBoekjaar[[#This Row],[CategorieCode]],0),0)</f>
        <v>0</v>
      </c>
    </row>
    <row r="2057" spans="1:9" hidden="1" x14ac:dyDescent="0.3">
      <c r="A2057" t="s">
        <v>525</v>
      </c>
      <c r="B2057" s="20">
        <v>43466</v>
      </c>
      <c r="C2057" t="s">
        <v>82</v>
      </c>
      <c r="D2057" t="s">
        <v>416</v>
      </c>
      <c r="E2057" t="s">
        <v>381</v>
      </c>
      <c r="F2057">
        <v>69</v>
      </c>
      <c r="G2057">
        <v>0</v>
      </c>
      <c r="H2057">
        <f>IF(report_B_CategorieBoekjaar[[#This Row],[BedrijfsCode]]="002",IF(report_B_CategorieBoekjaar[[#This Row],[Boekjaar]]=Projectbegroting!$K$1,report_B_CategorieBoekjaar[[#This Row],[CategorieCode]],0),0)</f>
        <v>0</v>
      </c>
      <c r="I2057">
        <f>IF(report_B_CategorieBoekjaar[[#This Row],[BedrijfsCode]]="001",IF(report_B_CategorieBoekjaar[[#This Row],[Boekjaar]]=Projectbegroting!$K$1,report_B_CategorieBoekjaar[[#This Row],[CategorieCode]],0),0)</f>
        <v>0</v>
      </c>
    </row>
    <row r="2058" spans="1:9" hidden="1" x14ac:dyDescent="0.3">
      <c r="A2058" t="s">
        <v>525</v>
      </c>
      <c r="B2058" s="20">
        <v>43466</v>
      </c>
      <c r="C2058" t="s">
        <v>169</v>
      </c>
      <c r="D2058" t="s">
        <v>417</v>
      </c>
      <c r="E2058" t="s">
        <v>384</v>
      </c>
      <c r="F2058">
        <v>0</v>
      </c>
      <c r="G2058">
        <v>0</v>
      </c>
      <c r="H2058">
        <f>IF(report_B_CategorieBoekjaar[[#This Row],[BedrijfsCode]]="002",IF(report_B_CategorieBoekjaar[[#This Row],[Boekjaar]]=Projectbegroting!$K$1,report_B_CategorieBoekjaar[[#This Row],[CategorieCode]],0),0)</f>
        <v>0</v>
      </c>
      <c r="I2058">
        <f>IF(report_B_CategorieBoekjaar[[#This Row],[BedrijfsCode]]="001",IF(report_B_CategorieBoekjaar[[#This Row],[Boekjaar]]=Projectbegroting!$K$1,report_B_CategorieBoekjaar[[#This Row],[CategorieCode]],0),0)</f>
        <v>0</v>
      </c>
    </row>
    <row r="2059" spans="1:9" hidden="1" x14ac:dyDescent="0.3">
      <c r="A2059" t="s">
        <v>525</v>
      </c>
      <c r="B2059" s="20">
        <v>43466</v>
      </c>
      <c r="C2059" t="s">
        <v>418</v>
      </c>
      <c r="D2059" t="s">
        <v>419</v>
      </c>
      <c r="E2059" t="s">
        <v>381</v>
      </c>
      <c r="F2059">
        <v>66</v>
      </c>
      <c r="G2059">
        <v>0</v>
      </c>
      <c r="H2059">
        <f>IF(report_B_CategorieBoekjaar[[#This Row],[BedrijfsCode]]="002",IF(report_B_CategorieBoekjaar[[#This Row],[Boekjaar]]=Projectbegroting!$K$1,report_B_CategorieBoekjaar[[#This Row],[CategorieCode]],0),0)</f>
        <v>0</v>
      </c>
      <c r="I2059">
        <f>IF(report_B_CategorieBoekjaar[[#This Row],[BedrijfsCode]]="001",IF(report_B_CategorieBoekjaar[[#This Row],[Boekjaar]]=Projectbegroting!$K$1,report_B_CategorieBoekjaar[[#This Row],[CategorieCode]],0),0)</f>
        <v>0</v>
      </c>
    </row>
    <row r="2060" spans="1:9" hidden="1" x14ac:dyDescent="0.3">
      <c r="A2060" t="s">
        <v>525</v>
      </c>
      <c r="B2060" s="20">
        <v>43466</v>
      </c>
      <c r="C2060" t="s">
        <v>84</v>
      </c>
      <c r="D2060" t="s">
        <v>420</v>
      </c>
      <c r="E2060" t="s">
        <v>381</v>
      </c>
      <c r="F2060">
        <v>55</v>
      </c>
      <c r="G2060">
        <v>0</v>
      </c>
      <c r="H2060">
        <f>IF(report_B_CategorieBoekjaar[[#This Row],[BedrijfsCode]]="002",IF(report_B_CategorieBoekjaar[[#This Row],[Boekjaar]]=Projectbegroting!$K$1,report_B_CategorieBoekjaar[[#This Row],[CategorieCode]],0),0)</f>
        <v>0</v>
      </c>
      <c r="I2060">
        <f>IF(report_B_CategorieBoekjaar[[#This Row],[BedrijfsCode]]="001",IF(report_B_CategorieBoekjaar[[#This Row],[Boekjaar]]=Projectbegroting!$K$1,report_B_CategorieBoekjaar[[#This Row],[CategorieCode]],0),0)</f>
        <v>0</v>
      </c>
    </row>
    <row r="2061" spans="1:9" hidden="1" x14ac:dyDescent="0.3">
      <c r="A2061" t="s">
        <v>525</v>
      </c>
      <c r="B2061" s="20">
        <v>43466</v>
      </c>
      <c r="C2061" t="s">
        <v>170</v>
      </c>
      <c r="D2061" t="s">
        <v>421</v>
      </c>
      <c r="E2061" t="s">
        <v>384</v>
      </c>
      <c r="F2061">
        <v>0</v>
      </c>
      <c r="G2061">
        <v>0</v>
      </c>
      <c r="H2061">
        <f>IF(report_B_CategorieBoekjaar[[#This Row],[BedrijfsCode]]="002",IF(report_B_CategorieBoekjaar[[#This Row],[Boekjaar]]=Projectbegroting!$K$1,report_B_CategorieBoekjaar[[#This Row],[CategorieCode]],0),0)</f>
        <v>0</v>
      </c>
      <c r="I2061">
        <f>IF(report_B_CategorieBoekjaar[[#This Row],[BedrijfsCode]]="001",IF(report_B_CategorieBoekjaar[[#This Row],[Boekjaar]]=Projectbegroting!$K$1,report_B_CategorieBoekjaar[[#This Row],[CategorieCode]],0),0)</f>
        <v>0</v>
      </c>
    </row>
    <row r="2062" spans="1:9" hidden="1" x14ac:dyDescent="0.3">
      <c r="A2062" t="s">
        <v>525</v>
      </c>
      <c r="B2062" s="20">
        <v>43466</v>
      </c>
      <c r="C2062" t="s">
        <v>96</v>
      </c>
      <c r="D2062" t="s">
        <v>422</v>
      </c>
      <c r="E2062" t="s">
        <v>381</v>
      </c>
      <c r="F2062">
        <v>56</v>
      </c>
      <c r="G2062">
        <v>117</v>
      </c>
      <c r="H2062">
        <f>IF(report_B_CategorieBoekjaar[[#This Row],[BedrijfsCode]]="002",IF(report_B_CategorieBoekjaar[[#This Row],[Boekjaar]]=Projectbegroting!$K$1,report_B_CategorieBoekjaar[[#This Row],[CategorieCode]],0),0)</f>
        <v>0</v>
      </c>
      <c r="I2062">
        <f>IF(report_B_CategorieBoekjaar[[#This Row],[BedrijfsCode]]="001",IF(report_B_CategorieBoekjaar[[#This Row],[Boekjaar]]=Projectbegroting!$K$1,report_B_CategorieBoekjaar[[#This Row],[CategorieCode]],0),0)</f>
        <v>0</v>
      </c>
    </row>
    <row r="2063" spans="1:9" hidden="1" x14ac:dyDescent="0.3">
      <c r="A2063" t="s">
        <v>525</v>
      </c>
      <c r="B2063" s="20">
        <v>43466</v>
      </c>
      <c r="C2063" t="s">
        <v>171</v>
      </c>
      <c r="D2063" t="s">
        <v>423</v>
      </c>
      <c r="E2063" t="s">
        <v>384</v>
      </c>
      <c r="F2063">
        <v>0</v>
      </c>
      <c r="G2063">
        <v>0</v>
      </c>
      <c r="H2063">
        <f>IF(report_B_CategorieBoekjaar[[#This Row],[BedrijfsCode]]="002",IF(report_B_CategorieBoekjaar[[#This Row],[Boekjaar]]=Projectbegroting!$K$1,report_B_CategorieBoekjaar[[#This Row],[CategorieCode]],0),0)</f>
        <v>0</v>
      </c>
      <c r="I2063">
        <f>IF(report_B_CategorieBoekjaar[[#This Row],[BedrijfsCode]]="001",IF(report_B_CategorieBoekjaar[[#This Row],[Boekjaar]]=Projectbegroting!$K$1,report_B_CategorieBoekjaar[[#This Row],[CategorieCode]],0),0)</f>
        <v>0</v>
      </c>
    </row>
    <row r="2064" spans="1:9" hidden="1" x14ac:dyDescent="0.3">
      <c r="A2064" t="s">
        <v>525</v>
      </c>
      <c r="B2064" s="20">
        <v>43466</v>
      </c>
      <c r="C2064" t="s">
        <v>86</v>
      </c>
      <c r="D2064" t="s">
        <v>424</v>
      </c>
      <c r="E2064" t="s">
        <v>381</v>
      </c>
      <c r="F2064">
        <v>47</v>
      </c>
      <c r="G2064">
        <v>112</v>
      </c>
      <c r="H2064">
        <f>IF(report_B_CategorieBoekjaar[[#This Row],[BedrijfsCode]]="002",IF(report_B_CategorieBoekjaar[[#This Row],[Boekjaar]]=Projectbegroting!$K$1,report_B_CategorieBoekjaar[[#This Row],[CategorieCode]],0),0)</f>
        <v>0</v>
      </c>
      <c r="I2064">
        <f>IF(report_B_CategorieBoekjaar[[#This Row],[BedrijfsCode]]="001",IF(report_B_CategorieBoekjaar[[#This Row],[Boekjaar]]=Projectbegroting!$K$1,report_B_CategorieBoekjaar[[#This Row],[CategorieCode]],0),0)</f>
        <v>0</v>
      </c>
    </row>
    <row r="2065" spans="1:9" hidden="1" x14ac:dyDescent="0.3">
      <c r="A2065" t="s">
        <v>525</v>
      </c>
      <c r="B2065" s="20">
        <v>43466</v>
      </c>
      <c r="C2065" t="s">
        <v>172</v>
      </c>
      <c r="D2065" t="s">
        <v>425</v>
      </c>
      <c r="E2065" t="s">
        <v>384</v>
      </c>
      <c r="F2065">
        <v>0</v>
      </c>
      <c r="G2065">
        <v>0</v>
      </c>
      <c r="H2065">
        <f>IF(report_B_CategorieBoekjaar[[#This Row],[BedrijfsCode]]="002",IF(report_B_CategorieBoekjaar[[#This Row],[Boekjaar]]=Projectbegroting!$K$1,report_B_CategorieBoekjaar[[#This Row],[CategorieCode]],0),0)</f>
        <v>0</v>
      </c>
      <c r="I2065">
        <f>IF(report_B_CategorieBoekjaar[[#This Row],[BedrijfsCode]]="001",IF(report_B_CategorieBoekjaar[[#This Row],[Boekjaar]]=Projectbegroting!$K$1,report_B_CategorieBoekjaar[[#This Row],[CategorieCode]],0),0)</f>
        <v>0</v>
      </c>
    </row>
    <row r="2066" spans="1:9" hidden="1" x14ac:dyDescent="0.3">
      <c r="A2066" t="s">
        <v>525</v>
      </c>
      <c r="B2066" s="20">
        <v>43466</v>
      </c>
      <c r="C2066" t="s">
        <v>173</v>
      </c>
      <c r="D2066" t="s">
        <v>427</v>
      </c>
      <c r="E2066" t="s">
        <v>384</v>
      </c>
      <c r="F2066">
        <v>0</v>
      </c>
      <c r="G2066">
        <v>0</v>
      </c>
      <c r="H2066">
        <f>IF(report_B_CategorieBoekjaar[[#This Row],[BedrijfsCode]]="002",IF(report_B_CategorieBoekjaar[[#This Row],[Boekjaar]]=Projectbegroting!$K$1,report_B_CategorieBoekjaar[[#This Row],[CategorieCode]],0),0)</f>
        <v>0</v>
      </c>
      <c r="I2066">
        <f>IF(report_B_CategorieBoekjaar[[#This Row],[BedrijfsCode]]="001",IF(report_B_CategorieBoekjaar[[#This Row],[Boekjaar]]=Projectbegroting!$K$1,report_B_CategorieBoekjaar[[#This Row],[CategorieCode]],0),0)</f>
        <v>0</v>
      </c>
    </row>
    <row r="2067" spans="1:9" hidden="1" x14ac:dyDescent="0.3">
      <c r="A2067" t="s">
        <v>525</v>
      </c>
      <c r="B2067" s="20">
        <v>43466</v>
      </c>
      <c r="C2067" t="s">
        <v>88</v>
      </c>
      <c r="D2067" t="s">
        <v>89</v>
      </c>
      <c r="E2067" t="s">
        <v>381</v>
      </c>
      <c r="F2067">
        <v>62</v>
      </c>
      <c r="G2067">
        <v>127</v>
      </c>
      <c r="H2067">
        <f>IF(report_B_CategorieBoekjaar[[#This Row],[BedrijfsCode]]="002",IF(report_B_CategorieBoekjaar[[#This Row],[Boekjaar]]=Projectbegroting!$K$1,report_B_CategorieBoekjaar[[#This Row],[CategorieCode]],0),0)</f>
        <v>0</v>
      </c>
      <c r="I2067">
        <f>IF(report_B_CategorieBoekjaar[[#This Row],[BedrijfsCode]]="001",IF(report_B_CategorieBoekjaar[[#This Row],[Boekjaar]]=Projectbegroting!$K$1,report_B_CategorieBoekjaar[[#This Row],[CategorieCode]],0),0)</f>
        <v>0</v>
      </c>
    </row>
    <row r="2068" spans="1:9" hidden="1" x14ac:dyDescent="0.3">
      <c r="A2068" t="s">
        <v>525</v>
      </c>
      <c r="B2068" s="20">
        <v>43466</v>
      </c>
      <c r="C2068" t="s">
        <v>174</v>
      </c>
      <c r="D2068" t="s">
        <v>428</v>
      </c>
      <c r="E2068" t="s">
        <v>384</v>
      </c>
      <c r="F2068">
        <v>0</v>
      </c>
      <c r="G2068">
        <v>0</v>
      </c>
      <c r="H2068">
        <f>IF(report_B_CategorieBoekjaar[[#This Row],[BedrijfsCode]]="002",IF(report_B_CategorieBoekjaar[[#This Row],[Boekjaar]]=Projectbegroting!$K$1,report_B_CategorieBoekjaar[[#This Row],[CategorieCode]],0),0)</f>
        <v>0</v>
      </c>
      <c r="I2068">
        <f>IF(report_B_CategorieBoekjaar[[#This Row],[BedrijfsCode]]="001",IF(report_B_CategorieBoekjaar[[#This Row],[Boekjaar]]=Projectbegroting!$K$1,report_B_CategorieBoekjaar[[#This Row],[CategorieCode]],0),0)</f>
        <v>0</v>
      </c>
    </row>
    <row r="2069" spans="1:9" hidden="1" x14ac:dyDescent="0.3">
      <c r="A2069" t="s">
        <v>525</v>
      </c>
      <c r="B2069" s="20">
        <v>43466</v>
      </c>
      <c r="C2069" t="s">
        <v>90</v>
      </c>
      <c r="D2069" t="s">
        <v>91</v>
      </c>
      <c r="E2069" t="s">
        <v>381</v>
      </c>
      <c r="F2069">
        <v>37</v>
      </c>
      <c r="G2069">
        <v>123</v>
      </c>
      <c r="H2069">
        <f>IF(report_B_CategorieBoekjaar[[#This Row],[BedrijfsCode]]="002",IF(report_B_CategorieBoekjaar[[#This Row],[Boekjaar]]=Projectbegroting!$K$1,report_B_CategorieBoekjaar[[#This Row],[CategorieCode]],0),0)</f>
        <v>0</v>
      </c>
      <c r="I2069">
        <f>IF(report_B_CategorieBoekjaar[[#This Row],[BedrijfsCode]]="001",IF(report_B_CategorieBoekjaar[[#This Row],[Boekjaar]]=Projectbegroting!$K$1,report_B_CategorieBoekjaar[[#This Row],[CategorieCode]],0),0)</f>
        <v>0</v>
      </c>
    </row>
    <row r="2070" spans="1:9" hidden="1" x14ac:dyDescent="0.3">
      <c r="A2070" t="s">
        <v>525</v>
      </c>
      <c r="B2070" s="20">
        <v>43466</v>
      </c>
      <c r="C2070" t="s">
        <v>429</v>
      </c>
      <c r="D2070" t="s">
        <v>430</v>
      </c>
      <c r="E2070" t="s">
        <v>384</v>
      </c>
      <c r="F2070">
        <v>0</v>
      </c>
      <c r="G2070">
        <v>0</v>
      </c>
      <c r="H2070">
        <f>IF(report_B_CategorieBoekjaar[[#This Row],[BedrijfsCode]]="002",IF(report_B_CategorieBoekjaar[[#This Row],[Boekjaar]]=Projectbegroting!$K$1,report_B_CategorieBoekjaar[[#This Row],[CategorieCode]],0),0)</f>
        <v>0</v>
      </c>
      <c r="I2070">
        <f>IF(report_B_CategorieBoekjaar[[#This Row],[BedrijfsCode]]="001",IF(report_B_CategorieBoekjaar[[#This Row],[Boekjaar]]=Projectbegroting!$K$1,report_B_CategorieBoekjaar[[#This Row],[CategorieCode]],0),0)</f>
        <v>0</v>
      </c>
    </row>
    <row r="2071" spans="1:9" hidden="1" x14ac:dyDescent="0.3">
      <c r="A2071" t="s">
        <v>525</v>
      </c>
      <c r="B2071" s="20">
        <v>43466</v>
      </c>
      <c r="C2071" t="s">
        <v>431</v>
      </c>
      <c r="D2071" t="s">
        <v>432</v>
      </c>
      <c r="E2071" t="s">
        <v>381</v>
      </c>
      <c r="F2071">
        <v>62</v>
      </c>
      <c r="G2071">
        <v>127</v>
      </c>
      <c r="H2071">
        <f>IF(report_B_CategorieBoekjaar[[#This Row],[BedrijfsCode]]="002",IF(report_B_CategorieBoekjaar[[#This Row],[Boekjaar]]=Projectbegroting!$K$1,report_B_CategorieBoekjaar[[#This Row],[CategorieCode]],0),0)</f>
        <v>0</v>
      </c>
      <c r="I2071">
        <f>IF(report_B_CategorieBoekjaar[[#This Row],[BedrijfsCode]]="001",IF(report_B_CategorieBoekjaar[[#This Row],[Boekjaar]]=Projectbegroting!$K$1,report_B_CategorieBoekjaar[[#This Row],[CategorieCode]],0),0)</f>
        <v>0</v>
      </c>
    </row>
    <row r="2072" spans="1:9" hidden="1" x14ac:dyDescent="0.3">
      <c r="A2072" t="s">
        <v>525</v>
      </c>
      <c r="B2072" s="20">
        <v>43466</v>
      </c>
      <c r="C2072" t="s">
        <v>433</v>
      </c>
      <c r="D2072" t="s">
        <v>434</v>
      </c>
      <c r="E2072" t="s">
        <v>384</v>
      </c>
      <c r="F2072">
        <v>0</v>
      </c>
      <c r="G2072">
        <v>0</v>
      </c>
      <c r="H2072">
        <f>IF(report_B_CategorieBoekjaar[[#This Row],[BedrijfsCode]]="002",IF(report_B_CategorieBoekjaar[[#This Row],[Boekjaar]]=Projectbegroting!$K$1,report_B_CategorieBoekjaar[[#This Row],[CategorieCode]],0),0)</f>
        <v>0</v>
      </c>
      <c r="I2072">
        <f>IF(report_B_CategorieBoekjaar[[#This Row],[BedrijfsCode]]="001",IF(report_B_CategorieBoekjaar[[#This Row],[Boekjaar]]=Projectbegroting!$K$1,report_B_CategorieBoekjaar[[#This Row],[CategorieCode]],0),0)</f>
        <v>0</v>
      </c>
    </row>
    <row r="2073" spans="1:9" hidden="1" x14ac:dyDescent="0.3">
      <c r="A2073" t="s">
        <v>525</v>
      </c>
      <c r="B2073" s="20">
        <v>43466</v>
      </c>
      <c r="C2073" t="s">
        <v>435</v>
      </c>
      <c r="D2073" t="s">
        <v>436</v>
      </c>
      <c r="E2073" t="s">
        <v>381</v>
      </c>
      <c r="F2073">
        <v>50</v>
      </c>
      <c r="G2073">
        <v>103</v>
      </c>
      <c r="H2073">
        <f>IF(report_B_CategorieBoekjaar[[#This Row],[BedrijfsCode]]="002",IF(report_B_CategorieBoekjaar[[#This Row],[Boekjaar]]=Projectbegroting!$K$1,report_B_CategorieBoekjaar[[#This Row],[CategorieCode]],0),0)</f>
        <v>0</v>
      </c>
      <c r="I2073">
        <f>IF(report_B_CategorieBoekjaar[[#This Row],[BedrijfsCode]]="001",IF(report_B_CategorieBoekjaar[[#This Row],[Boekjaar]]=Projectbegroting!$K$1,report_B_CategorieBoekjaar[[#This Row],[CategorieCode]],0),0)</f>
        <v>0</v>
      </c>
    </row>
    <row r="2074" spans="1:9" hidden="1" x14ac:dyDescent="0.3">
      <c r="A2074" t="s">
        <v>525</v>
      </c>
      <c r="B2074" s="20">
        <v>43466</v>
      </c>
      <c r="C2074" t="s">
        <v>437</v>
      </c>
      <c r="D2074" t="s">
        <v>438</v>
      </c>
      <c r="E2074" t="s">
        <v>384</v>
      </c>
      <c r="F2074">
        <v>0</v>
      </c>
      <c r="G2074">
        <v>0</v>
      </c>
      <c r="H2074">
        <f>IF(report_B_CategorieBoekjaar[[#This Row],[BedrijfsCode]]="002",IF(report_B_CategorieBoekjaar[[#This Row],[Boekjaar]]=Projectbegroting!$K$1,report_B_CategorieBoekjaar[[#This Row],[CategorieCode]],0),0)</f>
        <v>0</v>
      </c>
      <c r="I2074">
        <f>IF(report_B_CategorieBoekjaar[[#This Row],[BedrijfsCode]]="001",IF(report_B_CategorieBoekjaar[[#This Row],[Boekjaar]]=Projectbegroting!$K$1,report_B_CategorieBoekjaar[[#This Row],[CategorieCode]],0),0)</f>
        <v>0</v>
      </c>
    </row>
    <row r="2075" spans="1:9" hidden="1" x14ac:dyDescent="0.3">
      <c r="A2075" t="s">
        <v>525</v>
      </c>
      <c r="B2075" s="20">
        <v>43466</v>
      </c>
      <c r="C2075" t="s">
        <v>439</v>
      </c>
      <c r="D2075" t="s">
        <v>440</v>
      </c>
      <c r="E2075" t="s">
        <v>381</v>
      </c>
      <c r="F2075">
        <v>32</v>
      </c>
      <c r="G2075">
        <v>0</v>
      </c>
      <c r="H2075">
        <f>IF(report_B_CategorieBoekjaar[[#This Row],[BedrijfsCode]]="002",IF(report_B_CategorieBoekjaar[[#This Row],[Boekjaar]]=Projectbegroting!$K$1,report_B_CategorieBoekjaar[[#This Row],[CategorieCode]],0),0)</f>
        <v>0</v>
      </c>
      <c r="I2075">
        <f>IF(report_B_CategorieBoekjaar[[#This Row],[BedrijfsCode]]="001",IF(report_B_CategorieBoekjaar[[#This Row],[Boekjaar]]=Projectbegroting!$K$1,report_B_CategorieBoekjaar[[#This Row],[CategorieCode]],0),0)</f>
        <v>0</v>
      </c>
    </row>
    <row r="2076" spans="1:9" hidden="1" x14ac:dyDescent="0.3">
      <c r="A2076" t="s">
        <v>525</v>
      </c>
      <c r="B2076" s="20">
        <v>43466</v>
      </c>
      <c r="C2076" t="s">
        <v>441</v>
      </c>
      <c r="D2076" t="s">
        <v>442</v>
      </c>
      <c r="E2076" t="s">
        <v>381</v>
      </c>
      <c r="F2076">
        <v>46</v>
      </c>
      <c r="G2076">
        <v>76</v>
      </c>
      <c r="H2076">
        <f>IF(report_B_CategorieBoekjaar[[#This Row],[BedrijfsCode]]="002",IF(report_B_CategorieBoekjaar[[#This Row],[Boekjaar]]=Projectbegroting!$K$1,report_B_CategorieBoekjaar[[#This Row],[CategorieCode]],0),0)</f>
        <v>0</v>
      </c>
      <c r="I2076">
        <f>IF(report_B_CategorieBoekjaar[[#This Row],[BedrijfsCode]]="001",IF(report_B_CategorieBoekjaar[[#This Row],[Boekjaar]]=Projectbegroting!$K$1,report_B_CategorieBoekjaar[[#This Row],[CategorieCode]],0),0)</f>
        <v>0</v>
      </c>
    </row>
    <row r="2077" spans="1:9" hidden="1" x14ac:dyDescent="0.3">
      <c r="A2077" t="s">
        <v>525</v>
      </c>
      <c r="B2077" s="20">
        <v>43466</v>
      </c>
      <c r="C2077" t="s">
        <v>443</v>
      </c>
      <c r="D2077" t="s">
        <v>444</v>
      </c>
      <c r="E2077" t="s">
        <v>384</v>
      </c>
      <c r="F2077">
        <v>0</v>
      </c>
      <c r="G2077">
        <v>0</v>
      </c>
      <c r="H2077">
        <f>IF(report_B_CategorieBoekjaar[[#This Row],[BedrijfsCode]]="002",IF(report_B_CategorieBoekjaar[[#This Row],[Boekjaar]]=Projectbegroting!$K$1,report_B_CategorieBoekjaar[[#This Row],[CategorieCode]],0),0)</f>
        <v>0</v>
      </c>
      <c r="I2077">
        <f>IF(report_B_CategorieBoekjaar[[#This Row],[BedrijfsCode]]="001",IF(report_B_CategorieBoekjaar[[#This Row],[Boekjaar]]=Projectbegroting!$K$1,report_B_CategorieBoekjaar[[#This Row],[CategorieCode]],0),0)</f>
        <v>0</v>
      </c>
    </row>
    <row r="2078" spans="1:9" hidden="1" x14ac:dyDescent="0.3">
      <c r="A2078" t="s">
        <v>525</v>
      </c>
      <c r="B2078" s="20">
        <v>43466</v>
      </c>
      <c r="C2078" t="s">
        <v>445</v>
      </c>
      <c r="D2078" t="s">
        <v>446</v>
      </c>
      <c r="E2078" t="s">
        <v>381</v>
      </c>
      <c r="F2078">
        <v>77</v>
      </c>
      <c r="G2078">
        <v>107</v>
      </c>
      <c r="H2078">
        <f>IF(report_B_CategorieBoekjaar[[#This Row],[BedrijfsCode]]="002",IF(report_B_CategorieBoekjaar[[#This Row],[Boekjaar]]=Projectbegroting!$K$1,report_B_CategorieBoekjaar[[#This Row],[CategorieCode]],0),0)</f>
        <v>0</v>
      </c>
      <c r="I2078">
        <f>IF(report_B_CategorieBoekjaar[[#This Row],[BedrijfsCode]]="001",IF(report_B_CategorieBoekjaar[[#This Row],[Boekjaar]]=Projectbegroting!$K$1,report_B_CategorieBoekjaar[[#This Row],[CategorieCode]],0),0)</f>
        <v>0</v>
      </c>
    </row>
    <row r="2079" spans="1:9" hidden="1" x14ac:dyDescent="0.3">
      <c r="A2079" t="s">
        <v>525</v>
      </c>
      <c r="B2079" s="20">
        <v>43466</v>
      </c>
      <c r="C2079" t="s">
        <v>447</v>
      </c>
      <c r="D2079" t="s">
        <v>448</v>
      </c>
      <c r="E2079" t="s">
        <v>384</v>
      </c>
      <c r="F2079">
        <v>0</v>
      </c>
      <c r="G2079">
        <v>0</v>
      </c>
      <c r="H2079">
        <f>IF(report_B_CategorieBoekjaar[[#This Row],[BedrijfsCode]]="002",IF(report_B_CategorieBoekjaar[[#This Row],[Boekjaar]]=Projectbegroting!$K$1,report_B_CategorieBoekjaar[[#This Row],[CategorieCode]],0),0)</f>
        <v>0</v>
      </c>
      <c r="I2079">
        <f>IF(report_B_CategorieBoekjaar[[#This Row],[BedrijfsCode]]="001",IF(report_B_CategorieBoekjaar[[#This Row],[Boekjaar]]=Projectbegroting!$K$1,report_B_CategorieBoekjaar[[#This Row],[CategorieCode]],0),0)</f>
        <v>0</v>
      </c>
    </row>
    <row r="2080" spans="1:9" hidden="1" x14ac:dyDescent="0.3">
      <c r="A2080" t="s">
        <v>525</v>
      </c>
      <c r="B2080" s="20">
        <v>43466</v>
      </c>
      <c r="C2080" t="s">
        <v>449</v>
      </c>
      <c r="D2080" t="s">
        <v>450</v>
      </c>
      <c r="E2080" t="s">
        <v>381</v>
      </c>
      <c r="F2080">
        <v>31</v>
      </c>
      <c r="G2080">
        <v>78</v>
      </c>
      <c r="H2080">
        <f>IF(report_B_CategorieBoekjaar[[#This Row],[BedrijfsCode]]="002",IF(report_B_CategorieBoekjaar[[#This Row],[Boekjaar]]=Projectbegroting!$K$1,report_B_CategorieBoekjaar[[#This Row],[CategorieCode]],0),0)</f>
        <v>0</v>
      </c>
      <c r="I2080">
        <f>IF(report_B_CategorieBoekjaar[[#This Row],[BedrijfsCode]]="001",IF(report_B_CategorieBoekjaar[[#This Row],[Boekjaar]]=Projectbegroting!$K$1,report_B_CategorieBoekjaar[[#This Row],[CategorieCode]],0),0)</f>
        <v>0</v>
      </c>
    </row>
    <row r="2081" spans="1:9" hidden="1" x14ac:dyDescent="0.3">
      <c r="A2081" t="s">
        <v>525</v>
      </c>
      <c r="B2081" s="20">
        <v>43466</v>
      </c>
      <c r="C2081" t="s">
        <v>451</v>
      </c>
      <c r="D2081" t="s">
        <v>452</v>
      </c>
      <c r="E2081" t="s">
        <v>384</v>
      </c>
      <c r="F2081">
        <v>0</v>
      </c>
      <c r="G2081">
        <v>0</v>
      </c>
      <c r="H2081">
        <f>IF(report_B_CategorieBoekjaar[[#This Row],[BedrijfsCode]]="002",IF(report_B_CategorieBoekjaar[[#This Row],[Boekjaar]]=Projectbegroting!$K$1,report_B_CategorieBoekjaar[[#This Row],[CategorieCode]],0),0)</f>
        <v>0</v>
      </c>
      <c r="I2081">
        <f>IF(report_B_CategorieBoekjaar[[#This Row],[BedrijfsCode]]="001",IF(report_B_CategorieBoekjaar[[#This Row],[Boekjaar]]=Projectbegroting!$K$1,report_B_CategorieBoekjaar[[#This Row],[CategorieCode]],0),0)</f>
        <v>0</v>
      </c>
    </row>
    <row r="2082" spans="1:9" hidden="1" x14ac:dyDescent="0.3">
      <c r="A2082" t="s">
        <v>525</v>
      </c>
      <c r="B2082" s="20">
        <v>43466</v>
      </c>
      <c r="C2082" t="s">
        <v>453</v>
      </c>
      <c r="D2082" t="s">
        <v>454</v>
      </c>
      <c r="E2082" t="s">
        <v>381</v>
      </c>
      <c r="F2082">
        <v>57</v>
      </c>
      <c r="G2082">
        <v>0</v>
      </c>
      <c r="H2082">
        <f>IF(report_B_CategorieBoekjaar[[#This Row],[BedrijfsCode]]="002",IF(report_B_CategorieBoekjaar[[#This Row],[Boekjaar]]=Projectbegroting!$K$1,report_B_CategorieBoekjaar[[#This Row],[CategorieCode]],0),0)</f>
        <v>0</v>
      </c>
      <c r="I2082">
        <f>IF(report_B_CategorieBoekjaar[[#This Row],[BedrijfsCode]]="001",IF(report_B_CategorieBoekjaar[[#This Row],[Boekjaar]]=Projectbegroting!$K$1,report_B_CategorieBoekjaar[[#This Row],[CategorieCode]],0),0)</f>
        <v>0</v>
      </c>
    </row>
    <row r="2083" spans="1:9" hidden="1" x14ac:dyDescent="0.3">
      <c r="A2083" t="s">
        <v>525</v>
      </c>
      <c r="B2083" s="20">
        <v>43466</v>
      </c>
      <c r="C2083" t="s">
        <v>455</v>
      </c>
      <c r="D2083" t="s">
        <v>456</v>
      </c>
      <c r="E2083" t="s">
        <v>381</v>
      </c>
      <c r="F2083">
        <v>78</v>
      </c>
      <c r="G2083">
        <v>0</v>
      </c>
      <c r="H2083">
        <f>IF(report_B_CategorieBoekjaar[[#This Row],[BedrijfsCode]]="002",IF(report_B_CategorieBoekjaar[[#This Row],[Boekjaar]]=Projectbegroting!$K$1,report_B_CategorieBoekjaar[[#This Row],[CategorieCode]],0),0)</f>
        <v>0</v>
      </c>
      <c r="I2083">
        <f>IF(report_B_CategorieBoekjaar[[#This Row],[BedrijfsCode]]="001",IF(report_B_CategorieBoekjaar[[#This Row],[Boekjaar]]=Projectbegroting!$K$1,report_B_CategorieBoekjaar[[#This Row],[CategorieCode]],0),0)</f>
        <v>0</v>
      </c>
    </row>
    <row r="2084" spans="1:9" hidden="1" x14ac:dyDescent="0.3">
      <c r="A2084" t="s">
        <v>525</v>
      </c>
      <c r="B2084" s="20">
        <v>43466</v>
      </c>
      <c r="C2084" t="s">
        <v>457</v>
      </c>
      <c r="D2084" t="s">
        <v>458</v>
      </c>
      <c r="E2084" t="s">
        <v>384</v>
      </c>
      <c r="F2084">
        <v>0</v>
      </c>
      <c r="G2084">
        <v>0</v>
      </c>
      <c r="H2084">
        <f>IF(report_B_CategorieBoekjaar[[#This Row],[BedrijfsCode]]="002",IF(report_B_CategorieBoekjaar[[#This Row],[Boekjaar]]=Projectbegroting!$K$1,report_B_CategorieBoekjaar[[#This Row],[CategorieCode]],0),0)</f>
        <v>0</v>
      </c>
      <c r="I2084">
        <f>IF(report_B_CategorieBoekjaar[[#This Row],[BedrijfsCode]]="001",IF(report_B_CategorieBoekjaar[[#This Row],[Boekjaar]]=Projectbegroting!$K$1,report_B_CategorieBoekjaar[[#This Row],[CategorieCode]],0),0)</f>
        <v>0</v>
      </c>
    </row>
    <row r="2085" spans="1:9" hidden="1" x14ac:dyDescent="0.3">
      <c r="A2085" t="s">
        <v>525</v>
      </c>
      <c r="B2085" s="20">
        <v>43466</v>
      </c>
      <c r="C2085" t="s">
        <v>459</v>
      </c>
      <c r="D2085" t="s">
        <v>460</v>
      </c>
      <c r="E2085" t="s">
        <v>381</v>
      </c>
      <c r="F2085">
        <v>90</v>
      </c>
      <c r="G2085">
        <v>0</v>
      </c>
      <c r="H2085">
        <f>IF(report_B_CategorieBoekjaar[[#This Row],[BedrijfsCode]]="002",IF(report_B_CategorieBoekjaar[[#This Row],[Boekjaar]]=Projectbegroting!$K$1,report_B_CategorieBoekjaar[[#This Row],[CategorieCode]],0),0)</f>
        <v>0</v>
      </c>
      <c r="I2085">
        <f>IF(report_B_CategorieBoekjaar[[#This Row],[BedrijfsCode]]="001",IF(report_B_CategorieBoekjaar[[#This Row],[Boekjaar]]=Projectbegroting!$K$1,report_B_CategorieBoekjaar[[#This Row],[CategorieCode]],0),0)</f>
        <v>0</v>
      </c>
    </row>
    <row r="2086" spans="1:9" hidden="1" x14ac:dyDescent="0.3">
      <c r="A2086" t="s">
        <v>525</v>
      </c>
      <c r="B2086" s="20">
        <v>43466</v>
      </c>
      <c r="C2086" t="s">
        <v>461</v>
      </c>
      <c r="D2086" t="s">
        <v>462</v>
      </c>
      <c r="E2086" t="s">
        <v>384</v>
      </c>
      <c r="F2086">
        <v>0</v>
      </c>
      <c r="G2086">
        <v>0</v>
      </c>
      <c r="H2086">
        <f>IF(report_B_CategorieBoekjaar[[#This Row],[BedrijfsCode]]="002",IF(report_B_CategorieBoekjaar[[#This Row],[Boekjaar]]=Projectbegroting!$K$1,report_B_CategorieBoekjaar[[#This Row],[CategorieCode]],0),0)</f>
        <v>0</v>
      </c>
      <c r="I2086">
        <f>IF(report_B_CategorieBoekjaar[[#This Row],[BedrijfsCode]]="001",IF(report_B_CategorieBoekjaar[[#This Row],[Boekjaar]]=Projectbegroting!$K$1,report_B_CategorieBoekjaar[[#This Row],[CategorieCode]],0),0)</f>
        <v>0</v>
      </c>
    </row>
    <row r="2087" spans="1:9" hidden="1" x14ac:dyDescent="0.3">
      <c r="A2087" t="s">
        <v>525</v>
      </c>
      <c r="B2087" s="20">
        <v>43466</v>
      </c>
      <c r="C2087" t="s">
        <v>463</v>
      </c>
      <c r="D2087" t="s">
        <v>464</v>
      </c>
      <c r="E2087" t="s">
        <v>384</v>
      </c>
      <c r="F2087">
        <v>0</v>
      </c>
      <c r="G2087">
        <v>0</v>
      </c>
      <c r="H2087">
        <f>IF(report_B_CategorieBoekjaar[[#This Row],[BedrijfsCode]]="002",IF(report_B_CategorieBoekjaar[[#This Row],[Boekjaar]]=Projectbegroting!$K$1,report_B_CategorieBoekjaar[[#This Row],[CategorieCode]],0),0)</f>
        <v>0</v>
      </c>
      <c r="I2087">
        <f>IF(report_B_CategorieBoekjaar[[#This Row],[BedrijfsCode]]="001",IF(report_B_CategorieBoekjaar[[#This Row],[Boekjaar]]=Projectbegroting!$K$1,report_B_CategorieBoekjaar[[#This Row],[CategorieCode]],0),0)</f>
        <v>0</v>
      </c>
    </row>
    <row r="2088" spans="1:9" hidden="1" x14ac:dyDescent="0.3">
      <c r="A2088" t="s">
        <v>525</v>
      </c>
      <c r="B2088" s="20">
        <v>43466</v>
      </c>
      <c r="C2088" t="s">
        <v>465</v>
      </c>
      <c r="D2088" t="s">
        <v>466</v>
      </c>
      <c r="E2088" t="s">
        <v>381</v>
      </c>
      <c r="F2088">
        <v>32</v>
      </c>
      <c r="G2088">
        <v>85</v>
      </c>
      <c r="H2088">
        <f>IF(report_B_CategorieBoekjaar[[#This Row],[BedrijfsCode]]="002",IF(report_B_CategorieBoekjaar[[#This Row],[Boekjaar]]=Projectbegroting!$K$1,report_B_CategorieBoekjaar[[#This Row],[CategorieCode]],0),0)</f>
        <v>0</v>
      </c>
      <c r="I2088">
        <f>IF(report_B_CategorieBoekjaar[[#This Row],[BedrijfsCode]]="001",IF(report_B_CategorieBoekjaar[[#This Row],[Boekjaar]]=Projectbegroting!$K$1,report_B_CategorieBoekjaar[[#This Row],[CategorieCode]],0),0)</f>
        <v>0</v>
      </c>
    </row>
    <row r="2089" spans="1:9" hidden="1" x14ac:dyDescent="0.3">
      <c r="A2089" t="s">
        <v>525</v>
      </c>
      <c r="B2089" s="20">
        <v>43466</v>
      </c>
      <c r="C2089" t="s">
        <v>467</v>
      </c>
      <c r="D2089" t="s">
        <v>468</v>
      </c>
      <c r="E2089" t="s">
        <v>384</v>
      </c>
      <c r="F2089">
        <v>0</v>
      </c>
      <c r="G2089">
        <v>0</v>
      </c>
      <c r="H2089">
        <f>IF(report_B_CategorieBoekjaar[[#This Row],[BedrijfsCode]]="002",IF(report_B_CategorieBoekjaar[[#This Row],[Boekjaar]]=Projectbegroting!$K$1,report_B_CategorieBoekjaar[[#This Row],[CategorieCode]],0),0)</f>
        <v>0</v>
      </c>
      <c r="I2089">
        <f>IF(report_B_CategorieBoekjaar[[#This Row],[BedrijfsCode]]="001",IF(report_B_CategorieBoekjaar[[#This Row],[Boekjaar]]=Projectbegroting!$K$1,report_B_CategorieBoekjaar[[#This Row],[CategorieCode]],0),0)</f>
        <v>0</v>
      </c>
    </row>
    <row r="2090" spans="1:9" hidden="1" x14ac:dyDescent="0.3">
      <c r="A2090" t="s">
        <v>525</v>
      </c>
      <c r="B2090" s="20">
        <v>43466</v>
      </c>
      <c r="C2090" t="s">
        <v>469</v>
      </c>
      <c r="D2090" t="s">
        <v>470</v>
      </c>
      <c r="E2090" t="s">
        <v>381</v>
      </c>
      <c r="F2090">
        <v>39</v>
      </c>
      <c r="G2090">
        <v>0</v>
      </c>
      <c r="H2090">
        <f>IF(report_B_CategorieBoekjaar[[#This Row],[BedrijfsCode]]="002",IF(report_B_CategorieBoekjaar[[#This Row],[Boekjaar]]=Projectbegroting!$K$1,report_B_CategorieBoekjaar[[#This Row],[CategorieCode]],0),0)</f>
        <v>0</v>
      </c>
      <c r="I2090">
        <f>IF(report_B_CategorieBoekjaar[[#This Row],[BedrijfsCode]]="001",IF(report_B_CategorieBoekjaar[[#This Row],[Boekjaar]]=Projectbegroting!$K$1,report_B_CategorieBoekjaar[[#This Row],[CategorieCode]],0),0)</f>
        <v>0</v>
      </c>
    </row>
    <row r="2091" spans="1:9" hidden="1" x14ac:dyDescent="0.3">
      <c r="A2091" t="s">
        <v>525</v>
      </c>
      <c r="B2091" s="20">
        <v>43466</v>
      </c>
      <c r="C2091" t="s">
        <v>471</v>
      </c>
      <c r="D2091" t="s">
        <v>472</v>
      </c>
      <c r="E2091" t="s">
        <v>384</v>
      </c>
      <c r="F2091">
        <v>0</v>
      </c>
      <c r="G2091">
        <v>0</v>
      </c>
      <c r="H2091">
        <f>IF(report_B_CategorieBoekjaar[[#This Row],[BedrijfsCode]]="002",IF(report_B_CategorieBoekjaar[[#This Row],[Boekjaar]]=Projectbegroting!$K$1,report_B_CategorieBoekjaar[[#This Row],[CategorieCode]],0),0)</f>
        <v>0</v>
      </c>
      <c r="I2091">
        <f>IF(report_B_CategorieBoekjaar[[#This Row],[BedrijfsCode]]="001",IF(report_B_CategorieBoekjaar[[#This Row],[Boekjaar]]=Projectbegroting!$K$1,report_B_CategorieBoekjaar[[#This Row],[CategorieCode]],0),0)</f>
        <v>0</v>
      </c>
    </row>
    <row r="2092" spans="1:9" hidden="1" x14ac:dyDescent="0.3">
      <c r="A2092" t="s">
        <v>525</v>
      </c>
      <c r="B2092" s="20">
        <v>43466</v>
      </c>
      <c r="C2092" t="s">
        <v>62</v>
      </c>
      <c r="D2092" t="s">
        <v>473</v>
      </c>
      <c r="E2092" t="s">
        <v>381</v>
      </c>
      <c r="F2092">
        <v>42</v>
      </c>
      <c r="G2092">
        <v>0</v>
      </c>
      <c r="H2092">
        <f>IF(report_B_CategorieBoekjaar[[#This Row],[BedrijfsCode]]="002",IF(report_B_CategorieBoekjaar[[#This Row],[Boekjaar]]=Projectbegroting!$K$1,report_B_CategorieBoekjaar[[#This Row],[CategorieCode]],0),0)</f>
        <v>0</v>
      </c>
      <c r="I2092">
        <f>IF(report_B_CategorieBoekjaar[[#This Row],[BedrijfsCode]]="001",IF(report_B_CategorieBoekjaar[[#This Row],[Boekjaar]]=Projectbegroting!$K$1,report_B_CategorieBoekjaar[[#This Row],[CategorieCode]],0),0)</f>
        <v>0</v>
      </c>
    </row>
    <row r="2093" spans="1:9" hidden="1" x14ac:dyDescent="0.3">
      <c r="A2093" t="s">
        <v>525</v>
      </c>
      <c r="B2093" s="20">
        <v>43466</v>
      </c>
      <c r="C2093" t="s">
        <v>474</v>
      </c>
      <c r="D2093" t="s">
        <v>475</v>
      </c>
      <c r="E2093" t="s">
        <v>384</v>
      </c>
      <c r="F2093">
        <v>0</v>
      </c>
      <c r="G2093">
        <v>0</v>
      </c>
      <c r="H2093">
        <f>IF(report_B_CategorieBoekjaar[[#This Row],[BedrijfsCode]]="002",IF(report_B_CategorieBoekjaar[[#This Row],[Boekjaar]]=Projectbegroting!$K$1,report_B_CategorieBoekjaar[[#This Row],[CategorieCode]],0),0)</f>
        <v>0</v>
      </c>
      <c r="I2093">
        <f>IF(report_B_CategorieBoekjaar[[#This Row],[BedrijfsCode]]="001",IF(report_B_CategorieBoekjaar[[#This Row],[Boekjaar]]=Projectbegroting!$K$1,report_B_CategorieBoekjaar[[#This Row],[CategorieCode]],0),0)</f>
        <v>0</v>
      </c>
    </row>
    <row r="2094" spans="1:9" hidden="1" x14ac:dyDescent="0.3">
      <c r="A2094" t="s">
        <v>525</v>
      </c>
      <c r="B2094" s="20">
        <v>43466</v>
      </c>
      <c r="C2094" t="s">
        <v>64</v>
      </c>
      <c r="D2094" t="s">
        <v>476</v>
      </c>
      <c r="E2094" t="s">
        <v>381</v>
      </c>
      <c r="F2094">
        <v>38</v>
      </c>
      <c r="G2094">
        <v>91</v>
      </c>
      <c r="H2094">
        <f>IF(report_B_CategorieBoekjaar[[#This Row],[BedrijfsCode]]="002",IF(report_B_CategorieBoekjaar[[#This Row],[Boekjaar]]=Projectbegroting!$K$1,report_B_CategorieBoekjaar[[#This Row],[CategorieCode]],0),0)</f>
        <v>0</v>
      </c>
      <c r="I2094">
        <f>IF(report_B_CategorieBoekjaar[[#This Row],[BedrijfsCode]]="001",IF(report_B_CategorieBoekjaar[[#This Row],[Boekjaar]]=Projectbegroting!$K$1,report_B_CategorieBoekjaar[[#This Row],[CategorieCode]],0),0)</f>
        <v>0</v>
      </c>
    </row>
    <row r="2095" spans="1:9" hidden="1" x14ac:dyDescent="0.3">
      <c r="A2095" t="s">
        <v>525</v>
      </c>
      <c r="B2095" s="20">
        <v>43466</v>
      </c>
      <c r="C2095" t="s">
        <v>477</v>
      </c>
      <c r="D2095" t="s">
        <v>478</v>
      </c>
      <c r="E2095" t="s">
        <v>384</v>
      </c>
      <c r="F2095">
        <v>0</v>
      </c>
      <c r="G2095">
        <v>0</v>
      </c>
      <c r="H2095">
        <f>IF(report_B_CategorieBoekjaar[[#This Row],[BedrijfsCode]]="002",IF(report_B_CategorieBoekjaar[[#This Row],[Boekjaar]]=Projectbegroting!$K$1,report_B_CategorieBoekjaar[[#This Row],[CategorieCode]],0),0)</f>
        <v>0</v>
      </c>
      <c r="I2095">
        <f>IF(report_B_CategorieBoekjaar[[#This Row],[BedrijfsCode]]="001",IF(report_B_CategorieBoekjaar[[#This Row],[Boekjaar]]=Projectbegroting!$K$1,report_B_CategorieBoekjaar[[#This Row],[CategorieCode]],0),0)</f>
        <v>0</v>
      </c>
    </row>
    <row r="2096" spans="1:9" hidden="1" x14ac:dyDescent="0.3">
      <c r="A2096" t="s">
        <v>525</v>
      </c>
      <c r="B2096" s="20">
        <v>43466</v>
      </c>
      <c r="C2096" t="s">
        <v>80</v>
      </c>
      <c r="D2096" t="s">
        <v>81</v>
      </c>
      <c r="E2096" t="s">
        <v>381</v>
      </c>
      <c r="F2096">
        <v>66</v>
      </c>
      <c r="G2096">
        <v>0</v>
      </c>
      <c r="H2096">
        <f>IF(report_B_CategorieBoekjaar[[#This Row],[BedrijfsCode]]="002",IF(report_B_CategorieBoekjaar[[#This Row],[Boekjaar]]=Projectbegroting!$K$1,report_B_CategorieBoekjaar[[#This Row],[CategorieCode]],0),0)</f>
        <v>0</v>
      </c>
      <c r="I2096">
        <f>IF(report_B_CategorieBoekjaar[[#This Row],[BedrijfsCode]]="001",IF(report_B_CategorieBoekjaar[[#This Row],[Boekjaar]]=Projectbegroting!$K$1,report_B_CategorieBoekjaar[[#This Row],[CategorieCode]],0),0)</f>
        <v>0</v>
      </c>
    </row>
    <row r="2097" spans="1:9" hidden="1" x14ac:dyDescent="0.3">
      <c r="A2097" t="s">
        <v>525</v>
      </c>
      <c r="B2097" s="20">
        <v>43466</v>
      </c>
      <c r="C2097" t="s">
        <v>479</v>
      </c>
      <c r="D2097" t="s">
        <v>480</v>
      </c>
      <c r="E2097" t="s">
        <v>384</v>
      </c>
      <c r="F2097">
        <v>0</v>
      </c>
      <c r="G2097">
        <v>0</v>
      </c>
      <c r="H2097">
        <f>IF(report_B_CategorieBoekjaar[[#This Row],[BedrijfsCode]]="002",IF(report_B_CategorieBoekjaar[[#This Row],[Boekjaar]]=Projectbegroting!$K$1,report_B_CategorieBoekjaar[[#This Row],[CategorieCode]],0),0)</f>
        <v>0</v>
      </c>
      <c r="I2097">
        <f>IF(report_B_CategorieBoekjaar[[#This Row],[BedrijfsCode]]="001",IF(report_B_CategorieBoekjaar[[#This Row],[Boekjaar]]=Projectbegroting!$K$1,report_B_CategorieBoekjaar[[#This Row],[CategorieCode]],0),0)</f>
        <v>0</v>
      </c>
    </row>
    <row r="2098" spans="1:9" hidden="1" x14ac:dyDescent="0.3">
      <c r="A2098" t="s">
        <v>525</v>
      </c>
      <c r="B2098" s="20">
        <v>43466</v>
      </c>
      <c r="C2098" t="s">
        <v>481</v>
      </c>
      <c r="D2098" t="s">
        <v>482</v>
      </c>
      <c r="E2098" t="s">
        <v>384</v>
      </c>
      <c r="F2098">
        <v>0</v>
      </c>
      <c r="G2098">
        <v>0</v>
      </c>
      <c r="H2098">
        <f>IF(report_B_CategorieBoekjaar[[#This Row],[BedrijfsCode]]="002",IF(report_B_CategorieBoekjaar[[#This Row],[Boekjaar]]=Projectbegroting!$K$1,report_B_CategorieBoekjaar[[#This Row],[CategorieCode]],0),0)</f>
        <v>0</v>
      </c>
      <c r="I2098">
        <f>IF(report_B_CategorieBoekjaar[[#This Row],[BedrijfsCode]]="001",IF(report_B_CategorieBoekjaar[[#This Row],[Boekjaar]]=Projectbegroting!$K$1,report_B_CategorieBoekjaar[[#This Row],[CategorieCode]],0),0)</f>
        <v>0</v>
      </c>
    </row>
    <row r="2099" spans="1:9" hidden="1" x14ac:dyDescent="0.3">
      <c r="A2099" t="s">
        <v>525</v>
      </c>
      <c r="B2099" s="20">
        <v>43466</v>
      </c>
      <c r="C2099" t="s">
        <v>98</v>
      </c>
      <c r="D2099" t="s">
        <v>99</v>
      </c>
      <c r="E2099" t="s">
        <v>381</v>
      </c>
      <c r="F2099">
        <v>54</v>
      </c>
      <c r="G2099">
        <v>0</v>
      </c>
      <c r="H2099">
        <f>IF(report_B_CategorieBoekjaar[[#This Row],[BedrijfsCode]]="002",IF(report_B_CategorieBoekjaar[[#This Row],[Boekjaar]]=Projectbegroting!$K$1,report_B_CategorieBoekjaar[[#This Row],[CategorieCode]],0),0)</f>
        <v>0</v>
      </c>
      <c r="I2099">
        <f>IF(report_B_CategorieBoekjaar[[#This Row],[BedrijfsCode]]="001",IF(report_B_CategorieBoekjaar[[#This Row],[Boekjaar]]=Projectbegroting!$K$1,report_B_CategorieBoekjaar[[#This Row],[CategorieCode]],0),0)</f>
        <v>0</v>
      </c>
    </row>
    <row r="2100" spans="1:9" hidden="1" x14ac:dyDescent="0.3">
      <c r="A2100" t="s">
        <v>525</v>
      </c>
      <c r="B2100" s="20">
        <v>43466</v>
      </c>
      <c r="C2100" t="s">
        <v>485</v>
      </c>
      <c r="D2100" t="s">
        <v>486</v>
      </c>
      <c r="E2100" t="s">
        <v>384</v>
      </c>
      <c r="F2100">
        <v>0</v>
      </c>
      <c r="G2100">
        <v>0</v>
      </c>
      <c r="H2100">
        <f>IF(report_B_CategorieBoekjaar[[#This Row],[BedrijfsCode]]="002",IF(report_B_CategorieBoekjaar[[#This Row],[Boekjaar]]=Projectbegroting!$K$1,report_B_CategorieBoekjaar[[#This Row],[CategorieCode]],0),0)</f>
        <v>0</v>
      </c>
      <c r="I2100">
        <f>IF(report_B_CategorieBoekjaar[[#This Row],[BedrijfsCode]]="001",IF(report_B_CategorieBoekjaar[[#This Row],[Boekjaar]]=Projectbegroting!$K$1,report_B_CategorieBoekjaar[[#This Row],[CategorieCode]],0),0)</f>
        <v>0</v>
      </c>
    </row>
    <row r="2101" spans="1:9" hidden="1" x14ac:dyDescent="0.3">
      <c r="A2101" t="s">
        <v>525</v>
      </c>
      <c r="B2101" s="20">
        <v>43466</v>
      </c>
      <c r="C2101" t="s">
        <v>175</v>
      </c>
      <c r="D2101" t="s">
        <v>487</v>
      </c>
      <c r="E2101" t="s">
        <v>384</v>
      </c>
      <c r="F2101">
        <v>0</v>
      </c>
      <c r="G2101">
        <v>0</v>
      </c>
      <c r="H2101">
        <f>IF(report_B_CategorieBoekjaar[[#This Row],[BedrijfsCode]]="002",IF(report_B_CategorieBoekjaar[[#This Row],[Boekjaar]]=Projectbegroting!$K$1,report_B_CategorieBoekjaar[[#This Row],[CategorieCode]],0),0)</f>
        <v>0</v>
      </c>
      <c r="I2101">
        <f>IF(report_B_CategorieBoekjaar[[#This Row],[BedrijfsCode]]="001",IF(report_B_CategorieBoekjaar[[#This Row],[Boekjaar]]=Projectbegroting!$K$1,report_B_CategorieBoekjaar[[#This Row],[CategorieCode]],0),0)</f>
        <v>0</v>
      </c>
    </row>
    <row r="2102" spans="1:9" hidden="1" x14ac:dyDescent="0.3">
      <c r="A2102" t="s">
        <v>525</v>
      </c>
      <c r="B2102" s="20">
        <v>43466</v>
      </c>
      <c r="C2102" t="s">
        <v>488</v>
      </c>
      <c r="D2102" t="s">
        <v>489</v>
      </c>
      <c r="E2102" t="s">
        <v>381</v>
      </c>
      <c r="F2102">
        <v>70</v>
      </c>
      <c r="G2102">
        <v>0</v>
      </c>
      <c r="H2102">
        <f>IF(report_B_CategorieBoekjaar[[#This Row],[BedrijfsCode]]="002",IF(report_B_CategorieBoekjaar[[#This Row],[Boekjaar]]=Projectbegroting!$K$1,report_B_CategorieBoekjaar[[#This Row],[CategorieCode]],0),0)</f>
        <v>0</v>
      </c>
      <c r="I2102">
        <f>IF(report_B_CategorieBoekjaar[[#This Row],[BedrijfsCode]]="001",IF(report_B_CategorieBoekjaar[[#This Row],[Boekjaar]]=Projectbegroting!$K$1,report_B_CategorieBoekjaar[[#This Row],[CategorieCode]],0),0)</f>
        <v>0</v>
      </c>
    </row>
    <row r="2103" spans="1:9" hidden="1" x14ac:dyDescent="0.3">
      <c r="A2103" t="s">
        <v>525</v>
      </c>
      <c r="B2103" s="20">
        <v>43466</v>
      </c>
      <c r="C2103" t="s">
        <v>490</v>
      </c>
      <c r="D2103" t="s">
        <v>491</v>
      </c>
      <c r="E2103" t="s">
        <v>384</v>
      </c>
      <c r="F2103">
        <v>0</v>
      </c>
      <c r="G2103">
        <v>0</v>
      </c>
      <c r="H2103">
        <f>IF(report_B_CategorieBoekjaar[[#This Row],[BedrijfsCode]]="002",IF(report_B_CategorieBoekjaar[[#This Row],[Boekjaar]]=Projectbegroting!$K$1,report_B_CategorieBoekjaar[[#This Row],[CategorieCode]],0),0)</f>
        <v>0</v>
      </c>
      <c r="I2103">
        <f>IF(report_B_CategorieBoekjaar[[#This Row],[BedrijfsCode]]="001",IF(report_B_CategorieBoekjaar[[#This Row],[Boekjaar]]=Projectbegroting!$K$1,report_B_CategorieBoekjaar[[#This Row],[CategorieCode]],0),0)</f>
        <v>0</v>
      </c>
    </row>
    <row r="2104" spans="1:9" hidden="1" x14ac:dyDescent="0.3">
      <c r="A2104" t="s">
        <v>525</v>
      </c>
      <c r="B2104" s="20">
        <v>43466</v>
      </c>
      <c r="C2104" t="s">
        <v>68</v>
      </c>
      <c r="D2104" t="s">
        <v>492</v>
      </c>
      <c r="E2104" t="s">
        <v>381</v>
      </c>
      <c r="F2104">
        <v>44</v>
      </c>
      <c r="G2104">
        <v>74</v>
      </c>
      <c r="H2104">
        <f>IF(report_B_CategorieBoekjaar[[#This Row],[BedrijfsCode]]="002",IF(report_B_CategorieBoekjaar[[#This Row],[Boekjaar]]=Projectbegroting!$K$1,report_B_CategorieBoekjaar[[#This Row],[CategorieCode]],0),0)</f>
        <v>0</v>
      </c>
      <c r="I2104">
        <f>IF(report_B_CategorieBoekjaar[[#This Row],[BedrijfsCode]]="001",IF(report_B_CategorieBoekjaar[[#This Row],[Boekjaar]]=Projectbegroting!$K$1,report_B_CategorieBoekjaar[[#This Row],[CategorieCode]],0),0)</f>
        <v>0</v>
      </c>
    </row>
    <row r="2105" spans="1:9" hidden="1" x14ac:dyDescent="0.3">
      <c r="A2105" t="s">
        <v>525</v>
      </c>
      <c r="B2105" s="20">
        <v>43466</v>
      </c>
      <c r="C2105" t="s">
        <v>177</v>
      </c>
      <c r="D2105" t="s">
        <v>493</v>
      </c>
      <c r="E2105" t="s">
        <v>384</v>
      </c>
      <c r="F2105">
        <v>0</v>
      </c>
      <c r="G2105">
        <v>0</v>
      </c>
      <c r="H2105">
        <f>IF(report_B_CategorieBoekjaar[[#This Row],[BedrijfsCode]]="002",IF(report_B_CategorieBoekjaar[[#This Row],[Boekjaar]]=Projectbegroting!$K$1,report_B_CategorieBoekjaar[[#This Row],[CategorieCode]],0),0)</f>
        <v>0</v>
      </c>
      <c r="I2105">
        <f>IF(report_B_CategorieBoekjaar[[#This Row],[BedrijfsCode]]="001",IF(report_B_CategorieBoekjaar[[#This Row],[Boekjaar]]=Projectbegroting!$K$1,report_B_CategorieBoekjaar[[#This Row],[CategorieCode]],0),0)</f>
        <v>0</v>
      </c>
    </row>
    <row r="2106" spans="1:9" hidden="1" x14ac:dyDescent="0.3">
      <c r="A2106" t="s">
        <v>525</v>
      </c>
      <c r="B2106" s="20">
        <v>43466</v>
      </c>
      <c r="C2106" t="s">
        <v>494</v>
      </c>
      <c r="D2106" t="s">
        <v>495</v>
      </c>
      <c r="E2106" t="s">
        <v>381</v>
      </c>
      <c r="F2106">
        <v>39</v>
      </c>
      <c r="G2106">
        <v>0</v>
      </c>
      <c r="H2106">
        <f>IF(report_B_CategorieBoekjaar[[#This Row],[BedrijfsCode]]="002",IF(report_B_CategorieBoekjaar[[#This Row],[Boekjaar]]=Projectbegroting!$K$1,report_B_CategorieBoekjaar[[#This Row],[CategorieCode]],0),0)</f>
        <v>0</v>
      </c>
      <c r="I2106">
        <f>IF(report_B_CategorieBoekjaar[[#This Row],[BedrijfsCode]]="001",IF(report_B_CategorieBoekjaar[[#This Row],[Boekjaar]]=Projectbegroting!$K$1,report_B_CategorieBoekjaar[[#This Row],[CategorieCode]],0),0)</f>
        <v>0</v>
      </c>
    </row>
    <row r="2107" spans="1:9" hidden="1" x14ac:dyDescent="0.3">
      <c r="A2107" t="s">
        <v>525</v>
      </c>
      <c r="B2107" s="20">
        <v>43466</v>
      </c>
      <c r="C2107" t="s">
        <v>496</v>
      </c>
      <c r="D2107" t="s">
        <v>497</v>
      </c>
      <c r="E2107" t="s">
        <v>384</v>
      </c>
      <c r="F2107">
        <v>0</v>
      </c>
      <c r="G2107">
        <v>0</v>
      </c>
      <c r="H2107">
        <f>IF(report_B_CategorieBoekjaar[[#This Row],[BedrijfsCode]]="002",IF(report_B_CategorieBoekjaar[[#This Row],[Boekjaar]]=Projectbegroting!$K$1,report_B_CategorieBoekjaar[[#This Row],[CategorieCode]],0),0)</f>
        <v>0</v>
      </c>
      <c r="I2107">
        <f>IF(report_B_CategorieBoekjaar[[#This Row],[BedrijfsCode]]="001",IF(report_B_CategorieBoekjaar[[#This Row],[Boekjaar]]=Projectbegroting!$K$1,report_B_CategorieBoekjaar[[#This Row],[CategorieCode]],0),0)</f>
        <v>0</v>
      </c>
    </row>
    <row r="2108" spans="1:9" hidden="1" x14ac:dyDescent="0.3">
      <c r="A2108" t="s">
        <v>525</v>
      </c>
      <c r="B2108" s="20">
        <v>43466</v>
      </c>
      <c r="C2108" t="s">
        <v>70</v>
      </c>
      <c r="D2108" t="s">
        <v>498</v>
      </c>
      <c r="E2108" t="s">
        <v>381</v>
      </c>
      <c r="F2108">
        <v>34</v>
      </c>
      <c r="G2108">
        <v>88</v>
      </c>
      <c r="H2108">
        <f>IF(report_B_CategorieBoekjaar[[#This Row],[BedrijfsCode]]="002",IF(report_B_CategorieBoekjaar[[#This Row],[Boekjaar]]=Projectbegroting!$K$1,report_B_CategorieBoekjaar[[#This Row],[CategorieCode]],0),0)</f>
        <v>0</v>
      </c>
      <c r="I2108">
        <f>IF(report_B_CategorieBoekjaar[[#This Row],[BedrijfsCode]]="001",IF(report_B_CategorieBoekjaar[[#This Row],[Boekjaar]]=Projectbegroting!$K$1,report_B_CategorieBoekjaar[[#This Row],[CategorieCode]],0),0)</f>
        <v>0</v>
      </c>
    </row>
    <row r="2109" spans="1:9" hidden="1" x14ac:dyDescent="0.3">
      <c r="A2109" t="s">
        <v>525</v>
      </c>
      <c r="B2109" s="20">
        <v>43466</v>
      </c>
      <c r="C2109" t="s">
        <v>499</v>
      </c>
      <c r="D2109" t="s">
        <v>500</v>
      </c>
      <c r="E2109" t="s">
        <v>384</v>
      </c>
      <c r="F2109">
        <v>0</v>
      </c>
      <c r="G2109">
        <v>0</v>
      </c>
      <c r="H2109">
        <f>IF(report_B_CategorieBoekjaar[[#This Row],[BedrijfsCode]]="002",IF(report_B_CategorieBoekjaar[[#This Row],[Boekjaar]]=Projectbegroting!$K$1,report_B_CategorieBoekjaar[[#This Row],[CategorieCode]],0),0)</f>
        <v>0</v>
      </c>
      <c r="I2109">
        <f>IF(report_B_CategorieBoekjaar[[#This Row],[BedrijfsCode]]="001",IF(report_B_CategorieBoekjaar[[#This Row],[Boekjaar]]=Projectbegroting!$K$1,report_B_CategorieBoekjaar[[#This Row],[CategorieCode]],0),0)</f>
        <v>0</v>
      </c>
    </row>
    <row r="2110" spans="1:9" hidden="1" x14ac:dyDescent="0.3">
      <c r="A2110" t="s">
        <v>525</v>
      </c>
      <c r="B2110" s="20">
        <v>43466</v>
      </c>
      <c r="C2110" t="s">
        <v>501</v>
      </c>
      <c r="D2110" t="s">
        <v>502</v>
      </c>
      <c r="E2110" t="s">
        <v>381</v>
      </c>
      <c r="F2110">
        <v>71</v>
      </c>
      <c r="G2110">
        <v>0</v>
      </c>
      <c r="H2110">
        <f>IF(report_B_CategorieBoekjaar[[#This Row],[BedrijfsCode]]="002",IF(report_B_CategorieBoekjaar[[#This Row],[Boekjaar]]=Projectbegroting!$K$1,report_B_CategorieBoekjaar[[#This Row],[CategorieCode]],0),0)</f>
        <v>0</v>
      </c>
      <c r="I2110">
        <f>IF(report_B_CategorieBoekjaar[[#This Row],[BedrijfsCode]]="001",IF(report_B_CategorieBoekjaar[[#This Row],[Boekjaar]]=Projectbegroting!$K$1,report_B_CategorieBoekjaar[[#This Row],[CategorieCode]],0),0)</f>
        <v>0</v>
      </c>
    </row>
    <row r="2111" spans="1:9" hidden="1" x14ac:dyDescent="0.3">
      <c r="A2111" t="s">
        <v>525</v>
      </c>
      <c r="B2111" s="20">
        <v>43466</v>
      </c>
      <c r="C2111" t="s">
        <v>503</v>
      </c>
      <c r="D2111" t="s">
        <v>504</v>
      </c>
      <c r="E2111" t="s">
        <v>384</v>
      </c>
      <c r="F2111">
        <v>0</v>
      </c>
      <c r="G2111">
        <v>0</v>
      </c>
      <c r="H2111">
        <f>IF(report_B_CategorieBoekjaar[[#This Row],[BedrijfsCode]]="002",IF(report_B_CategorieBoekjaar[[#This Row],[Boekjaar]]=Projectbegroting!$K$1,report_B_CategorieBoekjaar[[#This Row],[CategorieCode]],0),0)</f>
        <v>0</v>
      </c>
      <c r="I2111">
        <f>IF(report_B_CategorieBoekjaar[[#This Row],[BedrijfsCode]]="001",IF(report_B_CategorieBoekjaar[[#This Row],[Boekjaar]]=Projectbegroting!$K$1,report_B_CategorieBoekjaar[[#This Row],[CategorieCode]],0),0)</f>
        <v>0</v>
      </c>
    </row>
    <row r="2112" spans="1:9" hidden="1" x14ac:dyDescent="0.3">
      <c r="A2112" t="s">
        <v>525</v>
      </c>
      <c r="B2112" s="20">
        <v>43466</v>
      </c>
      <c r="C2112" t="s">
        <v>505</v>
      </c>
      <c r="D2112" t="s">
        <v>506</v>
      </c>
      <c r="E2112" t="s">
        <v>381</v>
      </c>
      <c r="F2112">
        <v>46</v>
      </c>
      <c r="G2112">
        <v>0</v>
      </c>
      <c r="H2112">
        <f>IF(report_B_CategorieBoekjaar[[#This Row],[BedrijfsCode]]="002",IF(report_B_CategorieBoekjaar[[#This Row],[Boekjaar]]=Projectbegroting!$K$1,report_B_CategorieBoekjaar[[#This Row],[CategorieCode]],0),0)</f>
        <v>0</v>
      </c>
      <c r="I2112">
        <f>IF(report_B_CategorieBoekjaar[[#This Row],[BedrijfsCode]]="001",IF(report_B_CategorieBoekjaar[[#This Row],[Boekjaar]]=Projectbegroting!$K$1,report_B_CategorieBoekjaar[[#This Row],[CategorieCode]],0),0)</f>
        <v>0</v>
      </c>
    </row>
    <row r="2113" spans="1:9" hidden="1" x14ac:dyDescent="0.3">
      <c r="A2113" t="s">
        <v>525</v>
      </c>
      <c r="B2113" s="20">
        <v>43466</v>
      </c>
      <c r="C2113" t="s">
        <v>507</v>
      </c>
      <c r="D2113" t="s">
        <v>508</v>
      </c>
      <c r="E2113" t="s">
        <v>384</v>
      </c>
      <c r="F2113">
        <v>0</v>
      </c>
      <c r="G2113">
        <v>0</v>
      </c>
      <c r="H2113">
        <f>IF(report_B_CategorieBoekjaar[[#This Row],[BedrijfsCode]]="002",IF(report_B_CategorieBoekjaar[[#This Row],[Boekjaar]]=Projectbegroting!$K$1,report_B_CategorieBoekjaar[[#This Row],[CategorieCode]],0),0)</f>
        <v>0</v>
      </c>
      <c r="I2113">
        <f>IF(report_B_CategorieBoekjaar[[#This Row],[BedrijfsCode]]="001",IF(report_B_CategorieBoekjaar[[#This Row],[Boekjaar]]=Projectbegroting!$K$1,report_B_CategorieBoekjaar[[#This Row],[CategorieCode]],0),0)</f>
        <v>0</v>
      </c>
    </row>
    <row r="2114" spans="1:9" hidden="1" x14ac:dyDescent="0.3">
      <c r="A2114" t="s">
        <v>525</v>
      </c>
      <c r="B2114" s="20">
        <v>43466</v>
      </c>
      <c r="C2114" t="s">
        <v>509</v>
      </c>
      <c r="D2114" t="s">
        <v>510</v>
      </c>
      <c r="E2114" t="s">
        <v>381</v>
      </c>
      <c r="F2114">
        <v>135</v>
      </c>
      <c r="G2114">
        <v>0</v>
      </c>
      <c r="H2114">
        <f>IF(report_B_CategorieBoekjaar[[#This Row],[BedrijfsCode]]="002",IF(report_B_CategorieBoekjaar[[#This Row],[Boekjaar]]=Projectbegroting!$K$1,report_B_CategorieBoekjaar[[#This Row],[CategorieCode]],0),0)</f>
        <v>0</v>
      </c>
      <c r="I2114">
        <f>IF(report_B_CategorieBoekjaar[[#This Row],[BedrijfsCode]]="001",IF(report_B_CategorieBoekjaar[[#This Row],[Boekjaar]]=Projectbegroting!$K$1,report_B_CategorieBoekjaar[[#This Row],[CategorieCode]],0),0)</f>
        <v>0</v>
      </c>
    </row>
    <row r="2115" spans="1:9" hidden="1" x14ac:dyDescent="0.3">
      <c r="A2115" t="s">
        <v>525</v>
      </c>
      <c r="B2115" s="20">
        <v>43466</v>
      </c>
      <c r="C2115" t="s">
        <v>511</v>
      </c>
      <c r="D2115" t="s">
        <v>512</v>
      </c>
      <c r="E2115" t="s">
        <v>381</v>
      </c>
      <c r="F2115">
        <v>0</v>
      </c>
      <c r="G2115">
        <v>0</v>
      </c>
      <c r="H2115">
        <f>IF(report_B_CategorieBoekjaar[[#This Row],[BedrijfsCode]]="002",IF(report_B_CategorieBoekjaar[[#This Row],[Boekjaar]]=Projectbegroting!$K$1,report_B_CategorieBoekjaar[[#This Row],[CategorieCode]],0),0)</f>
        <v>0</v>
      </c>
      <c r="I2115">
        <f>IF(report_B_CategorieBoekjaar[[#This Row],[BedrijfsCode]]="001",IF(report_B_CategorieBoekjaar[[#This Row],[Boekjaar]]=Projectbegroting!$K$1,report_B_CategorieBoekjaar[[#This Row],[CategorieCode]],0),0)</f>
        <v>0</v>
      </c>
    </row>
    <row r="2116" spans="1:9" hidden="1" x14ac:dyDescent="0.3">
      <c r="A2116" t="s">
        <v>525</v>
      </c>
      <c r="B2116" s="20">
        <v>43466</v>
      </c>
      <c r="C2116" t="s">
        <v>92</v>
      </c>
      <c r="D2116" t="s">
        <v>513</v>
      </c>
      <c r="E2116" t="s">
        <v>381</v>
      </c>
      <c r="F2116">
        <v>58</v>
      </c>
      <c r="G2116">
        <v>123</v>
      </c>
      <c r="H2116">
        <f>IF(report_B_CategorieBoekjaar[[#This Row],[BedrijfsCode]]="002",IF(report_B_CategorieBoekjaar[[#This Row],[Boekjaar]]=Projectbegroting!$K$1,report_B_CategorieBoekjaar[[#This Row],[CategorieCode]],0),0)</f>
        <v>0</v>
      </c>
      <c r="I2116">
        <f>IF(report_B_CategorieBoekjaar[[#This Row],[BedrijfsCode]]="001",IF(report_B_CategorieBoekjaar[[#This Row],[Boekjaar]]=Projectbegroting!$K$1,report_B_CategorieBoekjaar[[#This Row],[CategorieCode]],0),0)</f>
        <v>0</v>
      </c>
    </row>
    <row r="2117" spans="1:9" hidden="1" x14ac:dyDescent="0.3">
      <c r="A2117" t="s">
        <v>525</v>
      </c>
      <c r="B2117" s="20">
        <v>43466</v>
      </c>
      <c r="C2117" t="s">
        <v>514</v>
      </c>
      <c r="D2117" t="s">
        <v>515</v>
      </c>
      <c r="E2117" t="s">
        <v>384</v>
      </c>
      <c r="F2117">
        <v>0</v>
      </c>
      <c r="G2117">
        <v>0</v>
      </c>
      <c r="H2117">
        <f>IF(report_B_CategorieBoekjaar[[#This Row],[BedrijfsCode]]="002",IF(report_B_CategorieBoekjaar[[#This Row],[Boekjaar]]=Projectbegroting!$K$1,report_B_CategorieBoekjaar[[#This Row],[CategorieCode]],0),0)</f>
        <v>0</v>
      </c>
      <c r="I2117">
        <f>IF(report_B_CategorieBoekjaar[[#This Row],[BedrijfsCode]]="001",IF(report_B_CategorieBoekjaar[[#This Row],[Boekjaar]]=Projectbegroting!$K$1,report_B_CategorieBoekjaar[[#This Row],[CategorieCode]],0),0)</f>
        <v>0</v>
      </c>
    </row>
    <row r="2118" spans="1:9" hidden="1" x14ac:dyDescent="0.3">
      <c r="A2118" t="s">
        <v>525</v>
      </c>
      <c r="B2118" s="20">
        <v>43466</v>
      </c>
      <c r="C2118" t="s">
        <v>72</v>
      </c>
      <c r="D2118" t="s">
        <v>516</v>
      </c>
      <c r="E2118" t="s">
        <v>381</v>
      </c>
      <c r="F2118">
        <v>42</v>
      </c>
      <c r="G2118">
        <v>72</v>
      </c>
      <c r="H2118">
        <f>IF(report_B_CategorieBoekjaar[[#This Row],[BedrijfsCode]]="002",IF(report_B_CategorieBoekjaar[[#This Row],[Boekjaar]]=Projectbegroting!$K$1,report_B_CategorieBoekjaar[[#This Row],[CategorieCode]],0),0)</f>
        <v>0</v>
      </c>
      <c r="I2118">
        <f>IF(report_B_CategorieBoekjaar[[#This Row],[BedrijfsCode]]="001",IF(report_B_CategorieBoekjaar[[#This Row],[Boekjaar]]=Projectbegroting!$K$1,report_B_CategorieBoekjaar[[#This Row],[CategorieCode]],0),0)</f>
        <v>0</v>
      </c>
    </row>
    <row r="2119" spans="1:9" hidden="1" x14ac:dyDescent="0.3">
      <c r="A2119" t="s">
        <v>525</v>
      </c>
      <c r="B2119" s="20">
        <v>43466</v>
      </c>
      <c r="C2119" t="s">
        <v>517</v>
      </c>
      <c r="D2119" t="s">
        <v>518</v>
      </c>
      <c r="E2119" t="s">
        <v>384</v>
      </c>
      <c r="F2119">
        <v>0</v>
      </c>
      <c r="G2119">
        <v>0</v>
      </c>
      <c r="H2119">
        <f>IF(report_B_CategorieBoekjaar[[#This Row],[BedrijfsCode]]="002",IF(report_B_CategorieBoekjaar[[#This Row],[Boekjaar]]=Projectbegroting!$K$1,report_B_CategorieBoekjaar[[#This Row],[CategorieCode]],0),0)</f>
        <v>0</v>
      </c>
      <c r="I2119">
        <f>IF(report_B_CategorieBoekjaar[[#This Row],[BedrijfsCode]]="001",IF(report_B_CategorieBoekjaar[[#This Row],[Boekjaar]]=Projectbegroting!$K$1,report_B_CategorieBoekjaar[[#This Row],[CategorieCode]],0),0)</f>
        <v>0</v>
      </c>
    </row>
    <row r="2120" spans="1:9" hidden="1" x14ac:dyDescent="0.3">
      <c r="A2120" t="s">
        <v>525</v>
      </c>
      <c r="B2120" s="20">
        <v>43466</v>
      </c>
      <c r="C2120" t="s">
        <v>74</v>
      </c>
      <c r="D2120" t="s">
        <v>75</v>
      </c>
      <c r="E2120" t="s">
        <v>381</v>
      </c>
      <c r="F2120">
        <v>36</v>
      </c>
      <c r="G2120">
        <v>66</v>
      </c>
      <c r="H2120">
        <f>IF(report_B_CategorieBoekjaar[[#This Row],[BedrijfsCode]]="002",IF(report_B_CategorieBoekjaar[[#This Row],[Boekjaar]]=Projectbegroting!$K$1,report_B_CategorieBoekjaar[[#This Row],[CategorieCode]],0),0)</f>
        <v>0</v>
      </c>
      <c r="I2120">
        <f>IF(report_B_CategorieBoekjaar[[#This Row],[BedrijfsCode]]="001",IF(report_B_CategorieBoekjaar[[#This Row],[Boekjaar]]=Projectbegroting!$K$1,report_B_CategorieBoekjaar[[#This Row],[CategorieCode]],0),0)</f>
        <v>0</v>
      </c>
    </row>
    <row r="2121" spans="1:9" hidden="1" x14ac:dyDescent="0.3">
      <c r="A2121" t="s">
        <v>525</v>
      </c>
      <c r="B2121" s="20">
        <v>43466</v>
      </c>
      <c r="C2121" t="s">
        <v>178</v>
      </c>
      <c r="D2121" t="s">
        <v>519</v>
      </c>
      <c r="E2121" t="s">
        <v>384</v>
      </c>
      <c r="F2121">
        <v>0</v>
      </c>
      <c r="G2121">
        <v>0</v>
      </c>
      <c r="H2121">
        <f>IF(report_B_CategorieBoekjaar[[#This Row],[BedrijfsCode]]="002",IF(report_B_CategorieBoekjaar[[#This Row],[Boekjaar]]=Projectbegroting!$K$1,report_B_CategorieBoekjaar[[#This Row],[CategorieCode]],0),0)</f>
        <v>0</v>
      </c>
      <c r="I2121">
        <f>IF(report_B_CategorieBoekjaar[[#This Row],[BedrijfsCode]]="001",IF(report_B_CategorieBoekjaar[[#This Row],[Boekjaar]]=Projectbegroting!$K$1,report_B_CategorieBoekjaar[[#This Row],[CategorieCode]],0),0)</f>
        <v>0</v>
      </c>
    </row>
    <row r="2122" spans="1:9" hidden="1" x14ac:dyDescent="0.3">
      <c r="A2122" t="s">
        <v>525</v>
      </c>
      <c r="B2122" s="20">
        <v>43466</v>
      </c>
      <c r="C2122" t="s">
        <v>520</v>
      </c>
      <c r="D2122" t="s">
        <v>521</v>
      </c>
      <c r="E2122" t="s">
        <v>384</v>
      </c>
      <c r="F2122">
        <v>0</v>
      </c>
      <c r="G2122">
        <v>0</v>
      </c>
      <c r="H2122">
        <f>IF(report_B_CategorieBoekjaar[[#This Row],[BedrijfsCode]]="002",IF(report_B_CategorieBoekjaar[[#This Row],[Boekjaar]]=Projectbegroting!$K$1,report_B_CategorieBoekjaar[[#This Row],[CategorieCode]],0),0)</f>
        <v>0</v>
      </c>
      <c r="I2122">
        <f>IF(report_B_CategorieBoekjaar[[#This Row],[BedrijfsCode]]="001",IF(report_B_CategorieBoekjaar[[#This Row],[Boekjaar]]=Projectbegroting!$K$1,report_B_CategorieBoekjaar[[#This Row],[CategorieCode]],0),0)</f>
        <v>0</v>
      </c>
    </row>
    <row r="2123" spans="1:9" hidden="1" x14ac:dyDescent="0.3">
      <c r="A2123" t="s">
        <v>525</v>
      </c>
      <c r="B2123" s="20">
        <v>43466</v>
      </c>
      <c r="C2123" t="s">
        <v>522</v>
      </c>
      <c r="D2123" t="s">
        <v>523</v>
      </c>
      <c r="E2123" t="s">
        <v>381</v>
      </c>
      <c r="F2123">
        <v>75</v>
      </c>
      <c r="G2123">
        <v>0</v>
      </c>
      <c r="H2123">
        <f>IF(report_B_CategorieBoekjaar[[#This Row],[BedrijfsCode]]="002",IF(report_B_CategorieBoekjaar[[#This Row],[Boekjaar]]=Projectbegroting!$K$1,report_B_CategorieBoekjaar[[#This Row],[CategorieCode]],0),0)</f>
        <v>0</v>
      </c>
      <c r="I2123">
        <f>IF(report_B_CategorieBoekjaar[[#This Row],[BedrijfsCode]]="001",IF(report_B_CategorieBoekjaar[[#This Row],[Boekjaar]]=Projectbegroting!$K$1,report_B_CategorieBoekjaar[[#This Row],[CategorieCode]],0),0)</f>
        <v>0</v>
      </c>
    </row>
    <row r="2124" spans="1:9" hidden="1" x14ac:dyDescent="0.3">
      <c r="A2124" t="s">
        <v>525</v>
      </c>
      <c r="B2124" s="20">
        <v>43466</v>
      </c>
      <c r="C2124" t="s">
        <v>78</v>
      </c>
      <c r="D2124" t="s">
        <v>79</v>
      </c>
      <c r="E2124" t="s">
        <v>381</v>
      </c>
      <c r="F2124">
        <v>65</v>
      </c>
      <c r="G2124">
        <v>95</v>
      </c>
      <c r="H2124">
        <f>IF(report_B_CategorieBoekjaar[[#This Row],[BedrijfsCode]]="002",IF(report_B_CategorieBoekjaar[[#This Row],[Boekjaar]]=Projectbegroting!$K$1,report_B_CategorieBoekjaar[[#This Row],[CategorieCode]],0),0)</f>
        <v>0</v>
      </c>
      <c r="I2124">
        <f>IF(report_B_CategorieBoekjaar[[#This Row],[BedrijfsCode]]="001",IF(report_B_CategorieBoekjaar[[#This Row],[Boekjaar]]=Projectbegroting!$K$1,report_B_CategorieBoekjaar[[#This Row],[CategorieCode]],0),0)</f>
        <v>0</v>
      </c>
    </row>
    <row r="2125" spans="1:9" hidden="1" x14ac:dyDescent="0.3">
      <c r="A2125" t="s">
        <v>525</v>
      </c>
      <c r="B2125" s="20">
        <v>43466</v>
      </c>
      <c r="C2125" t="s">
        <v>176</v>
      </c>
      <c r="D2125" t="s">
        <v>524</v>
      </c>
      <c r="E2125" t="s">
        <v>384</v>
      </c>
      <c r="F2125">
        <v>0</v>
      </c>
      <c r="G2125">
        <v>0</v>
      </c>
      <c r="H2125">
        <f>IF(report_B_CategorieBoekjaar[[#This Row],[BedrijfsCode]]="002",IF(report_B_CategorieBoekjaar[[#This Row],[Boekjaar]]=Projectbegroting!$K$1,report_B_CategorieBoekjaar[[#This Row],[CategorieCode]],0),0)</f>
        <v>0</v>
      </c>
      <c r="I2125">
        <f>IF(report_B_CategorieBoekjaar[[#This Row],[BedrijfsCode]]="001",IF(report_B_CategorieBoekjaar[[#This Row],[Boekjaar]]=Projectbegroting!$K$1,report_B_CategorieBoekjaar[[#This Row],[CategorieCode]],0),0)</f>
        <v>0</v>
      </c>
    </row>
    <row r="2126" spans="1:9" x14ac:dyDescent="0.3">
      <c r="A2126" t="s">
        <v>330</v>
      </c>
      <c r="B2126" s="20">
        <v>43101</v>
      </c>
      <c r="C2126" t="s">
        <v>179</v>
      </c>
      <c r="D2126" t="s">
        <v>331</v>
      </c>
      <c r="E2126" t="s">
        <v>217</v>
      </c>
      <c r="F2126">
        <v>0</v>
      </c>
      <c r="G2126">
        <v>0</v>
      </c>
      <c r="H2126">
        <f>IF(report_B_CategorieBoekjaar[[#This Row],[BedrijfsCode]]="002",IF(report_B_CategorieBoekjaar[[#This Row],[Boekjaar]]=Projectbegroting!$K$1,report_B_CategorieBoekjaar[[#This Row],[CategorieCode]],0),0)</f>
        <v>0</v>
      </c>
      <c r="I2126">
        <f>IF(report_B_CategorieBoekjaar[[#This Row],[BedrijfsCode]]="001",IF(report_B_CategorieBoekjaar[[#This Row],[Boekjaar]]=Projectbegroting!$K$1,report_B_CategorieBoekjaar[[#This Row],[CategorieCode]],0),0)</f>
        <v>0</v>
      </c>
    </row>
    <row r="2127" spans="1:9" x14ac:dyDescent="0.3">
      <c r="A2127" t="s">
        <v>330</v>
      </c>
      <c r="B2127" s="20">
        <v>43101</v>
      </c>
      <c r="C2127" t="s">
        <v>180</v>
      </c>
      <c r="D2127" t="s">
        <v>332</v>
      </c>
      <c r="E2127" t="s">
        <v>217</v>
      </c>
      <c r="F2127">
        <v>0</v>
      </c>
      <c r="G2127">
        <v>0</v>
      </c>
      <c r="H2127">
        <f>IF(report_B_CategorieBoekjaar[[#This Row],[BedrijfsCode]]="002",IF(report_B_CategorieBoekjaar[[#This Row],[Boekjaar]]=Projectbegroting!$K$1,report_B_CategorieBoekjaar[[#This Row],[CategorieCode]],0),0)</f>
        <v>0</v>
      </c>
      <c r="I2127">
        <f>IF(report_B_CategorieBoekjaar[[#This Row],[BedrijfsCode]]="001",IF(report_B_CategorieBoekjaar[[#This Row],[Boekjaar]]=Projectbegroting!$K$1,report_B_CategorieBoekjaar[[#This Row],[CategorieCode]],0),0)</f>
        <v>0</v>
      </c>
    </row>
    <row r="2128" spans="1:9" x14ac:dyDescent="0.3">
      <c r="A2128" t="s">
        <v>330</v>
      </c>
      <c r="B2128" s="20">
        <v>43101</v>
      </c>
      <c r="C2128" t="s">
        <v>181</v>
      </c>
      <c r="D2128" t="s">
        <v>333</v>
      </c>
      <c r="E2128" t="s">
        <v>217</v>
      </c>
      <c r="F2128">
        <v>0</v>
      </c>
      <c r="G2128">
        <v>0</v>
      </c>
      <c r="H2128">
        <f>IF(report_B_CategorieBoekjaar[[#This Row],[BedrijfsCode]]="002",IF(report_B_CategorieBoekjaar[[#This Row],[Boekjaar]]=Projectbegroting!$K$1,report_B_CategorieBoekjaar[[#This Row],[CategorieCode]],0),0)</f>
        <v>0</v>
      </c>
      <c r="I2128">
        <f>IF(report_B_CategorieBoekjaar[[#This Row],[BedrijfsCode]]="001",IF(report_B_CategorieBoekjaar[[#This Row],[Boekjaar]]=Projectbegroting!$K$1,report_B_CategorieBoekjaar[[#This Row],[CategorieCode]],0),0)</f>
        <v>0</v>
      </c>
    </row>
    <row r="2129" spans="1:9" x14ac:dyDescent="0.3">
      <c r="A2129" t="s">
        <v>330</v>
      </c>
      <c r="B2129" s="20">
        <v>43101</v>
      </c>
      <c r="C2129" t="s">
        <v>182</v>
      </c>
      <c r="D2129" t="s">
        <v>334</v>
      </c>
      <c r="E2129" t="s">
        <v>217</v>
      </c>
      <c r="F2129">
        <v>0</v>
      </c>
      <c r="G2129">
        <v>0</v>
      </c>
      <c r="H2129">
        <f>IF(report_B_CategorieBoekjaar[[#This Row],[BedrijfsCode]]="002",IF(report_B_CategorieBoekjaar[[#This Row],[Boekjaar]]=Projectbegroting!$K$1,report_B_CategorieBoekjaar[[#This Row],[CategorieCode]],0),0)</f>
        <v>0</v>
      </c>
      <c r="I2129">
        <f>IF(report_B_CategorieBoekjaar[[#This Row],[BedrijfsCode]]="001",IF(report_B_CategorieBoekjaar[[#This Row],[Boekjaar]]=Projectbegroting!$K$1,report_B_CategorieBoekjaar[[#This Row],[CategorieCode]],0),0)</f>
        <v>0</v>
      </c>
    </row>
    <row r="2130" spans="1:9" x14ac:dyDescent="0.3">
      <c r="A2130" t="s">
        <v>330</v>
      </c>
      <c r="B2130" s="20">
        <v>43101</v>
      </c>
      <c r="C2130" t="s">
        <v>183</v>
      </c>
      <c r="D2130" t="s">
        <v>335</v>
      </c>
      <c r="E2130" t="s">
        <v>217</v>
      </c>
      <c r="F2130">
        <v>0</v>
      </c>
      <c r="G2130">
        <v>0</v>
      </c>
      <c r="H2130">
        <f>IF(report_B_CategorieBoekjaar[[#This Row],[BedrijfsCode]]="002",IF(report_B_CategorieBoekjaar[[#This Row],[Boekjaar]]=Projectbegroting!$K$1,report_B_CategorieBoekjaar[[#This Row],[CategorieCode]],0),0)</f>
        <v>0</v>
      </c>
      <c r="I2130">
        <f>IF(report_B_CategorieBoekjaar[[#This Row],[BedrijfsCode]]="001",IF(report_B_CategorieBoekjaar[[#This Row],[Boekjaar]]=Projectbegroting!$K$1,report_B_CategorieBoekjaar[[#This Row],[CategorieCode]],0),0)</f>
        <v>0</v>
      </c>
    </row>
    <row r="2131" spans="1:9" x14ac:dyDescent="0.3">
      <c r="A2131" t="s">
        <v>330</v>
      </c>
      <c r="B2131" s="20">
        <v>43101</v>
      </c>
      <c r="C2131" t="s">
        <v>184</v>
      </c>
      <c r="D2131" t="s">
        <v>336</v>
      </c>
      <c r="E2131" t="s">
        <v>217</v>
      </c>
      <c r="F2131">
        <v>0</v>
      </c>
      <c r="G2131">
        <v>0</v>
      </c>
      <c r="H2131">
        <f>IF(report_B_CategorieBoekjaar[[#This Row],[BedrijfsCode]]="002",IF(report_B_CategorieBoekjaar[[#This Row],[Boekjaar]]=Projectbegroting!$K$1,report_B_CategorieBoekjaar[[#This Row],[CategorieCode]],0),0)</f>
        <v>0</v>
      </c>
      <c r="I2131">
        <f>IF(report_B_CategorieBoekjaar[[#This Row],[BedrijfsCode]]="001",IF(report_B_CategorieBoekjaar[[#This Row],[Boekjaar]]=Projectbegroting!$K$1,report_B_CategorieBoekjaar[[#This Row],[CategorieCode]],0),0)</f>
        <v>0</v>
      </c>
    </row>
    <row r="2132" spans="1:9" x14ac:dyDescent="0.3">
      <c r="A2132" t="s">
        <v>330</v>
      </c>
      <c r="B2132" s="20">
        <v>43101</v>
      </c>
      <c r="C2132" t="s">
        <v>185</v>
      </c>
      <c r="D2132" t="s">
        <v>337</v>
      </c>
      <c r="E2132" t="s">
        <v>217</v>
      </c>
      <c r="F2132">
        <v>0</v>
      </c>
      <c r="G2132">
        <v>0</v>
      </c>
      <c r="H2132">
        <f>IF(report_B_CategorieBoekjaar[[#This Row],[BedrijfsCode]]="002",IF(report_B_CategorieBoekjaar[[#This Row],[Boekjaar]]=Projectbegroting!$K$1,report_B_CategorieBoekjaar[[#This Row],[CategorieCode]],0),0)</f>
        <v>0</v>
      </c>
      <c r="I2132">
        <f>IF(report_B_CategorieBoekjaar[[#This Row],[BedrijfsCode]]="001",IF(report_B_CategorieBoekjaar[[#This Row],[Boekjaar]]=Projectbegroting!$K$1,report_B_CategorieBoekjaar[[#This Row],[CategorieCode]],0),0)</f>
        <v>0</v>
      </c>
    </row>
    <row r="2133" spans="1:9" x14ac:dyDescent="0.3">
      <c r="A2133" t="s">
        <v>330</v>
      </c>
      <c r="B2133" s="20">
        <v>43101</v>
      </c>
      <c r="C2133" t="s">
        <v>186</v>
      </c>
      <c r="D2133" t="s">
        <v>338</v>
      </c>
      <c r="E2133" t="s">
        <v>217</v>
      </c>
      <c r="F2133">
        <v>0</v>
      </c>
      <c r="G2133">
        <v>0</v>
      </c>
      <c r="H2133">
        <f>IF(report_B_CategorieBoekjaar[[#This Row],[BedrijfsCode]]="002",IF(report_B_CategorieBoekjaar[[#This Row],[Boekjaar]]=Projectbegroting!$K$1,report_B_CategorieBoekjaar[[#This Row],[CategorieCode]],0),0)</f>
        <v>0</v>
      </c>
      <c r="I2133">
        <f>IF(report_B_CategorieBoekjaar[[#This Row],[BedrijfsCode]]="001",IF(report_B_CategorieBoekjaar[[#This Row],[Boekjaar]]=Projectbegroting!$K$1,report_B_CategorieBoekjaar[[#This Row],[CategorieCode]],0),0)</f>
        <v>0</v>
      </c>
    </row>
    <row r="2134" spans="1:9" x14ac:dyDescent="0.3">
      <c r="A2134" t="s">
        <v>330</v>
      </c>
      <c r="B2134" s="20">
        <v>43101</v>
      </c>
      <c r="C2134" t="s">
        <v>187</v>
      </c>
      <c r="D2134" t="s">
        <v>339</v>
      </c>
      <c r="E2134" t="s">
        <v>217</v>
      </c>
      <c r="F2134">
        <v>0</v>
      </c>
      <c r="G2134">
        <v>0</v>
      </c>
      <c r="H2134">
        <f>IF(report_B_CategorieBoekjaar[[#This Row],[BedrijfsCode]]="002",IF(report_B_CategorieBoekjaar[[#This Row],[Boekjaar]]=Projectbegroting!$K$1,report_B_CategorieBoekjaar[[#This Row],[CategorieCode]],0),0)</f>
        <v>0</v>
      </c>
      <c r="I2134">
        <f>IF(report_B_CategorieBoekjaar[[#This Row],[BedrijfsCode]]="001",IF(report_B_CategorieBoekjaar[[#This Row],[Boekjaar]]=Projectbegroting!$K$1,report_B_CategorieBoekjaar[[#This Row],[CategorieCode]],0),0)</f>
        <v>0</v>
      </c>
    </row>
    <row r="2135" spans="1:9" x14ac:dyDescent="0.3">
      <c r="A2135" t="s">
        <v>330</v>
      </c>
      <c r="B2135" s="20">
        <v>43101</v>
      </c>
      <c r="C2135" t="s">
        <v>188</v>
      </c>
      <c r="D2135" t="s">
        <v>340</v>
      </c>
      <c r="E2135" t="s">
        <v>217</v>
      </c>
      <c r="F2135">
        <v>0</v>
      </c>
      <c r="G2135">
        <v>0</v>
      </c>
      <c r="H2135">
        <f>IF(report_B_CategorieBoekjaar[[#This Row],[BedrijfsCode]]="002",IF(report_B_CategorieBoekjaar[[#This Row],[Boekjaar]]=Projectbegroting!$K$1,report_B_CategorieBoekjaar[[#This Row],[CategorieCode]],0),0)</f>
        <v>0</v>
      </c>
      <c r="I2135">
        <f>IF(report_B_CategorieBoekjaar[[#This Row],[BedrijfsCode]]="001",IF(report_B_CategorieBoekjaar[[#This Row],[Boekjaar]]=Projectbegroting!$K$1,report_B_CategorieBoekjaar[[#This Row],[CategorieCode]],0),0)</f>
        <v>0</v>
      </c>
    </row>
    <row r="2136" spans="1:9" x14ac:dyDescent="0.3">
      <c r="A2136" t="s">
        <v>330</v>
      </c>
      <c r="B2136" s="20">
        <v>43101</v>
      </c>
      <c r="C2136" t="s">
        <v>189</v>
      </c>
      <c r="D2136" t="s">
        <v>341</v>
      </c>
      <c r="E2136" t="s">
        <v>217</v>
      </c>
      <c r="F2136">
        <v>0</v>
      </c>
      <c r="G2136">
        <v>0</v>
      </c>
      <c r="H2136">
        <f>IF(report_B_CategorieBoekjaar[[#This Row],[BedrijfsCode]]="002",IF(report_B_CategorieBoekjaar[[#This Row],[Boekjaar]]=Projectbegroting!$K$1,report_B_CategorieBoekjaar[[#This Row],[CategorieCode]],0),0)</f>
        <v>0</v>
      </c>
      <c r="I2136">
        <f>IF(report_B_CategorieBoekjaar[[#This Row],[BedrijfsCode]]="001",IF(report_B_CategorieBoekjaar[[#This Row],[Boekjaar]]=Projectbegroting!$K$1,report_B_CategorieBoekjaar[[#This Row],[CategorieCode]],0),0)</f>
        <v>0</v>
      </c>
    </row>
    <row r="2137" spans="1:9" x14ac:dyDescent="0.3">
      <c r="A2137" t="s">
        <v>330</v>
      </c>
      <c r="B2137" s="20">
        <v>43101</v>
      </c>
      <c r="C2137" t="s">
        <v>190</v>
      </c>
      <c r="D2137" t="s">
        <v>342</v>
      </c>
      <c r="E2137" t="s">
        <v>217</v>
      </c>
      <c r="F2137">
        <v>0</v>
      </c>
      <c r="G2137">
        <v>0</v>
      </c>
      <c r="H2137">
        <f>IF(report_B_CategorieBoekjaar[[#This Row],[BedrijfsCode]]="002",IF(report_B_CategorieBoekjaar[[#This Row],[Boekjaar]]=Projectbegroting!$K$1,report_B_CategorieBoekjaar[[#This Row],[CategorieCode]],0),0)</f>
        <v>0</v>
      </c>
      <c r="I2137">
        <f>IF(report_B_CategorieBoekjaar[[#This Row],[BedrijfsCode]]="001",IF(report_B_CategorieBoekjaar[[#This Row],[Boekjaar]]=Projectbegroting!$K$1,report_B_CategorieBoekjaar[[#This Row],[CategorieCode]],0),0)</f>
        <v>0</v>
      </c>
    </row>
    <row r="2138" spans="1:9" x14ac:dyDescent="0.3">
      <c r="A2138" t="s">
        <v>330</v>
      </c>
      <c r="B2138" s="20">
        <v>43101</v>
      </c>
      <c r="C2138" t="s">
        <v>191</v>
      </c>
      <c r="D2138" t="s">
        <v>343</v>
      </c>
      <c r="E2138" t="s">
        <v>217</v>
      </c>
      <c r="F2138">
        <v>0</v>
      </c>
      <c r="G2138">
        <v>0</v>
      </c>
      <c r="H2138">
        <f>IF(report_B_CategorieBoekjaar[[#This Row],[BedrijfsCode]]="002",IF(report_B_CategorieBoekjaar[[#This Row],[Boekjaar]]=Projectbegroting!$K$1,report_B_CategorieBoekjaar[[#This Row],[CategorieCode]],0),0)</f>
        <v>0</v>
      </c>
      <c r="I2138">
        <f>IF(report_B_CategorieBoekjaar[[#This Row],[BedrijfsCode]]="001",IF(report_B_CategorieBoekjaar[[#This Row],[Boekjaar]]=Projectbegroting!$K$1,report_B_CategorieBoekjaar[[#This Row],[CategorieCode]],0),0)</f>
        <v>0</v>
      </c>
    </row>
    <row r="2139" spans="1:9" x14ac:dyDescent="0.3">
      <c r="A2139" t="s">
        <v>330</v>
      </c>
      <c r="B2139" s="20">
        <v>43101</v>
      </c>
      <c r="C2139" t="s">
        <v>192</v>
      </c>
      <c r="D2139" t="s">
        <v>344</v>
      </c>
      <c r="E2139" t="s">
        <v>217</v>
      </c>
      <c r="F2139">
        <v>0</v>
      </c>
      <c r="G2139">
        <v>0</v>
      </c>
      <c r="H2139">
        <f>IF(report_B_CategorieBoekjaar[[#This Row],[BedrijfsCode]]="002",IF(report_B_CategorieBoekjaar[[#This Row],[Boekjaar]]=Projectbegroting!$K$1,report_B_CategorieBoekjaar[[#This Row],[CategorieCode]],0),0)</f>
        <v>0</v>
      </c>
      <c r="I2139">
        <f>IF(report_B_CategorieBoekjaar[[#This Row],[BedrijfsCode]]="001",IF(report_B_CategorieBoekjaar[[#This Row],[Boekjaar]]=Projectbegroting!$K$1,report_B_CategorieBoekjaar[[#This Row],[CategorieCode]],0),0)</f>
        <v>0</v>
      </c>
    </row>
    <row r="2140" spans="1:9" x14ac:dyDescent="0.3">
      <c r="A2140" t="s">
        <v>330</v>
      </c>
      <c r="B2140" s="20">
        <v>43101</v>
      </c>
      <c r="C2140" t="s">
        <v>193</v>
      </c>
      <c r="D2140" t="s">
        <v>345</v>
      </c>
      <c r="E2140" t="s">
        <v>217</v>
      </c>
      <c r="F2140">
        <v>0</v>
      </c>
      <c r="G2140">
        <v>0</v>
      </c>
      <c r="H2140">
        <f>IF(report_B_CategorieBoekjaar[[#This Row],[BedrijfsCode]]="002",IF(report_B_CategorieBoekjaar[[#This Row],[Boekjaar]]=Projectbegroting!$K$1,report_B_CategorieBoekjaar[[#This Row],[CategorieCode]],0),0)</f>
        <v>0</v>
      </c>
      <c r="I2140">
        <f>IF(report_B_CategorieBoekjaar[[#This Row],[BedrijfsCode]]="001",IF(report_B_CategorieBoekjaar[[#This Row],[Boekjaar]]=Projectbegroting!$K$1,report_B_CategorieBoekjaar[[#This Row],[CategorieCode]],0),0)</f>
        <v>0</v>
      </c>
    </row>
    <row r="2141" spans="1:9" x14ac:dyDescent="0.3">
      <c r="A2141" t="s">
        <v>330</v>
      </c>
      <c r="B2141" s="20">
        <v>43101</v>
      </c>
      <c r="C2141" t="s">
        <v>194</v>
      </c>
      <c r="D2141" t="s">
        <v>346</v>
      </c>
      <c r="E2141" t="s">
        <v>217</v>
      </c>
      <c r="F2141">
        <v>0</v>
      </c>
      <c r="G2141">
        <v>0</v>
      </c>
      <c r="H2141">
        <f>IF(report_B_CategorieBoekjaar[[#This Row],[BedrijfsCode]]="002",IF(report_B_CategorieBoekjaar[[#This Row],[Boekjaar]]=Projectbegroting!$K$1,report_B_CategorieBoekjaar[[#This Row],[CategorieCode]],0),0)</f>
        <v>0</v>
      </c>
      <c r="I2141">
        <f>IF(report_B_CategorieBoekjaar[[#This Row],[BedrijfsCode]]="001",IF(report_B_CategorieBoekjaar[[#This Row],[Boekjaar]]=Projectbegroting!$K$1,report_B_CategorieBoekjaar[[#This Row],[CategorieCode]],0),0)</f>
        <v>0</v>
      </c>
    </row>
    <row r="2142" spans="1:9" x14ac:dyDescent="0.3">
      <c r="A2142" t="s">
        <v>330</v>
      </c>
      <c r="B2142" s="20">
        <v>43101</v>
      </c>
      <c r="C2142" t="s">
        <v>195</v>
      </c>
      <c r="D2142" t="s">
        <v>347</v>
      </c>
      <c r="E2142" t="s">
        <v>217</v>
      </c>
      <c r="F2142">
        <v>0</v>
      </c>
      <c r="G2142">
        <v>0</v>
      </c>
      <c r="H2142">
        <f>IF(report_B_CategorieBoekjaar[[#This Row],[BedrijfsCode]]="002",IF(report_B_CategorieBoekjaar[[#This Row],[Boekjaar]]=Projectbegroting!$K$1,report_B_CategorieBoekjaar[[#This Row],[CategorieCode]],0),0)</f>
        <v>0</v>
      </c>
      <c r="I2142">
        <f>IF(report_B_CategorieBoekjaar[[#This Row],[BedrijfsCode]]="001",IF(report_B_CategorieBoekjaar[[#This Row],[Boekjaar]]=Projectbegroting!$K$1,report_B_CategorieBoekjaar[[#This Row],[CategorieCode]],0),0)</f>
        <v>0</v>
      </c>
    </row>
    <row r="2143" spans="1:9" x14ac:dyDescent="0.3">
      <c r="A2143" t="s">
        <v>330</v>
      </c>
      <c r="B2143" s="20">
        <v>43101</v>
      </c>
      <c r="C2143" t="s">
        <v>196</v>
      </c>
      <c r="D2143" t="s">
        <v>348</v>
      </c>
      <c r="E2143" t="s">
        <v>217</v>
      </c>
      <c r="F2143">
        <v>0</v>
      </c>
      <c r="G2143">
        <v>0</v>
      </c>
      <c r="H2143">
        <f>IF(report_B_CategorieBoekjaar[[#This Row],[BedrijfsCode]]="002",IF(report_B_CategorieBoekjaar[[#This Row],[Boekjaar]]=Projectbegroting!$K$1,report_B_CategorieBoekjaar[[#This Row],[CategorieCode]],0),0)</f>
        <v>0</v>
      </c>
      <c r="I2143">
        <f>IF(report_B_CategorieBoekjaar[[#This Row],[BedrijfsCode]]="001",IF(report_B_CategorieBoekjaar[[#This Row],[Boekjaar]]=Projectbegroting!$K$1,report_B_CategorieBoekjaar[[#This Row],[CategorieCode]],0),0)</f>
        <v>0</v>
      </c>
    </row>
    <row r="2144" spans="1:9" x14ac:dyDescent="0.3">
      <c r="A2144" t="s">
        <v>330</v>
      </c>
      <c r="B2144" s="20">
        <v>43101</v>
      </c>
      <c r="C2144" t="s">
        <v>349</v>
      </c>
      <c r="D2144" t="s">
        <v>350</v>
      </c>
      <c r="E2144" t="s">
        <v>217</v>
      </c>
      <c r="F2144">
        <v>0</v>
      </c>
      <c r="G2144">
        <v>0</v>
      </c>
      <c r="H2144">
        <f>IF(report_B_CategorieBoekjaar[[#This Row],[BedrijfsCode]]="002",IF(report_B_CategorieBoekjaar[[#This Row],[Boekjaar]]=Projectbegroting!$K$1,report_B_CategorieBoekjaar[[#This Row],[CategorieCode]],0),0)</f>
        <v>0</v>
      </c>
      <c r="I2144">
        <f>IF(report_B_CategorieBoekjaar[[#This Row],[BedrijfsCode]]="001",IF(report_B_CategorieBoekjaar[[#This Row],[Boekjaar]]=Projectbegroting!$K$1,report_B_CategorieBoekjaar[[#This Row],[CategorieCode]],0),0)</f>
        <v>0</v>
      </c>
    </row>
    <row r="2145" spans="1:9" x14ac:dyDescent="0.3">
      <c r="A2145" t="s">
        <v>330</v>
      </c>
      <c r="B2145" s="20">
        <v>43101</v>
      </c>
      <c r="C2145" t="s">
        <v>197</v>
      </c>
      <c r="D2145" t="s">
        <v>351</v>
      </c>
      <c r="E2145" t="s">
        <v>217</v>
      </c>
      <c r="F2145">
        <v>0</v>
      </c>
      <c r="G2145">
        <v>0</v>
      </c>
      <c r="H2145">
        <f>IF(report_B_CategorieBoekjaar[[#This Row],[BedrijfsCode]]="002",IF(report_B_CategorieBoekjaar[[#This Row],[Boekjaar]]=Projectbegroting!$K$1,report_B_CategorieBoekjaar[[#This Row],[CategorieCode]],0),0)</f>
        <v>0</v>
      </c>
      <c r="I2145">
        <f>IF(report_B_CategorieBoekjaar[[#This Row],[BedrijfsCode]]="001",IF(report_B_CategorieBoekjaar[[#This Row],[Boekjaar]]=Projectbegroting!$K$1,report_B_CategorieBoekjaar[[#This Row],[CategorieCode]],0),0)</f>
        <v>0</v>
      </c>
    </row>
    <row r="2146" spans="1:9" x14ac:dyDescent="0.3">
      <c r="A2146" t="s">
        <v>330</v>
      </c>
      <c r="B2146" s="20">
        <v>43101</v>
      </c>
      <c r="C2146" t="s">
        <v>198</v>
      </c>
      <c r="D2146" t="s">
        <v>352</v>
      </c>
      <c r="E2146" t="s">
        <v>217</v>
      </c>
      <c r="F2146">
        <v>0</v>
      </c>
      <c r="G2146">
        <v>0</v>
      </c>
      <c r="H2146">
        <f>IF(report_B_CategorieBoekjaar[[#This Row],[BedrijfsCode]]="002",IF(report_B_CategorieBoekjaar[[#This Row],[Boekjaar]]=Projectbegroting!$K$1,report_B_CategorieBoekjaar[[#This Row],[CategorieCode]],0),0)</f>
        <v>0</v>
      </c>
      <c r="I2146">
        <f>IF(report_B_CategorieBoekjaar[[#This Row],[BedrijfsCode]]="001",IF(report_B_CategorieBoekjaar[[#This Row],[Boekjaar]]=Projectbegroting!$K$1,report_B_CategorieBoekjaar[[#This Row],[CategorieCode]],0),0)</f>
        <v>0</v>
      </c>
    </row>
    <row r="2147" spans="1:9" x14ac:dyDescent="0.3">
      <c r="A2147" t="s">
        <v>330</v>
      </c>
      <c r="B2147" s="20">
        <v>43101</v>
      </c>
      <c r="C2147" t="s">
        <v>353</v>
      </c>
      <c r="D2147" t="s">
        <v>354</v>
      </c>
      <c r="E2147" t="s">
        <v>217</v>
      </c>
      <c r="F2147">
        <v>0</v>
      </c>
      <c r="G2147">
        <v>0</v>
      </c>
      <c r="H2147">
        <f>IF(report_B_CategorieBoekjaar[[#This Row],[BedrijfsCode]]="002",IF(report_B_CategorieBoekjaar[[#This Row],[Boekjaar]]=Projectbegroting!$K$1,report_B_CategorieBoekjaar[[#This Row],[CategorieCode]],0),0)</f>
        <v>0</v>
      </c>
      <c r="I2147">
        <f>IF(report_B_CategorieBoekjaar[[#This Row],[BedrijfsCode]]="001",IF(report_B_CategorieBoekjaar[[#This Row],[Boekjaar]]=Projectbegroting!$K$1,report_B_CategorieBoekjaar[[#This Row],[CategorieCode]],0),0)</f>
        <v>0</v>
      </c>
    </row>
    <row r="2148" spans="1:9" x14ac:dyDescent="0.3">
      <c r="A2148" t="s">
        <v>330</v>
      </c>
      <c r="B2148" s="20">
        <v>43101</v>
      </c>
      <c r="C2148" t="s">
        <v>199</v>
      </c>
      <c r="D2148" t="s">
        <v>355</v>
      </c>
      <c r="E2148" t="s">
        <v>217</v>
      </c>
      <c r="F2148">
        <v>0</v>
      </c>
      <c r="G2148">
        <v>0</v>
      </c>
      <c r="H2148">
        <f>IF(report_B_CategorieBoekjaar[[#This Row],[BedrijfsCode]]="002",IF(report_B_CategorieBoekjaar[[#This Row],[Boekjaar]]=Projectbegroting!$K$1,report_B_CategorieBoekjaar[[#This Row],[CategorieCode]],0),0)</f>
        <v>0</v>
      </c>
      <c r="I2148">
        <f>IF(report_B_CategorieBoekjaar[[#This Row],[BedrijfsCode]]="001",IF(report_B_CategorieBoekjaar[[#This Row],[Boekjaar]]=Projectbegroting!$K$1,report_B_CategorieBoekjaar[[#This Row],[CategorieCode]],0),0)</f>
        <v>0</v>
      </c>
    </row>
    <row r="2149" spans="1:9" x14ac:dyDescent="0.3">
      <c r="A2149" t="s">
        <v>330</v>
      </c>
      <c r="B2149" s="20">
        <v>43101</v>
      </c>
      <c r="C2149" t="s">
        <v>200</v>
      </c>
      <c r="D2149" t="s">
        <v>356</v>
      </c>
      <c r="E2149" t="s">
        <v>217</v>
      </c>
      <c r="F2149">
        <v>0</v>
      </c>
      <c r="G2149">
        <v>0</v>
      </c>
      <c r="H2149">
        <f>IF(report_B_CategorieBoekjaar[[#This Row],[BedrijfsCode]]="002",IF(report_B_CategorieBoekjaar[[#This Row],[Boekjaar]]=Projectbegroting!$K$1,report_B_CategorieBoekjaar[[#This Row],[CategorieCode]],0),0)</f>
        <v>0</v>
      </c>
      <c r="I2149">
        <f>IF(report_B_CategorieBoekjaar[[#This Row],[BedrijfsCode]]="001",IF(report_B_CategorieBoekjaar[[#This Row],[Boekjaar]]=Projectbegroting!$K$1,report_B_CategorieBoekjaar[[#This Row],[CategorieCode]],0),0)</f>
        <v>0</v>
      </c>
    </row>
    <row r="2150" spans="1:9" x14ac:dyDescent="0.3">
      <c r="A2150" t="s">
        <v>330</v>
      </c>
      <c r="B2150" s="20">
        <v>43101</v>
      </c>
      <c r="C2150" t="s">
        <v>201</v>
      </c>
      <c r="D2150" t="s">
        <v>357</v>
      </c>
      <c r="E2150" t="s">
        <v>217</v>
      </c>
      <c r="F2150">
        <v>0</v>
      </c>
      <c r="G2150">
        <v>0</v>
      </c>
      <c r="H2150">
        <f>IF(report_B_CategorieBoekjaar[[#This Row],[BedrijfsCode]]="002",IF(report_B_CategorieBoekjaar[[#This Row],[Boekjaar]]=Projectbegroting!$K$1,report_B_CategorieBoekjaar[[#This Row],[CategorieCode]],0),0)</f>
        <v>0</v>
      </c>
      <c r="I2150">
        <f>IF(report_B_CategorieBoekjaar[[#This Row],[BedrijfsCode]]="001",IF(report_B_CategorieBoekjaar[[#This Row],[Boekjaar]]=Projectbegroting!$K$1,report_B_CategorieBoekjaar[[#This Row],[CategorieCode]],0),0)</f>
        <v>0</v>
      </c>
    </row>
    <row r="2151" spans="1:9" x14ac:dyDescent="0.3">
      <c r="A2151" t="s">
        <v>330</v>
      </c>
      <c r="B2151" s="20">
        <v>43101</v>
      </c>
      <c r="C2151" t="s">
        <v>202</v>
      </c>
      <c r="D2151" t="s">
        <v>358</v>
      </c>
      <c r="E2151" t="s">
        <v>217</v>
      </c>
      <c r="F2151">
        <v>0</v>
      </c>
      <c r="G2151">
        <v>0</v>
      </c>
      <c r="H2151">
        <f>IF(report_B_CategorieBoekjaar[[#This Row],[BedrijfsCode]]="002",IF(report_B_CategorieBoekjaar[[#This Row],[Boekjaar]]=Projectbegroting!$K$1,report_B_CategorieBoekjaar[[#This Row],[CategorieCode]],0),0)</f>
        <v>0</v>
      </c>
      <c r="I2151">
        <f>IF(report_B_CategorieBoekjaar[[#This Row],[BedrijfsCode]]="001",IF(report_B_CategorieBoekjaar[[#This Row],[Boekjaar]]=Projectbegroting!$K$1,report_B_CategorieBoekjaar[[#This Row],[CategorieCode]],0),0)</f>
        <v>0</v>
      </c>
    </row>
    <row r="2152" spans="1:9" x14ac:dyDescent="0.3">
      <c r="A2152" t="s">
        <v>330</v>
      </c>
      <c r="B2152" s="20">
        <v>43101</v>
      </c>
      <c r="C2152" t="s">
        <v>203</v>
      </c>
      <c r="D2152" t="s">
        <v>359</v>
      </c>
      <c r="E2152" t="s">
        <v>217</v>
      </c>
      <c r="F2152">
        <v>0</v>
      </c>
      <c r="G2152">
        <v>0</v>
      </c>
      <c r="H2152">
        <f>IF(report_B_CategorieBoekjaar[[#This Row],[BedrijfsCode]]="002",IF(report_B_CategorieBoekjaar[[#This Row],[Boekjaar]]=Projectbegroting!$K$1,report_B_CategorieBoekjaar[[#This Row],[CategorieCode]],0),0)</f>
        <v>0</v>
      </c>
      <c r="I2152">
        <f>IF(report_B_CategorieBoekjaar[[#This Row],[BedrijfsCode]]="001",IF(report_B_CategorieBoekjaar[[#This Row],[Boekjaar]]=Projectbegroting!$K$1,report_B_CategorieBoekjaar[[#This Row],[CategorieCode]],0),0)</f>
        <v>0</v>
      </c>
    </row>
    <row r="2153" spans="1:9" x14ac:dyDescent="0.3">
      <c r="A2153" t="s">
        <v>330</v>
      </c>
      <c r="B2153" s="20">
        <v>43101</v>
      </c>
      <c r="C2153" t="s">
        <v>204</v>
      </c>
      <c r="D2153" t="s">
        <v>360</v>
      </c>
      <c r="E2153" t="s">
        <v>217</v>
      </c>
      <c r="F2153">
        <v>0</v>
      </c>
      <c r="G2153">
        <v>0</v>
      </c>
      <c r="H2153">
        <f>IF(report_B_CategorieBoekjaar[[#This Row],[BedrijfsCode]]="002",IF(report_B_CategorieBoekjaar[[#This Row],[Boekjaar]]=Projectbegroting!$K$1,report_B_CategorieBoekjaar[[#This Row],[CategorieCode]],0),0)</f>
        <v>0</v>
      </c>
      <c r="I2153">
        <f>IF(report_B_CategorieBoekjaar[[#This Row],[BedrijfsCode]]="001",IF(report_B_CategorieBoekjaar[[#This Row],[Boekjaar]]=Projectbegroting!$K$1,report_B_CategorieBoekjaar[[#This Row],[CategorieCode]],0),0)</f>
        <v>0</v>
      </c>
    </row>
    <row r="2154" spans="1:9" x14ac:dyDescent="0.3">
      <c r="A2154" t="s">
        <v>330</v>
      </c>
      <c r="B2154" s="20">
        <v>43101</v>
      </c>
      <c r="C2154" t="s">
        <v>205</v>
      </c>
      <c r="D2154" t="s">
        <v>361</v>
      </c>
      <c r="E2154" t="s">
        <v>217</v>
      </c>
      <c r="F2154">
        <v>0</v>
      </c>
      <c r="G2154">
        <v>0</v>
      </c>
      <c r="H2154">
        <f>IF(report_B_CategorieBoekjaar[[#This Row],[BedrijfsCode]]="002",IF(report_B_CategorieBoekjaar[[#This Row],[Boekjaar]]=Projectbegroting!$K$1,report_B_CategorieBoekjaar[[#This Row],[CategorieCode]],0),0)</f>
        <v>0</v>
      </c>
      <c r="I2154">
        <f>IF(report_B_CategorieBoekjaar[[#This Row],[BedrijfsCode]]="001",IF(report_B_CategorieBoekjaar[[#This Row],[Boekjaar]]=Projectbegroting!$K$1,report_B_CategorieBoekjaar[[#This Row],[CategorieCode]],0),0)</f>
        <v>0</v>
      </c>
    </row>
    <row r="2155" spans="1:9" x14ac:dyDescent="0.3">
      <c r="A2155" t="s">
        <v>330</v>
      </c>
      <c r="B2155" s="20">
        <v>43101</v>
      </c>
      <c r="C2155" t="s">
        <v>206</v>
      </c>
      <c r="D2155" t="s">
        <v>362</v>
      </c>
      <c r="E2155" t="s">
        <v>217</v>
      </c>
      <c r="F2155">
        <v>0</v>
      </c>
      <c r="G2155">
        <v>0</v>
      </c>
      <c r="H2155">
        <f>IF(report_B_CategorieBoekjaar[[#This Row],[BedrijfsCode]]="002",IF(report_B_CategorieBoekjaar[[#This Row],[Boekjaar]]=Projectbegroting!$K$1,report_B_CategorieBoekjaar[[#This Row],[CategorieCode]],0),0)</f>
        <v>0</v>
      </c>
      <c r="I2155">
        <f>IF(report_B_CategorieBoekjaar[[#This Row],[BedrijfsCode]]="001",IF(report_B_CategorieBoekjaar[[#This Row],[Boekjaar]]=Projectbegroting!$K$1,report_B_CategorieBoekjaar[[#This Row],[CategorieCode]],0),0)</f>
        <v>0</v>
      </c>
    </row>
    <row r="2156" spans="1:9" x14ac:dyDescent="0.3">
      <c r="A2156" t="s">
        <v>330</v>
      </c>
      <c r="B2156" s="20">
        <v>43101</v>
      </c>
      <c r="C2156" t="s">
        <v>363</v>
      </c>
      <c r="D2156" t="s">
        <v>364</v>
      </c>
      <c r="E2156" t="s">
        <v>217</v>
      </c>
      <c r="F2156">
        <v>0</v>
      </c>
      <c r="G2156">
        <v>0</v>
      </c>
      <c r="H2156">
        <f>IF(report_B_CategorieBoekjaar[[#This Row],[BedrijfsCode]]="002",IF(report_B_CategorieBoekjaar[[#This Row],[Boekjaar]]=Projectbegroting!$K$1,report_B_CategorieBoekjaar[[#This Row],[CategorieCode]],0),0)</f>
        <v>0</v>
      </c>
      <c r="I2156">
        <f>IF(report_B_CategorieBoekjaar[[#This Row],[BedrijfsCode]]="001",IF(report_B_CategorieBoekjaar[[#This Row],[Boekjaar]]=Projectbegroting!$K$1,report_B_CategorieBoekjaar[[#This Row],[CategorieCode]],0),0)</f>
        <v>0</v>
      </c>
    </row>
    <row r="2157" spans="1:9" x14ac:dyDescent="0.3">
      <c r="A2157" t="s">
        <v>330</v>
      </c>
      <c r="B2157" s="20">
        <v>43101</v>
      </c>
      <c r="C2157" t="s">
        <v>207</v>
      </c>
      <c r="D2157" t="s">
        <v>365</v>
      </c>
      <c r="E2157" t="s">
        <v>217</v>
      </c>
      <c r="F2157">
        <v>0</v>
      </c>
      <c r="G2157">
        <v>0</v>
      </c>
      <c r="H2157">
        <f>IF(report_B_CategorieBoekjaar[[#This Row],[BedrijfsCode]]="002",IF(report_B_CategorieBoekjaar[[#This Row],[Boekjaar]]=Projectbegroting!$K$1,report_B_CategorieBoekjaar[[#This Row],[CategorieCode]],0),0)</f>
        <v>0</v>
      </c>
      <c r="I2157">
        <f>IF(report_B_CategorieBoekjaar[[#This Row],[BedrijfsCode]]="001",IF(report_B_CategorieBoekjaar[[#This Row],[Boekjaar]]=Projectbegroting!$K$1,report_B_CategorieBoekjaar[[#This Row],[CategorieCode]],0),0)</f>
        <v>0</v>
      </c>
    </row>
    <row r="2158" spans="1:9" x14ac:dyDescent="0.3">
      <c r="A2158" t="s">
        <v>330</v>
      </c>
      <c r="B2158" s="20">
        <v>43101</v>
      </c>
      <c r="C2158" t="s">
        <v>208</v>
      </c>
      <c r="D2158" t="s">
        <v>366</v>
      </c>
      <c r="E2158" t="s">
        <v>217</v>
      </c>
      <c r="F2158">
        <v>0</v>
      </c>
      <c r="G2158">
        <v>0</v>
      </c>
      <c r="H2158">
        <f>IF(report_B_CategorieBoekjaar[[#This Row],[BedrijfsCode]]="002",IF(report_B_CategorieBoekjaar[[#This Row],[Boekjaar]]=Projectbegroting!$K$1,report_B_CategorieBoekjaar[[#This Row],[CategorieCode]],0),0)</f>
        <v>0</v>
      </c>
      <c r="I2158">
        <f>IF(report_B_CategorieBoekjaar[[#This Row],[BedrijfsCode]]="001",IF(report_B_CategorieBoekjaar[[#This Row],[Boekjaar]]=Projectbegroting!$K$1,report_B_CategorieBoekjaar[[#This Row],[CategorieCode]],0),0)</f>
        <v>0</v>
      </c>
    </row>
    <row r="2159" spans="1:9" x14ac:dyDescent="0.3">
      <c r="A2159" t="s">
        <v>330</v>
      </c>
      <c r="B2159" s="20">
        <v>43101</v>
      </c>
      <c r="C2159" t="s">
        <v>209</v>
      </c>
      <c r="D2159" t="s">
        <v>367</v>
      </c>
      <c r="E2159" t="s">
        <v>217</v>
      </c>
      <c r="F2159">
        <v>0</v>
      </c>
      <c r="G2159">
        <v>0</v>
      </c>
      <c r="H2159">
        <f>IF(report_B_CategorieBoekjaar[[#This Row],[BedrijfsCode]]="002",IF(report_B_CategorieBoekjaar[[#This Row],[Boekjaar]]=Projectbegroting!$K$1,report_B_CategorieBoekjaar[[#This Row],[CategorieCode]],0),0)</f>
        <v>0</v>
      </c>
      <c r="I2159">
        <f>IF(report_B_CategorieBoekjaar[[#This Row],[BedrijfsCode]]="001",IF(report_B_CategorieBoekjaar[[#This Row],[Boekjaar]]=Projectbegroting!$K$1,report_B_CategorieBoekjaar[[#This Row],[CategorieCode]],0),0)</f>
        <v>0</v>
      </c>
    </row>
    <row r="2160" spans="1:9" x14ac:dyDescent="0.3">
      <c r="A2160" t="s">
        <v>330</v>
      </c>
      <c r="B2160" s="20">
        <v>43101</v>
      </c>
      <c r="C2160" t="s">
        <v>210</v>
      </c>
      <c r="D2160" t="s">
        <v>368</v>
      </c>
      <c r="E2160" t="s">
        <v>217</v>
      </c>
      <c r="F2160">
        <v>0</v>
      </c>
      <c r="G2160">
        <v>0</v>
      </c>
      <c r="H2160">
        <f>IF(report_B_CategorieBoekjaar[[#This Row],[BedrijfsCode]]="002",IF(report_B_CategorieBoekjaar[[#This Row],[Boekjaar]]=Projectbegroting!$K$1,report_B_CategorieBoekjaar[[#This Row],[CategorieCode]],0),0)</f>
        <v>0</v>
      </c>
      <c r="I2160">
        <f>IF(report_B_CategorieBoekjaar[[#This Row],[BedrijfsCode]]="001",IF(report_B_CategorieBoekjaar[[#This Row],[Boekjaar]]=Projectbegroting!$K$1,report_B_CategorieBoekjaar[[#This Row],[CategorieCode]],0),0)</f>
        <v>0</v>
      </c>
    </row>
    <row r="2161" spans="1:9" x14ac:dyDescent="0.3">
      <c r="A2161" t="s">
        <v>330</v>
      </c>
      <c r="B2161" s="20">
        <v>43101</v>
      </c>
      <c r="C2161" t="s">
        <v>369</v>
      </c>
      <c r="D2161" t="s">
        <v>370</v>
      </c>
      <c r="E2161" t="s">
        <v>217</v>
      </c>
      <c r="F2161">
        <v>0</v>
      </c>
      <c r="G2161">
        <v>0</v>
      </c>
      <c r="H2161">
        <f>IF(report_B_CategorieBoekjaar[[#This Row],[BedrijfsCode]]="002",IF(report_B_CategorieBoekjaar[[#This Row],[Boekjaar]]=Projectbegroting!$K$1,report_B_CategorieBoekjaar[[#This Row],[CategorieCode]],0),0)</f>
        <v>0</v>
      </c>
      <c r="I2161">
        <f>IF(report_B_CategorieBoekjaar[[#This Row],[BedrijfsCode]]="001",IF(report_B_CategorieBoekjaar[[#This Row],[Boekjaar]]=Projectbegroting!$K$1,report_B_CategorieBoekjaar[[#This Row],[CategorieCode]],0),0)</f>
        <v>0</v>
      </c>
    </row>
    <row r="2162" spans="1:9" x14ac:dyDescent="0.3">
      <c r="A2162" t="s">
        <v>330</v>
      </c>
      <c r="B2162" s="20">
        <v>43101</v>
      </c>
      <c r="C2162" t="s">
        <v>371</v>
      </c>
      <c r="D2162" t="s">
        <v>372</v>
      </c>
      <c r="E2162" t="s">
        <v>217</v>
      </c>
      <c r="F2162">
        <v>0</v>
      </c>
      <c r="G2162">
        <v>0</v>
      </c>
      <c r="H2162">
        <f>IF(report_B_CategorieBoekjaar[[#This Row],[BedrijfsCode]]="002",IF(report_B_CategorieBoekjaar[[#This Row],[Boekjaar]]=Projectbegroting!$K$1,report_B_CategorieBoekjaar[[#This Row],[CategorieCode]],0),0)</f>
        <v>0</v>
      </c>
      <c r="I2162">
        <f>IF(report_B_CategorieBoekjaar[[#This Row],[BedrijfsCode]]="001",IF(report_B_CategorieBoekjaar[[#This Row],[Boekjaar]]=Projectbegroting!$K$1,report_B_CategorieBoekjaar[[#This Row],[CategorieCode]],0),0)</f>
        <v>0</v>
      </c>
    </row>
    <row r="2163" spans="1:9" x14ac:dyDescent="0.3">
      <c r="A2163" t="s">
        <v>330</v>
      </c>
      <c r="B2163" s="20">
        <v>43101</v>
      </c>
      <c r="C2163" t="s">
        <v>373</v>
      </c>
      <c r="D2163" t="s">
        <v>374</v>
      </c>
      <c r="E2163" t="s">
        <v>217</v>
      </c>
      <c r="F2163">
        <v>0</v>
      </c>
      <c r="G2163">
        <v>0</v>
      </c>
      <c r="H2163">
        <f>IF(report_B_CategorieBoekjaar[[#This Row],[BedrijfsCode]]="002",IF(report_B_CategorieBoekjaar[[#This Row],[Boekjaar]]=Projectbegroting!$K$1,report_B_CategorieBoekjaar[[#This Row],[CategorieCode]],0),0)</f>
        <v>0</v>
      </c>
      <c r="I2163">
        <f>IF(report_B_CategorieBoekjaar[[#This Row],[BedrijfsCode]]="001",IF(report_B_CategorieBoekjaar[[#This Row],[Boekjaar]]=Projectbegroting!$K$1,report_B_CategorieBoekjaar[[#This Row],[CategorieCode]],0),0)</f>
        <v>0</v>
      </c>
    </row>
    <row r="2164" spans="1:9" x14ac:dyDescent="0.3">
      <c r="A2164" t="s">
        <v>330</v>
      </c>
      <c r="B2164" s="20">
        <v>43101</v>
      </c>
      <c r="C2164" t="s">
        <v>375</v>
      </c>
      <c r="D2164" t="s">
        <v>376</v>
      </c>
      <c r="E2164" t="s">
        <v>217</v>
      </c>
      <c r="F2164">
        <v>0</v>
      </c>
      <c r="G2164">
        <v>0</v>
      </c>
      <c r="H2164">
        <f>IF(report_B_CategorieBoekjaar[[#This Row],[BedrijfsCode]]="002",IF(report_B_CategorieBoekjaar[[#This Row],[Boekjaar]]=Projectbegroting!$K$1,report_B_CategorieBoekjaar[[#This Row],[CategorieCode]],0),0)</f>
        <v>0</v>
      </c>
      <c r="I2164">
        <f>IF(report_B_CategorieBoekjaar[[#This Row],[BedrijfsCode]]="001",IF(report_B_CategorieBoekjaar[[#This Row],[Boekjaar]]=Projectbegroting!$K$1,report_B_CategorieBoekjaar[[#This Row],[CategorieCode]],0),0)</f>
        <v>0</v>
      </c>
    </row>
    <row r="2165" spans="1:9" x14ac:dyDescent="0.3">
      <c r="A2165" t="s">
        <v>330</v>
      </c>
      <c r="B2165" s="20">
        <v>43101</v>
      </c>
      <c r="C2165" t="s">
        <v>377</v>
      </c>
      <c r="D2165" t="s">
        <v>378</v>
      </c>
      <c r="E2165" t="s">
        <v>217</v>
      </c>
      <c r="F2165">
        <v>0</v>
      </c>
      <c r="G2165">
        <v>0</v>
      </c>
      <c r="H2165">
        <f>IF(report_B_CategorieBoekjaar[[#This Row],[BedrijfsCode]]="002",IF(report_B_CategorieBoekjaar[[#This Row],[Boekjaar]]=Projectbegroting!$K$1,report_B_CategorieBoekjaar[[#This Row],[CategorieCode]],0),0)</f>
        <v>0</v>
      </c>
      <c r="I2165">
        <f>IF(report_B_CategorieBoekjaar[[#This Row],[BedrijfsCode]]="001",IF(report_B_CategorieBoekjaar[[#This Row],[Boekjaar]]=Projectbegroting!$K$1,report_B_CategorieBoekjaar[[#This Row],[CategorieCode]],0),0)</f>
        <v>0</v>
      </c>
    </row>
    <row r="2166" spans="1:9" x14ac:dyDescent="0.3">
      <c r="A2166" t="s">
        <v>330</v>
      </c>
      <c r="B2166" s="20">
        <v>43101</v>
      </c>
      <c r="C2166" t="s">
        <v>379</v>
      </c>
      <c r="D2166" t="s">
        <v>380</v>
      </c>
      <c r="E2166" t="s">
        <v>381</v>
      </c>
      <c r="F2166">
        <v>37</v>
      </c>
      <c r="G2166">
        <v>70</v>
      </c>
      <c r="H2166">
        <f>IF(report_B_CategorieBoekjaar[[#This Row],[BedrijfsCode]]="002",IF(report_B_CategorieBoekjaar[[#This Row],[Boekjaar]]=Projectbegroting!$K$1,report_B_CategorieBoekjaar[[#This Row],[CategorieCode]],0),0)</f>
        <v>0</v>
      </c>
      <c r="I2166">
        <f>IF(report_B_CategorieBoekjaar[[#This Row],[BedrijfsCode]]="001",IF(report_B_CategorieBoekjaar[[#This Row],[Boekjaar]]=Projectbegroting!$K$1,report_B_CategorieBoekjaar[[#This Row],[CategorieCode]],0),0)</f>
        <v>0</v>
      </c>
    </row>
    <row r="2167" spans="1:9" x14ac:dyDescent="0.3">
      <c r="A2167" t="s">
        <v>330</v>
      </c>
      <c r="B2167" s="20">
        <v>43101</v>
      </c>
      <c r="C2167" t="s">
        <v>382</v>
      </c>
      <c r="D2167" t="s">
        <v>383</v>
      </c>
      <c r="E2167" t="s">
        <v>384</v>
      </c>
      <c r="F2167">
        <v>0</v>
      </c>
      <c r="G2167">
        <v>0</v>
      </c>
      <c r="H2167">
        <f>IF(report_B_CategorieBoekjaar[[#This Row],[BedrijfsCode]]="002",IF(report_B_CategorieBoekjaar[[#This Row],[Boekjaar]]=Projectbegroting!$K$1,report_B_CategorieBoekjaar[[#This Row],[CategorieCode]],0),0)</f>
        <v>0</v>
      </c>
      <c r="I2167">
        <f>IF(report_B_CategorieBoekjaar[[#This Row],[BedrijfsCode]]="001",IF(report_B_CategorieBoekjaar[[#This Row],[Boekjaar]]=Projectbegroting!$K$1,report_B_CategorieBoekjaar[[#This Row],[CategorieCode]],0),0)</f>
        <v>0</v>
      </c>
    </row>
    <row r="2168" spans="1:9" x14ac:dyDescent="0.3">
      <c r="A2168" t="s">
        <v>330</v>
      </c>
      <c r="B2168" s="20">
        <v>43101</v>
      </c>
      <c r="C2168" t="s">
        <v>385</v>
      </c>
      <c r="D2168" t="s">
        <v>386</v>
      </c>
      <c r="E2168" t="s">
        <v>381</v>
      </c>
      <c r="F2168">
        <v>60</v>
      </c>
      <c r="G2168">
        <v>93</v>
      </c>
      <c r="H2168">
        <f>IF(report_B_CategorieBoekjaar[[#This Row],[BedrijfsCode]]="002",IF(report_B_CategorieBoekjaar[[#This Row],[Boekjaar]]=Projectbegroting!$K$1,report_B_CategorieBoekjaar[[#This Row],[CategorieCode]],0),0)</f>
        <v>0</v>
      </c>
      <c r="I2168">
        <f>IF(report_B_CategorieBoekjaar[[#This Row],[BedrijfsCode]]="001",IF(report_B_CategorieBoekjaar[[#This Row],[Boekjaar]]=Projectbegroting!$K$1,report_B_CategorieBoekjaar[[#This Row],[CategorieCode]],0),0)</f>
        <v>0</v>
      </c>
    </row>
    <row r="2169" spans="1:9" x14ac:dyDescent="0.3">
      <c r="A2169" t="s">
        <v>330</v>
      </c>
      <c r="B2169" s="20">
        <v>43101</v>
      </c>
      <c r="C2169" t="s">
        <v>387</v>
      </c>
      <c r="D2169" t="s">
        <v>388</v>
      </c>
      <c r="E2169" t="s">
        <v>384</v>
      </c>
      <c r="F2169">
        <v>0</v>
      </c>
      <c r="G2169">
        <v>0</v>
      </c>
      <c r="H2169">
        <f>IF(report_B_CategorieBoekjaar[[#This Row],[BedrijfsCode]]="002",IF(report_B_CategorieBoekjaar[[#This Row],[Boekjaar]]=Projectbegroting!$K$1,report_B_CategorieBoekjaar[[#This Row],[CategorieCode]],0),0)</f>
        <v>0</v>
      </c>
      <c r="I2169">
        <f>IF(report_B_CategorieBoekjaar[[#This Row],[BedrijfsCode]]="001",IF(report_B_CategorieBoekjaar[[#This Row],[Boekjaar]]=Projectbegroting!$K$1,report_B_CategorieBoekjaar[[#This Row],[CategorieCode]],0),0)</f>
        <v>0</v>
      </c>
    </row>
    <row r="2170" spans="1:9" x14ac:dyDescent="0.3">
      <c r="A2170" t="s">
        <v>330</v>
      </c>
      <c r="B2170" s="20">
        <v>43101</v>
      </c>
      <c r="C2170" t="s">
        <v>52</v>
      </c>
      <c r="D2170" t="s">
        <v>53</v>
      </c>
      <c r="E2170" t="s">
        <v>381</v>
      </c>
      <c r="F2170">
        <v>61</v>
      </c>
      <c r="G2170">
        <v>0</v>
      </c>
      <c r="H2170">
        <f>IF(report_B_CategorieBoekjaar[[#This Row],[BedrijfsCode]]="002",IF(report_B_CategorieBoekjaar[[#This Row],[Boekjaar]]=Projectbegroting!$K$1,report_B_CategorieBoekjaar[[#This Row],[CategorieCode]],0),0)</f>
        <v>0</v>
      </c>
      <c r="I2170">
        <f>IF(report_B_CategorieBoekjaar[[#This Row],[BedrijfsCode]]="001",IF(report_B_CategorieBoekjaar[[#This Row],[Boekjaar]]=Projectbegroting!$K$1,report_B_CategorieBoekjaar[[#This Row],[CategorieCode]],0),0)</f>
        <v>0</v>
      </c>
    </row>
    <row r="2171" spans="1:9" x14ac:dyDescent="0.3">
      <c r="A2171" t="s">
        <v>330</v>
      </c>
      <c r="B2171" s="20">
        <v>43101</v>
      </c>
      <c r="C2171" t="s">
        <v>389</v>
      </c>
      <c r="D2171" t="s">
        <v>390</v>
      </c>
      <c r="E2171" t="s">
        <v>384</v>
      </c>
      <c r="F2171">
        <v>0</v>
      </c>
      <c r="G2171">
        <v>0</v>
      </c>
      <c r="H2171">
        <f>IF(report_B_CategorieBoekjaar[[#This Row],[BedrijfsCode]]="002",IF(report_B_CategorieBoekjaar[[#This Row],[Boekjaar]]=Projectbegroting!$K$1,report_B_CategorieBoekjaar[[#This Row],[CategorieCode]],0),0)</f>
        <v>0</v>
      </c>
      <c r="I2171">
        <f>IF(report_B_CategorieBoekjaar[[#This Row],[BedrijfsCode]]="001",IF(report_B_CategorieBoekjaar[[#This Row],[Boekjaar]]=Projectbegroting!$K$1,report_B_CategorieBoekjaar[[#This Row],[CategorieCode]],0),0)</f>
        <v>0</v>
      </c>
    </row>
    <row r="2172" spans="1:9" x14ac:dyDescent="0.3">
      <c r="A2172" t="s">
        <v>330</v>
      </c>
      <c r="B2172" s="20">
        <v>43101</v>
      </c>
      <c r="C2172" t="s">
        <v>391</v>
      </c>
      <c r="D2172" t="s">
        <v>392</v>
      </c>
      <c r="E2172" t="s">
        <v>381</v>
      </c>
      <c r="F2172">
        <v>48</v>
      </c>
      <c r="G2172">
        <v>0</v>
      </c>
      <c r="H2172">
        <f>IF(report_B_CategorieBoekjaar[[#This Row],[BedrijfsCode]]="002",IF(report_B_CategorieBoekjaar[[#This Row],[Boekjaar]]=Projectbegroting!$K$1,report_B_CategorieBoekjaar[[#This Row],[CategorieCode]],0),0)</f>
        <v>0</v>
      </c>
      <c r="I2172">
        <f>IF(report_B_CategorieBoekjaar[[#This Row],[BedrijfsCode]]="001",IF(report_B_CategorieBoekjaar[[#This Row],[Boekjaar]]=Projectbegroting!$K$1,report_B_CategorieBoekjaar[[#This Row],[CategorieCode]],0),0)</f>
        <v>0</v>
      </c>
    </row>
    <row r="2173" spans="1:9" x14ac:dyDescent="0.3">
      <c r="A2173" t="s">
        <v>330</v>
      </c>
      <c r="B2173" s="20">
        <v>43101</v>
      </c>
      <c r="C2173" t="s">
        <v>393</v>
      </c>
      <c r="D2173" t="s">
        <v>394</v>
      </c>
      <c r="E2173" t="s">
        <v>384</v>
      </c>
      <c r="F2173">
        <v>0</v>
      </c>
      <c r="G2173">
        <v>0</v>
      </c>
      <c r="H2173">
        <f>IF(report_B_CategorieBoekjaar[[#This Row],[BedrijfsCode]]="002",IF(report_B_CategorieBoekjaar[[#This Row],[Boekjaar]]=Projectbegroting!$K$1,report_B_CategorieBoekjaar[[#This Row],[CategorieCode]],0),0)</f>
        <v>0</v>
      </c>
      <c r="I2173">
        <f>IF(report_B_CategorieBoekjaar[[#This Row],[BedrijfsCode]]="001",IF(report_B_CategorieBoekjaar[[#This Row],[Boekjaar]]=Projectbegroting!$K$1,report_B_CategorieBoekjaar[[#This Row],[CategorieCode]],0),0)</f>
        <v>0</v>
      </c>
    </row>
    <row r="2174" spans="1:9" x14ac:dyDescent="0.3">
      <c r="A2174" t="s">
        <v>330</v>
      </c>
      <c r="B2174" s="20">
        <v>43101</v>
      </c>
      <c r="C2174" t="s">
        <v>395</v>
      </c>
      <c r="D2174" t="s">
        <v>396</v>
      </c>
      <c r="E2174" t="s">
        <v>381</v>
      </c>
      <c r="F2174">
        <v>54</v>
      </c>
      <c r="G2174">
        <v>0</v>
      </c>
      <c r="H2174">
        <f>IF(report_B_CategorieBoekjaar[[#This Row],[BedrijfsCode]]="002",IF(report_B_CategorieBoekjaar[[#This Row],[Boekjaar]]=Projectbegroting!$K$1,report_B_CategorieBoekjaar[[#This Row],[CategorieCode]],0),0)</f>
        <v>0</v>
      </c>
      <c r="I2174">
        <f>IF(report_B_CategorieBoekjaar[[#This Row],[BedrijfsCode]]="001",IF(report_B_CategorieBoekjaar[[#This Row],[Boekjaar]]=Projectbegroting!$K$1,report_B_CategorieBoekjaar[[#This Row],[CategorieCode]],0),0)</f>
        <v>0</v>
      </c>
    </row>
    <row r="2175" spans="1:9" x14ac:dyDescent="0.3">
      <c r="A2175" t="s">
        <v>330</v>
      </c>
      <c r="B2175" s="20">
        <v>43101</v>
      </c>
      <c r="C2175" t="s">
        <v>397</v>
      </c>
      <c r="D2175" t="s">
        <v>398</v>
      </c>
      <c r="E2175" t="s">
        <v>384</v>
      </c>
      <c r="F2175">
        <v>0</v>
      </c>
      <c r="G2175">
        <v>0</v>
      </c>
      <c r="H2175">
        <f>IF(report_B_CategorieBoekjaar[[#This Row],[BedrijfsCode]]="002",IF(report_B_CategorieBoekjaar[[#This Row],[Boekjaar]]=Projectbegroting!$K$1,report_B_CategorieBoekjaar[[#This Row],[CategorieCode]],0),0)</f>
        <v>0</v>
      </c>
      <c r="I2175">
        <f>IF(report_B_CategorieBoekjaar[[#This Row],[BedrijfsCode]]="001",IF(report_B_CategorieBoekjaar[[#This Row],[Boekjaar]]=Projectbegroting!$K$1,report_B_CategorieBoekjaar[[#This Row],[CategorieCode]],0),0)</f>
        <v>0</v>
      </c>
    </row>
    <row r="2176" spans="1:9" x14ac:dyDescent="0.3">
      <c r="A2176" t="s">
        <v>330</v>
      </c>
      <c r="B2176" s="20">
        <v>43101</v>
      </c>
      <c r="C2176" t="s">
        <v>54</v>
      </c>
      <c r="D2176" t="s">
        <v>399</v>
      </c>
      <c r="E2176" t="s">
        <v>381</v>
      </c>
      <c r="F2176">
        <v>46</v>
      </c>
      <c r="G2176">
        <v>79</v>
      </c>
      <c r="H2176">
        <f>IF(report_B_CategorieBoekjaar[[#This Row],[BedrijfsCode]]="002",IF(report_B_CategorieBoekjaar[[#This Row],[Boekjaar]]=Projectbegroting!$K$1,report_B_CategorieBoekjaar[[#This Row],[CategorieCode]],0),0)</f>
        <v>0</v>
      </c>
      <c r="I2176">
        <f>IF(report_B_CategorieBoekjaar[[#This Row],[BedrijfsCode]]="001",IF(report_B_CategorieBoekjaar[[#This Row],[Boekjaar]]=Projectbegroting!$K$1,report_B_CategorieBoekjaar[[#This Row],[CategorieCode]],0),0)</f>
        <v>0</v>
      </c>
    </row>
    <row r="2177" spans="1:9" x14ac:dyDescent="0.3">
      <c r="A2177" t="s">
        <v>330</v>
      </c>
      <c r="B2177" s="20">
        <v>43101</v>
      </c>
      <c r="C2177" t="s">
        <v>400</v>
      </c>
      <c r="D2177" t="s">
        <v>401</v>
      </c>
      <c r="E2177" t="s">
        <v>384</v>
      </c>
      <c r="F2177">
        <v>0</v>
      </c>
      <c r="G2177">
        <v>0</v>
      </c>
      <c r="H2177">
        <f>IF(report_B_CategorieBoekjaar[[#This Row],[BedrijfsCode]]="002",IF(report_B_CategorieBoekjaar[[#This Row],[Boekjaar]]=Projectbegroting!$K$1,report_B_CategorieBoekjaar[[#This Row],[CategorieCode]],0),0)</f>
        <v>0</v>
      </c>
      <c r="I2177">
        <f>IF(report_B_CategorieBoekjaar[[#This Row],[BedrijfsCode]]="001",IF(report_B_CategorieBoekjaar[[#This Row],[Boekjaar]]=Projectbegroting!$K$1,report_B_CategorieBoekjaar[[#This Row],[CategorieCode]],0),0)</f>
        <v>0</v>
      </c>
    </row>
    <row r="2178" spans="1:9" x14ac:dyDescent="0.3">
      <c r="A2178" t="s">
        <v>330</v>
      </c>
      <c r="B2178" s="20">
        <v>43101</v>
      </c>
      <c r="C2178" t="s">
        <v>56</v>
      </c>
      <c r="D2178" t="s">
        <v>402</v>
      </c>
      <c r="E2178" t="s">
        <v>381</v>
      </c>
      <c r="F2178">
        <v>57</v>
      </c>
      <c r="G2178">
        <v>0</v>
      </c>
      <c r="H2178">
        <f>IF(report_B_CategorieBoekjaar[[#This Row],[BedrijfsCode]]="002",IF(report_B_CategorieBoekjaar[[#This Row],[Boekjaar]]=Projectbegroting!$K$1,report_B_CategorieBoekjaar[[#This Row],[CategorieCode]],0),0)</f>
        <v>0</v>
      </c>
      <c r="I2178">
        <f>IF(report_B_CategorieBoekjaar[[#This Row],[BedrijfsCode]]="001",IF(report_B_CategorieBoekjaar[[#This Row],[Boekjaar]]=Projectbegroting!$K$1,report_B_CategorieBoekjaar[[#This Row],[CategorieCode]],0),0)</f>
        <v>0</v>
      </c>
    </row>
    <row r="2179" spans="1:9" x14ac:dyDescent="0.3">
      <c r="A2179" t="s">
        <v>330</v>
      </c>
      <c r="B2179" s="20">
        <v>43101</v>
      </c>
      <c r="C2179" t="s">
        <v>403</v>
      </c>
      <c r="D2179" t="s">
        <v>404</v>
      </c>
      <c r="E2179" t="s">
        <v>384</v>
      </c>
      <c r="F2179">
        <v>0</v>
      </c>
      <c r="G2179">
        <v>0</v>
      </c>
      <c r="H2179">
        <f>IF(report_B_CategorieBoekjaar[[#This Row],[BedrijfsCode]]="002",IF(report_B_CategorieBoekjaar[[#This Row],[Boekjaar]]=Projectbegroting!$K$1,report_B_CategorieBoekjaar[[#This Row],[CategorieCode]],0),0)</f>
        <v>0</v>
      </c>
      <c r="I2179">
        <f>IF(report_B_CategorieBoekjaar[[#This Row],[BedrijfsCode]]="001",IF(report_B_CategorieBoekjaar[[#This Row],[Boekjaar]]=Projectbegroting!$K$1,report_B_CategorieBoekjaar[[#This Row],[CategorieCode]],0),0)</f>
        <v>0</v>
      </c>
    </row>
    <row r="2180" spans="1:9" x14ac:dyDescent="0.3">
      <c r="A2180" t="s">
        <v>330</v>
      </c>
      <c r="B2180" s="20">
        <v>43101</v>
      </c>
      <c r="C2180" t="s">
        <v>405</v>
      </c>
      <c r="D2180" t="s">
        <v>16</v>
      </c>
      <c r="E2180" t="s">
        <v>381</v>
      </c>
      <c r="F2180">
        <v>52</v>
      </c>
      <c r="G2180">
        <v>0</v>
      </c>
      <c r="H2180">
        <f>IF(report_B_CategorieBoekjaar[[#This Row],[BedrijfsCode]]="002",IF(report_B_CategorieBoekjaar[[#This Row],[Boekjaar]]=Projectbegroting!$K$1,report_B_CategorieBoekjaar[[#This Row],[CategorieCode]],0),0)</f>
        <v>0</v>
      </c>
      <c r="I2180">
        <f>IF(report_B_CategorieBoekjaar[[#This Row],[BedrijfsCode]]="001",IF(report_B_CategorieBoekjaar[[#This Row],[Boekjaar]]=Projectbegroting!$K$1,report_B_CategorieBoekjaar[[#This Row],[CategorieCode]],0),0)</f>
        <v>0</v>
      </c>
    </row>
    <row r="2181" spans="1:9" x14ac:dyDescent="0.3">
      <c r="A2181" t="s">
        <v>330</v>
      </c>
      <c r="B2181" s="20">
        <v>43101</v>
      </c>
      <c r="C2181" t="s">
        <v>58</v>
      </c>
      <c r="D2181" t="s">
        <v>406</v>
      </c>
      <c r="E2181" t="s">
        <v>381</v>
      </c>
      <c r="F2181">
        <v>44</v>
      </c>
      <c r="G2181">
        <v>0</v>
      </c>
      <c r="H2181">
        <f>IF(report_B_CategorieBoekjaar[[#This Row],[BedrijfsCode]]="002",IF(report_B_CategorieBoekjaar[[#This Row],[Boekjaar]]=Projectbegroting!$K$1,report_B_CategorieBoekjaar[[#This Row],[CategorieCode]],0),0)</f>
        <v>0</v>
      </c>
      <c r="I2181">
        <f>IF(report_B_CategorieBoekjaar[[#This Row],[BedrijfsCode]]="001",IF(report_B_CategorieBoekjaar[[#This Row],[Boekjaar]]=Projectbegroting!$K$1,report_B_CategorieBoekjaar[[#This Row],[CategorieCode]],0),0)</f>
        <v>0</v>
      </c>
    </row>
    <row r="2182" spans="1:9" x14ac:dyDescent="0.3">
      <c r="A2182" t="s">
        <v>330</v>
      </c>
      <c r="B2182" s="20">
        <v>43101</v>
      </c>
      <c r="C2182" t="s">
        <v>407</v>
      </c>
      <c r="D2182" t="s">
        <v>408</v>
      </c>
      <c r="E2182" t="s">
        <v>384</v>
      </c>
      <c r="F2182">
        <v>0</v>
      </c>
      <c r="G2182">
        <v>0</v>
      </c>
      <c r="H2182">
        <f>IF(report_B_CategorieBoekjaar[[#This Row],[BedrijfsCode]]="002",IF(report_B_CategorieBoekjaar[[#This Row],[Boekjaar]]=Projectbegroting!$K$1,report_B_CategorieBoekjaar[[#This Row],[CategorieCode]],0),0)</f>
        <v>0</v>
      </c>
      <c r="I2182">
        <f>IF(report_B_CategorieBoekjaar[[#This Row],[BedrijfsCode]]="001",IF(report_B_CategorieBoekjaar[[#This Row],[Boekjaar]]=Projectbegroting!$K$1,report_B_CategorieBoekjaar[[#This Row],[CategorieCode]],0),0)</f>
        <v>0</v>
      </c>
    </row>
    <row r="2183" spans="1:9" x14ac:dyDescent="0.3">
      <c r="A2183" t="s">
        <v>330</v>
      </c>
      <c r="B2183" s="20">
        <v>43101</v>
      </c>
      <c r="C2183" t="s">
        <v>60</v>
      </c>
      <c r="D2183" t="s">
        <v>61</v>
      </c>
      <c r="E2183" t="s">
        <v>381</v>
      </c>
      <c r="F2183">
        <v>59</v>
      </c>
      <c r="G2183">
        <v>92</v>
      </c>
      <c r="H2183">
        <f>IF(report_B_CategorieBoekjaar[[#This Row],[BedrijfsCode]]="002",IF(report_B_CategorieBoekjaar[[#This Row],[Boekjaar]]=Projectbegroting!$K$1,report_B_CategorieBoekjaar[[#This Row],[CategorieCode]],0),0)</f>
        <v>0</v>
      </c>
      <c r="I2183">
        <f>IF(report_B_CategorieBoekjaar[[#This Row],[BedrijfsCode]]="001",IF(report_B_CategorieBoekjaar[[#This Row],[Boekjaar]]=Projectbegroting!$K$1,report_B_CategorieBoekjaar[[#This Row],[CategorieCode]],0),0)</f>
        <v>0</v>
      </c>
    </row>
    <row r="2184" spans="1:9" x14ac:dyDescent="0.3">
      <c r="A2184" t="s">
        <v>330</v>
      </c>
      <c r="B2184" s="20">
        <v>43101</v>
      </c>
      <c r="C2184" t="s">
        <v>168</v>
      </c>
      <c r="D2184" t="s">
        <v>409</v>
      </c>
      <c r="E2184" t="s">
        <v>384</v>
      </c>
      <c r="F2184">
        <v>0</v>
      </c>
      <c r="G2184">
        <v>0</v>
      </c>
      <c r="H2184">
        <f>IF(report_B_CategorieBoekjaar[[#This Row],[BedrijfsCode]]="002",IF(report_B_CategorieBoekjaar[[#This Row],[Boekjaar]]=Projectbegroting!$K$1,report_B_CategorieBoekjaar[[#This Row],[CategorieCode]],0),0)</f>
        <v>0</v>
      </c>
      <c r="I2184">
        <f>IF(report_B_CategorieBoekjaar[[#This Row],[BedrijfsCode]]="001",IF(report_B_CategorieBoekjaar[[#This Row],[Boekjaar]]=Projectbegroting!$K$1,report_B_CategorieBoekjaar[[#This Row],[CategorieCode]],0),0)</f>
        <v>0</v>
      </c>
    </row>
    <row r="2185" spans="1:9" x14ac:dyDescent="0.3">
      <c r="A2185" t="s">
        <v>330</v>
      </c>
      <c r="B2185" s="20">
        <v>43101</v>
      </c>
      <c r="C2185" t="s">
        <v>410</v>
      </c>
      <c r="D2185" t="s">
        <v>411</v>
      </c>
      <c r="E2185" t="s">
        <v>381</v>
      </c>
      <c r="F2185">
        <v>34</v>
      </c>
      <c r="G2185">
        <v>0</v>
      </c>
      <c r="H2185">
        <f>IF(report_B_CategorieBoekjaar[[#This Row],[BedrijfsCode]]="002",IF(report_B_CategorieBoekjaar[[#This Row],[Boekjaar]]=Projectbegroting!$K$1,report_B_CategorieBoekjaar[[#This Row],[CategorieCode]],0),0)</f>
        <v>0</v>
      </c>
      <c r="I2185">
        <f>IF(report_B_CategorieBoekjaar[[#This Row],[BedrijfsCode]]="001",IF(report_B_CategorieBoekjaar[[#This Row],[Boekjaar]]=Projectbegroting!$K$1,report_B_CategorieBoekjaar[[#This Row],[CategorieCode]],0),0)</f>
        <v>0</v>
      </c>
    </row>
    <row r="2186" spans="1:9" x14ac:dyDescent="0.3">
      <c r="A2186" t="s">
        <v>330</v>
      </c>
      <c r="B2186" s="20">
        <v>43101</v>
      </c>
      <c r="C2186" t="s">
        <v>412</v>
      </c>
      <c r="D2186" t="s">
        <v>413</v>
      </c>
      <c r="E2186" t="s">
        <v>381</v>
      </c>
      <c r="F2186">
        <v>34</v>
      </c>
      <c r="G2186">
        <v>0</v>
      </c>
      <c r="H2186">
        <f>IF(report_B_CategorieBoekjaar[[#This Row],[BedrijfsCode]]="002",IF(report_B_CategorieBoekjaar[[#This Row],[Boekjaar]]=Projectbegroting!$K$1,report_B_CategorieBoekjaar[[#This Row],[CategorieCode]],0),0)</f>
        <v>0</v>
      </c>
      <c r="I2186">
        <f>IF(report_B_CategorieBoekjaar[[#This Row],[BedrijfsCode]]="001",IF(report_B_CategorieBoekjaar[[#This Row],[Boekjaar]]=Projectbegroting!$K$1,report_B_CategorieBoekjaar[[#This Row],[CategorieCode]],0),0)</f>
        <v>0</v>
      </c>
    </row>
    <row r="2187" spans="1:9" x14ac:dyDescent="0.3">
      <c r="A2187" t="s">
        <v>330</v>
      </c>
      <c r="B2187" s="20">
        <v>43101</v>
      </c>
      <c r="C2187" t="s">
        <v>414</v>
      </c>
      <c r="D2187" t="s">
        <v>415</v>
      </c>
      <c r="E2187" t="s">
        <v>384</v>
      </c>
      <c r="F2187">
        <v>0</v>
      </c>
      <c r="G2187">
        <v>0</v>
      </c>
      <c r="H2187">
        <f>IF(report_B_CategorieBoekjaar[[#This Row],[BedrijfsCode]]="002",IF(report_B_CategorieBoekjaar[[#This Row],[Boekjaar]]=Projectbegroting!$K$1,report_B_CategorieBoekjaar[[#This Row],[CategorieCode]],0),0)</f>
        <v>0</v>
      </c>
      <c r="I2187">
        <f>IF(report_B_CategorieBoekjaar[[#This Row],[BedrijfsCode]]="001",IF(report_B_CategorieBoekjaar[[#This Row],[Boekjaar]]=Projectbegroting!$K$1,report_B_CategorieBoekjaar[[#This Row],[CategorieCode]],0),0)</f>
        <v>0</v>
      </c>
    </row>
    <row r="2188" spans="1:9" x14ac:dyDescent="0.3">
      <c r="A2188" t="s">
        <v>330</v>
      </c>
      <c r="B2188" s="20">
        <v>43101</v>
      </c>
      <c r="C2188" t="s">
        <v>82</v>
      </c>
      <c r="D2188" t="s">
        <v>416</v>
      </c>
      <c r="E2188" t="s">
        <v>381</v>
      </c>
      <c r="F2188">
        <v>57</v>
      </c>
      <c r="G2188">
        <v>90</v>
      </c>
      <c r="H2188">
        <f>IF(report_B_CategorieBoekjaar[[#This Row],[BedrijfsCode]]="002",IF(report_B_CategorieBoekjaar[[#This Row],[Boekjaar]]=Projectbegroting!$K$1,report_B_CategorieBoekjaar[[#This Row],[CategorieCode]],0),0)</f>
        <v>0</v>
      </c>
      <c r="I2188">
        <f>IF(report_B_CategorieBoekjaar[[#This Row],[BedrijfsCode]]="001",IF(report_B_CategorieBoekjaar[[#This Row],[Boekjaar]]=Projectbegroting!$K$1,report_B_CategorieBoekjaar[[#This Row],[CategorieCode]],0),0)</f>
        <v>0</v>
      </c>
    </row>
    <row r="2189" spans="1:9" x14ac:dyDescent="0.3">
      <c r="A2189" t="s">
        <v>330</v>
      </c>
      <c r="B2189" s="20">
        <v>43101</v>
      </c>
      <c r="C2189" t="s">
        <v>169</v>
      </c>
      <c r="D2189" t="s">
        <v>417</v>
      </c>
      <c r="E2189" t="s">
        <v>384</v>
      </c>
      <c r="F2189">
        <v>0</v>
      </c>
      <c r="G2189">
        <v>0</v>
      </c>
      <c r="H2189">
        <f>IF(report_B_CategorieBoekjaar[[#This Row],[BedrijfsCode]]="002",IF(report_B_CategorieBoekjaar[[#This Row],[Boekjaar]]=Projectbegroting!$K$1,report_B_CategorieBoekjaar[[#This Row],[CategorieCode]],0),0)</f>
        <v>0</v>
      </c>
      <c r="I2189">
        <f>IF(report_B_CategorieBoekjaar[[#This Row],[BedrijfsCode]]="001",IF(report_B_CategorieBoekjaar[[#This Row],[Boekjaar]]=Projectbegroting!$K$1,report_B_CategorieBoekjaar[[#This Row],[CategorieCode]],0),0)</f>
        <v>0</v>
      </c>
    </row>
    <row r="2190" spans="1:9" x14ac:dyDescent="0.3">
      <c r="A2190" t="s">
        <v>330</v>
      </c>
      <c r="B2190" s="20">
        <v>43101</v>
      </c>
      <c r="C2190" t="s">
        <v>418</v>
      </c>
      <c r="D2190" t="s">
        <v>419</v>
      </c>
      <c r="E2190" t="s">
        <v>381</v>
      </c>
      <c r="F2190">
        <v>66</v>
      </c>
      <c r="G2190">
        <v>102</v>
      </c>
      <c r="H2190">
        <f>IF(report_B_CategorieBoekjaar[[#This Row],[BedrijfsCode]]="002",IF(report_B_CategorieBoekjaar[[#This Row],[Boekjaar]]=Projectbegroting!$K$1,report_B_CategorieBoekjaar[[#This Row],[CategorieCode]],0),0)</f>
        <v>0</v>
      </c>
      <c r="I2190">
        <f>IF(report_B_CategorieBoekjaar[[#This Row],[BedrijfsCode]]="001",IF(report_B_CategorieBoekjaar[[#This Row],[Boekjaar]]=Projectbegroting!$K$1,report_B_CategorieBoekjaar[[#This Row],[CategorieCode]],0),0)</f>
        <v>0</v>
      </c>
    </row>
    <row r="2191" spans="1:9" x14ac:dyDescent="0.3">
      <c r="A2191" t="s">
        <v>330</v>
      </c>
      <c r="B2191" s="20">
        <v>43101</v>
      </c>
      <c r="C2191" t="s">
        <v>84</v>
      </c>
      <c r="D2191" t="s">
        <v>420</v>
      </c>
      <c r="E2191" t="s">
        <v>381</v>
      </c>
      <c r="F2191">
        <v>51</v>
      </c>
      <c r="G2191">
        <v>84</v>
      </c>
      <c r="H2191">
        <f>IF(report_B_CategorieBoekjaar[[#This Row],[BedrijfsCode]]="002",IF(report_B_CategorieBoekjaar[[#This Row],[Boekjaar]]=Projectbegroting!$K$1,report_B_CategorieBoekjaar[[#This Row],[CategorieCode]],0),0)</f>
        <v>0</v>
      </c>
      <c r="I2191">
        <f>IF(report_B_CategorieBoekjaar[[#This Row],[BedrijfsCode]]="001",IF(report_B_CategorieBoekjaar[[#This Row],[Boekjaar]]=Projectbegroting!$K$1,report_B_CategorieBoekjaar[[#This Row],[CategorieCode]],0),0)</f>
        <v>0</v>
      </c>
    </row>
    <row r="2192" spans="1:9" x14ac:dyDescent="0.3">
      <c r="A2192" t="s">
        <v>330</v>
      </c>
      <c r="B2192" s="20">
        <v>43101</v>
      </c>
      <c r="C2192" t="s">
        <v>170</v>
      </c>
      <c r="D2192" t="s">
        <v>421</v>
      </c>
      <c r="E2192" t="s">
        <v>384</v>
      </c>
      <c r="F2192">
        <v>0</v>
      </c>
      <c r="G2192">
        <v>0</v>
      </c>
      <c r="H2192">
        <f>IF(report_B_CategorieBoekjaar[[#This Row],[BedrijfsCode]]="002",IF(report_B_CategorieBoekjaar[[#This Row],[Boekjaar]]=Projectbegroting!$K$1,report_B_CategorieBoekjaar[[#This Row],[CategorieCode]],0),0)</f>
        <v>0</v>
      </c>
      <c r="I2192">
        <f>IF(report_B_CategorieBoekjaar[[#This Row],[BedrijfsCode]]="001",IF(report_B_CategorieBoekjaar[[#This Row],[Boekjaar]]=Projectbegroting!$K$1,report_B_CategorieBoekjaar[[#This Row],[CategorieCode]],0),0)</f>
        <v>0</v>
      </c>
    </row>
    <row r="2193" spans="1:9" x14ac:dyDescent="0.3">
      <c r="A2193" t="s">
        <v>330</v>
      </c>
      <c r="B2193" s="20">
        <v>43101</v>
      </c>
      <c r="C2193" t="s">
        <v>96</v>
      </c>
      <c r="D2193" t="s">
        <v>422</v>
      </c>
      <c r="E2193" t="s">
        <v>381</v>
      </c>
      <c r="F2193">
        <v>52</v>
      </c>
      <c r="G2193">
        <v>85</v>
      </c>
      <c r="H2193">
        <f>IF(report_B_CategorieBoekjaar[[#This Row],[BedrijfsCode]]="002",IF(report_B_CategorieBoekjaar[[#This Row],[Boekjaar]]=Projectbegroting!$K$1,report_B_CategorieBoekjaar[[#This Row],[CategorieCode]],0),0)</f>
        <v>0</v>
      </c>
      <c r="I2193">
        <f>IF(report_B_CategorieBoekjaar[[#This Row],[BedrijfsCode]]="001",IF(report_B_CategorieBoekjaar[[#This Row],[Boekjaar]]=Projectbegroting!$K$1,report_B_CategorieBoekjaar[[#This Row],[CategorieCode]],0),0)</f>
        <v>0</v>
      </c>
    </row>
    <row r="2194" spans="1:9" x14ac:dyDescent="0.3">
      <c r="A2194" t="s">
        <v>330</v>
      </c>
      <c r="B2194" s="20">
        <v>43101</v>
      </c>
      <c r="C2194" t="s">
        <v>171</v>
      </c>
      <c r="D2194" t="s">
        <v>423</v>
      </c>
      <c r="E2194" t="s">
        <v>384</v>
      </c>
      <c r="F2194">
        <v>0</v>
      </c>
      <c r="G2194">
        <v>0</v>
      </c>
      <c r="H2194">
        <f>IF(report_B_CategorieBoekjaar[[#This Row],[BedrijfsCode]]="002",IF(report_B_CategorieBoekjaar[[#This Row],[Boekjaar]]=Projectbegroting!$K$1,report_B_CategorieBoekjaar[[#This Row],[CategorieCode]],0),0)</f>
        <v>0</v>
      </c>
      <c r="I2194">
        <f>IF(report_B_CategorieBoekjaar[[#This Row],[BedrijfsCode]]="001",IF(report_B_CategorieBoekjaar[[#This Row],[Boekjaar]]=Projectbegroting!$K$1,report_B_CategorieBoekjaar[[#This Row],[CategorieCode]],0),0)</f>
        <v>0</v>
      </c>
    </row>
    <row r="2195" spans="1:9" x14ac:dyDescent="0.3">
      <c r="A2195" t="s">
        <v>330</v>
      </c>
      <c r="B2195" s="20">
        <v>43101</v>
      </c>
      <c r="C2195" t="s">
        <v>86</v>
      </c>
      <c r="D2195" t="s">
        <v>424</v>
      </c>
      <c r="E2195" t="s">
        <v>381</v>
      </c>
      <c r="F2195">
        <v>44</v>
      </c>
      <c r="G2195">
        <v>77</v>
      </c>
      <c r="H2195">
        <f>IF(report_B_CategorieBoekjaar[[#This Row],[BedrijfsCode]]="002",IF(report_B_CategorieBoekjaar[[#This Row],[Boekjaar]]=Projectbegroting!$K$1,report_B_CategorieBoekjaar[[#This Row],[CategorieCode]],0),0)</f>
        <v>0</v>
      </c>
      <c r="I2195">
        <f>IF(report_B_CategorieBoekjaar[[#This Row],[BedrijfsCode]]="001",IF(report_B_CategorieBoekjaar[[#This Row],[Boekjaar]]=Projectbegroting!$K$1,report_B_CategorieBoekjaar[[#This Row],[CategorieCode]],0),0)</f>
        <v>0</v>
      </c>
    </row>
    <row r="2196" spans="1:9" x14ac:dyDescent="0.3">
      <c r="A2196" t="s">
        <v>330</v>
      </c>
      <c r="B2196" s="20">
        <v>43101</v>
      </c>
      <c r="C2196" t="s">
        <v>172</v>
      </c>
      <c r="D2196" t="s">
        <v>425</v>
      </c>
      <c r="E2196" t="s">
        <v>384</v>
      </c>
      <c r="F2196">
        <v>0</v>
      </c>
      <c r="G2196">
        <v>0</v>
      </c>
      <c r="H2196">
        <f>IF(report_B_CategorieBoekjaar[[#This Row],[BedrijfsCode]]="002",IF(report_B_CategorieBoekjaar[[#This Row],[Boekjaar]]=Projectbegroting!$K$1,report_B_CategorieBoekjaar[[#This Row],[CategorieCode]],0),0)</f>
        <v>0</v>
      </c>
      <c r="I2196">
        <f>IF(report_B_CategorieBoekjaar[[#This Row],[BedrijfsCode]]="001",IF(report_B_CategorieBoekjaar[[#This Row],[Boekjaar]]=Projectbegroting!$K$1,report_B_CategorieBoekjaar[[#This Row],[CategorieCode]],0),0)</f>
        <v>0</v>
      </c>
    </row>
    <row r="2197" spans="1:9" x14ac:dyDescent="0.3">
      <c r="A2197" t="s">
        <v>330</v>
      </c>
      <c r="B2197" s="20">
        <v>43101</v>
      </c>
      <c r="C2197" t="s">
        <v>173</v>
      </c>
      <c r="D2197" t="s">
        <v>427</v>
      </c>
      <c r="E2197" t="s">
        <v>384</v>
      </c>
      <c r="F2197">
        <v>0</v>
      </c>
      <c r="G2197">
        <v>0</v>
      </c>
      <c r="H2197">
        <f>IF(report_B_CategorieBoekjaar[[#This Row],[BedrijfsCode]]="002",IF(report_B_CategorieBoekjaar[[#This Row],[Boekjaar]]=Projectbegroting!$K$1,report_B_CategorieBoekjaar[[#This Row],[CategorieCode]],0),0)</f>
        <v>0</v>
      </c>
      <c r="I2197">
        <f>IF(report_B_CategorieBoekjaar[[#This Row],[BedrijfsCode]]="001",IF(report_B_CategorieBoekjaar[[#This Row],[Boekjaar]]=Projectbegroting!$K$1,report_B_CategorieBoekjaar[[#This Row],[CategorieCode]],0),0)</f>
        <v>0</v>
      </c>
    </row>
    <row r="2198" spans="1:9" x14ac:dyDescent="0.3">
      <c r="A2198" t="s">
        <v>330</v>
      </c>
      <c r="B2198" s="20">
        <v>43101</v>
      </c>
      <c r="C2198" t="s">
        <v>88</v>
      </c>
      <c r="D2198" t="s">
        <v>89</v>
      </c>
      <c r="E2198" t="s">
        <v>381</v>
      </c>
      <c r="F2198">
        <v>62</v>
      </c>
      <c r="G2198">
        <v>95</v>
      </c>
      <c r="H2198">
        <f>IF(report_B_CategorieBoekjaar[[#This Row],[BedrijfsCode]]="002",IF(report_B_CategorieBoekjaar[[#This Row],[Boekjaar]]=Projectbegroting!$K$1,report_B_CategorieBoekjaar[[#This Row],[CategorieCode]],0),0)</f>
        <v>0</v>
      </c>
      <c r="I2198">
        <f>IF(report_B_CategorieBoekjaar[[#This Row],[BedrijfsCode]]="001",IF(report_B_CategorieBoekjaar[[#This Row],[Boekjaar]]=Projectbegroting!$K$1,report_B_CategorieBoekjaar[[#This Row],[CategorieCode]],0),0)</f>
        <v>0</v>
      </c>
    </row>
    <row r="2199" spans="1:9" x14ac:dyDescent="0.3">
      <c r="A2199" t="s">
        <v>330</v>
      </c>
      <c r="B2199" s="20">
        <v>43101</v>
      </c>
      <c r="C2199" t="s">
        <v>174</v>
      </c>
      <c r="D2199" t="s">
        <v>428</v>
      </c>
      <c r="E2199" t="s">
        <v>384</v>
      </c>
      <c r="F2199">
        <v>0</v>
      </c>
      <c r="G2199">
        <v>0</v>
      </c>
      <c r="H2199">
        <f>IF(report_B_CategorieBoekjaar[[#This Row],[BedrijfsCode]]="002",IF(report_B_CategorieBoekjaar[[#This Row],[Boekjaar]]=Projectbegroting!$K$1,report_B_CategorieBoekjaar[[#This Row],[CategorieCode]],0),0)</f>
        <v>0</v>
      </c>
      <c r="I2199">
        <f>IF(report_B_CategorieBoekjaar[[#This Row],[BedrijfsCode]]="001",IF(report_B_CategorieBoekjaar[[#This Row],[Boekjaar]]=Projectbegroting!$K$1,report_B_CategorieBoekjaar[[#This Row],[CategorieCode]],0),0)</f>
        <v>0</v>
      </c>
    </row>
    <row r="2200" spans="1:9" x14ac:dyDescent="0.3">
      <c r="A2200" t="s">
        <v>330</v>
      </c>
      <c r="B2200" s="20">
        <v>43101</v>
      </c>
      <c r="C2200" t="s">
        <v>90</v>
      </c>
      <c r="D2200" t="s">
        <v>91</v>
      </c>
      <c r="E2200" t="s">
        <v>381</v>
      </c>
      <c r="F2200">
        <v>35</v>
      </c>
      <c r="G2200">
        <v>68</v>
      </c>
      <c r="H2200">
        <f>IF(report_B_CategorieBoekjaar[[#This Row],[BedrijfsCode]]="002",IF(report_B_CategorieBoekjaar[[#This Row],[Boekjaar]]=Projectbegroting!$K$1,report_B_CategorieBoekjaar[[#This Row],[CategorieCode]],0),0)</f>
        <v>0</v>
      </c>
      <c r="I2200">
        <f>IF(report_B_CategorieBoekjaar[[#This Row],[BedrijfsCode]]="001",IF(report_B_CategorieBoekjaar[[#This Row],[Boekjaar]]=Projectbegroting!$K$1,report_B_CategorieBoekjaar[[#This Row],[CategorieCode]],0),0)</f>
        <v>0</v>
      </c>
    </row>
    <row r="2201" spans="1:9" x14ac:dyDescent="0.3">
      <c r="A2201" t="s">
        <v>330</v>
      </c>
      <c r="B2201" s="20">
        <v>43101</v>
      </c>
      <c r="C2201" t="s">
        <v>429</v>
      </c>
      <c r="D2201" t="s">
        <v>430</v>
      </c>
      <c r="E2201" t="s">
        <v>384</v>
      </c>
      <c r="F2201">
        <v>0</v>
      </c>
      <c r="G2201">
        <v>0</v>
      </c>
      <c r="H2201">
        <f>IF(report_B_CategorieBoekjaar[[#This Row],[BedrijfsCode]]="002",IF(report_B_CategorieBoekjaar[[#This Row],[Boekjaar]]=Projectbegroting!$K$1,report_B_CategorieBoekjaar[[#This Row],[CategorieCode]],0),0)</f>
        <v>0</v>
      </c>
      <c r="I2201">
        <f>IF(report_B_CategorieBoekjaar[[#This Row],[BedrijfsCode]]="001",IF(report_B_CategorieBoekjaar[[#This Row],[Boekjaar]]=Projectbegroting!$K$1,report_B_CategorieBoekjaar[[#This Row],[CategorieCode]],0),0)</f>
        <v>0</v>
      </c>
    </row>
    <row r="2202" spans="1:9" x14ac:dyDescent="0.3">
      <c r="A2202" t="s">
        <v>330</v>
      </c>
      <c r="B2202" s="20">
        <v>43101</v>
      </c>
      <c r="C2202" t="s">
        <v>431</v>
      </c>
      <c r="D2202" t="s">
        <v>432</v>
      </c>
      <c r="E2202" t="s">
        <v>381</v>
      </c>
      <c r="F2202">
        <v>62</v>
      </c>
      <c r="G2202">
        <v>95</v>
      </c>
      <c r="H2202">
        <f>IF(report_B_CategorieBoekjaar[[#This Row],[BedrijfsCode]]="002",IF(report_B_CategorieBoekjaar[[#This Row],[Boekjaar]]=Projectbegroting!$K$1,report_B_CategorieBoekjaar[[#This Row],[CategorieCode]],0),0)</f>
        <v>0</v>
      </c>
      <c r="I2202">
        <f>IF(report_B_CategorieBoekjaar[[#This Row],[BedrijfsCode]]="001",IF(report_B_CategorieBoekjaar[[#This Row],[Boekjaar]]=Projectbegroting!$K$1,report_B_CategorieBoekjaar[[#This Row],[CategorieCode]],0),0)</f>
        <v>0</v>
      </c>
    </row>
    <row r="2203" spans="1:9" x14ac:dyDescent="0.3">
      <c r="A2203" t="s">
        <v>330</v>
      </c>
      <c r="B2203" s="20">
        <v>43101</v>
      </c>
      <c r="C2203" t="s">
        <v>433</v>
      </c>
      <c r="D2203" t="s">
        <v>434</v>
      </c>
      <c r="E2203" t="s">
        <v>384</v>
      </c>
      <c r="F2203">
        <v>0</v>
      </c>
      <c r="G2203">
        <v>0</v>
      </c>
      <c r="H2203">
        <f>IF(report_B_CategorieBoekjaar[[#This Row],[BedrijfsCode]]="002",IF(report_B_CategorieBoekjaar[[#This Row],[Boekjaar]]=Projectbegroting!$K$1,report_B_CategorieBoekjaar[[#This Row],[CategorieCode]],0),0)</f>
        <v>0</v>
      </c>
      <c r="I2203">
        <f>IF(report_B_CategorieBoekjaar[[#This Row],[BedrijfsCode]]="001",IF(report_B_CategorieBoekjaar[[#This Row],[Boekjaar]]=Projectbegroting!$K$1,report_B_CategorieBoekjaar[[#This Row],[CategorieCode]],0),0)</f>
        <v>0</v>
      </c>
    </row>
    <row r="2204" spans="1:9" x14ac:dyDescent="0.3">
      <c r="A2204" t="s">
        <v>330</v>
      </c>
      <c r="B2204" s="20">
        <v>43101</v>
      </c>
      <c r="C2204" t="s">
        <v>435</v>
      </c>
      <c r="D2204" t="s">
        <v>436</v>
      </c>
      <c r="E2204" t="s">
        <v>381</v>
      </c>
      <c r="F2204">
        <v>47</v>
      </c>
      <c r="G2204">
        <v>0</v>
      </c>
      <c r="H2204">
        <f>IF(report_B_CategorieBoekjaar[[#This Row],[BedrijfsCode]]="002",IF(report_B_CategorieBoekjaar[[#This Row],[Boekjaar]]=Projectbegroting!$K$1,report_B_CategorieBoekjaar[[#This Row],[CategorieCode]],0),0)</f>
        <v>0</v>
      </c>
      <c r="I2204">
        <f>IF(report_B_CategorieBoekjaar[[#This Row],[BedrijfsCode]]="001",IF(report_B_CategorieBoekjaar[[#This Row],[Boekjaar]]=Projectbegroting!$K$1,report_B_CategorieBoekjaar[[#This Row],[CategorieCode]],0),0)</f>
        <v>0</v>
      </c>
    </row>
    <row r="2205" spans="1:9" x14ac:dyDescent="0.3">
      <c r="A2205" t="s">
        <v>330</v>
      </c>
      <c r="B2205" s="20">
        <v>43101</v>
      </c>
      <c r="C2205" t="s">
        <v>437</v>
      </c>
      <c r="D2205" t="s">
        <v>438</v>
      </c>
      <c r="E2205" t="s">
        <v>384</v>
      </c>
      <c r="F2205">
        <v>0</v>
      </c>
      <c r="G2205">
        <v>0</v>
      </c>
      <c r="H2205">
        <f>IF(report_B_CategorieBoekjaar[[#This Row],[BedrijfsCode]]="002",IF(report_B_CategorieBoekjaar[[#This Row],[Boekjaar]]=Projectbegroting!$K$1,report_B_CategorieBoekjaar[[#This Row],[CategorieCode]],0),0)</f>
        <v>0</v>
      </c>
      <c r="I2205">
        <f>IF(report_B_CategorieBoekjaar[[#This Row],[BedrijfsCode]]="001",IF(report_B_CategorieBoekjaar[[#This Row],[Boekjaar]]=Projectbegroting!$K$1,report_B_CategorieBoekjaar[[#This Row],[CategorieCode]],0),0)</f>
        <v>0</v>
      </c>
    </row>
    <row r="2206" spans="1:9" x14ac:dyDescent="0.3">
      <c r="A2206" t="s">
        <v>330</v>
      </c>
      <c r="B2206" s="20">
        <v>43101</v>
      </c>
      <c r="C2206" t="s">
        <v>439</v>
      </c>
      <c r="D2206" t="s">
        <v>440</v>
      </c>
      <c r="E2206" t="s">
        <v>381</v>
      </c>
      <c r="F2206">
        <v>29</v>
      </c>
      <c r="G2206">
        <v>0</v>
      </c>
      <c r="H2206">
        <f>IF(report_B_CategorieBoekjaar[[#This Row],[BedrijfsCode]]="002",IF(report_B_CategorieBoekjaar[[#This Row],[Boekjaar]]=Projectbegroting!$K$1,report_B_CategorieBoekjaar[[#This Row],[CategorieCode]],0),0)</f>
        <v>0</v>
      </c>
      <c r="I2206">
        <f>IF(report_B_CategorieBoekjaar[[#This Row],[BedrijfsCode]]="001",IF(report_B_CategorieBoekjaar[[#This Row],[Boekjaar]]=Projectbegroting!$K$1,report_B_CategorieBoekjaar[[#This Row],[CategorieCode]],0),0)</f>
        <v>0</v>
      </c>
    </row>
    <row r="2207" spans="1:9" x14ac:dyDescent="0.3">
      <c r="A2207" t="s">
        <v>330</v>
      </c>
      <c r="B2207" s="20">
        <v>43101</v>
      </c>
      <c r="C2207" t="s">
        <v>441</v>
      </c>
      <c r="D2207" t="s">
        <v>442</v>
      </c>
      <c r="E2207" t="s">
        <v>381</v>
      </c>
      <c r="F2207">
        <v>46</v>
      </c>
      <c r="G2207">
        <v>0</v>
      </c>
      <c r="H2207">
        <f>IF(report_B_CategorieBoekjaar[[#This Row],[BedrijfsCode]]="002",IF(report_B_CategorieBoekjaar[[#This Row],[Boekjaar]]=Projectbegroting!$K$1,report_B_CategorieBoekjaar[[#This Row],[CategorieCode]],0),0)</f>
        <v>0</v>
      </c>
      <c r="I2207">
        <f>IF(report_B_CategorieBoekjaar[[#This Row],[BedrijfsCode]]="001",IF(report_B_CategorieBoekjaar[[#This Row],[Boekjaar]]=Projectbegroting!$K$1,report_B_CategorieBoekjaar[[#This Row],[CategorieCode]],0),0)</f>
        <v>0</v>
      </c>
    </row>
    <row r="2208" spans="1:9" x14ac:dyDescent="0.3">
      <c r="A2208" t="s">
        <v>330</v>
      </c>
      <c r="B2208" s="20">
        <v>43101</v>
      </c>
      <c r="C2208" t="s">
        <v>443</v>
      </c>
      <c r="D2208" t="s">
        <v>444</v>
      </c>
      <c r="E2208" t="s">
        <v>384</v>
      </c>
      <c r="F2208">
        <v>0</v>
      </c>
      <c r="G2208">
        <v>0</v>
      </c>
      <c r="H2208">
        <f>IF(report_B_CategorieBoekjaar[[#This Row],[BedrijfsCode]]="002",IF(report_B_CategorieBoekjaar[[#This Row],[Boekjaar]]=Projectbegroting!$K$1,report_B_CategorieBoekjaar[[#This Row],[CategorieCode]],0),0)</f>
        <v>0</v>
      </c>
      <c r="I2208">
        <f>IF(report_B_CategorieBoekjaar[[#This Row],[BedrijfsCode]]="001",IF(report_B_CategorieBoekjaar[[#This Row],[Boekjaar]]=Projectbegroting!$K$1,report_B_CategorieBoekjaar[[#This Row],[CategorieCode]],0),0)</f>
        <v>0</v>
      </c>
    </row>
    <row r="2209" spans="1:9" x14ac:dyDescent="0.3">
      <c r="A2209" t="s">
        <v>330</v>
      </c>
      <c r="B2209" s="20">
        <v>43101</v>
      </c>
      <c r="C2209" t="s">
        <v>445</v>
      </c>
      <c r="D2209" t="s">
        <v>446</v>
      </c>
      <c r="E2209" t="s">
        <v>381</v>
      </c>
      <c r="F2209">
        <v>71</v>
      </c>
      <c r="G2209">
        <v>0</v>
      </c>
      <c r="H2209">
        <f>IF(report_B_CategorieBoekjaar[[#This Row],[BedrijfsCode]]="002",IF(report_B_CategorieBoekjaar[[#This Row],[Boekjaar]]=Projectbegroting!$K$1,report_B_CategorieBoekjaar[[#This Row],[CategorieCode]],0),0)</f>
        <v>0</v>
      </c>
      <c r="I2209">
        <f>IF(report_B_CategorieBoekjaar[[#This Row],[BedrijfsCode]]="001",IF(report_B_CategorieBoekjaar[[#This Row],[Boekjaar]]=Projectbegroting!$K$1,report_B_CategorieBoekjaar[[#This Row],[CategorieCode]],0),0)</f>
        <v>0</v>
      </c>
    </row>
    <row r="2210" spans="1:9" x14ac:dyDescent="0.3">
      <c r="A2210" t="s">
        <v>330</v>
      </c>
      <c r="B2210" s="20">
        <v>43101</v>
      </c>
      <c r="C2210" t="s">
        <v>447</v>
      </c>
      <c r="D2210" t="s">
        <v>448</v>
      </c>
      <c r="E2210" t="s">
        <v>384</v>
      </c>
      <c r="F2210">
        <v>0</v>
      </c>
      <c r="G2210">
        <v>0</v>
      </c>
      <c r="H2210">
        <f>IF(report_B_CategorieBoekjaar[[#This Row],[BedrijfsCode]]="002",IF(report_B_CategorieBoekjaar[[#This Row],[Boekjaar]]=Projectbegroting!$K$1,report_B_CategorieBoekjaar[[#This Row],[CategorieCode]],0),0)</f>
        <v>0</v>
      </c>
      <c r="I2210">
        <f>IF(report_B_CategorieBoekjaar[[#This Row],[BedrijfsCode]]="001",IF(report_B_CategorieBoekjaar[[#This Row],[Boekjaar]]=Projectbegroting!$K$1,report_B_CategorieBoekjaar[[#This Row],[CategorieCode]],0),0)</f>
        <v>0</v>
      </c>
    </row>
    <row r="2211" spans="1:9" x14ac:dyDescent="0.3">
      <c r="A2211" t="s">
        <v>330</v>
      </c>
      <c r="B2211" s="20">
        <v>43101</v>
      </c>
      <c r="C2211" t="s">
        <v>449</v>
      </c>
      <c r="D2211" t="s">
        <v>450</v>
      </c>
      <c r="E2211" t="s">
        <v>381</v>
      </c>
      <c r="F2211">
        <v>31</v>
      </c>
      <c r="G2211">
        <v>0</v>
      </c>
      <c r="H2211">
        <f>IF(report_B_CategorieBoekjaar[[#This Row],[BedrijfsCode]]="002",IF(report_B_CategorieBoekjaar[[#This Row],[Boekjaar]]=Projectbegroting!$K$1,report_B_CategorieBoekjaar[[#This Row],[CategorieCode]],0),0)</f>
        <v>0</v>
      </c>
      <c r="I2211">
        <f>IF(report_B_CategorieBoekjaar[[#This Row],[BedrijfsCode]]="001",IF(report_B_CategorieBoekjaar[[#This Row],[Boekjaar]]=Projectbegroting!$K$1,report_B_CategorieBoekjaar[[#This Row],[CategorieCode]],0),0)</f>
        <v>0</v>
      </c>
    </row>
    <row r="2212" spans="1:9" x14ac:dyDescent="0.3">
      <c r="A2212" t="s">
        <v>330</v>
      </c>
      <c r="B2212" s="20">
        <v>43101</v>
      </c>
      <c r="C2212" t="s">
        <v>451</v>
      </c>
      <c r="D2212" t="s">
        <v>452</v>
      </c>
      <c r="E2212" t="s">
        <v>384</v>
      </c>
      <c r="F2212">
        <v>0</v>
      </c>
      <c r="G2212">
        <v>0</v>
      </c>
      <c r="H2212">
        <f>IF(report_B_CategorieBoekjaar[[#This Row],[BedrijfsCode]]="002",IF(report_B_CategorieBoekjaar[[#This Row],[Boekjaar]]=Projectbegroting!$K$1,report_B_CategorieBoekjaar[[#This Row],[CategorieCode]],0),0)</f>
        <v>0</v>
      </c>
      <c r="I2212">
        <f>IF(report_B_CategorieBoekjaar[[#This Row],[BedrijfsCode]]="001",IF(report_B_CategorieBoekjaar[[#This Row],[Boekjaar]]=Projectbegroting!$K$1,report_B_CategorieBoekjaar[[#This Row],[CategorieCode]],0),0)</f>
        <v>0</v>
      </c>
    </row>
    <row r="2213" spans="1:9" x14ac:dyDescent="0.3">
      <c r="A2213" t="s">
        <v>330</v>
      </c>
      <c r="B2213" s="20">
        <v>43101</v>
      </c>
      <c r="C2213" t="s">
        <v>453</v>
      </c>
      <c r="D2213" t="s">
        <v>454</v>
      </c>
      <c r="E2213" t="s">
        <v>381</v>
      </c>
      <c r="F2213">
        <v>53</v>
      </c>
      <c r="G2213">
        <v>86</v>
      </c>
      <c r="H2213">
        <f>IF(report_B_CategorieBoekjaar[[#This Row],[BedrijfsCode]]="002",IF(report_B_CategorieBoekjaar[[#This Row],[Boekjaar]]=Projectbegroting!$K$1,report_B_CategorieBoekjaar[[#This Row],[CategorieCode]],0),0)</f>
        <v>0</v>
      </c>
      <c r="I2213">
        <f>IF(report_B_CategorieBoekjaar[[#This Row],[BedrijfsCode]]="001",IF(report_B_CategorieBoekjaar[[#This Row],[Boekjaar]]=Projectbegroting!$K$1,report_B_CategorieBoekjaar[[#This Row],[CategorieCode]],0),0)</f>
        <v>0</v>
      </c>
    </row>
    <row r="2214" spans="1:9" x14ac:dyDescent="0.3">
      <c r="A2214" t="s">
        <v>330</v>
      </c>
      <c r="B2214" s="20">
        <v>43101</v>
      </c>
      <c r="C2214" t="s">
        <v>455</v>
      </c>
      <c r="D2214" t="s">
        <v>456</v>
      </c>
      <c r="E2214" t="s">
        <v>381</v>
      </c>
      <c r="F2214">
        <v>74</v>
      </c>
      <c r="G2214">
        <v>107</v>
      </c>
      <c r="H2214">
        <f>IF(report_B_CategorieBoekjaar[[#This Row],[BedrijfsCode]]="002",IF(report_B_CategorieBoekjaar[[#This Row],[Boekjaar]]=Projectbegroting!$K$1,report_B_CategorieBoekjaar[[#This Row],[CategorieCode]],0),0)</f>
        <v>0</v>
      </c>
      <c r="I2214">
        <f>IF(report_B_CategorieBoekjaar[[#This Row],[BedrijfsCode]]="001",IF(report_B_CategorieBoekjaar[[#This Row],[Boekjaar]]=Projectbegroting!$K$1,report_B_CategorieBoekjaar[[#This Row],[CategorieCode]],0),0)</f>
        <v>0</v>
      </c>
    </row>
    <row r="2215" spans="1:9" x14ac:dyDescent="0.3">
      <c r="A2215" t="s">
        <v>330</v>
      </c>
      <c r="B2215" s="20">
        <v>43101</v>
      </c>
      <c r="C2215" t="s">
        <v>457</v>
      </c>
      <c r="D2215" t="s">
        <v>458</v>
      </c>
      <c r="E2215" t="s">
        <v>384</v>
      </c>
      <c r="F2215">
        <v>0</v>
      </c>
      <c r="G2215">
        <v>0</v>
      </c>
      <c r="H2215">
        <f>IF(report_B_CategorieBoekjaar[[#This Row],[BedrijfsCode]]="002",IF(report_B_CategorieBoekjaar[[#This Row],[Boekjaar]]=Projectbegroting!$K$1,report_B_CategorieBoekjaar[[#This Row],[CategorieCode]],0),0)</f>
        <v>0</v>
      </c>
      <c r="I2215">
        <f>IF(report_B_CategorieBoekjaar[[#This Row],[BedrijfsCode]]="001",IF(report_B_CategorieBoekjaar[[#This Row],[Boekjaar]]=Projectbegroting!$K$1,report_B_CategorieBoekjaar[[#This Row],[CategorieCode]],0),0)</f>
        <v>0</v>
      </c>
    </row>
    <row r="2216" spans="1:9" x14ac:dyDescent="0.3">
      <c r="A2216" t="s">
        <v>330</v>
      </c>
      <c r="B2216" s="20">
        <v>43101</v>
      </c>
      <c r="C2216" t="s">
        <v>459</v>
      </c>
      <c r="D2216" t="s">
        <v>460</v>
      </c>
      <c r="E2216" t="s">
        <v>381</v>
      </c>
      <c r="F2216">
        <v>88</v>
      </c>
      <c r="G2216">
        <v>121</v>
      </c>
      <c r="H2216">
        <f>IF(report_B_CategorieBoekjaar[[#This Row],[BedrijfsCode]]="002",IF(report_B_CategorieBoekjaar[[#This Row],[Boekjaar]]=Projectbegroting!$K$1,report_B_CategorieBoekjaar[[#This Row],[CategorieCode]],0),0)</f>
        <v>0</v>
      </c>
      <c r="I2216">
        <f>IF(report_B_CategorieBoekjaar[[#This Row],[BedrijfsCode]]="001",IF(report_B_CategorieBoekjaar[[#This Row],[Boekjaar]]=Projectbegroting!$K$1,report_B_CategorieBoekjaar[[#This Row],[CategorieCode]],0),0)</f>
        <v>0</v>
      </c>
    </row>
    <row r="2217" spans="1:9" x14ac:dyDescent="0.3">
      <c r="A2217" t="s">
        <v>330</v>
      </c>
      <c r="B2217" s="20">
        <v>43101</v>
      </c>
      <c r="C2217" t="s">
        <v>461</v>
      </c>
      <c r="D2217" t="s">
        <v>462</v>
      </c>
      <c r="E2217" t="s">
        <v>384</v>
      </c>
      <c r="F2217">
        <v>0</v>
      </c>
      <c r="G2217">
        <v>0</v>
      </c>
      <c r="H2217">
        <f>IF(report_B_CategorieBoekjaar[[#This Row],[BedrijfsCode]]="002",IF(report_B_CategorieBoekjaar[[#This Row],[Boekjaar]]=Projectbegroting!$K$1,report_B_CategorieBoekjaar[[#This Row],[CategorieCode]],0),0)</f>
        <v>0</v>
      </c>
      <c r="I2217">
        <f>IF(report_B_CategorieBoekjaar[[#This Row],[BedrijfsCode]]="001",IF(report_B_CategorieBoekjaar[[#This Row],[Boekjaar]]=Projectbegroting!$K$1,report_B_CategorieBoekjaar[[#This Row],[CategorieCode]],0),0)</f>
        <v>0</v>
      </c>
    </row>
    <row r="2218" spans="1:9" x14ac:dyDescent="0.3">
      <c r="A2218" t="s">
        <v>330</v>
      </c>
      <c r="B2218" s="20">
        <v>43101</v>
      </c>
      <c r="C2218" t="s">
        <v>463</v>
      </c>
      <c r="D2218" t="s">
        <v>464</v>
      </c>
      <c r="E2218" t="s">
        <v>384</v>
      </c>
      <c r="F2218">
        <v>0</v>
      </c>
      <c r="G2218">
        <v>0</v>
      </c>
      <c r="H2218">
        <f>IF(report_B_CategorieBoekjaar[[#This Row],[BedrijfsCode]]="002",IF(report_B_CategorieBoekjaar[[#This Row],[Boekjaar]]=Projectbegroting!$K$1,report_B_CategorieBoekjaar[[#This Row],[CategorieCode]],0),0)</f>
        <v>0</v>
      </c>
      <c r="I2218">
        <f>IF(report_B_CategorieBoekjaar[[#This Row],[BedrijfsCode]]="001",IF(report_B_CategorieBoekjaar[[#This Row],[Boekjaar]]=Projectbegroting!$K$1,report_B_CategorieBoekjaar[[#This Row],[CategorieCode]],0),0)</f>
        <v>0</v>
      </c>
    </row>
    <row r="2219" spans="1:9" x14ac:dyDescent="0.3">
      <c r="A2219" t="s">
        <v>330</v>
      </c>
      <c r="B2219" s="20">
        <v>43101</v>
      </c>
      <c r="C2219" t="s">
        <v>465</v>
      </c>
      <c r="D2219" t="s">
        <v>466</v>
      </c>
      <c r="E2219" t="s">
        <v>381</v>
      </c>
      <c r="F2219">
        <v>32</v>
      </c>
      <c r="G2219">
        <v>0</v>
      </c>
      <c r="H2219">
        <f>IF(report_B_CategorieBoekjaar[[#This Row],[BedrijfsCode]]="002",IF(report_B_CategorieBoekjaar[[#This Row],[Boekjaar]]=Projectbegroting!$K$1,report_B_CategorieBoekjaar[[#This Row],[CategorieCode]],0),0)</f>
        <v>0</v>
      </c>
      <c r="I2219">
        <f>IF(report_B_CategorieBoekjaar[[#This Row],[BedrijfsCode]]="001",IF(report_B_CategorieBoekjaar[[#This Row],[Boekjaar]]=Projectbegroting!$K$1,report_B_CategorieBoekjaar[[#This Row],[CategorieCode]],0),0)</f>
        <v>0</v>
      </c>
    </row>
    <row r="2220" spans="1:9" x14ac:dyDescent="0.3">
      <c r="A2220" t="s">
        <v>330</v>
      </c>
      <c r="B2220" s="20">
        <v>43101</v>
      </c>
      <c r="C2220" t="s">
        <v>467</v>
      </c>
      <c r="D2220" t="s">
        <v>468</v>
      </c>
      <c r="E2220" t="s">
        <v>384</v>
      </c>
      <c r="F2220">
        <v>0</v>
      </c>
      <c r="G2220">
        <v>0</v>
      </c>
      <c r="H2220">
        <f>IF(report_B_CategorieBoekjaar[[#This Row],[BedrijfsCode]]="002",IF(report_B_CategorieBoekjaar[[#This Row],[Boekjaar]]=Projectbegroting!$K$1,report_B_CategorieBoekjaar[[#This Row],[CategorieCode]],0),0)</f>
        <v>0</v>
      </c>
      <c r="I2220">
        <f>IF(report_B_CategorieBoekjaar[[#This Row],[BedrijfsCode]]="001",IF(report_B_CategorieBoekjaar[[#This Row],[Boekjaar]]=Projectbegroting!$K$1,report_B_CategorieBoekjaar[[#This Row],[CategorieCode]],0),0)</f>
        <v>0</v>
      </c>
    </row>
    <row r="2221" spans="1:9" x14ac:dyDescent="0.3">
      <c r="A2221" t="s">
        <v>330</v>
      </c>
      <c r="B2221" s="20">
        <v>43101</v>
      </c>
      <c r="C2221" t="s">
        <v>469</v>
      </c>
      <c r="D2221" t="s">
        <v>470</v>
      </c>
      <c r="E2221" t="s">
        <v>381</v>
      </c>
      <c r="F2221">
        <v>37</v>
      </c>
      <c r="G2221">
        <v>70</v>
      </c>
      <c r="H2221">
        <f>IF(report_B_CategorieBoekjaar[[#This Row],[BedrijfsCode]]="002",IF(report_B_CategorieBoekjaar[[#This Row],[Boekjaar]]=Projectbegroting!$K$1,report_B_CategorieBoekjaar[[#This Row],[CategorieCode]],0),0)</f>
        <v>0</v>
      </c>
      <c r="I2221">
        <f>IF(report_B_CategorieBoekjaar[[#This Row],[BedrijfsCode]]="001",IF(report_B_CategorieBoekjaar[[#This Row],[Boekjaar]]=Projectbegroting!$K$1,report_B_CategorieBoekjaar[[#This Row],[CategorieCode]],0),0)</f>
        <v>0</v>
      </c>
    </row>
    <row r="2222" spans="1:9" x14ac:dyDescent="0.3">
      <c r="A2222" t="s">
        <v>330</v>
      </c>
      <c r="B2222" s="20">
        <v>43101</v>
      </c>
      <c r="C2222" t="s">
        <v>471</v>
      </c>
      <c r="D2222" t="s">
        <v>472</v>
      </c>
      <c r="E2222" t="s">
        <v>384</v>
      </c>
      <c r="F2222">
        <v>0</v>
      </c>
      <c r="G2222">
        <v>0</v>
      </c>
      <c r="H2222">
        <f>IF(report_B_CategorieBoekjaar[[#This Row],[BedrijfsCode]]="002",IF(report_B_CategorieBoekjaar[[#This Row],[Boekjaar]]=Projectbegroting!$K$1,report_B_CategorieBoekjaar[[#This Row],[CategorieCode]],0),0)</f>
        <v>0</v>
      </c>
      <c r="I2222">
        <f>IF(report_B_CategorieBoekjaar[[#This Row],[BedrijfsCode]]="001",IF(report_B_CategorieBoekjaar[[#This Row],[Boekjaar]]=Projectbegroting!$K$1,report_B_CategorieBoekjaar[[#This Row],[CategorieCode]],0),0)</f>
        <v>0</v>
      </c>
    </row>
    <row r="2223" spans="1:9" x14ac:dyDescent="0.3">
      <c r="A2223" t="s">
        <v>330</v>
      </c>
      <c r="B2223" s="20">
        <v>43101</v>
      </c>
      <c r="C2223" t="s">
        <v>62</v>
      </c>
      <c r="D2223" t="s">
        <v>473</v>
      </c>
      <c r="E2223" t="s">
        <v>381</v>
      </c>
      <c r="F2223">
        <v>39</v>
      </c>
      <c r="G2223">
        <v>0</v>
      </c>
      <c r="H2223">
        <f>IF(report_B_CategorieBoekjaar[[#This Row],[BedrijfsCode]]="002",IF(report_B_CategorieBoekjaar[[#This Row],[Boekjaar]]=Projectbegroting!$K$1,report_B_CategorieBoekjaar[[#This Row],[CategorieCode]],0),0)</f>
        <v>0</v>
      </c>
      <c r="I2223">
        <f>IF(report_B_CategorieBoekjaar[[#This Row],[BedrijfsCode]]="001",IF(report_B_CategorieBoekjaar[[#This Row],[Boekjaar]]=Projectbegroting!$K$1,report_B_CategorieBoekjaar[[#This Row],[CategorieCode]],0),0)</f>
        <v>0</v>
      </c>
    </row>
    <row r="2224" spans="1:9" x14ac:dyDescent="0.3">
      <c r="A2224" t="s">
        <v>330</v>
      </c>
      <c r="B2224" s="20">
        <v>43101</v>
      </c>
      <c r="C2224" t="s">
        <v>474</v>
      </c>
      <c r="D2224" t="s">
        <v>475</v>
      </c>
      <c r="E2224" t="s">
        <v>384</v>
      </c>
      <c r="F2224">
        <v>0</v>
      </c>
      <c r="G2224">
        <v>0</v>
      </c>
      <c r="H2224">
        <f>IF(report_B_CategorieBoekjaar[[#This Row],[BedrijfsCode]]="002",IF(report_B_CategorieBoekjaar[[#This Row],[Boekjaar]]=Projectbegroting!$K$1,report_B_CategorieBoekjaar[[#This Row],[CategorieCode]],0),0)</f>
        <v>0</v>
      </c>
      <c r="I2224">
        <f>IF(report_B_CategorieBoekjaar[[#This Row],[BedrijfsCode]]="001",IF(report_B_CategorieBoekjaar[[#This Row],[Boekjaar]]=Projectbegroting!$K$1,report_B_CategorieBoekjaar[[#This Row],[CategorieCode]],0),0)</f>
        <v>0</v>
      </c>
    </row>
    <row r="2225" spans="1:9" x14ac:dyDescent="0.3">
      <c r="A2225" t="s">
        <v>330</v>
      </c>
      <c r="B2225" s="20">
        <v>43101</v>
      </c>
      <c r="C2225" t="s">
        <v>64</v>
      </c>
      <c r="D2225" t="s">
        <v>476</v>
      </c>
      <c r="E2225" t="s">
        <v>381</v>
      </c>
      <c r="F2225">
        <v>37</v>
      </c>
      <c r="G2225">
        <v>0</v>
      </c>
      <c r="H2225">
        <f>IF(report_B_CategorieBoekjaar[[#This Row],[BedrijfsCode]]="002",IF(report_B_CategorieBoekjaar[[#This Row],[Boekjaar]]=Projectbegroting!$K$1,report_B_CategorieBoekjaar[[#This Row],[CategorieCode]],0),0)</f>
        <v>0</v>
      </c>
      <c r="I2225">
        <f>IF(report_B_CategorieBoekjaar[[#This Row],[BedrijfsCode]]="001",IF(report_B_CategorieBoekjaar[[#This Row],[Boekjaar]]=Projectbegroting!$K$1,report_B_CategorieBoekjaar[[#This Row],[CategorieCode]],0),0)</f>
        <v>0</v>
      </c>
    </row>
    <row r="2226" spans="1:9" x14ac:dyDescent="0.3">
      <c r="A2226" t="s">
        <v>330</v>
      </c>
      <c r="B2226" s="20">
        <v>43101</v>
      </c>
      <c r="C2226" t="s">
        <v>477</v>
      </c>
      <c r="D2226" t="s">
        <v>478</v>
      </c>
      <c r="E2226" t="s">
        <v>384</v>
      </c>
      <c r="F2226">
        <v>0</v>
      </c>
      <c r="G2226">
        <v>0</v>
      </c>
      <c r="H2226">
        <f>IF(report_B_CategorieBoekjaar[[#This Row],[BedrijfsCode]]="002",IF(report_B_CategorieBoekjaar[[#This Row],[Boekjaar]]=Projectbegroting!$K$1,report_B_CategorieBoekjaar[[#This Row],[CategorieCode]],0),0)</f>
        <v>0</v>
      </c>
      <c r="I2226">
        <f>IF(report_B_CategorieBoekjaar[[#This Row],[BedrijfsCode]]="001",IF(report_B_CategorieBoekjaar[[#This Row],[Boekjaar]]=Projectbegroting!$K$1,report_B_CategorieBoekjaar[[#This Row],[CategorieCode]],0),0)</f>
        <v>0</v>
      </c>
    </row>
    <row r="2227" spans="1:9" x14ac:dyDescent="0.3">
      <c r="A2227" t="s">
        <v>330</v>
      </c>
      <c r="B2227" s="20">
        <v>43101</v>
      </c>
      <c r="C2227" t="s">
        <v>80</v>
      </c>
      <c r="D2227" t="s">
        <v>81</v>
      </c>
      <c r="E2227" t="s">
        <v>381</v>
      </c>
      <c r="F2227">
        <v>66</v>
      </c>
      <c r="G2227">
        <v>0</v>
      </c>
      <c r="H2227">
        <f>IF(report_B_CategorieBoekjaar[[#This Row],[BedrijfsCode]]="002",IF(report_B_CategorieBoekjaar[[#This Row],[Boekjaar]]=Projectbegroting!$K$1,report_B_CategorieBoekjaar[[#This Row],[CategorieCode]],0),0)</f>
        <v>0</v>
      </c>
      <c r="I2227">
        <f>IF(report_B_CategorieBoekjaar[[#This Row],[BedrijfsCode]]="001",IF(report_B_CategorieBoekjaar[[#This Row],[Boekjaar]]=Projectbegroting!$K$1,report_B_CategorieBoekjaar[[#This Row],[CategorieCode]],0),0)</f>
        <v>0</v>
      </c>
    </row>
    <row r="2228" spans="1:9" x14ac:dyDescent="0.3">
      <c r="A2228" t="s">
        <v>330</v>
      </c>
      <c r="B2228" s="20">
        <v>43101</v>
      </c>
      <c r="C2228" t="s">
        <v>479</v>
      </c>
      <c r="D2228" t="s">
        <v>480</v>
      </c>
      <c r="E2228" t="s">
        <v>384</v>
      </c>
      <c r="F2228">
        <v>0</v>
      </c>
      <c r="G2228">
        <v>0</v>
      </c>
      <c r="H2228">
        <f>IF(report_B_CategorieBoekjaar[[#This Row],[BedrijfsCode]]="002",IF(report_B_CategorieBoekjaar[[#This Row],[Boekjaar]]=Projectbegroting!$K$1,report_B_CategorieBoekjaar[[#This Row],[CategorieCode]],0),0)</f>
        <v>0</v>
      </c>
      <c r="I2228">
        <f>IF(report_B_CategorieBoekjaar[[#This Row],[BedrijfsCode]]="001",IF(report_B_CategorieBoekjaar[[#This Row],[Boekjaar]]=Projectbegroting!$K$1,report_B_CategorieBoekjaar[[#This Row],[CategorieCode]],0),0)</f>
        <v>0</v>
      </c>
    </row>
    <row r="2229" spans="1:9" x14ac:dyDescent="0.3">
      <c r="A2229" t="s">
        <v>330</v>
      </c>
      <c r="B2229" s="20">
        <v>43101</v>
      </c>
      <c r="C2229" t="s">
        <v>481</v>
      </c>
      <c r="D2229" t="s">
        <v>482</v>
      </c>
      <c r="E2229" t="s">
        <v>384</v>
      </c>
      <c r="F2229">
        <v>0</v>
      </c>
      <c r="G2229">
        <v>0</v>
      </c>
      <c r="H2229">
        <f>IF(report_B_CategorieBoekjaar[[#This Row],[BedrijfsCode]]="002",IF(report_B_CategorieBoekjaar[[#This Row],[Boekjaar]]=Projectbegroting!$K$1,report_B_CategorieBoekjaar[[#This Row],[CategorieCode]],0),0)</f>
        <v>0</v>
      </c>
      <c r="I2229">
        <f>IF(report_B_CategorieBoekjaar[[#This Row],[BedrijfsCode]]="001",IF(report_B_CategorieBoekjaar[[#This Row],[Boekjaar]]=Projectbegroting!$K$1,report_B_CategorieBoekjaar[[#This Row],[CategorieCode]],0),0)</f>
        <v>0</v>
      </c>
    </row>
    <row r="2230" spans="1:9" x14ac:dyDescent="0.3">
      <c r="A2230" t="s">
        <v>330</v>
      </c>
      <c r="B2230" s="20">
        <v>43101</v>
      </c>
      <c r="C2230" t="s">
        <v>98</v>
      </c>
      <c r="D2230" t="s">
        <v>99</v>
      </c>
      <c r="E2230" t="s">
        <v>381</v>
      </c>
      <c r="F2230">
        <v>61</v>
      </c>
      <c r="G2230">
        <v>94</v>
      </c>
      <c r="H2230">
        <f>IF(report_B_CategorieBoekjaar[[#This Row],[BedrijfsCode]]="002",IF(report_B_CategorieBoekjaar[[#This Row],[Boekjaar]]=Projectbegroting!$K$1,report_B_CategorieBoekjaar[[#This Row],[CategorieCode]],0),0)</f>
        <v>0</v>
      </c>
      <c r="I2230">
        <f>IF(report_B_CategorieBoekjaar[[#This Row],[BedrijfsCode]]="001",IF(report_B_CategorieBoekjaar[[#This Row],[Boekjaar]]=Projectbegroting!$K$1,report_B_CategorieBoekjaar[[#This Row],[CategorieCode]],0),0)</f>
        <v>0</v>
      </c>
    </row>
    <row r="2231" spans="1:9" x14ac:dyDescent="0.3">
      <c r="A2231" t="s">
        <v>330</v>
      </c>
      <c r="B2231" s="20">
        <v>43101</v>
      </c>
      <c r="C2231" t="s">
        <v>485</v>
      </c>
      <c r="D2231" t="s">
        <v>486</v>
      </c>
      <c r="E2231" t="s">
        <v>384</v>
      </c>
      <c r="F2231">
        <v>0</v>
      </c>
      <c r="G2231">
        <v>0</v>
      </c>
      <c r="H2231">
        <f>IF(report_B_CategorieBoekjaar[[#This Row],[BedrijfsCode]]="002",IF(report_B_CategorieBoekjaar[[#This Row],[Boekjaar]]=Projectbegroting!$K$1,report_B_CategorieBoekjaar[[#This Row],[CategorieCode]],0),0)</f>
        <v>0</v>
      </c>
      <c r="I2231">
        <f>IF(report_B_CategorieBoekjaar[[#This Row],[BedrijfsCode]]="001",IF(report_B_CategorieBoekjaar[[#This Row],[Boekjaar]]=Projectbegroting!$K$1,report_B_CategorieBoekjaar[[#This Row],[CategorieCode]],0),0)</f>
        <v>0</v>
      </c>
    </row>
    <row r="2232" spans="1:9" x14ac:dyDescent="0.3">
      <c r="A2232" t="s">
        <v>330</v>
      </c>
      <c r="B2232" s="20">
        <v>43101</v>
      </c>
      <c r="C2232" t="s">
        <v>175</v>
      </c>
      <c r="D2232" t="s">
        <v>487</v>
      </c>
      <c r="E2232" t="s">
        <v>384</v>
      </c>
      <c r="F2232">
        <v>0</v>
      </c>
      <c r="G2232">
        <v>0</v>
      </c>
      <c r="H2232">
        <f>IF(report_B_CategorieBoekjaar[[#This Row],[BedrijfsCode]]="002",IF(report_B_CategorieBoekjaar[[#This Row],[Boekjaar]]=Projectbegroting!$K$1,report_B_CategorieBoekjaar[[#This Row],[CategorieCode]],0),0)</f>
        <v>0</v>
      </c>
      <c r="I2232">
        <f>IF(report_B_CategorieBoekjaar[[#This Row],[BedrijfsCode]]="001",IF(report_B_CategorieBoekjaar[[#This Row],[Boekjaar]]=Projectbegroting!$K$1,report_B_CategorieBoekjaar[[#This Row],[CategorieCode]],0),0)</f>
        <v>0</v>
      </c>
    </row>
    <row r="2233" spans="1:9" x14ac:dyDescent="0.3">
      <c r="A2233" t="s">
        <v>330</v>
      </c>
      <c r="B2233" s="20">
        <v>43101</v>
      </c>
      <c r="C2233" t="s">
        <v>488</v>
      </c>
      <c r="D2233" t="s">
        <v>489</v>
      </c>
      <c r="E2233" t="s">
        <v>381</v>
      </c>
      <c r="F2233">
        <v>62</v>
      </c>
      <c r="G2233">
        <v>95</v>
      </c>
      <c r="H2233">
        <f>IF(report_B_CategorieBoekjaar[[#This Row],[BedrijfsCode]]="002",IF(report_B_CategorieBoekjaar[[#This Row],[Boekjaar]]=Projectbegroting!$K$1,report_B_CategorieBoekjaar[[#This Row],[CategorieCode]],0),0)</f>
        <v>0</v>
      </c>
      <c r="I2233">
        <f>IF(report_B_CategorieBoekjaar[[#This Row],[BedrijfsCode]]="001",IF(report_B_CategorieBoekjaar[[#This Row],[Boekjaar]]=Projectbegroting!$K$1,report_B_CategorieBoekjaar[[#This Row],[CategorieCode]],0),0)</f>
        <v>0</v>
      </c>
    </row>
    <row r="2234" spans="1:9" x14ac:dyDescent="0.3">
      <c r="A2234" t="s">
        <v>330</v>
      </c>
      <c r="B2234" s="20">
        <v>43101</v>
      </c>
      <c r="C2234" t="s">
        <v>490</v>
      </c>
      <c r="D2234" t="s">
        <v>491</v>
      </c>
      <c r="E2234" t="s">
        <v>384</v>
      </c>
      <c r="F2234">
        <v>0</v>
      </c>
      <c r="G2234">
        <v>0</v>
      </c>
      <c r="H2234">
        <f>IF(report_B_CategorieBoekjaar[[#This Row],[BedrijfsCode]]="002",IF(report_B_CategorieBoekjaar[[#This Row],[Boekjaar]]=Projectbegroting!$K$1,report_B_CategorieBoekjaar[[#This Row],[CategorieCode]],0),0)</f>
        <v>0</v>
      </c>
      <c r="I2234">
        <f>IF(report_B_CategorieBoekjaar[[#This Row],[BedrijfsCode]]="001",IF(report_B_CategorieBoekjaar[[#This Row],[Boekjaar]]=Projectbegroting!$K$1,report_B_CategorieBoekjaar[[#This Row],[CategorieCode]],0),0)</f>
        <v>0</v>
      </c>
    </row>
    <row r="2235" spans="1:9" x14ac:dyDescent="0.3">
      <c r="A2235" t="s">
        <v>330</v>
      </c>
      <c r="B2235" s="20">
        <v>43101</v>
      </c>
      <c r="C2235" t="s">
        <v>68</v>
      </c>
      <c r="D2235" t="s">
        <v>492</v>
      </c>
      <c r="E2235" t="s">
        <v>381</v>
      </c>
      <c r="F2235">
        <v>42</v>
      </c>
      <c r="G2235">
        <v>75</v>
      </c>
      <c r="H2235">
        <f>IF(report_B_CategorieBoekjaar[[#This Row],[BedrijfsCode]]="002",IF(report_B_CategorieBoekjaar[[#This Row],[Boekjaar]]=Projectbegroting!$K$1,report_B_CategorieBoekjaar[[#This Row],[CategorieCode]],0),0)</f>
        <v>0</v>
      </c>
      <c r="I2235">
        <f>IF(report_B_CategorieBoekjaar[[#This Row],[BedrijfsCode]]="001",IF(report_B_CategorieBoekjaar[[#This Row],[Boekjaar]]=Projectbegroting!$K$1,report_B_CategorieBoekjaar[[#This Row],[CategorieCode]],0),0)</f>
        <v>0</v>
      </c>
    </row>
    <row r="2236" spans="1:9" x14ac:dyDescent="0.3">
      <c r="A2236" t="s">
        <v>330</v>
      </c>
      <c r="B2236" s="20">
        <v>43101</v>
      </c>
      <c r="C2236" t="s">
        <v>177</v>
      </c>
      <c r="D2236" t="s">
        <v>493</v>
      </c>
      <c r="E2236" t="s">
        <v>384</v>
      </c>
      <c r="F2236">
        <v>0</v>
      </c>
      <c r="G2236">
        <v>0</v>
      </c>
      <c r="H2236">
        <f>IF(report_B_CategorieBoekjaar[[#This Row],[BedrijfsCode]]="002",IF(report_B_CategorieBoekjaar[[#This Row],[Boekjaar]]=Projectbegroting!$K$1,report_B_CategorieBoekjaar[[#This Row],[CategorieCode]],0),0)</f>
        <v>0</v>
      </c>
      <c r="I2236">
        <f>IF(report_B_CategorieBoekjaar[[#This Row],[BedrijfsCode]]="001",IF(report_B_CategorieBoekjaar[[#This Row],[Boekjaar]]=Projectbegroting!$K$1,report_B_CategorieBoekjaar[[#This Row],[CategorieCode]],0),0)</f>
        <v>0</v>
      </c>
    </row>
    <row r="2237" spans="1:9" x14ac:dyDescent="0.3">
      <c r="A2237" t="s">
        <v>330</v>
      </c>
      <c r="B2237" s="20">
        <v>43101</v>
      </c>
      <c r="C2237" t="s">
        <v>494</v>
      </c>
      <c r="D2237" t="s">
        <v>495</v>
      </c>
      <c r="E2237" t="s">
        <v>381</v>
      </c>
      <c r="F2237">
        <v>34</v>
      </c>
      <c r="G2237">
        <v>67</v>
      </c>
      <c r="H2237">
        <f>IF(report_B_CategorieBoekjaar[[#This Row],[BedrijfsCode]]="002",IF(report_B_CategorieBoekjaar[[#This Row],[Boekjaar]]=Projectbegroting!$K$1,report_B_CategorieBoekjaar[[#This Row],[CategorieCode]],0),0)</f>
        <v>0</v>
      </c>
      <c r="I2237">
        <f>IF(report_B_CategorieBoekjaar[[#This Row],[BedrijfsCode]]="001",IF(report_B_CategorieBoekjaar[[#This Row],[Boekjaar]]=Projectbegroting!$K$1,report_B_CategorieBoekjaar[[#This Row],[CategorieCode]],0),0)</f>
        <v>0</v>
      </c>
    </row>
    <row r="2238" spans="1:9" x14ac:dyDescent="0.3">
      <c r="A2238" t="s">
        <v>330</v>
      </c>
      <c r="B2238" s="20">
        <v>43101</v>
      </c>
      <c r="C2238" t="s">
        <v>496</v>
      </c>
      <c r="D2238" t="s">
        <v>497</v>
      </c>
      <c r="E2238" t="s">
        <v>384</v>
      </c>
      <c r="F2238">
        <v>0</v>
      </c>
      <c r="G2238">
        <v>0</v>
      </c>
      <c r="H2238">
        <f>IF(report_B_CategorieBoekjaar[[#This Row],[BedrijfsCode]]="002",IF(report_B_CategorieBoekjaar[[#This Row],[Boekjaar]]=Projectbegroting!$K$1,report_B_CategorieBoekjaar[[#This Row],[CategorieCode]],0),0)</f>
        <v>0</v>
      </c>
      <c r="I2238">
        <f>IF(report_B_CategorieBoekjaar[[#This Row],[BedrijfsCode]]="001",IF(report_B_CategorieBoekjaar[[#This Row],[Boekjaar]]=Projectbegroting!$K$1,report_B_CategorieBoekjaar[[#This Row],[CategorieCode]],0),0)</f>
        <v>0</v>
      </c>
    </row>
    <row r="2239" spans="1:9" x14ac:dyDescent="0.3">
      <c r="A2239" t="s">
        <v>330</v>
      </c>
      <c r="B2239" s="20">
        <v>43101</v>
      </c>
      <c r="C2239" t="s">
        <v>70</v>
      </c>
      <c r="D2239" t="s">
        <v>498</v>
      </c>
      <c r="E2239" t="s">
        <v>381</v>
      </c>
      <c r="F2239">
        <v>34</v>
      </c>
      <c r="G2239">
        <v>0</v>
      </c>
      <c r="H2239">
        <f>IF(report_B_CategorieBoekjaar[[#This Row],[BedrijfsCode]]="002",IF(report_B_CategorieBoekjaar[[#This Row],[Boekjaar]]=Projectbegroting!$K$1,report_B_CategorieBoekjaar[[#This Row],[CategorieCode]],0),0)</f>
        <v>0</v>
      </c>
      <c r="I2239">
        <f>IF(report_B_CategorieBoekjaar[[#This Row],[BedrijfsCode]]="001",IF(report_B_CategorieBoekjaar[[#This Row],[Boekjaar]]=Projectbegroting!$K$1,report_B_CategorieBoekjaar[[#This Row],[CategorieCode]],0),0)</f>
        <v>0</v>
      </c>
    </row>
    <row r="2240" spans="1:9" x14ac:dyDescent="0.3">
      <c r="A2240" t="s">
        <v>330</v>
      </c>
      <c r="B2240" s="20">
        <v>43101</v>
      </c>
      <c r="C2240" t="s">
        <v>499</v>
      </c>
      <c r="D2240" t="s">
        <v>500</v>
      </c>
      <c r="E2240" t="s">
        <v>384</v>
      </c>
      <c r="F2240">
        <v>0</v>
      </c>
      <c r="G2240">
        <v>0</v>
      </c>
      <c r="H2240">
        <f>IF(report_B_CategorieBoekjaar[[#This Row],[BedrijfsCode]]="002",IF(report_B_CategorieBoekjaar[[#This Row],[Boekjaar]]=Projectbegroting!$K$1,report_B_CategorieBoekjaar[[#This Row],[CategorieCode]],0),0)</f>
        <v>0</v>
      </c>
      <c r="I2240">
        <f>IF(report_B_CategorieBoekjaar[[#This Row],[BedrijfsCode]]="001",IF(report_B_CategorieBoekjaar[[#This Row],[Boekjaar]]=Projectbegroting!$K$1,report_B_CategorieBoekjaar[[#This Row],[CategorieCode]],0),0)</f>
        <v>0</v>
      </c>
    </row>
    <row r="2241" spans="1:9" x14ac:dyDescent="0.3">
      <c r="A2241" t="s">
        <v>330</v>
      </c>
      <c r="B2241" s="20">
        <v>43101</v>
      </c>
      <c r="C2241" t="s">
        <v>501</v>
      </c>
      <c r="D2241" t="s">
        <v>502</v>
      </c>
      <c r="E2241" t="s">
        <v>381</v>
      </c>
      <c r="F2241">
        <v>63</v>
      </c>
      <c r="G2241">
        <v>96</v>
      </c>
      <c r="H2241">
        <f>IF(report_B_CategorieBoekjaar[[#This Row],[BedrijfsCode]]="002",IF(report_B_CategorieBoekjaar[[#This Row],[Boekjaar]]=Projectbegroting!$K$1,report_B_CategorieBoekjaar[[#This Row],[CategorieCode]],0),0)</f>
        <v>0</v>
      </c>
      <c r="I2241">
        <f>IF(report_B_CategorieBoekjaar[[#This Row],[BedrijfsCode]]="001",IF(report_B_CategorieBoekjaar[[#This Row],[Boekjaar]]=Projectbegroting!$K$1,report_B_CategorieBoekjaar[[#This Row],[CategorieCode]],0),0)</f>
        <v>0</v>
      </c>
    </row>
    <row r="2242" spans="1:9" x14ac:dyDescent="0.3">
      <c r="A2242" t="s">
        <v>330</v>
      </c>
      <c r="B2242" s="20">
        <v>43101</v>
      </c>
      <c r="C2242" t="s">
        <v>503</v>
      </c>
      <c r="D2242" t="s">
        <v>504</v>
      </c>
      <c r="E2242" t="s">
        <v>384</v>
      </c>
      <c r="F2242">
        <v>0</v>
      </c>
      <c r="G2242">
        <v>0</v>
      </c>
      <c r="H2242">
        <f>IF(report_B_CategorieBoekjaar[[#This Row],[BedrijfsCode]]="002",IF(report_B_CategorieBoekjaar[[#This Row],[Boekjaar]]=Projectbegroting!$K$1,report_B_CategorieBoekjaar[[#This Row],[CategorieCode]],0),0)</f>
        <v>0</v>
      </c>
      <c r="I2242">
        <f>IF(report_B_CategorieBoekjaar[[#This Row],[BedrijfsCode]]="001",IF(report_B_CategorieBoekjaar[[#This Row],[Boekjaar]]=Projectbegroting!$K$1,report_B_CategorieBoekjaar[[#This Row],[CategorieCode]],0),0)</f>
        <v>0</v>
      </c>
    </row>
    <row r="2243" spans="1:9" x14ac:dyDescent="0.3">
      <c r="A2243" t="s">
        <v>330</v>
      </c>
      <c r="B2243" s="20">
        <v>43101</v>
      </c>
      <c r="C2243" t="s">
        <v>505</v>
      </c>
      <c r="D2243" t="s">
        <v>506</v>
      </c>
      <c r="E2243" t="s">
        <v>381</v>
      </c>
      <c r="F2243">
        <v>41</v>
      </c>
      <c r="G2243">
        <v>0</v>
      </c>
      <c r="H2243">
        <f>IF(report_B_CategorieBoekjaar[[#This Row],[BedrijfsCode]]="002",IF(report_B_CategorieBoekjaar[[#This Row],[Boekjaar]]=Projectbegroting!$K$1,report_B_CategorieBoekjaar[[#This Row],[CategorieCode]],0),0)</f>
        <v>0</v>
      </c>
      <c r="I2243">
        <f>IF(report_B_CategorieBoekjaar[[#This Row],[BedrijfsCode]]="001",IF(report_B_CategorieBoekjaar[[#This Row],[Boekjaar]]=Projectbegroting!$K$1,report_B_CategorieBoekjaar[[#This Row],[CategorieCode]],0),0)</f>
        <v>0</v>
      </c>
    </row>
    <row r="2244" spans="1:9" x14ac:dyDescent="0.3">
      <c r="A2244" t="s">
        <v>330</v>
      </c>
      <c r="B2244" s="20">
        <v>43101</v>
      </c>
      <c r="C2244" t="s">
        <v>507</v>
      </c>
      <c r="D2244" t="s">
        <v>508</v>
      </c>
      <c r="E2244" t="s">
        <v>384</v>
      </c>
      <c r="F2244">
        <v>0</v>
      </c>
      <c r="G2244">
        <v>0</v>
      </c>
      <c r="H2244">
        <f>IF(report_B_CategorieBoekjaar[[#This Row],[BedrijfsCode]]="002",IF(report_B_CategorieBoekjaar[[#This Row],[Boekjaar]]=Projectbegroting!$K$1,report_B_CategorieBoekjaar[[#This Row],[CategorieCode]],0),0)</f>
        <v>0</v>
      </c>
      <c r="I2244">
        <f>IF(report_B_CategorieBoekjaar[[#This Row],[BedrijfsCode]]="001",IF(report_B_CategorieBoekjaar[[#This Row],[Boekjaar]]=Projectbegroting!$K$1,report_B_CategorieBoekjaar[[#This Row],[CategorieCode]],0),0)</f>
        <v>0</v>
      </c>
    </row>
    <row r="2245" spans="1:9" x14ac:dyDescent="0.3">
      <c r="A2245" t="s">
        <v>330</v>
      </c>
      <c r="B2245" s="20">
        <v>43101</v>
      </c>
      <c r="C2245" t="s">
        <v>509</v>
      </c>
      <c r="D2245" t="s">
        <v>510</v>
      </c>
      <c r="E2245" t="s">
        <v>381</v>
      </c>
      <c r="F2245">
        <v>154</v>
      </c>
      <c r="G2245">
        <v>0</v>
      </c>
      <c r="H2245">
        <f>IF(report_B_CategorieBoekjaar[[#This Row],[BedrijfsCode]]="002",IF(report_B_CategorieBoekjaar[[#This Row],[Boekjaar]]=Projectbegroting!$K$1,report_B_CategorieBoekjaar[[#This Row],[CategorieCode]],0),0)</f>
        <v>0</v>
      </c>
      <c r="I2245">
        <f>IF(report_B_CategorieBoekjaar[[#This Row],[BedrijfsCode]]="001",IF(report_B_CategorieBoekjaar[[#This Row],[Boekjaar]]=Projectbegroting!$K$1,report_B_CategorieBoekjaar[[#This Row],[CategorieCode]],0),0)</f>
        <v>0</v>
      </c>
    </row>
    <row r="2246" spans="1:9" x14ac:dyDescent="0.3">
      <c r="A2246" t="s">
        <v>330</v>
      </c>
      <c r="B2246" s="20">
        <v>43101</v>
      </c>
      <c r="C2246" t="s">
        <v>511</v>
      </c>
      <c r="D2246" t="s">
        <v>512</v>
      </c>
      <c r="E2246" t="s">
        <v>381</v>
      </c>
      <c r="F2246">
        <v>0</v>
      </c>
      <c r="G2246">
        <v>0</v>
      </c>
      <c r="H2246">
        <f>IF(report_B_CategorieBoekjaar[[#This Row],[BedrijfsCode]]="002",IF(report_B_CategorieBoekjaar[[#This Row],[Boekjaar]]=Projectbegroting!$K$1,report_B_CategorieBoekjaar[[#This Row],[CategorieCode]],0),0)</f>
        <v>0</v>
      </c>
      <c r="I2246">
        <f>IF(report_B_CategorieBoekjaar[[#This Row],[BedrijfsCode]]="001",IF(report_B_CategorieBoekjaar[[#This Row],[Boekjaar]]=Projectbegroting!$K$1,report_B_CategorieBoekjaar[[#This Row],[CategorieCode]],0),0)</f>
        <v>0</v>
      </c>
    </row>
    <row r="2247" spans="1:9" x14ac:dyDescent="0.3">
      <c r="A2247" t="s">
        <v>330</v>
      </c>
      <c r="B2247" s="20">
        <v>43101</v>
      </c>
      <c r="C2247" t="s">
        <v>92</v>
      </c>
      <c r="D2247" t="s">
        <v>513</v>
      </c>
      <c r="E2247" t="s">
        <v>381</v>
      </c>
      <c r="F2247">
        <v>58</v>
      </c>
      <c r="G2247">
        <v>91</v>
      </c>
      <c r="H2247">
        <f>IF(report_B_CategorieBoekjaar[[#This Row],[BedrijfsCode]]="002",IF(report_B_CategorieBoekjaar[[#This Row],[Boekjaar]]=Projectbegroting!$K$1,report_B_CategorieBoekjaar[[#This Row],[CategorieCode]],0),0)</f>
        <v>0</v>
      </c>
      <c r="I2247">
        <f>IF(report_B_CategorieBoekjaar[[#This Row],[BedrijfsCode]]="001",IF(report_B_CategorieBoekjaar[[#This Row],[Boekjaar]]=Projectbegroting!$K$1,report_B_CategorieBoekjaar[[#This Row],[CategorieCode]],0),0)</f>
        <v>0</v>
      </c>
    </row>
    <row r="2248" spans="1:9" x14ac:dyDescent="0.3">
      <c r="A2248" t="s">
        <v>330</v>
      </c>
      <c r="B2248" s="20">
        <v>43101</v>
      </c>
      <c r="C2248" t="s">
        <v>514</v>
      </c>
      <c r="D2248" t="s">
        <v>515</v>
      </c>
      <c r="E2248" t="s">
        <v>384</v>
      </c>
      <c r="F2248">
        <v>0</v>
      </c>
      <c r="G2248">
        <v>0</v>
      </c>
      <c r="H2248">
        <f>IF(report_B_CategorieBoekjaar[[#This Row],[BedrijfsCode]]="002",IF(report_B_CategorieBoekjaar[[#This Row],[Boekjaar]]=Projectbegroting!$K$1,report_B_CategorieBoekjaar[[#This Row],[CategorieCode]],0),0)</f>
        <v>0</v>
      </c>
      <c r="I2248">
        <f>IF(report_B_CategorieBoekjaar[[#This Row],[BedrijfsCode]]="001",IF(report_B_CategorieBoekjaar[[#This Row],[Boekjaar]]=Projectbegroting!$K$1,report_B_CategorieBoekjaar[[#This Row],[CategorieCode]],0),0)</f>
        <v>0</v>
      </c>
    </row>
    <row r="2249" spans="1:9" x14ac:dyDescent="0.3">
      <c r="A2249" t="s">
        <v>330</v>
      </c>
      <c r="B2249" s="20">
        <v>43101</v>
      </c>
      <c r="C2249" t="s">
        <v>72</v>
      </c>
      <c r="D2249" t="s">
        <v>516</v>
      </c>
      <c r="E2249" t="s">
        <v>381</v>
      </c>
      <c r="F2249">
        <v>38</v>
      </c>
      <c r="G2249">
        <v>71</v>
      </c>
      <c r="H2249">
        <f>IF(report_B_CategorieBoekjaar[[#This Row],[BedrijfsCode]]="002",IF(report_B_CategorieBoekjaar[[#This Row],[Boekjaar]]=Projectbegroting!$K$1,report_B_CategorieBoekjaar[[#This Row],[CategorieCode]],0),0)</f>
        <v>0</v>
      </c>
      <c r="I2249">
        <f>IF(report_B_CategorieBoekjaar[[#This Row],[BedrijfsCode]]="001",IF(report_B_CategorieBoekjaar[[#This Row],[Boekjaar]]=Projectbegroting!$K$1,report_B_CategorieBoekjaar[[#This Row],[CategorieCode]],0),0)</f>
        <v>0</v>
      </c>
    </row>
    <row r="2250" spans="1:9" x14ac:dyDescent="0.3">
      <c r="A2250" t="s">
        <v>330</v>
      </c>
      <c r="B2250" s="20">
        <v>43101</v>
      </c>
      <c r="C2250" t="s">
        <v>517</v>
      </c>
      <c r="D2250" t="s">
        <v>518</v>
      </c>
      <c r="E2250" t="s">
        <v>384</v>
      </c>
      <c r="F2250">
        <v>0</v>
      </c>
      <c r="G2250">
        <v>0</v>
      </c>
      <c r="H2250">
        <f>IF(report_B_CategorieBoekjaar[[#This Row],[BedrijfsCode]]="002",IF(report_B_CategorieBoekjaar[[#This Row],[Boekjaar]]=Projectbegroting!$K$1,report_B_CategorieBoekjaar[[#This Row],[CategorieCode]],0),0)</f>
        <v>0</v>
      </c>
      <c r="I2250">
        <f>IF(report_B_CategorieBoekjaar[[#This Row],[BedrijfsCode]]="001",IF(report_B_CategorieBoekjaar[[#This Row],[Boekjaar]]=Projectbegroting!$K$1,report_B_CategorieBoekjaar[[#This Row],[CategorieCode]],0),0)</f>
        <v>0</v>
      </c>
    </row>
    <row r="2251" spans="1:9" x14ac:dyDescent="0.3">
      <c r="A2251" t="s">
        <v>330</v>
      </c>
      <c r="B2251" s="20">
        <v>43101</v>
      </c>
      <c r="C2251" t="s">
        <v>74</v>
      </c>
      <c r="D2251" t="s">
        <v>75</v>
      </c>
      <c r="E2251" t="s">
        <v>381</v>
      </c>
      <c r="F2251">
        <v>34</v>
      </c>
      <c r="G2251">
        <v>67</v>
      </c>
      <c r="H2251">
        <f>IF(report_B_CategorieBoekjaar[[#This Row],[BedrijfsCode]]="002",IF(report_B_CategorieBoekjaar[[#This Row],[Boekjaar]]=Projectbegroting!$K$1,report_B_CategorieBoekjaar[[#This Row],[CategorieCode]],0),0)</f>
        <v>0</v>
      </c>
      <c r="I2251">
        <f>IF(report_B_CategorieBoekjaar[[#This Row],[BedrijfsCode]]="001",IF(report_B_CategorieBoekjaar[[#This Row],[Boekjaar]]=Projectbegroting!$K$1,report_B_CategorieBoekjaar[[#This Row],[CategorieCode]],0),0)</f>
        <v>0</v>
      </c>
    </row>
    <row r="2252" spans="1:9" x14ac:dyDescent="0.3">
      <c r="A2252" t="s">
        <v>330</v>
      </c>
      <c r="B2252" s="20">
        <v>43101</v>
      </c>
      <c r="C2252" t="s">
        <v>178</v>
      </c>
      <c r="D2252" t="s">
        <v>519</v>
      </c>
      <c r="E2252" t="s">
        <v>384</v>
      </c>
      <c r="F2252">
        <v>0</v>
      </c>
      <c r="G2252">
        <v>0</v>
      </c>
      <c r="H2252">
        <f>IF(report_B_CategorieBoekjaar[[#This Row],[BedrijfsCode]]="002",IF(report_B_CategorieBoekjaar[[#This Row],[Boekjaar]]=Projectbegroting!$K$1,report_B_CategorieBoekjaar[[#This Row],[CategorieCode]],0),0)</f>
        <v>0</v>
      </c>
      <c r="I2252">
        <f>IF(report_B_CategorieBoekjaar[[#This Row],[BedrijfsCode]]="001",IF(report_B_CategorieBoekjaar[[#This Row],[Boekjaar]]=Projectbegroting!$K$1,report_B_CategorieBoekjaar[[#This Row],[CategorieCode]],0),0)</f>
        <v>0</v>
      </c>
    </row>
    <row r="2253" spans="1:9" x14ac:dyDescent="0.3">
      <c r="A2253" t="s">
        <v>330</v>
      </c>
      <c r="B2253" s="20">
        <v>43101</v>
      </c>
      <c r="C2253" t="s">
        <v>520</v>
      </c>
      <c r="D2253" t="s">
        <v>521</v>
      </c>
      <c r="E2253" t="s">
        <v>384</v>
      </c>
      <c r="F2253">
        <v>0</v>
      </c>
      <c r="G2253">
        <v>0</v>
      </c>
      <c r="H2253">
        <f>IF(report_B_CategorieBoekjaar[[#This Row],[BedrijfsCode]]="002",IF(report_B_CategorieBoekjaar[[#This Row],[Boekjaar]]=Projectbegroting!$K$1,report_B_CategorieBoekjaar[[#This Row],[CategorieCode]],0),0)</f>
        <v>0</v>
      </c>
      <c r="I2253">
        <f>IF(report_B_CategorieBoekjaar[[#This Row],[BedrijfsCode]]="001",IF(report_B_CategorieBoekjaar[[#This Row],[Boekjaar]]=Projectbegroting!$K$1,report_B_CategorieBoekjaar[[#This Row],[CategorieCode]],0),0)</f>
        <v>0</v>
      </c>
    </row>
    <row r="2254" spans="1:9" x14ac:dyDescent="0.3">
      <c r="A2254" t="s">
        <v>330</v>
      </c>
      <c r="B2254" s="20">
        <v>43101</v>
      </c>
      <c r="C2254" t="s">
        <v>522</v>
      </c>
      <c r="D2254" t="s">
        <v>523</v>
      </c>
      <c r="E2254" t="s">
        <v>381</v>
      </c>
      <c r="F2254">
        <v>75</v>
      </c>
      <c r="G2254">
        <v>0</v>
      </c>
      <c r="H2254">
        <f>IF(report_B_CategorieBoekjaar[[#This Row],[BedrijfsCode]]="002",IF(report_B_CategorieBoekjaar[[#This Row],[Boekjaar]]=Projectbegroting!$K$1,report_B_CategorieBoekjaar[[#This Row],[CategorieCode]],0),0)</f>
        <v>0</v>
      </c>
      <c r="I2254">
        <f>IF(report_B_CategorieBoekjaar[[#This Row],[BedrijfsCode]]="001",IF(report_B_CategorieBoekjaar[[#This Row],[Boekjaar]]=Projectbegroting!$K$1,report_B_CategorieBoekjaar[[#This Row],[CategorieCode]],0),0)</f>
        <v>0</v>
      </c>
    </row>
    <row r="2255" spans="1:9" x14ac:dyDescent="0.3">
      <c r="A2255" t="s">
        <v>330</v>
      </c>
      <c r="B2255" s="20">
        <v>43101</v>
      </c>
      <c r="C2255" t="s">
        <v>78</v>
      </c>
      <c r="D2255" t="s">
        <v>79</v>
      </c>
      <c r="E2255" t="s">
        <v>381</v>
      </c>
      <c r="F2255">
        <v>63</v>
      </c>
      <c r="G2255">
        <v>96</v>
      </c>
      <c r="H2255">
        <f>IF(report_B_CategorieBoekjaar[[#This Row],[BedrijfsCode]]="002",IF(report_B_CategorieBoekjaar[[#This Row],[Boekjaar]]=Projectbegroting!$K$1,report_B_CategorieBoekjaar[[#This Row],[CategorieCode]],0),0)</f>
        <v>0</v>
      </c>
      <c r="I2255">
        <f>IF(report_B_CategorieBoekjaar[[#This Row],[BedrijfsCode]]="001",IF(report_B_CategorieBoekjaar[[#This Row],[Boekjaar]]=Projectbegroting!$K$1,report_B_CategorieBoekjaar[[#This Row],[CategorieCode]],0),0)</f>
        <v>0</v>
      </c>
    </row>
    <row r="2256" spans="1:9" x14ac:dyDescent="0.3">
      <c r="A2256" t="s">
        <v>330</v>
      </c>
      <c r="B2256" s="20">
        <v>43101</v>
      </c>
      <c r="C2256" t="s">
        <v>176</v>
      </c>
      <c r="D2256" t="s">
        <v>524</v>
      </c>
      <c r="E2256" t="s">
        <v>384</v>
      </c>
      <c r="F2256">
        <v>0</v>
      </c>
      <c r="G2256">
        <v>0</v>
      </c>
      <c r="H2256">
        <f>IF(report_B_CategorieBoekjaar[[#This Row],[BedrijfsCode]]="002",IF(report_B_CategorieBoekjaar[[#This Row],[Boekjaar]]=Projectbegroting!$K$1,report_B_CategorieBoekjaar[[#This Row],[CategorieCode]],0),0)</f>
        <v>0</v>
      </c>
      <c r="I2256">
        <f>IF(report_B_CategorieBoekjaar[[#This Row],[BedrijfsCode]]="001",IF(report_B_CategorieBoekjaar[[#This Row],[Boekjaar]]=Projectbegroting!$K$1,report_B_CategorieBoekjaar[[#This Row],[CategorieCode]],0),0)</f>
        <v>0</v>
      </c>
    </row>
    <row r="2257" spans="1:9" hidden="1" x14ac:dyDescent="0.3">
      <c r="A2257" t="s">
        <v>525</v>
      </c>
      <c r="B2257" s="20">
        <v>43101</v>
      </c>
      <c r="C2257" t="s">
        <v>179</v>
      </c>
      <c r="D2257" t="s">
        <v>331</v>
      </c>
      <c r="E2257" t="s">
        <v>217</v>
      </c>
      <c r="F2257">
        <v>0</v>
      </c>
      <c r="G2257">
        <v>0</v>
      </c>
      <c r="H2257">
        <f>IF(report_B_CategorieBoekjaar[[#This Row],[BedrijfsCode]]="002",IF(report_B_CategorieBoekjaar[[#This Row],[Boekjaar]]=Projectbegroting!$K$1,report_B_CategorieBoekjaar[[#This Row],[CategorieCode]],0),0)</f>
        <v>0</v>
      </c>
      <c r="I2257">
        <f>IF(report_B_CategorieBoekjaar[[#This Row],[BedrijfsCode]]="001",IF(report_B_CategorieBoekjaar[[#This Row],[Boekjaar]]=Projectbegroting!$K$1,report_B_CategorieBoekjaar[[#This Row],[CategorieCode]],0),0)</f>
        <v>0</v>
      </c>
    </row>
    <row r="2258" spans="1:9" hidden="1" x14ac:dyDescent="0.3">
      <c r="A2258" t="s">
        <v>525</v>
      </c>
      <c r="B2258" s="20">
        <v>43101</v>
      </c>
      <c r="C2258" t="s">
        <v>180</v>
      </c>
      <c r="D2258" t="s">
        <v>332</v>
      </c>
      <c r="E2258" t="s">
        <v>217</v>
      </c>
      <c r="F2258">
        <v>0</v>
      </c>
      <c r="G2258">
        <v>0</v>
      </c>
      <c r="H2258">
        <f>IF(report_B_CategorieBoekjaar[[#This Row],[BedrijfsCode]]="002",IF(report_B_CategorieBoekjaar[[#This Row],[Boekjaar]]=Projectbegroting!$K$1,report_B_CategorieBoekjaar[[#This Row],[CategorieCode]],0),0)</f>
        <v>0</v>
      </c>
      <c r="I2258">
        <f>IF(report_B_CategorieBoekjaar[[#This Row],[BedrijfsCode]]="001",IF(report_B_CategorieBoekjaar[[#This Row],[Boekjaar]]=Projectbegroting!$K$1,report_B_CategorieBoekjaar[[#This Row],[CategorieCode]],0),0)</f>
        <v>0</v>
      </c>
    </row>
    <row r="2259" spans="1:9" hidden="1" x14ac:dyDescent="0.3">
      <c r="A2259" t="s">
        <v>525</v>
      </c>
      <c r="B2259" s="20">
        <v>43101</v>
      </c>
      <c r="C2259" t="s">
        <v>181</v>
      </c>
      <c r="D2259" t="s">
        <v>333</v>
      </c>
      <c r="E2259" t="s">
        <v>217</v>
      </c>
      <c r="F2259">
        <v>0</v>
      </c>
      <c r="G2259">
        <v>0</v>
      </c>
      <c r="H2259">
        <f>IF(report_B_CategorieBoekjaar[[#This Row],[BedrijfsCode]]="002",IF(report_B_CategorieBoekjaar[[#This Row],[Boekjaar]]=Projectbegroting!$K$1,report_B_CategorieBoekjaar[[#This Row],[CategorieCode]],0),0)</f>
        <v>0</v>
      </c>
      <c r="I2259">
        <f>IF(report_B_CategorieBoekjaar[[#This Row],[BedrijfsCode]]="001",IF(report_B_CategorieBoekjaar[[#This Row],[Boekjaar]]=Projectbegroting!$K$1,report_B_CategorieBoekjaar[[#This Row],[CategorieCode]],0),0)</f>
        <v>0</v>
      </c>
    </row>
    <row r="2260" spans="1:9" hidden="1" x14ac:dyDescent="0.3">
      <c r="A2260" t="s">
        <v>525</v>
      </c>
      <c r="B2260" s="20">
        <v>43101</v>
      </c>
      <c r="C2260" t="s">
        <v>182</v>
      </c>
      <c r="D2260" t="s">
        <v>334</v>
      </c>
      <c r="E2260" t="s">
        <v>217</v>
      </c>
      <c r="F2260">
        <v>0</v>
      </c>
      <c r="G2260">
        <v>0</v>
      </c>
      <c r="H2260">
        <f>IF(report_B_CategorieBoekjaar[[#This Row],[BedrijfsCode]]="002",IF(report_B_CategorieBoekjaar[[#This Row],[Boekjaar]]=Projectbegroting!$K$1,report_B_CategorieBoekjaar[[#This Row],[CategorieCode]],0),0)</f>
        <v>0</v>
      </c>
      <c r="I2260">
        <f>IF(report_B_CategorieBoekjaar[[#This Row],[BedrijfsCode]]="001",IF(report_B_CategorieBoekjaar[[#This Row],[Boekjaar]]=Projectbegroting!$K$1,report_B_CategorieBoekjaar[[#This Row],[CategorieCode]],0),0)</f>
        <v>0</v>
      </c>
    </row>
    <row r="2261" spans="1:9" hidden="1" x14ac:dyDescent="0.3">
      <c r="A2261" t="s">
        <v>525</v>
      </c>
      <c r="B2261" s="20">
        <v>43101</v>
      </c>
      <c r="C2261" t="s">
        <v>183</v>
      </c>
      <c r="D2261" t="s">
        <v>335</v>
      </c>
      <c r="E2261" t="s">
        <v>217</v>
      </c>
      <c r="F2261">
        <v>0</v>
      </c>
      <c r="G2261">
        <v>0</v>
      </c>
      <c r="H2261">
        <f>IF(report_B_CategorieBoekjaar[[#This Row],[BedrijfsCode]]="002",IF(report_B_CategorieBoekjaar[[#This Row],[Boekjaar]]=Projectbegroting!$K$1,report_B_CategorieBoekjaar[[#This Row],[CategorieCode]],0),0)</f>
        <v>0</v>
      </c>
      <c r="I2261">
        <f>IF(report_B_CategorieBoekjaar[[#This Row],[BedrijfsCode]]="001",IF(report_B_CategorieBoekjaar[[#This Row],[Boekjaar]]=Projectbegroting!$K$1,report_B_CategorieBoekjaar[[#This Row],[CategorieCode]],0),0)</f>
        <v>0</v>
      </c>
    </row>
    <row r="2262" spans="1:9" hidden="1" x14ac:dyDescent="0.3">
      <c r="A2262" t="s">
        <v>525</v>
      </c>
      <c r="B2262" s="20">
        <v>43101</v>
      </c>
      <c r="C2262" t="s">
        <v>184</v>
      </c>
      <c r="D2262" t="s">
        <v>336</v>
      </c>
      <c r="E2262" t="s">
        <v>217</v>
      </c>
      <c r="F2262">
        <v>0</v>
      </c>
      <c r="G2262">
        <v>0</v>
      </c>
      <c r="H2262">
        <f>IF(report_B_CategorieBoekjaar[[#This Row],[BedrijfsCode]]="002",IF(report_B_CategorieBoekjaar[[#This Row],[Boekjaar]]=Projectbegroting!$K$1,report_B_CategorieBoekjaar[[#This Row],[CategorieCode]],0),0)</f>
        <v>0</v>
      </c>
      <c r="I2262">
        <f>IF(report_B_CategorieBoekjaar[[#This Row],[BedrijfsCode]]="001",IF(report_B_CategorieBoekjaar[[#This Row],[Boekjaar]]=Projectbegroting!$K$1,report_B_CategorieBoekjaar[[#This Row],[CategorieCode]],0),0)</f>
        <v>0</v>
      </c>
    </row>
    <row r="2263" spans="1:9" hidden="1" x14ac:dyDescent="0.3">
      <c r="A2263" t="s">
        <v>525</v>
      </c>
      <c r="B2263" s="20">
        <v>43101</v>
      </c>
      <c r="C2263" t="s">
        <v>185</v>
      </c>
      <c r="D2263" t="s">
        <v>337</v>
      </c>
      <c r="E2263" t="s">
        <v>217</v>
      </c>
      <c r="F2263">
        <v>0</v>
      </c>
      <c r="G2263">
        <v>0</v>
      </c>
      <c r="H2263">
        <f>IF(report_B_CategorieBoekjaar[[#This Row],[BedrijfsCode]]="002",IF(report_B_CategorieBoekjaar[[#This Row],[Boekjaar]]=Projectbegroting!$K$1,report_B_CategorieBoekjaar[[#This Row],[CategorieCode]],0),0)</f>
        <v>0</v>
      </c>
      <c r="I2263">
        <f>IF(report_B_CategorieBoekjaar[[#This Row],[BedrijfsCode]]="001",IF(report_B_CategorieBoekjaar[[#This Row],[Boekjaar]]=Projectbegroting!$K$1,report_B_CategorieBoekjaar[[#This Row],[CategorieCode]],0),0)</f>
        <v>0</v>
      </c>
    </row>
    <row r="2264" spans="1:9" hidden="1" x14ac:dyDescent="0.3">
      <c r="A2264" t="s">
        <v>525</v>
      </c>
      <c r="B2264" s="20">
        <v>43101</v>
      </c>
      <c r="C2264" t="s">
        <v>186</v>
      </c>
      <c r="D2264" t="s">
        <v>338</v>
      </c>
      <c r="E2264" t="s">
        <v>217</v>
      </c>
      <c r="F2264">
        <v>0</v>
      </c>
      <c r="G2264">
        <v>0</v>
      </c>
      <c r="H2264">
        <f>IF(report_B_CategorieBoekjaar[[#This Row],[BedrijfsCode]]="002",IF(report_B_CategorieBoekjaar[[#This Row],[Boekjaar]]=Projectbegroting!$K$1,report_B_CategorieBoekjaar[[#This Row],[CategorieCode]],0),0)</f>
        <v>0</v>
      </c>
      <c r="I2264">
        <f>IF(report_B_CategorieBoekjaar[[#This Row],[BedrijfsCode]]="001",IF(report_B_CategorieBoekjaar[[#This Row],[Boekjaar]]=Projectbegroting!$K$1,report_B_CategorieBoekjaar[[#This Row],[CategorieCode]],0),0)</f>
        <v>0</v>
      </c>
    </row>
    <row r="2265" spans="1:9" hidden="1" x14ac:dyDescent="0.3">
      <c r="A2265" t="s">
        <v>525</v>
      </c>
      <c r="B2265" s="20">
        <v>43101</v>
      </c>
      <c r="C2265" t="s">
        <v>187</v>
      </c>
      <c r="D2265" t="s">
        <v>339</v>
      </c>
      <c r="E2265" t="s">
        <v>217</v>
      </c>
      <c r="F2265">
        <v>0</v>
      </c>
      <c r="G2265">
        <v>0</v>
      </c>
      <c r="H2265">
        <f>IF(report_B_CategorieBoekjaar[[#This Row],[BedrijfsCode]]="002",IF(report_B_CategorieBoekjaar[[#This Row],[Boekjaar]]=Projectbegroting!$K$1,report_B_CategorieBoekjaar[[#This Row],[CategorieCode]],0),0)</f>
        <v>0</v>
      </c>
      <c r="I2265">
        <f>IF(report_B_CategorieBoekjaar[[#This Row],[BedrijfsCode]]="001",IF(report_B_CategorieBoekjaar[[#This Row],[Boekjaar]]=Projectbegroting!$K$1,report_B_CategorieBoekjaar[[#This Row],[CategorieCode]],0),0)</f>
        <v>0</v>
      </c>
    </row>
    <row r="2266" spans="1:9" hidden="1" x14ac:dyDescent="0.3">
      <c r="A2266" t="s">
        <v>525</v>
      </c>
      <c r="B2266" s="20">
        <v>43101</v>
      </c>
      <c r="C2266" t="s">
        <v>188</v>
      </c>
      <c r="D2266" t="s">
        <v>340</v>
      </c>
      <c r="E2266" t="s">
        <v>217</v>
      </c>
      <c r="F2266">
        <v>0</v>
      </c>
      <c r="G2266">
        <v>0</v>
      </c>
      <c r="H2266">
        <f>IF(report_B_CategorieBoekjaar[[#This Row],[BedrijfsCode]]="002",IF(report_B_CategorieBoekjaar[[#This Row],[Boekjaar]]=Projectbegroting!$K$1,report_B_CategorieBoekjaar[[#This Row],[CategorieCode]],0),0)</f>
        <v>0</v>
      </c>
      <c r="I2266">
        <f>IF(report_B_CategorieBoekjaar[[#This Row],[BedrijfsCode]]="001",IF(report_B_CategorieBoekjaar[[#This Row],[Boekjaar]]=Projectbegroting!$K$1,report_B_CategorieBoekjaar[[#This Row],[CategorieCode]],0),0)</f>
        <v>0</v>
      </c>
    </row>
    <row r="2267" spans="1:9" hidden="1" x14ac:dyDescent="0.3">
      <c r="A2267" t="s">
        <v>525</v>
      </c>
      <c r="B2267" s="20">
        <v>43101</v>
      </c>
      <c r="C2267" t="s">
        <v>189</v>
      </c>
      <c r="D2267" t="s">
        <v>341</v>
      </c>
      <c r="E2267" t="s">
        <v>217</v>
      </c>
      <c r="F2267">
        <v>0</v>
      </c>
      <c r="G2267">
        <v>0</v>
      </c>
      <c r="H2267">
        <f>IF(report_B_CategorieBoekjaar[[#This Row],[BedrijfsCode]]="002",IF(report_B_CategorieBoekjaar[[#This Row],[Boekjaar]]=Projectbegroting!$K$1,report_B_CategorieBoekjaar[[#This Row],[CategorieCode]],0),0)</f>
        <v>0</v>
      </c>
      <c r="I2267">
        <f>IF(report_B_CategorieBoekjaar[[#This Row],[BedrijfsCode]]="001",IF(report_B_CategorieBoekjaar[[#This Row],[Boekjaar]]=Projectbegroting!$K$1,report_B_CategorieBoekjaar[[#This Row],[CategorieCode]],0),0)</f>
        <v>0</v>
      </c>
    </row>
    <row r="2268" spans="1:9" hidden="1" x14ac:dyDescent="0.3">
      <c r="A2268" t="s">
        <v>525</v>
      </c>
      <c r="B2268" s="20">
        <v>43101</v>
      </c>
      <c r="C2268" t="s">
        <v>190</v>
      </c>
      <c r="D2268" t="s">
        <v>342</v>
      </c>
      <c r="E2268" t="s">
        <v>217</v>
      </c>
      <c r="F2268">
        <v>0</v>
      </c>
      <c r="G2268">
        <v>0</v>
      </c>
      <c r="H2268">
        <f>IF(report_B_CategorieBoekjaar[[#This Row],[BedrijfsCode]]="002",IF(report_B_CategorieBoekjaar[[#This Row],[Boekjaar]]=Projectbegroting!$K$1,report_B_CategorieBoekjaar[[#This Row],[CategorieCode]],0),0)</f>
        <v>0</v>
      </c>
      <c r="I2268">
        <f>IF(report_B_CategorieBoekjaar[[#This Row],[BedrijfsCode]]="001",IF(report_B_CategorieBoekjaar[[#This Row],[Boekjaar]]=Projectbegroting!$K$1,report_B_CategorieBoekjaar[[#This Row],[CategorieCode]],0),0)</f>
        <v>0</v>
      </c>
    </row>
    <row r="2269" spans="1:9" hidden="1" x14ac:dyDescent="0.3">
      <c r="A2269" t="s">
        <v>525</v>
      </c>
      <c r="B2269" s="20">
        <v>43101</v>
      </c>
      <c r="C2269" t="s">
        <v>191</v>
      </c>
      <c r="D2269" t="s">
        <v>343</v>
      </c>
      <c r="E2269" t="s">
        <v>217</v>
      </c>
      <c r="F2269">
        <v>0</v>
      </c>
      <c r="G2269">
        <v>0</v>
      </c>
      <c r="H2269">
        <f>IF(report_B_CategorieBoekjaar[[#This Row],[BedrijfsCode]]="002",IF(report_B_CategorieBoekjaar[[#This Row],[Boekjaar]]=Projectbegroting!$K$1,report_B_CategorieBoekjaar[[#This Row],[CategorieCode]],0),0)</f>
        <v>0</v>
      </c>
      <c r="I2269">
        <f>IF(report_B_CategorieBoekjaar[[#This Row],[BedrijfsCode]]="001",IF(report_B_CategorieBoekjaar[[#This Row],[Boekjaar]]=Projectbegroting!$K$1,report_B_CategorieBoekjaar[[#This Row],[CategorieCode]],0),0)</f>
        <v>0</v>
      </c>
    </row>
    <row r="2270" spans="1:9" hidden="1" x14ac:dyDescent="0.3">
      <c r="A2270" t="s">
        <v>525</v>
      </c>
      <c r="B2270" s="20">
        <v>43101</v>
      </c>
      <c r="C2270" t="s">
        <v>192</v>
      </c>
      <c r="D2270" t="s">
        <v>344</v>
      </c>
      <c r="E2270" t="s">
        <v>217</v>
      </c>
      <c r="F2270">
        <v>0</v>
      </c>
      <c r="G2270">
        <v>0</v>
      </c>
      <c r="H2270">
        <f>IF(report_B_CategorieBoekjaar[[#This Row],[BedrijfsCode]]="002",IF(report_B_CategorieBoekjaar[[#This Row],[Boekjaar]]=Projectbegroting!$K$1,report_B_CategorieBoekjaar[[#This Row],[CategorieCode]],0),0)</f>
        <v>0</v>
      </c>
      <c r="I2270">
        <f>IF(report_B_CategorieBoekjaar[[#This Row],[BedrijfsCode]]="001",IF(report_B_CategorieBoekjaar[[#This Row],[Boekjaar]]=Projectbegroting!$K$1,report_B_CategorieBoekjaar[[#This Row],[CategorieCode]],0),0)</f>
        <v>0</v>
      </c>
    </row>
    <row r="2271" spans="1:9" hidden="1" x14ac:dyDescent="0.3">
      <c r="A2271" t="s">
        <v>525</v>
      </c>
      <c r="B2271" s="20">
        <v>43101</v>
      </c>
      <c r="C2271" t="s">
        <v>193</v>
      </c>
      <c r="D2271" t="s">
        <v>345</v>
      </c>
      <c r="E2271" t="s">
        <v>217</v>
      </c>
      <c r="F2271">
        <v>0</v>
      </c>
      <c r="G2271">
        <v>0</v>
      </c>
      <c r="H2271">
        <f>IF(report_B_CategorieBoekjaar[[#This Row],[BedrijfsCode]]="002",IF(report_B_CategorieBoekjaar[[#This Row],[Boekjaar]]=Projectbegroting!$K$1,report_B_CategorieBoekjaar[[#This Row],[CategorieCode]],0),0)</f>
        <v>0</v>
      </c>
      <c r="I2271">
        <f>IF(report_B_CategorieBoekjaar[[#This Row],[BedrijfsCode]]="001",IF(report_B_CategorieBoekjaar[[#This Row],[Boekjaar]]=Projectbegroting!$K$1,report_B_CategorieBoekjaar[[#This Row],[CategorieCode]],0),0)</f>
        <v>0</v>
      </c>
    </row>
    <row r="2272" spans="1:9" hidden="1" x14ac:dyDescent="0.3">
      <c r="A2272" t="s">
        <v>525</v>
      </c>
      <c r="B2272" s="20">
        <v>43101</v>
      </c>
      <c r="C2272" t="s">
        <v>194</v>
      </c>
      <c r="D2272" t="s">
        <v>346</v>
      </c>
      <c r="E2272" t="s">
        <v>217</v>
      </c>
      <c r="F2272">
        <v>0</v>
      </c>
      <c r="G2272">
        <v>0</v>
      </c>
      <c r="H2272">
        <f>IF(report_B_CategorieBoekjaar[[#This Row],[BedrijfsCode]]="002",IF(report_B_CategorieBoekjaar[[#This Row],[Boekjaar]]=Projectbegroting!$K$1,report_B_CategorieBoekjaar[[#This Row],[CategorieCode]],0),0)</f>
        <v>0</v>
      </c>
      <c r="I2272">
        <f>IF(report_B_CategorieBoekjaar[[#This Row],[BedrijfsCode]]="001",IF(report_B_CategorieBoekjaar[[#This Row],[Boekjaar]]=Projectbegroting!$K$1,report_B_CategorieBoekjaar[[#This Row],[CategorieCode]],0),0)</f>
        <v>0</v>
      </c>
    </row>
    <row r="2273" spans="1:9" hidden="1" x14ac:dyDescent="0.3">
      <c r="A2273" t="s">
        <v>525</v>
      </c>
      <c r="B2273" s="20">
        <v>43101</v>
      </c>
      <c r="C2273" t="s">
        <v>195</v>
      </c>
      <c r="D2273" t="s">
        <v>347</v>
      </c>
      <c r="E2273" t="s">
        <v>217</v>
      </c>
      <c r="F2273">
        <v>0</v>
      </c>
      <c r="G2273">
        <v>0</v>
      </c>
      <c r="H2273">
        <f>IF(report_B_CategorieBoekjaar[[#This Row],[BedrijfsCode]]="002",IF(report_B_CategorieBoekjaar[[#This Row],[Boekjaar]]=Projectbegroting!$K$1,report_B_CategorieBoekjaar[[#This Row],[CategorieCode]],0),0)</f>
        <v>0</v>
      </c>
      <c r="I2273">
        <f>IF(report_B_CategorieBoekjaar[[#This Row],[BedrijfsCode]]="001",IF(report_B_CategorieBoekjaar[[#This Row],[Boekjaar]]=Projectbegroting!$K$1,report_B_CategorieBoekjaar[[#This Row],[CategorieCode]],0),0)</f>
        <v>0</v>
      </c>
    </row>
    <row r="2274" spans="1:9" hidden="1" x14ac:dyDescent="0.3">
      <c r="A2274" t="s">
        <v>525</v>
      </c>
      <c r="B2274" s="20">
        <v>43101</v>
      </c>
      <c r="C2274" t="s">
        <v>196</v>
      </c>
      <c r="D2274" t="s">
        <v>348</v>
      </c>
      <c r="E2274" t="s">
        <v>217</v>
      </c>
      <c r="F2274">
        <v>0</v>
      </c>
      <c r="G2274">
        <v>0</v>
      </c>
      <c r="H2274">
        <f>IF(report_B_CategorieBoekjaar[[#This Row],[BedrijfsCode]]="002",IF(report_B_CategorieBoekjaar[[#This Row],[Boekjaar]]=Projectbegroting!$K$1,report_B_CategorieBoekjaar[[#This Row],[CategorieCode]],0),0)</f>
        <v>0</v>
      </c>
      <c r="I2274">
        <f>IF(report_B_CategorieBoekjaar[[#This Row],[BedrijfsCode]]="001",IF(report_B_CategorieBoekjaar[[#This Row],[Boekjaar]]=Projectbegroting!$K$1,report_B_CategorieBoekjaar[[#This Row],[CategorieCode]],0),0)</f>
        <v>0</v>
      </c>
    </row>
    <row r="2275" spans="1:9" hidden="1" x14ac:dyDescent="0.3">
      <c r="A2275" t="s">
        <v>525</v>
      </c>
      <c r="B2275" s="20">
        <v>43101</v>
      </c>
      <c r="C2275" t="s">
        <v>349</v>
      </c>
      <c r="D2275" t="s">
        <v>350</v>
      </c>
      <c r="E2275" t="s">
        <v>217</v>
      </c>
      <c r="F2275">
        <v>0</v>
      </c>
      <c r="G2275">
        <v>0</v>
      </c>
      <c r="H2275">
        <f>IF(report_B_CategorieBoekjaar[[#This Row],[BedrijfsCode]]="002",IF(report_B_CategorieBoekjaar[[#This Row],[Boekjaar]]=Projectbegroting!$K$1,report_B_CategorieBoekjaar[[#This Row],[CategorieCode]],0),0)</f>
        <v>0</v>
      </c>
      <c r="I2275">
        <f>IF(report_B_CategorieBoekjaar[[#This Row],[BedrijfsCode]]="001",IF(report_B_CategorieBoekjaar[[#This Row],[Boekjaar]]=Projectbegroting!$K$1,report_B_CategorieBoekjaar[[#This Row],[CategorieCode]],0),0)</f>
        <v>0</v>
      </c>
    </row>
    <row r="2276" spans="1:9" hidden="1" x14ac:dyDescent="0.3">
      <c r="A2276" t="s">
        <v>525</v>
      </c>
      <c r="B2276" s="20">
        <v>43101</v>
      </c>
      <c r="C2276" t="s">
        <v>197</v>
      </c>
      <c r="D2276" t="s">
        <v>351</v>
      </c>
      <c r="E2276" t="s">
        <v>217</v>
      </c>
      <c r="F2276">
        <v>0</v>
      </c>
      <c r="G2276">
        <v>0</v>
      </c>
      <c r="H2276">
        <f>IF(report_B_CategorieBoekjaar[[#This Row],[BedrijfsCode]]="002",IF(report_B_CategorieBoekjaar[[#This Row],[Boekjaar]]=Projectbegroting!$K$1,report_B_CategorieBoekjaar[[#This Row],[CategorieCode]],0),0)</f>
        <v>0</v>
      </c>
      <c r="I2276">
        <f>IF(report_B_CategorieBoekjaar[[#This Row],[BedrijfsCode]]="001",IF(report_B_CategorieBoekjaar[[#This Row],[Boekjaar]]=Projectbegroting!$K$1,report_B_CategorieBoekjaar[[#This Row],[CategorieCode]],0),0)</f>
        <v>0</v>
      </c>
    </row>
    <row r="2277" spans="1:9" hidden="1" x14ac:dyDescent="0.3">
      <c r="A2277" t="s">
        <v>525</v>
      </c>
      <c r="B2277" s="20">
        <v>43101</v>
      </c>
      <c r="C2277" t="s">
        <v>198</v>
      </c>
      <c r="D2277" t="s">
        <v>352</v>
      </c>
      <c r="E2277" t="s">
        <v>217</v>
      </c>
      <c r="F2277">
        <v>0</v>
      </c>
      <c r="G2277">
        <v>0</v>
      </c>
      <c r="H2277">
        <f>IF(report_B_CategorieBoekjaar[[#This Row],[BedrijfsCode]]="002",IF(report_B_CategorieBoekjaar[[#This Row],[Boekjaar]]=Projectbegroting!$K$1,report_B_CategorieBoekjaar[[#This Row],[CategorieCode]],0),0)</f>
        <v>0</v>
      </c>
      <c r="I2277">
        <f>IF(report_B_CategorieBoekjaar[[#This Row],[BedrijfsCode]]="001",IF(report_B_CategorieBoekjaar[[#This Row],[Boekjaar]]=Projectbegroting!$K$1,report_B_CategorieBoekjaar[[#This Row],[CategorieCode]],0),0)</f>
        <v>0</v>
      </c>
    </row>
    <row r="2278" spans="1:9" hidden="1" x14ac:dyDescent="0.3">
      <c r="A2278" t="s">
        <v>525</v>
      </c>
      <c r="B2278" s="20">
        <v>43101</v>
      </c>
      <c r="C2278" t="s">
        <v>353</v>
      </c>
      <c r="D2278" t="s">
        <v>354</v>
      </c>
      <c r="E2278" t="s">
        <v>217</v>
      </c>
      <c r="F2278">
        <v>0</v>
      </c>
      <c r="G2278">
        <v>0</v>
      </c>
      <c r="H2278">
        <f>IF(report_B_CategorieBoekjaar[[#This Row],[BedrijfsCode]]="002",IF(report_B_CategorieBoekjaar[[#This Row],[Boekjaar]]=Projectbegroting!$K$1,report_B_CategorieBoekjaar[[#This Row],[CategorieCode]],0),0)</f>
        <v>0</v>
      </c>
      <c r="I2278">
        <f>IF(report_B_CategorieBoekjaar[[#This Row],[BedrijfsCode]]="001",IF(report_B_CategorieBoekjaar[[#This Row],[Boekjaar]]=Projectbegroting!$K$1,report_B_CategorieBoekjaar[[#This Row],[CategorieCode]],0),0)</f>
        <v>0</v>
      </c>
    </row>
    <row r="2279" spans="1:9" hidden="1" x14ac:dyDescent="0.3">
      <c r="A2279" t="s">
        <v>525</v>
      </c>
      <c r="B2279" s="20">
        <v>43101</v>
      </c>
      <c r="C2279" t="s">
        <v>199</v>
      </c>
      <c r="D2279" t="s">
        <v>355</v>
      </c>
      <c r="E2279" t="s">
        <v>217</v>
      </c>
      <c r="F2279">
        <v>0</v>
      </c>
      <c r="G2279">
        <v>0</v>
      </c>
      <c r="H2279">
        <f>IF(report_B_CategorieBoekjaar[[#This Row],[BedrijfsCode]]="002",IF(report_B_CategorieBoekjaar[[#This Row],[Boekjaar]]=Projectbegroting!$K$1,report_B_CategorieBoekjaar[[#This Row],[CategorieCode]],0),0)</f>
        <v>0</v>
      </c>
      <c r="I2279">
        <f>IF(report_B_CategorieBoekjaar[[#This Row],[BedrijfsCode]]="001",IF(report_B_CategorieBoekjaar[[#This Row],[Boekjaar]]=Projectbegroting!$K$1,report_B_CategorieBoekjaar[[#This Row],[CategorieCode]],0),0)</f>
        <v>0</v>
      </c>
    </row>
    <row r="2280" spans="1:9" hidden="1" x14ac:dyDescent="0.3">
      <c r="A2280" t="s">
        <v>525</v>
      </c>
      <c r="B2280" s="20">
        <v>43101</v>
      </c>
      <c r="C2280" t="s">
        <v>200</v>
      </c>
      <c r="D2280" t="s">
        <v>356</v>
      </c>
      <c r="E2280" t="s">
        <v>217</v>
      </c>
      <c r="F2280">
        <v>0</v>
      </c>
      <c r="G2280">
        <v>0</v>
      </c>
      <c r="H2280">
        <f>IF(report_B_CategorieBoekjaar[[#This Row],[BedrijfsCode]]="002",IF(report_B_CategorieBoekjaar[[#This Row],[Boekjaar]]=Projectbegroting!$K$1,report_B_CategorieBoekjaar[[#This Row],[CategorieCode]],0),0)</f>
        <v>0</v>
      </c>
      <c r="I2280">
        <f>IF(report_B_CategorieBoekjaar[[#This Row],[BedrijfsCode]]="001",IF(report_B_CategorieBoekjaar[[#This Row],[Boekjaar]]=Projectbegroting!$K$1,report_B_CategorieBoekjaar[[#This Row],[CategorieCode]],0),0)</f>
        <v>0</v>
      </c>
    </row>
    <row r="2281" spans="1:9" hidden="1" x14ac:dyDescent="0.3">
      <c r="A2281" t="s">
        <v>525</v>
      </c>
      <c r="B2281" s="20">
        <v>43101</v>
      </c>
      <c r="C2281" t="s">
        <v>201</v>
      </c>
      <c r="D2281" t="s">
        <v>357</v>
      </c>
      <c r="E2281" t="s">
        <v>217</v>
      </c>
      <c r="F2281">
        <v>0</v>
      </c>
      <c r="G2281">
        <v>0</v>
      </c>
      <c r="H2281">
        <f>IF(report_B_CategorieBoekjaar[[#This Row],[BedrijfsCode]]="002",IF(report_B_CategorieBoekjaar[[#This Row],[Boekjaar]]=Projectbegroting!$K$1,report_B_CategorieBoekjaar[[#This Row],[CategorieCode]],0),0)</f>
        <v>0</v>
      </c>
      <c r="I2281">
        <f>IF(report_B_CategorieBoekjaar[[#This Row],[BedrijfsCode]]="001",IF(report_B_CategorieBoekjaar[[#This Row],[Boekjaar]]=Projectbegroting!$K$1,report_B_CategorieBoekjaar[[#This Row],[CategorieCode]],0),0)</f>
        <v>0</v>
      </c>
    </row>
    <row r="2282" spans="1:9" hidden="1" x14ac:dyDescent="0.3">
      <c r="A2282" t="s">
        <v>525</v>
      </c>
      <c r="B2282" s="20">
        <v>43101</v>
      </c>
      <c r="C2282" t="s">
        <v>202</v>
      </c>
      <c r="D2282" t="s">
        <v>358</v>
      </c>
      <c r="E2282" t="s">
        <v>217</v>
      </c>
      <c r="F2282">
        <v>0</v>
      </c>
      <c r="G2282">
        <v>0</v>
      </c>
      <c r="H2282">
        <f>IF(report_B_CategorieBoekjaar[[#This Row],[BedrijfsCode]]="002",IF(report_B_CategorieBoekjaar[[#This Row],[Boekjaar]]=Projectbegroting!$K$1,report_B_CategorieBoekjaar[[#This Row],[CategorieCode]],0),0)</f>
        <v>0</v>
      </c>
      <c r="I2282">
        <f>IF(report_B_CategorieBoekjaar[[#This Row],[BedrijfsCode]]="001",IF(report_B_CategorieBoekjaar[[#This Row],[Boekjaar]]=Projectbegroting!$K$1,report_B_CategorieBoekjaar[[#This Row],[CategorieCode]],0),0)</f>
        <v>0</v>
      </c>
    </row>
    <row r="2283" spans="1:9" hidden="1" x14ac:dyDescent="0.3">
      <c r="A2283" t="s">
        <v>525</v>
      </c>
      <c r="B2283" s="20">
        <v>43101</v>
      </c>
      <c r="C2283" t="s">
        <v>203</v>
      </c>
      <c r="D2283" t="s">
        <v>359</v>
      </c>
      <c r="E2283" t="s">
        <v>217</v>
      </c>
      <c r="F2283">
        <v>0</v>
      </c>
      <c r="G2283">
        <v>0</v>
      </c>
      <c r="H2283">
        <f>IF(report_B_CategorieBoekjaar[[#This Row],[BedrijfsCode]]="002",IF(report_B_CategorieBoekjaar[[#This Row],[Boekjaar]]=Projectbegroting!$K$1,report_B_CategorieBoekjaar[[#This Row],[CategorieCode]],0),0)</f>
        <v>0</v>
      </c>
      <c r="I2283">
        <f>IF(report_B_CategorieBoekjaar[[#This Row],[BedrijfsCode]]="001",IF(report_B_CategorieBoekjaar[[#This Row],[Boekjaar]]=Projectbegroting!$K$1,report_B_CategorieBoekjaar[[#This Row],[CategorieCode]],0),0)</f>
        <v>0</v>
      </c>
    </row>
    <row r="2284" spans="1:9" hidden="1" x14ac:dyDescent="0.3">
      <c r="A2284" t="s">
        <v>525</v>
      </c>
      <c r="B2284" s="20">
        <v>43101</v>
      </c>
      <c r="C2284" t="s">
        <v>204</v>
      </c>
      <c r="D2284" t="s">
        <v>360</v>
      </c>
      <c r="E2284" t="s">
        <v>217</v>
      </c>
      <c r="F2284">
        <v>0</v>
      </c>
      <c r="G2284">
        <v>0</v>
      </c>
      <c r="H2284">
        <f>IF(report_B_CategorieBoekjaar[[#This Row],[BedrijfsCode]]="002",IF(report_B_CategorieBoekjaar[[#This Row],[Boekjaar]]=Projectbegroting!$K$1,report_B_CategorieBoekjaar[[#This Row],[CategorieCode]],0),0)</f>
        <v>0</v>
      </c>
      <c r="I2284">
        <f>IF(report_B_CategorieBoekjaar[[#This Row],[BedrijfsCode]]="001",IF(report_B_CategorieBoekjaar[[#This Row],[Boekjaar]]=Projectbegroting!$K$1,report_B_CategorieBoekjaar[[#This Row],[CategorieCode]],0),0)</f>
        <v>0</v>
      </c>
    </row>
    <row r="2285" spans="1:9" hidden="1" x14ac:dyDescent="0.3">
      <c r="A2285" t="s">
        <v>525</v>
      </c>
      <c r="B2285" s="20">
        <v>43101</v>
      </c>
      <c r="C2285" t="s">
        <v>205</v>
      </c>
      <c r="D2285" t="s">
        <v>361</v>
      </c>
      <c r="E2285" t="s">
        <v>217</v>
      </c>
      <c r="F2285">
        <v>0</v>
      </c>
      <c r="G2285">
        <v>0</v>
      </c>
      <c r="H2285">
        <f>IF(report_B_CategorieBoekjaar[[#This Row],[BedrijfsCode]]="002",IF(report_B_CategorieBoekjaar[[#This Row],[Boekjaar]]=Projectbegroting!$K$1,report_B_CategorieBoekjaar[[#This Row],[CategorieCode]],0),0)</f>
        <v>0</v>
      </c>
      <c r="I2285">
        <f>IF(report_B_CategorieBoekjaar[[#This Row],[BedrijfsCode]]="001",IF(report_B_CategorieBoekjaar[[#This Row],[Boekjaar]]=Projectbegroting!$K$1,report_B_CategorieBoekjaar[[#This Row],[CategorieCode]],0),0)</f>
        <v>0</v>
      </c>
    </row>
    <row r="2286" spans="1:9" hidden="1" x14ac:dyDescent="0.3">
      <c r="A2286" t="s">
        <v>525</v>
      </c>
      <c r="B2286" s="20">
        <v>43101</v>
      </c>
      <c r="C2286" t="s">
        <v>206</v>
      </c>
      <c r="D2286" t="s">
        <v>362</v>
      </c>
      <c r="E2286" t="s">
        <v>217</v>
      </c>
      <c r="F2286">
        <v>0</v>
      </c>
      <c r="G2286">
        <v>0</v>
      </c>
      <c r="H2286">
        <f>IF(report_B_CategorieBoekjaar[[#This Row],[BedrijfsCode]]="002",IF(report_B_CategorieBoekjaar[[#This Row],[Boekjaar]]=Projectbegroting!$K$1,report_B_CategorieBoekjaar[[#This Row],[CategorieCode]],0),0)</f>
        <v>0</v>
      </c>
      <c r="I2286">
        <f>IF(report_B_CategorieBoekjaar[[#This Row],[BedrijfsCode]]="001",IF(report_B_CategorieBoekjaar[[#This Row],[Boekjaar]]=Projectbegroting!$K$1,report_B_CategorieBoekjaar[[#This Row],[CategorieCode]],0),0)</f>
        <v>0</v>
      </c>
    </row>
    <row r="2287" spans="1:9" hidden="1" x14ac:dyDescent="0.3">
      <c r="A2287" t="s">
        <v>525</v>
      </c>
      <c r="B2287" s="20">
        <v>43101</v>
      </c>
      <c r="C2287" t="s">
        <v>363</v>
      </c>
      <c r="D2287" t="s">
        <v>364</v>
      </c>
      <c r="E2287" t="s">
        <v>217</v>
      </c>
      <c r="F2287">
        <v>0</v>
      </c>
      <c r="G2287">
        <v>0</v>
      </c>
      <c r="H2287">
        <f>IF(report_B_CategorieBoekjaar[[#This Row],[BedrijfsCode]]="002",IF(report_B_CategorieBoekjaar[[#This Row],[Boekjaar]]=Projectbegroting!$K$1,report_B_CategorieBoekjaar[[#This Row],[CategorieCode]],0),0)</f>
        <v>0</v>
      </c>
      <c r="I2287">
        <f>IF(report_B_CategorieBoekjaar[[#This Row],[BedrijfsCode]]="001",IF(report_B_CategorieBoekjaar[[#This Row],[Boekjaar]]=Projectbegroting!$K$1,report_B_CategorieBoekjaar[[#This Row],[CategorieCode]],0),0)</f>
        <v>0</v>
      </c>
    </row>
    <row r="2288" spans="1:9" hidden="1" x14ac:dyDescent="0.3">
      <c r="A2288" t="s">
        <v>525</v>
      </c>
      <c r="B2288" s="20">
        <v>43101</v>
      </c>
      <c r="C2288" t="s">
        <v>207</v>
      </c>
      <c r="D2288" t="s">
        <v>365</v>
      </c>
      <c r="E2288" t="s">
        <v>217</v>
      </c>
      <c r="F2288">
        <v>0</v>
      </c>
      <c r="G2288">
        <v>0</v>
      </c>
      <c r="H2288">
        <f>IF(report_B_CategorieBoekjaar[[#This Row],[BedrijfsCode]]="002",IF(report_B_CategorieBoekjaar[[#This Row],[Boekjaar]]=Projectbegroting!$K$1,report_B_CategorieBoekjaar[[#This Row],[CategorieCode]],0),0)</f>
        <v>0</v>
      </c>
      <c r="I2288">
        <f>IF(report_B_CategorieBoekjaar[[#This Row],[BedrijfsCode]]="001",IF(report_B_CategorieBoekjaar[[#This Row],[Boekjaar]]=Projectbegroting!$K$1,report_B_CategorieBoekjaar[[#This Row],[CategorieCode]],0),0)</f>
        <v>0</v>
      </c>
    </row>
    <row r="2289" spans="1:9" hidden="1" x14ac:dyDescent="0.3">
      <c r="A2289" t="s">
        <v>525</v>
      </c>
      <c r="B2289" s="20">
        <v>43101</v>
      </c>
      <c r="C2289" t="s">
        <v>208</v>
      </c>
      <c r="D2289" t="s">
        <v>366</v>
      </c>
      <c r="E2289" t="s">
        <v>217</v>
      </c>
      <c r="F2289">
        <v>0</v>
      </c>
      <c r="G2289">
        <v>0</v>
      </c>
      <c r="H2289">
        <f>IF(report_B_CategorieBoekjaar[[#This Row],[BedrijfsCode]]="002",IF(report_B_CategorieBoekjaar[[#This Row],[Boekjaar]]=Projectbegroting!$K$1,report_B_CategorieBoekjaar[[#This Row],[CategorieCode]],0),0)</f>
        <v>0</v>
      </c>
      <c r="I2289">
        <f>IF(report_B_CategorieBoekjaar[[#This Row],[BedrijfsCode]]="001",IF(report_B_CategorieBoekjaar[[#This Row],[Boekjaar]]=Projectbegroting!$K$1,report_B_CategorieBoekjaar[[#This Row],[CategorieCode]],0),0)</f>
        <v>0</v>
      </c>
    </row>
    <row r="2290" spans="1:9" hidden="1" x14ac:dyDescent="0.3">
      <c r="A2290" t="s">
        <v>525</v>
      </c>
      <c r="B2290" s="20">
        <v>43101</v>
      </c>
      <c r="C2290" t="s">
        <v>209</v>
      </c>
      <c r="D2290" t="s">
        <v>367</v>
      </c>
      <c r="E2290" t="s">
        <v>217</v>
      </c>
      <c r="F2290">
        <v>0</v>
      </c>
      <c r="G2290">
        <v>0</v>
      </c>
      <c r="H2290">
        <f>IF(report_B_CategorieBoekjaar[[#This Row],[BedrijfsCode]]="002",IF(report_B_CategorieBoekjaar[[#This Row],[Boekjaar]]=Projectbegroting!$K$1,report_B_CategorieBoekjaar[[#This Row],[CategorieCode]],0),0)</f>
        <v>0</v>
      </c>
      <c r="I2290">
        <f>IF(report_B_CategorieBoekjaar[[#This Row],[BedrijfsCode]]="001",IF(report_B_CategorieBoekjaar[[#This Row],[Boekjaar]]=Projectbegroting!$K$1,report_B_CategorieBoekjaar[[#This Row],[CategorieCode]],0),0)</f>
        <v>0</v>
      </c>
    </row>
    <row r="2291" spans="1:9" hidden="1" x14ac:dyDescent="0.3">
      <c r="A2291" t="s">
        <v>525</v>
      </c>
      <c r="B2291" s="20">
        <v>43101</v>
      </c>
      <c r="C2291" t="s">
        <v>210</v>
      </c>
      <c r="D2291" t="s">
        <v>368</v>
      </c>
      <c r="E2291" t="s">
        <v>217</v>
      </c>
      <c r="F2291">
        <v>0</v>
      </c>
      <c r="G2291">
        <v>0</v>
      </c>
      <c r="H2291">
        <f>IF(report_B_CategorieBoekjaar[[#This Row],[BedrijfsCode]]="002",IF(report_B_CategorieBoekjaar[[#This Row],[Boekjaar]]=Projectbegroting!$K$1,report_B_CategorieBoekjaar[[#This Row],[CategorieCode]],0),0)</f>
        <v>0</v>
      </c>
      <c r="I2291">
        <f>IF(report_B_CategorieBoekjaar[[#This Row],[BedrijfsCode]]="001",IF(report_B_CategorieBoekjaar[[#This Row],[Boekjaar]]=Projectbegroting!$K$1,report_B_CategorieBoekjaar[[#This Row],[CategorieCode]],0),0)</f>
        <v>0</v>
      </c>
    </row>
    <row r="2292" spans="1:9" hidden="1" x14ac:dyDescent="0.3">
      <c r="A2292" t="s">
        <v>525</v>
      </c>
      <c r="B2292" s="20">
        <v>43101</v>
      </c>
      <c r="C2292" t="s">
        <v>369</v>
      </c>
      <c r="D2292" t="s">
        <v>370</v>
      </c>
      <c r="E2292" t="s">
        <v>217</v>
      </c>
      <c r="F2292">
        <v>0</v>
      </c>
      <c r="G2292">
        <v>0</v>
      </c>
      <c r="H2292">
        <f>IF(report_B_CategorieBoekjaar[[#This Row],[BedrijfsCode]]="002",IF(report_B_CategorieBoekjaar[[#This Row],[Boekjaar]]=Projectbegroting!$K$1,report_B_CategorieBoekjaar[[#This Row],[CategorieCode]],0),0)</f>
        <v>0</v>
      </c>
      <c r="I2292">
        <f>IF(report_B_CategorieBoekjaar[[#This Row],[BedrijfsCode]]="001",IF(report_B_CategorieBoekjaar[[#This Row],[Boekjaar]]=Projectbegroting!$K$1,report_B_CategorieBoekjaar[[#This Row],[CategorieCode]],0),0)</f>
        <v>0</v>
      </c>
    </row>
    <row r="2293" spans="1:9" hidden="1" x14ac:dyDescent="0.3">
      <c r="A2293" t="s">
        <v>525</v>
      </c>
      <c r="B2293" s="20">
        <v>43101</v>
      </c>
      <c r="C2293" t="s">
        <v>371</v>
      </c>
      <c r="D2293" t="s">
        <v>372</v>
      </c>
      <c r="E2293" t="s">
        <v>217</v>
      </c>
      <c r="F2293">
        <v>0</v>
      </c>
      <c r="G2293">
        <v>0</v>
      </c>
      <c r="H2293">
        <f>IF(report_B_CategorieBoekjaar[[#This Row],[BedrijfsCode]]="002",IF(report_B_CategorieBoekjaar[[#This Row],[Boekjaar]]=Projectbegroting!$K$1,report_B_CategorieBoekjaar[[#This Row],[CategorieCode]],0),0)</f>
        <v>0</v>
      </c>
      <c r="I2293">
        <f>IF(report_B_CategorieBoekjaar[[#This Row],[BedrijfsCode]]="001",IF(report_B_CategorieBoekjaar[[#This Row],[Boekjaar]]=Projectbegroting!$K$1,report_B_CategorieBoekjaar[[#This Row],[CategorieCode]],0),0)</f>
        <v>0</v>
      </c>
    </row>
    <row r="2294" spans="1:9" hidden="1" x14ac:dyDescent="0.3">
      <c r="A2294" t="s">
        <v>525</v>
      </c>
      <c r="B2294" s="20">
        <v>43101</v>
      </c>
      <c r="C2294" t="s">
        <v>373</v>
      </c>
      <c r="D2294" t="s">
        <v>374</v>
      </c>
      <c r="E2294" t="s">
        <v>217</v>
      </c>
      <c r="F2294">
        <v>0</v>
      </c>
      <c r="G2294">
        <v>0</v>
      </c>
      <c r="H2294">
        <f>IF(report_B_CategorieBoekjaar[[#This Row],[BedrijfsCode]]="002",IF(report_B_CategorieBoekjaar[[#This Row],[Boekjaar]]=Projectbegroting!$K$1,report_B_CategorieBoekjaar[[#This Row],[CategorieCode]],0),0)</f>
        <v>0</v>
      </c>
      <c r="I2294">
        <f>IF(report_B_CategorieBoekjaar[[#This Row],[BedrijfsCode]]="001",IF(report_B_CategorieBoekjaar[[#This Row],[Boekjaar]]=Projectbegroting!$K$1,report_B_CategorieBoekjaar[[#This Row],[CategorieCode]],0),0)</f>
        <v>0</v>
      </c>
    </row>
    <row r="2295" spans="1:9" hidden="1" x14ac:dyDescent="0.3">
      <c r="A2295" t="s">
        <v>525</v>
      </c>
      <c r="B2295" s="20">
        <v>43101</v>
      </c>
      <c r="C2295" t="s">
        <v>375</v>
      </c>
      <c r="D2295" t="s">
        <v>376</v>
      </c>
      <c r="E2295" t="s">
        <v>217</v>
      </c>
      <c r="F2295">
        <v>0</v>
      </c>
      <c r="G2295">
        <v>0</v>
      </c>
      <c r="H2295">
        <f>IF(report_B_CategorieBoekjaar[[#This Row],[BedrijfsCode]]="002",IF(report_B_CategorieBoekjaar[[#This Row],[Boekjaar]]=Projectbegroting!$K$1,report_B_CategorieBoekjaar[[#This Row],[CategorieCode]],0),0)</f>
        <v>0</v>
      </c>
      <c r="I2295">
        <f>IF(report_B_CategorieBoekjaar[[#This Row],[BedrijfsCode]]="001",IF(report_B_CategorieBoekjaar[[#This Row],[Boekjaar]]=Projectbegroting!$K$1,report_B_CategorieBoekjaar[[#This Row],[CategorieCode]],0),0)</f>
        <v>0</v>
      </c>
    </row>
    <row r="2296" spans="1:9" hidden="1" x14ac:dyDescent="0.3">
      <c r="A2296" t="s">
        <v>525</v>
      </c>
      <c r="B2296" s="20">
        <v>43101</v>
      </c>
      <c r="C2296" t="s">
        <v>377</v>
      </c>
      <c r="D2296" t="s">
        <v>378</v>
      </c>
      <c r="E2296" t="s">
        <v>217</v>
      </c>
      <c r="F2296">
        <v>0</v>
      </c>
      <c r="G2296">
        <v>0</v>
      </c>
      <c r="H2296">
        <f>IF(report_B_CategorieBoekjaar[[#This Row],[BedrijfsCode]]="002",IF(report_B_CategorieBoekjaar[[#This Row],[Boekjaar]]=Projectbegroting!$K$1,report_B_CategorieBoekjaar[[#This Row],[CategorieCode]],0),0)</f>
        <v>0</v>
      </c>
      <c r="I2296">
        <f>IF(report_B_CategorieBoekjaar[[#This Row],[BedrijfsCode]]="001",IF(report_B_CategorieBoekjaar[[#This Row],[Boekjaar]]=Projectbegroting!$K$1,report_B_CategorieBoekjaar[[#This Row],[CategorieCode]],0),0)</f>
        <v>0</v>
      </c>
    </row>
    <row r="2297" spans="1:9" hidden="1" x14ac:dyDescent="0.3">
      <c r="A2297" t="s">
        <v>525</v>
      </c>
      <c r="B2297" s="20">
        <v>43101</v>
      </c>
      <c r="C2297" t="s">
        <v>379</v>
      </c>
      <c r="D2297" t="s">
        <v>380</v>
      </c>
      <c r="E2297" t="s">
        <v>381</v>
      </c>
      <c r="F2297">
        <v>37</v>
      </c>
      <c r="G2297">
        <v>67</v>
      </c>
      <c r="H2297">
        <f>IF(report_B_CategorieBoekjaar[[#This Row],[BedrijfsCode]]="002",IF(report_B_CategorieBoekjaar[[#This Row],[Boekjaar]]=Projectbegroting!$K$1,report_B_CategorieBoekjaar[[#This Row],[CategorieCode]],0),0)</f>
        <v>0</v>
      </c>
      <c r="I2297">
        <f>IF(report_B_CategorieBoekjaar[[#This Row],[BedrijfsCode]]="001",IF(report_B_CategorieBoekjaar[[#This Row],[Boekjaar]]=Projectbegroting!$K$1,report_B_CategorieBoekjaar[[#This Row],[CategorieCode]],0),0)</f>
        <v>0</v>
      </c>
    </row>
    <row r="2298" spans="1:9" hidden="1" x14ac:dyDescent="0.3">
      <c r="A2298" t="s">
        <v>525</v>
      </c>
      <c r="B2298" s="20">
        <v>43101</v>
      </c>
      <c r="C2298" t="s">
        <v>382</v>
      </c>
      <c r="D2298" t="s">
        <v>383</v>
      </c>
      <c r="E2298" t="s">
        <v>384</v>
      </c>
      <c r="F2298">
        <v>0</v>
      </c>
      <c r="G2298">
        <v>0</v>
      </c>
      <c r="H2298">
        <f>IF(report_B_CategorieBoekjaar[[#This Row],[BedrijfsCode]]="002",IF(report_B_CategorieBoekjaar[[#This Row],[Boekjaar]]=Projectbegroting!$K$1,report_B_CategorieBoekjaar[[#This Row],[CategorieCode]],0),0)</f>
        <v>0</v>
      </c>
      <c r="I2298">
        <f>IF(report_B_CategorieBoekjaar[[#This Row],[BedrijfsCode]]="001",IF(report_B_CategorieBoekjaar[[#This Row],[Boekjaar]]=Projectbegroting!$K$1,report_B_CategorieBoekjaar[[#This Row],[CategorieCode]],0),0)</f>
        <v>0</v>
      </c>
    </row>
    <row r="2299" spans="1:9" hidden="1" x14ac:dyDescent="0.3">
      <c r="A2299" t="s">
        <v>525</v>
      </c>
      <c r="B2299" s="20">
        <v>43101</v>
      </c>
      <c r="C2299" t="s">
        <v>385</v>
      </c>
      <c r="D2299" t="s">
        <v>386</v>
      </c>
      <c r="E2299" t="s">
        <v>381</v>
      </c>
      <c r="F2299">
        <v>60</v>
      </c>
      <c r="G2299">
        <v>93</v>
      </c>
      <c r="H2299">
        <f>IF(report_B_CategorieBoekjaar[[#This Row],[BedrijfsCode]]="002",IF(report_B_CategorieBoekjaar[[#This Row],[Boekjaar]]=Projectbegroting!$K$1,report_B_CategorieBoekjaar[[#This Row],[CategorieCode]],0),0)</f>
        <v>0</v>
      </c>
      <c r="I2299">
        <f>IF(report_B_CategorieBoekjaar[[#This Row],[BedrijfsCode]]="001",IF(report_B_CategorieBoekjaar[[#This Row],[Boekjaar]]=Projectbegroting!$K$1,report_B_CategorieBoekjaar[[#This Row],[CategorieCode]],0),0)</f>
        <v>0</v>
      </c>
    </row>
    <row r="2300" spans="1:9" hidden="1" x14ac:dyDescent="0.3">
      <c r="A2300" t="s">
        <v>525</v>
      </c>
      <c r="B2300" s="20">
        <v>43101</v>
      </c>
      <c r="C2300" t="s">
        <v>387</v>
      </c>
      <c r="D2300" t="s">
        <v>388</v>
      </c>
      <c r="E2300" t="s">
        <v>384</v>
      </c>
      <c r="F2300">
        <v>0</v>
      </c>
      <c r="G2300">
        <v>0</v>
      </c>
      <c r="H2300">
        <f>IF(report_B_CategorieBoekjaar[[#This Row],[BedrijfsCode]]="002",IF(report_B_CategorieBoekjaar[[#This Row],[Boekjaar]]=Projectbegroting!$K$1,report_B_CategorieBoekjaar[[#This Row],[CategorieCode]],0),0)</f>
        <v>0</v>
      </c>
      <c r="I2300">
        <f>IF(report_B_CategorieBoekjaar[[#This Row],[BedrijfsCode]]="001",IF(report_B_CategorieBoekjaar[[#This Row],[Boekjaar]]=Projectbegroting!$K$1,report_B_CategorieBoekjaar[[#This Row],[CategorieCode]],0),0)</f>
        <v>0</v>
      </c>
    </row>
    <row r="2301" spans="1:9" hidden="1" x14ac:dyDescent="0.3">
      <c r="A2301" t="s">
        <v>525</v>
      </c>
      <c r="B2301" s="20">
        <v>43101</v>
      </c>
      <c r="C2301" t="s">
        <v>52</v>
      </c>
      <c r="D2301" t="s">
        <v>53</v>
      </c>
      <c r="E2301" t="s">
        <v>381</v>
      </c>
      <c r="F2301">
        <v>61</v>
      </c>
      <c r="G2301">
        <v>0</v>
      </c>
      <c r="H2301">
        <f>IF(report_B_CategorieBoekjaar[[#This Row],[BedrijfsCode]]="002",IF(report_B_CategorieBoekjaar[[#This Row],[Boekjaar]]=Projectbegroting!$K$1,report_B_CategorieBoekjaar[[#This Row],[CategorieCode]],0),0)</f>
        <v>0</v>
      </c>
      <c r="I2301">
        <f>IF(report_B_CategorieBoekjaar[[#This Row],[BedrijfsCode]]="001",IF(report_B_CategorieBoekjaar[[#This Row],[Boekjaar]]=Projectbegroting!$K$1,report_B_CategorieBoekjaar[[#This Row],[CategorieCode]],0),0)</f>
        <v>0</v>
      </c>
    </row>
    <row r="2302" spans="1:9" hidden="1" x14ac:dyDescent="0.3">
      <c r="A2302" t="s">
        <v>525</v>
      </c>
      <c r="B2302" s="20">
        <v>43101</v>
      </c>
      <c r="C2302" t="s">
        <v>389</v>
      </c>
      <c r="D2302" t="s">
        <v>390</v>
      </c>
      <c r="E2302" t="s">
        <v>384</v>
      </c>
      <c r="F2302">
        <v>0</v>
      </c>
      <c r="G2302">
        <v>0</v>
      </c>
      <c r="H2302">
        <f>IF(report_B_CategorieBoekjaar[[#This Row],[BedrijfsCode]]="002",IF(report_B_CategorieBoekjaar[[#This Row],[Boekjaar]]=Projectbegroting!$K$1,report_B_CategorieBoekjaar[[#This Row],[CategorieCode]],0),0)</f>
        <v>0</v>
      </c>
      <c r="I2302">
        <f>IF(report_B_CategorieBoekjaar[[#This Row],[BedrijfsCode]]="001",IF(report_B_CategorieBoekjaar[[#This Row],[Boekjaar]]=Projectbegroting!$K$1,report_B_CategorieBoekjaar[[#This Row],[CategorieCode]],0),0)</f>
        <v>0</v>
      </c>
    </row>
    <row r="2303" spans="1:9" hidden="1" x14ac:dyDescent="0.3">
      <c r="A2303" t="s">
        <v>525</v>
      </c>
      <c r="B2303" s="20">
        <v>43101</v>
      </c>
      <c r="C2303" t="s">
        <v>391</v>
      </c>
      <c r="D2303" t="s">
        <v>392</v>
      </c>
      <c r="E2303" t="s">
        <v>381</v>
      </c>
      <c r="F2303">
        <v>48</v>
      </c>
      <c r="G2303">
        <v>0</v>
      </c>
      <c r="H2303">
        <f>IF(report_B_CategorieBoekjaar[[#This Row],[BedrijfsCode]]="002",IF(report_B_CategorieBoekjaar[[#This Row],[Boekjaar]]=Projectbegroting!$K$1,report_B_CategorieBoekjaar[[#This Row],[CategorieCode]],0),0)</f>
        <v>0</v>
      </c>
      <c r="I2303">
        <f>IF(report_B_CategorieBoekjaar[[#This Row],[BedrijfsCode]]="001",IF(report_B_CategorieBoekjaar[[#This Row],[Boekjaar]]=Projectbegroting!$K$1,report_B_CategorieBoekjaar[[#This Row],[CategorieCode]],0),0)</f>
        <v>0</v>
      </c>
    </row>
    <row r="2304" spans="1:9" hidden="1" x14ac:dyDescent="0.3">
      <c r="A2304" t="s">
        <v>525</v>
      </c>
      <c r="B2304" s="20">
        <v>43101</v>
      </c>
      <c r="C2304" t="s">
        <v>393</v>
      </c>
      <c r="D2304" t="s">
        <v>394</v>
      </c>
      <c r="E2304" t="s">
        <v>384</v>
      </c>
      <c r="F2304">
        <v>0</v>
      </c>
      <c r="G2304">
        <v>0</v>
      </c>
      <c r="H2304">
        <f>IF(report_B_CategorieBoekjaar[[#This Row],[BedrijfsCode]]="002",IF(report_B_CategorieBoekjaar[[#This Row],[Boekjaar]]=Projectbegroting!$K$1,report_B_CategorieBoekjaar[[#This Row],[CategorieCode]],0),0)</f>
        <v>0</v>
      </c>
      <c r="I2304">
        <f>IF(report_B_CategorieBoekjaar[[#This Row],[BedrijfsCode]]="001",IF(report_B_CategorieBoekjaar[[#This Row],[Boekjaar]]=Projectbegroting!$K$1,report_B_CategorieBoekjaar[[#This Row],[CategorieCode]],0),0)</f>
        <v>0</v>
      </c>
    </row>
    <row r="2305" spans="1:9" hidden="1" x14ac:dyDescent="0.3">
      <c r="A2305" t="s">
        <v>525</v>
      </c>
      <c r="B2305" s="20">
        <v>43101</v>
      </c>
      <c r="C2305" t="s">
        <v>395</v>
      </c>
      <c r="D2305" t="s">
        <v>396</v>
      </c>
      <c r="E2305" t="s">
        <v>381</v>
      </c>
      <c r="F2305">
        <v>54</v>
      </c>
      <c r="G2305">
        <v>0</v>
      </c>
      <c r="H2305">
        <f>IF(report_B_CategorieBoekjaar[[#This Row],[BedrijfsCode]]="002",IF(report_B_CategorieBoekjaar[[#This Row],[Boekjaar]]=Projectbegroting!$K$1,report_B_CategorieBoekjaar[[#This Row],[CategorieCode]],0),0)</f>
        <v>0</v>
      </c>
      <c r="I2305">
        <f>IF(report_B_CategorieBoekjaar[[#This Row],[BedrijfsCode]]="001",IF(report_B_CategorieBoekjaar[[#This Row],[Boekjaar]]=Projectbegroting!$K$1,report_B_CategorieBoekjaar[[#This Row],[CategorieCode]],0),0)</f>
        <v>0</v>
      </c>
    </row>
    <row r="2306" spans="1:9" hidden="1" x14ac:dyDescent="0.3">
      <c r="A2306" t="s">
        <v>525</v>
      </c>
      <c r="B2306" s="20">
        <v>43101</v>
      </c>
      <c r="C2306" t="s">
        <v>397</v>
      </c>
      <c r="D2306" t="s">
        <v>398</v>
      </c>
      <c r="E2306" t="s">
        <v>384</v>
      </c>
      <c r="F2306">
        <v>0</v>
      </c>
      <c r="G2306">
        <v>0</v>
      </c>
      <c r="H2306">
        <f>IF(report_B_CategorieBoekjaar[[#This Row],[BedrijfsCode]]="002",IF(report_B_CategorieBoekjaar[[#This Row],[Boekjaar]]=Projectbegroting!$K$1,report_B_CategorieBoekjaar[[#This Row],[CategorieCode]],0),0)</f>
        <v>0</v>
      </c>
      <c r="I2306">
        <f>IF(report_B_CategorieBoekjaar[[#This Row],[BedrijfsCode]]="001",IF(report_B_CategorieBoekjaar[[#This Row],[Boekjaar]]=Projectbegroting!$K$1,report_B_CategorieBoekjaar[[#This Row],[CategorieCode]],0),0)</f>
        <v>0</v>
      </c>
    </row>
    <row r="2307" spans="1:9" hidden="1" x14ac:dyDescent="0.3">
      <c r="A2307" t="s">
        <v>525</v>
      </c>
      <c r="B2307" s="20">
        <v>43101</v>
      </c>
      <c r="C2307" t="s">
        <v>54</v>
      </c>
      <c r="D2307" t="s">
        <v>399</v>
      </c>
      <c r="E2307" t="s">
        <v>381</v>
      </c>
      <c r="F2307">
        <v>46</v>
      </c>
      <c r="G2307">
        <v>76</v>
      </c>
      <c r="H2307">
        <f>IF(report_B_CategorieBoekjaar[[#This Row],[BedrijfsCode]]="002",IF(report_B_CategorieBoekjaar[[#This Row],[Boekjaar]]=Projectbegroting!$K$1,report_B_CategorieBoekjaar[[#This Row],[CategorieCode]],0),0)</f>
        <v>0</v>
      </c>
      <c r="I2307">
        <f>IF(report_B_CategorieBoekjaar[[#This Row],[BedrijfsCode]]="001",IF(report_B_CategorieBoekjaar[[#This Row],[Boekjaar]]=Projectbegroting!$K$1,report_B_CategorieBoekjaar[[#This Row],[CategorieCode]],0),0)</f>
        <v>0</v>
      </c>
    </row>
    <row r="2308" spans="1:9" hidden="1" x14ac:dyDescent="0.3">
      <c r="A2308" t="s">
        <v>525</v>
      </c>
      <c r="B2308" s="20">
        <v>43101</v>
      </c>
      <c r="C2308" t="s">
        <v>400</v>
      </c>
      <c r="D2308" t="s">
        <v>401</v>
      </c>
      <c r="E2308" t="s">
        <v>384</v>
      </c>
      <c r="F2308">
        <v>0</v>
      </c>
      <c r="G2308">
        <v>0</v>
      </c>
      <c r="H2308">
        <f>IF(report_B_CategorieBoekjaar[[#This Row],[BedrijfsCode]]="002",IF(report_B_CategorieBoekjaar[[#This Row],[Boekjaar]]=Projectbegroting!$K$1,report_B_CategorieBoekjaar[[#This Row],[CategorieCode]],0),0)</f>
        <v>0</v>
      </c>
      <c r="I2308">
        <f>IF(report_B_CategorieBoekjaar[[#This Row],[BedrijfsCode]]="001",IF(report_B_CategorieBoekjaar[[#This Row],[Boekjaar]]=Projectbegroting!$K$1,report_B_CategorieBoekjaar[[#This Row],[CategorieCode]],0),0)</f>
        <v>0</v>
      </c>
    </row>
    <row r="2309" spans="1:9" hidden="1" x14ac:dyDescent="0.3">
      <c r="A2309" t="s">
        <v>525</v>
      </c>
      <c r="B2309" s="20">
        <v>43101</v>
      </c>
      <c r="C2309" t="s">
        <v>56</v>
      </c>
      <c r="D2309" t="s">
        <v>402</v>
      </c>
      <c r="E2309" t="s">
        <v>381</v>
      </c>
      <c r="F2309">
        <v>57</v>
      </c>
      <c r="G2309">
        <v>0</v>
      </c>
      <c r="H2309">
        <f>IF(report_B_CategorieBoekjaar[[#This Row],[BedrijfsCode]]="002",IF(report_B_CategorieBoekjaar[[#This Row],[Boekjaar]]=Projectbegroting!$K$1,report_B_CategorieBoekjaar[[#This Row],[CategorieCode]],0),0)</f>
        <v>0</v>
      </c>
      <c r="I2309">
        <f>IF(report_B_CategorieBoekjaar[[#This Row],[BedrijfsCode]]="001",IF(report_B_CategorieBoekjaar[[#This Row],[Boekjaar]]=Projectbegroting!$K$1,report_B_CategorieBoekjaar[[#This Row],[CategorieCode]],0),0)</f>
        <v>0</v>
      </c>
    </row>
    <row r="2310" spans="1:9" hidden="1" x14ac:dyDescent="0.3">
      <c r="A2310" t="s">
        <v>525</v>
      </c>
      <c r="B2310" s="20">
        <v>43101</v>
      </c>
      <c r="C2310" t="s">
        <v>403</v>
      </c>
      <c r="D2310" t="s">
        <v>404</v>
      </c>
      <c r="E2310" t="s">
        <v>384</v>
      </c>
      <c r="F2310">
        <v>0</v>
      </c>
      <c r="G2310">
        <v>0</v>
      </c>
      <c r="H2310">
        <f>IF(report_B_CategorieBoekjaar[[#This Row],[BedrijfsCode]]="002",IF(report_B_CategorieBoekjaar[[#This Row],[Boekjaar]]=Projectbegroting!$K$1,report_B_CategorieBoekjaar[[#This Row],[CategorieCode]],0),0)</f>
        <v>0</v>
      </c>
      <c r="I2310">
        <f>IF(report_B_CategorieBoekjaar[[#This Row],[BedrijfsCode]]="001",IF(report_B_CategorieBoekjaar[[#This Row],[Boekjaar]]=Projectbegroting!$K$1,report_B_CategorieBoekjaar[[#This Row],[CategorieCode]],0),0)</f>
        <v>0</v>
      </c>
    </row>
    <row r="2311" spans="1:9" hidden="1" x14ac:dyDescent="0.3">
      <c r="A2311" t="s">
        <v>525</v>
      </c>
      <c r="B2311" s="20">
        <v>43101</v>
      </c>
      <c r="C2311" t="s">
        <v>405</v>
      </c>
      <c r="D2311" t="s">
        <v>16</v>
      </c>
      <c r="E2311" t="s">
        <v>381</v>
      </c>
      <c r="F2311">
        <v>52</v>
      </c>
      <c r="G2311">
        <v>0</v>
      </c>
      <c r="H2311">
        <f>IF(report_B_CategorieBoekjaar[[#This Row],[BedrijfsCode]]="002",IF(report_B_CategorieBoekjaar[[#This Row],[Boekjaar]]=Projectbegroting!$K$1,report_B_CategorieBoekjaar[[#This Row],[CategorieCode]],0),0)</f>
        <v>0</v>
      </c>
      <c r="I2311">
        <f>IF(report_B_CategorieBoekjaar[[#This Row],[BedrijfsCode]]="001",IF(report_B_CategorieBoekjaar[[#This Row],[Boekjaar]]=Projectbegroting!$K$1,report_B_CategorieBoekjaar[[#This Row],[CategorieCode]],0),0)</f>
        <v>0</v>
      </c>
    </row>
    <row r="2312" spans="1:9" hidden="1" x14ac:dyDescent="0.3">
      <c r="A2312" t="s">
        <v>525</v>
      </c>
      <c r="B2312" s="20">
        <v>43101</v>
      </c>
      <c r="C2312" t="s">
        <v>58</v>
      </c>
      <c r="D2312" t="s">
        <v>406</v>
      </c>
      <c r="E2312" t="s">
        <v>381</v>
      </c>
      <c r="F2312">
        <v>44</v>
      </c>
      <c r="G2312">
        <v>0</v>
      </c>
      <c r="H2312">
        <f>IF(report_B_CategorieBoekjaar[[#This Row],[BedrijfsCode]]="002",IF(report_B_CategorieBoekjaar[[#This Row],[Boekjaar]]=Projectbegroting!$K$1,report_B_CategorieBoekjaar[[#This Row],[CategorieCode]],0),0)</f>
        <v>0</v>
      </c>
      <c r="I2312">
        <f>IF(report_B_CategorieBoekjaar[[#This Row],[BedrijfsCode]]="001",IF(report_B_CategorieBoekjaar[[#This Row],[Boekjaar]]=Projectbegroting!$K$1,report_B_CategorieBoekjaar[[#This Row],[CategorieCode]],0),0)</f>
        <v>0</v>
      </c>
    </row>
    <row r="2313" spans="1:9" hidden="1" x14ac:dyDescent="0.3">
      <c r="A2313" t="s">
        <v>525</v>
      </c>
      <c r="B2313" s="20">
        <v>43101</v>
      </c>
      <c r="C2313" t="s">
        <v>407</v>
      </c>
      <c r="D2313" t="s">
        <v>408</v>
      </c>
      <c r="E2313" t="s">
        <v>384</v>
      </c>
      <c r="F2313">
        <v>0</v>
      </c>
      <c r="G2313">
        <v>0</v>
      </c>
      <c r="H2313">
        <f>IF(report_B_CategorieBoekjaar[[#This Row],[BedrijfsCode]]="002",IF(report_B_CategorieBoekjaar[[#This Row],[Boekjaar]]=Projectbegroting!$K$1,report_B_CategorieBoekjaar[[#This Row],[CategorieCode]],0),0)</f>
        <v>0</v>
      </c>
      <c r="I2313">
        <f>IF(report_B_CategorieBoekjaar[[#This Row],[BedrijfsCode]]="001",IF(report_B_CategorieBoekjaar[[#This Row],[Boekjaar]]=Projectbegroting!$K$1,report_B_CategorieBoekjaar[[#This Row],[CategorieCode]],0),0)</f>
        <v>0</v>
      </c>
    </row>
    <row r="2314" spans="1:9" hidden="1" x14ac:dyDescent="0.3">
      <c r="A2314" t="s">
        <v>525</v>
      </c>
      <c r="B2314" s="20">
        <v>43101</v>
      </c>
      <c r="C2314" t="s">
        <v>60</v>
      </c>
      <c r="D2314" t="s">
        <v>61</v>
      </c>
      <c r="E2314" t="s">
        <v>381</v>
      </c>
      <c r="F2314">
        <v>59</v>
      </c>
      <c r="G2314">
        <v>89</v>
      </c>
      <c r="H2314">
        <f>IF(report_B_CategorieBoekjaar[[#This Row],[BedrijfsCode]]="002",IF(report_B_CategorieBoekjaar[[#This Row],[Boekjaar]]=Projectbegroting!$K$1,report_B_CategorieBoekjaar[[#This Row],[CategorieCode]],0),0)</f>
        <v>0</v>
      </c>
      <c r="I2314">
        <f>IF(report_B_CategorieBoekjaar[[#This Row],[BedrijfsCode]]="001",IF(report_B_CategorieBoekjaar[[#This Row],[Boekjaar]]=Projectbegroting!$K$1,report_B_CategorieBoekjaar[[#This Row],[CategorieCode]],0),0)</f>
        <v>0</v>
      </c>
    </row>
    <row r="2315" spans="1:9" hidden="1" x14ac:dyDescent="0.3">
      <c r="A2315" t="s">
        <v>525</v>
      </c>
      <c r="B2315" s="20">
        <v>43101</v>
      </c>
      <c r="C2315" t="s">
        <v>168</v>
      </c>
      <c r="D2315" t="s">
        <v>409</v>
      </c>
      <c r="E2315" t="s">
        <v>384</v>
      </c>
      <c r="F2315">
        <v>0</v>
      </c>
      <c r="G2315">
        <v>0</v>
      </c>
      <c r="H2315">
        <f>IF(report_B_CategorieBoekjaar[[#This Row],[BedrijfsCode]]="002",IF(report_B_CategorieBoekjaar[[#This Row],[Boekjaar]]=Projectbegroting!$K$1,report_B_CategorieBoekjaar[[#This Row],[CategorieCode]],0),0)</f>
        <v>0</v>
      </c>
      <c r="I2315">
        <f>IF(report_B_CategorieBoekjaar[[#This Row],[BedrijfsCode]]="001",IF(report_B_CategorieBoekjaar[[#This Row],[Boekjaar]]=Projectbegroting!$K$1,report_B_CategorieBoekjaar[[#This Row],[CategorieCode]],0),0)</f>
        <v>0</v>
      </c>
    </row>
    <row r="2316" spans="1:9" hidden="1" x14ac:dyDescent="0.3">
      <c r="A2316" t="s">
        <v>525</v>
      </c>
      <c r="B2316" s="20">
        <v>43101</v>
      </c>
      <c r="C2316" t="s">
        <v>410</v>
      </c>
      <c r="D2316" t="s">
        <v>411</v>
      </c>
      <c r="E2316" t="s">
        <v>381</v>
      </c>
      <c r="F2316">
        <v>34</v>
      </c>
      <c r="G2316">
        <v>0</v>
      </c>
      <c r="H2316">
        <f>IF(report_B_CategorieBoekjaar[[#This Row],[BedrijfsCode]]="002",IF(report_B_CategorieBoekjaar[[#This Row],[Boekjaar]]=Projectbegroting!$K$1,report_B_CategorieBoekjaar[[#This Row],[CategorieCode]],0),0)</f>
        <v>0</v>
      </c>
      <c r="I2316">
        <f>IF(report_B_CategorieBoekjaar[[#This Row],[BedrijfsCode]]="001",IF(report_B_CategorieBoekjaar[[#This Row],[Boekjaar]]=Projectbegroting!$K$1,report_B_CategorieBoekjaar[[#This Row],[CategorieCode]],0),0)</f>
        <v>0</v>
      </c>
    </row>
    <row r="2317" spans="1:9" hidden="1" x14ac:dyDescent="0.3">
      <c r="A2317" t="s">
        <v>525</v>
      </c>
      <c r="B2317" s="20">
        <v>43101</v>
      </c>
      <c r="C2317" t="s">
        <v>412</v>
      </c>
      <c r="D2317" t="s">
        <v>413</v>
      </c>
      <c r="E2317" t="s">
        <v>381</v>
      </c>
      <c r="F2317">
        <v>34</v>
      </c>
      <c r="G2317">
        <v>87</v>
      </c>
      <c r="H2317">
        <f>IF(report_B_CategorieBoekjaar[[#This Row],[BedrijfsCode]]="002",IF(report_B_CategorieBoekjaar[[#This Row],[Boekjaar]]=Projectbegroting!$K$1,report_B_CategorieBoekjaar[[#This Row],[CategorieCode]],0),0)</f>
        <v>0</v>
      </c>
      <c r="I2317">
        <f>IF(report_B_CategorieBoekjaar[[#This Row],[BedrijfsCode]]="001",IF(report_B_CategorieBoekjaar[[#This Row],[Boekjaar]]=Projectbegroting!$K$1,report_B_CategorieBoekjaar[[#This Row],[CategorieCode]],0),0)</f>
        <v>0</v>
      </c>
    </row>
    <row r="2318" spans="1:9" hidden="1" x14ac:dyDescent="0.3">
      <c r="A2318" t="s">
        <v>525</v>
      </c>
      <c r="B2318" s="20">
        <v>43101</v>
      </c>
      <c r="C2318" t="s">
        <v>414</v>
      </c>
      <c r="D2318" t="s">
        <v>415</v>
      </c>
      <c r="E2318" t="s">
        <v>384</v>
      </c>
      <c r="F2318">
        <v>0</v>
      </c>
      <c r="G2318">
        <v>0</v>
      </c>
      <c r="H2318">
        <f>IF(report_B_CategorieBoekjaar[[#This Row],[BedrijfsCode]]="002",IF(report_B_CategorieBoekjaar[[#This Row],[Boekjaar]]=Projectbegroting!$K$1,report_B_CategorieBoekjaar[[#This Row],[CategorieCode]],0),0)</f>
        <v>0</v>
      </c>
      <c r="I2318">
        <f>IF(report_B_CategorieBoekjaar[[#This Row],[BedrijfsCode]]="001",IF(report_B_CategorieBoekjaar[[#This Row],[Boekjaar]]=Projectbegroting!$K$1,report_B_CategorieBoekjaar[[#This Row],[CategorieCode]],0),0)</f>
        <v>0</v>
      </c>
    </row>
    <row r="2319" spans="1:9" hidden="1" x14ac:dyDescent="0.3">
      <c r="A2319" t="s">
        <v>525</v>
      </c>
      <c r="B2319" s="20">
        <v>43101</v>
      </c>
      <c r="C2319" t="s">
        <v>82</v>
      </c>
      <c r="D2319" t="s">
        <v>416</v>
      </c>
      <c r="E2319" t="s">
        <v>381</v>
      </c>
      <c r="F2319">
        <v>57</v>
      </c>
      <c r="G2319">
        <v>0</v>
      </c>
      <c r="H2319">
        <f>IF(report_B_CategorieBoekjaar[[#This Row],[BedrijfsCode]]="002",IF(report_B_CategorieBoekjaar[[#This Row],[Boekjaar]]=Projectbegroting!$K$1,report_B_CategorieBoekjaar[[#This Row],[CategorieCode]],0),0)</f>
        <v>0</v>
      </c>
      <c r="I2319">
        <f>IF(report_B_CategorieBoekjaar[[#This Row],[BedrijfsCode]]="001",IF(report_B_CategorieBoekjaar[[#This Row],[Boekjaar]]=Projectbegroting!$K$1,report_B_CategorieBoekjaar[[#This Row],[CategorieCode]],0),0)</f>
        <v>0</v>
      </c>
    </row>
    <row r="2320" spans="1:9" hidden="1" x14ac:dyDescent="0.3">
      <c r="A2320" t="s">
        <v>525</v>
      </c>
      <c r="B2320" s="20">
        <v>43101</v>
      </c>
      <c r="C2320" t="s">
        <v>169</v>
      </c>
      <c r="D2320" t="s">
        <v>417</v>
      </c>
      <c r="E2320" t="s">
        <v>384</v>
      </c>
      <c r="F2320">
        <v>0</v>
      </c>
      <c r="G2320">
        <v>0</v>
      </c>
      <c r="H2320">
        <f>IF(report_B_CategorieBoekjaar[[#This Row],[BedrijfsCode]]="002",IF(report_B_CategorieBoekjaar[[#This Row],[Boekjaar]]=Projectbegroting!$K$1,report_B_CategorieBoekjaar[[#This Row],[CategorieCode]],0),0)</f>
        <v>0</v>
      </c>
      <c r="I2320">
        <f>IF(report_B_CategorieBoekjaar[[#This Row],[BedrijfsCode]]="001",IF(report_B_CategorieBoekjaar[[#This Row],[Boekjaar]]=Projectbegroting!$K$1,report_B_CategorieBoekjaar[[#This Row],[CategorieCode]],0),0)</f>
        <v>0</v>
      </c>
    </row>
    <row r="2321" spans="1:9" hidden="1" x14ac:dyDescent="0.3">
      <c r="A2321" t="s">
        <v>525</v>
      </c>
      <c r="B2321" s="20">
        <v>43101</v>
      </c>
      <c r="C2321" t="s">
        <v>418</v>
      </c>
      <c r="D2321" t="s">
        <v>419</v>
      </c>
      <c r="E2321" t="s">
        <v>381</v>
      </c>
      <c r="F2321">
        <v>66</v>
      </c>
      <c r="G2321">
        <v>0</v>
      </c>
      <c r="H2321">
        <f>IF(report_B_CategorieBoekjaar[[#This Row],[BedrijfsCode]]="002",IF(report_B_CategorieBoekjaar[[#This Row],[Boekjaar]]=Projectbegroting!$K$1,report_B_CategorieBoekjaar[[#This Row],[CategorieCode]],0),0)</f>
        <v>0</v>
      </c>
      <c r="I2321">
        <f>IF(report_B_CategorieBoekjaar[[#This Row],[BedrijfsCode]]="001",IF(report_B_CategorieBoekjaar[[#This Row],[Boekjaar]]=Projectbegroting!$K$1,report_B_CategorieBoekjaar[[#This Row],[CategorieCode]],0),0)</f>
        <v>0</v>
      </c>
    </row>
    <row r="2322" spans="1:9" hidden="1" x14ac:dyDescent="0.3">
      <c r="A2322" t="s">
        <v>525</v>
      </c>
      <c r="B2322" s="20">
        <v>43101</v>
      </c>
      <c r="C2322" t="s">
        <v>84</v>
      </c>
      <c r="D2322" t="s">
        <v>420</v>
      </c>
      <c r="E2322" t="s">
        <v>381</v>
      </c>
      <c r="F2322">
        <v>51</v>
      </c>
      <c r="G2322">
        <v>0</v>
      </c>
      <c r="H2322">
        <f>IF(report_B_CategorieBoekjaar[[#This Row],[BedrijfsCode]]="002",IF(report_B_CategorieBoekjaar[[#This Row],[Boekjaar]]=Projectbegroting!$K$1,report_B_CategorieBoekjaar[[#This Row],[CategorieCode]],0),0)</f>
        <v>0</v>
      </c>
      <c r="I2322">
        <f>IF(report_B_CategorieBoekjaar[[#This Row],[BedrijfsCode]]="001",IF(report_B_CategorieBoekjaar[[#This Row],[Boekjaar]]=Projectbegroting!$K$1,report_B_CategorieBoekjaar[[#This Row],[CategorieCode]],0),0)</f>
        <v>0</v>
      </c>
    </row>
    <row r="2323" spans="1:9" hidden="1" x14ac:dyDescent="0.3">
      <c r="A2323" t="s">
        <v>525</v>
      </c>
      <c r="B2323" s="20">
        <v>43101</v>
      </c>
      <c r="C2323" t="s">
        <v>170</v>
      </c>
      <c r="D2323" t="s">
        <v>421</v>
      </c>
      <c r="E2323" t="s">
        <v>384</v>
      </c>
      <c r="F2323">
        <v>0</v>
      </c>
      <c r="G2323">
        <v>0</v>
      </c>
      <c r="H2323">
        <f>IF(report_B_CategorieBoekjaar[[#This Row],[BedrijfsCode]]="002",IF(report_B_CategorieBoekjaar[[#This Row],[Boekjaar]]=Projectbegroting!$K$1,report_B_CategorieBoekjaar[[#This Row],[CategorieCode]],0),0)</f>
        <v>0</v>
      </c>
      <c r="I2323">
        <f>IF(report_B_CategorieBoekjaar[[#This Row],[BedrijfsCode]]="001",IF(report_B_CategorieBoekjaar[[#This Row],[Boekjaar]]=Projectbegroting!$K$1,report_B_CategorieBoekjaar[[#This Row],[CategorieCode]],0),0)</f>
        <v>0</v>
      </c>
    </row>
    <row r="2324" spans="1:9" hidden="1" x14ac:dyDescent="0.3">
      <c r="A2324" t="s">
        <v>525</v>
      </c>
      <c r="B2324" s="20">
        <v>43101</v>
      </c>
      <c r="C2324" t="s">
        <v>96</v>
      </c>
      <c r="D2324" t="s">
        <v>422</v>
      </c>
      <c r="E2324" t="s">
        <v>381</v>
      </c>
      <c r="F2324">
        <v>52</v>
      </c>
      <c r="G2324">
        <v>117</v>
      </c>
      <c r="H2324">
        <f>IF(report_B_CategorieBoekjaar[[#This Row],[BedrijfsCode]]="002",IF(report_B_CategorieBoekjaar[[#This Row],[Boekjaar]]=Projectbegroting!$K$1,report_B_CategorieBoekjaar[[#This Row],[CategorieCode]],0),0)</f>
        <v>0</v>
      </c>
      <c r="I2324">
        <f>IF(report_B_CategorieBoekjaar[[#This Row],[BedrijfsCode]]="001",IF(report_B_CategorieBoekjaar[[#This Row],[Boekjaar]]=Projectbegroting!$K$1,report_B_CategorieBoekjaar[[#This Row],[CategorieCode]],0),0)</f>
        <v>0</v>
      </c>
    </row>
    <row r="2325" spans="1:9" hidden="1" x14ac:dyDescent="0.3">
      <c r="A2325" t="s">
        <v>525</v>
      </c>
      <c r="B2325" s="20">
        <v>43101</v>
      </c>
      <c r="C2325" t="s">
        <v>171</v>
      </c>
      <c r="D2325" t="s">
        <v>423</v>
      </c>
      <c r="E2325" t="s">
        <v>384</v>
      </c>
      <c r="F2325">
        <v>0</v>
      </c>
      <c r="G2325">
        <v>0</v>
      </c>
      <c r="H2325">
        <f>IF(report_B_CategorieBoekjaar[[#This Row],[BedrijfsCode]]="002",IF(report_B_CategorieBoekjaar[[#This Row],[Boekjaar]]=Projectbegroting!$K$1,report_B_CategorieBoekjaar[[#This Row],[CategorieCode]],0),0)</f>
        <v>0</v>
      </c>
      <c r="I2325">
        <f>IF(report_B_CategorieBoekjaar[[#This Row],[BedrijfsCode]]="001",IF(report_B_CategorieBoekjaar[[#This Row],[Boekjaar]]=Projectbegroting!$K$1,report_B_CategorieBoekjaar[[#This Row],[CategorieCode]],0),0)</f>
        <v>0</v>
      </c>
    </row>
    <row r="2326" spans="1:9" hidden="1" x14ac:dyDescent="0.3">
      <c r="A2326" t="s">
        <v>525</v>
      </c>
      <c r="B2326" s="20">
        <v>43101</v>
      </c>
      <c r="C2326" t="s">
        <v>86</v>
      </c>
      <c r="D2326" t="s">
        <v>424</v>
      </c>
      <c r="E2326" t="s">
        <v>381</v>
      </c>
      <c r="F2326">
        <v>44</v>
      </c>
      <c r="G2326">
        <v>109</v>
      </c>
      <c r="H2326">
        <f>IF(report_B_CategorieBoekjaar[[#This Row],[BedrijfsCode]]="002",IF(report_B_CategorieBoekjaar[[#This Row],[Boekjaar]]=Projectbegroting!$K$1,report_B_CategorieBoekjaar[[#This Row],[CategorieCode]],0),0)</f>
        <v>0</v>
      </c>
      <c r="I2326">
        <f>IF(report_B_CategorieBoekjaar[[#This Row],[BedrijfsCode]]="001",IF(report_B_CategorieBoekjaar[[#This Row],[Boekjaar]]=Projectbegroting!$K$1,report_B_CategorieBoekjaar[[#This Row],[CategorieCode]],0),0)</f>
        <v>0</v>
      </c>
    </row>
    <row r="2327" spans="1:9" hidden="1" x14ac:dyDescent="0.3">
      <c r="A2327" t="s">
        <v>525</v>
      </c>
      <c r="B2327" s="20">
        <v>43101</v>
      </c>
      <c r="C2327" t="s">
        <v>172</v>
      </c>
      <c r="D2327" t="s">
        <v>425</v>
      </c>
      <c r="E2327" t="s">
        <v>384</v>
      </c>
      <c r="F2327">
        <v>0</v>
      </c>
      <c r="G2327">
        <v>0</v>
      </c>
      <c r="H2327">
        <f>IF(report_B_CategorieBoekjaar[[#This Row],[BedrijfsCode]]="002",IF(report_B_CategorieBoekjaar[[#This Row],[Boekjaar]]=Projectbegroting!$K$1,report_B_CategorieBoekjaar[[#This Row],[CategorieCode]],0),0)</f>
        <v>0</v>
      </c>
      <c r="I2327">
        <f>IF(report_B_CategorieBoekjaar[[#This Row],[BedrijfsCode]]="001",IF(report_B_CategorieBoekjaar[[#This Row],[Boekjaar]]=Projectbegroting!$K$1,report_B_CategorieBoekjaar[[#This Row],[CategorieCode]],0),0)</f>
        <v>0</v>
      </c>
    </row>
    <row r="2328" spans="1:9" hidden="1" x14ac:dyDescent="0.3">
      <c r="A2328" t="s">
        <v>525</v>
      </c>
      <c r="B2328" s="20">
        <v>43101</v>
      </c>
      <c r="C2328" t="s">
        <v>173</v>
      </c>
      <c r="D2328" t="s">
        <v>427</v>
      </c>
      <c r="E2328" t="s">
        <v>384</v>
      </c>
      <c r="F2328">
        <v>0</v>
      </c>
      <c r="G2328">
        <v>0</v>
      </c>
      <c r="H2328">
        <f>IF(report_B_CategorieBoekjaar[[#This Row],[BedrijfsCode]]="002",IF(report_B_CategorieBoekjaar[[#This Row],[Boekjaar]]=Projectbegroting!$K$1,report_B_CategorieBoekjaar[[#This Row],[CategorieCode]],0),0)</f>
        <v>0</v>
      </c>
      <c r="I2328">
        <f>IF(report_B_CategorieBoekjaar[[#This Row],[BedrijfsCode]]="001",IF(report_B_CategorieBoekjaar[[#This Row],[Boekjaar]]=Projectbegroting!$K$1,report_B_CategorieBoekjaar[[#This Row],[CategorieCode]],0),0)</f>
        <v>0</v>
      </c>
    </row>
    <row r="2329" spans="1:9" hidden="1" x14ac:dyDescent="0.3">
      <c r="A2329" t="s">
        <v>525</v>
      </c>
      <c r="B2329" s="20">
        <v>43101</v>
      </c>
      <c r="C2329" t="s">
        <v>88</v>
      </c>
      <c r="D2329" t="s">
        <v>89</v>
      </c>
      <c r="E2329" t="s">
        <v>381</v>
      </c>
      <c r="F2329">
        <v>62</v>
      </c>
      <c r="G2329">
        <v>127</v>
      </c>
      <c r="H2329">
        <f>IF(report_B_CategorieBoekjaar[[#This Row],[BedrijfsCode]]="002",IF(report_B_CategorieBoekjaar[[#This Row],[Boekjaar]]=Projectbegroting!$K$1,report_B_CategorieBoekjaar[[#This Row],[CategorieCode]],0),0)</f>
        <v>0</v>
      </c>
      <c r="I2329">
        <f>IF(report_B_CategorieBoekjaar[[#This Row],[BedrijfsCode]]="001",IF(report_B_CategorieBoekjaar[[#This Row],[Boekjaar]]=Projectbegroting!$K$1,report_B_CategorieBoekjaar[[#This Row],[CategorieCode]],0),0)</f>
        <v>0</v>
      </c>
    </row>
    <row r="2330" spans="1:9" hidden="1" x14ac:dyDescent="0.3">
      <c r="A2330" t="s">
        <v>525</v>
      </c>
      <c r="B2330" s="20">
        <v>43101</v>
      </c>
      <c r="C2330" t="s">
        <v>174</v>
      </c>
      <c r="D2330" t="s">
        <v>428</v>
      </c>
      <c r="E2330" t="s">
        <v>384</v>
      </c>
      <c r="F2330">
        <v>0</v>
      </c>
      <c r="G2330">
        <v>0</v>
      </c>
      <c r="H2330">
        <f>IF(report_B_CategorieBoekjaar[[#This Row],[BedrijfsCode]]="002",IF(report_B_CategorieBoekjaar[[#This Row],[Boekjaar]]=Projectbegroting!$K$1,report_B_CategorieBoekjaar[[#This Row],[CategorieCode]],0),0)</f>
        <v>0</v>
      </c>
      <c r="I2330">
        <f>IF(report_B_CategorieBoekjaar[[#This Row],[BedrijfsCode]]="001",IF(report_B_CategorieBoekjaar[[#This Row],[Boekjaar]]=Projectbegroting!$K$1,report_B_CategorieBoekjaar[[#This Row],[CategorieCode]],0),0)</f>
        <v>0</v>
      </c>
    </row>
    <row r="2331" spans="1:9" hidden="1" x14ac:dyDescent="0.3">
      <c r="A2331" t="s">
        <v>525</v>
      </c>
      <c r="B2331" s="20">
        <v>43101</v>
      </c>
      <c r="C2331" t="s">
        <v>90</v>
      </c>
      <c r="D2331" t="s">
        <v>91</v>
      </c>
      <c r="E2331" t="s">
        <v>381</v>
      </c>
      <c r="F2331">
        <v>36</v>
      </c>
      <c r="G2331">
        <v>0</v>
      </c>
      <c r="H2331">
        <f>IF(report_B_CategorieBoekjaar[[#This Row],[BedrijfsCode]]="002",IF(report_B_CategorieBoekjaar[[#This Row],[Boekjaar]]=Projectbegroting!$K$1,report_B_CategorieBoekjaar[[#This Row],[CategorieCode]],0),0)</f>
        <v>0</v>
      </c>
      <c r="I2331">
        <f>IF(report_B_CategorieBoekjaar[[#This Row],[BedrijfsCode]]="001",IF(report_B_CategorieBoekjaar[[#This Row],[Boekjaar]]=Projectbegroting!$K$1,report_B_CategorieBoekjaar[[#This Row],[CategorieCode]],0),0)</f>
        <v>0</v>
      </c>
    </row>
    <row r="2332" spans="1:9" hidden="1" x14ac:dyDescent="0.3">
      <c r="A2332" t="s">
        <v>525</v>
      </c>
      <c r="B2332" s="20">
        <v>43101</v>
      </c>
      <c r="C2332" t="s">
        <v>429</v>
      </c>
      <c r="D2332" t="s">
        <v>430</v>
      </c>
      <c r="E2332" t="s">
        <v>384</v>
      </c>
      <c r="F2332">
        <v>0</v>
      </c>
      <c r="G2332">
        <v>0</v>
      </c>
      <c r="H2332">
        <f>IF(report_B_CategorieBoekjaar[[#This Row],[BedrijfsCode]]="002",IF(report_B_CategorieBoekjaar[[#This Row],[Boekjaar]]=Projectbegroting!$K$1,report_B_CategorieBoekjaar[[#This Row],[CategorieCode]],0),0)</f>
        <v>0</v>
      </c>
      <c r="I2332">
        <f>IF(report_B_CategorieBoekjaar[[#This Row],[BedrijfsCode]]="001",IF(report_B_CategorieBoekjaar[[#This Row],[Boekjaar]]=Projectbegroting!$K$1,report_B_CategorieBoekjaar[[#This Row],[CategorieCode]],0),0)</f>
        <v>0</v>
      </c>
    </row>
    <row r="2333" spans="1:9" hidden="1" x14ac:dyDescent="0.3">
      <c r="A2333" t="s">
        <v>525</v>
      </c>
      <c r="B2333" s="20">
        <v>43101</v>
      </c>
      <c r="C2333" t="s">
        <v>431</v>
      </c>
      <c r="D2333" t="s">
        <v>432</v>
      </c>
      <c r="E2333" t="s">
        <v>381</v>
      </c>
      <c r="F2333">
        <v>62</v>
      </c>
      <c r="G2333">
        <v>0</v>
      </c>
      <c r="H2333">
        <f>IF(report_B_CategorieBoekjaar[[#This Row],[BedrijfsCode]]="002",IF(report_B_CategorieBoekjaar[[#This Row],[Boekjaar]]=Projectbegroting!$K$1,report_B_CategorieBoekjaar[[#This Row],[CategorieCode]],0),0)</f>
        <v>0</v>
      </c>
      <c r="I2333">
        <f>IF(report_B_CategorieBoekjaar[[#This Row],[BedrijfsCode]]="001",IF(report_B_CategorieBoekjaar[[#This Row],[Boekjaar]]=Projectbegroting!$K$1,report_B_CategorieBoekjaar[[#This Row],[CategorieCode]],0),0)</f>
        <v>0</v>
      </c>
    </row>
    <row r="2334" spans="1:9" hidden="1" x14ac:dyDescent="0.3">
      <c r="A2334" t="s">
        <v>525</v>
      </c>
      <c r="B2334" s="20">
        <v>43101</v>
      </c>
      <c r="C2334" t="s">
        <v>433</v>
      </c>
      <c r="D2334" t="s">
        <v>434</v>
      </c>
      <c r="E2334" t="s">
        <v>384</v>
      </c>
      <c r="F2334">
        <v>0</v>
      </c>
      <c r="G2334">
        <v>0</v>
      </c>
      <c r="H2334">
        <f>IF(report_B_CategorieBoekjaar[[#This Row],[BedrijfsCode]]="002",IF(report_B_CategorieBoekjaar[[#This Row],[Boekjaar]]=Projectbegroting!$K$1,report_B_CategorieBoekjaar[[#This Row],[CategorieCode]],0),0)</f>
        <v>0</v>
      </c>
      <c r="I2334">
        <f>IF(report_B_CategorieBoekjaar[[#This Row],[BedrijfsCode]]="001",IF(report_B_CategorieBoekjaar[[#This Row],[Boekjaar]]=Projectbegroting!$K$1,report_B_CategorieBoekjaar[[#This Row],[CategorieCode]],0),0)</f>
        <v>0</v>
      </c>
    </row>
    <row r="2335" spans="1:9" hidden="1" x14ac:dyDescent="0.3">
      <c r="A2335" t="s">
        <v>525</v>
      </c>
      <c r="B2335" s="20">
        <v>43101</v>
      </c>
      <c r="C2335" t="s">
        <v>435</v>
      </c>
      <c r="D2335" t="s">
        <v>436</v>
      </c>
      <c r="E2335" t="s">
        <v>381</v>
      </c>
      <c r="F2335">
        <v>47</v>
      </c>
      <c r="G2335">
        <v>100</v>
      </c>
      <c r="H2335">
        <f>IF(report_B_CategorieBoekjaar[[#This Row],[BedrijfsCode]]="002",IF(report_B_CategorieBoekjaar[[#This Row],[Boekjaar]]=Projectbegroting!$K$1,report_B_CategorieBoekjaar[[#This Row],[CategorieCode]],0),0)</f>
        <v>0</v>
      </c>
      <c r="I2335">
        <f>IF(report_B_CategorieBoekjaar[[#This Row],[BedrijfsCode]]="001",IF(report_B_CategorieBoekjaar[[#This Row],[Boekjaar]]=Projectbegroting!$K$1,report_B_CategorieBoekjaar[[#This Row],[CategorieCode]],0),0)</f>
        <v>0</v>
      </c>
    </row>
    <row r="2336" spans="1:9" hidden="1" x14ac:dyDescent="0.3">
      <c r="A2336" t="s">
        <v>525</v>
      </c>
      <c r="B2336" s="20">
        <v>43101</v>
      </c>
      <c r="C2336" t="s">
        <v>437</v>
      </c>
      <c r="D2336" t="s">
        <v>438</v>
      </c>
      <c r="E2336" t="s">
        <v>384</v>
      </c>
      <c r="F2336">
        <v>0</v>
      </c>
      <c r="G2336">
        <v>0</v>
      </c>
      <c r="H2336">
        <f>IF(report_B_CategorieBoekjaar[[#This Row],[BedrijfsCode]]="002",IF(report_B_CategorieBoekjaar[[#This Row],[Boekjaar]]=Projectbegroting!$K$1,report_B_CategorieBoekjaar[[#This Row],[CategorieCode]],0),0)</f>
        <v>0</v>
      </c>
      <c r="I2336">
        <f>IF(report_B_CategorieBoekjaar[[#This Row],[BedrijfsCode]]="001",IF(report_B_CategorieBoekjaar[[#This Row],[Boekjaar]]=Projectbegroting!$K$1,report_B_CategorieBoekjaar[[#This Row],[CategorieCode]],0),0)</f>
        <v>0</v>
      </c>
    </row>
    <row r="2337" spans="1:9" hidden="1" x14ac:dyDescent="0.3">
      <c r="A2337" t="s">
        <v>525</v>
      </c>
      <c r="B2337" s="20">
        <v>43101</v>
      </c>
      <c r="C2337" t="s">
        <v>439</v>
      </c>
      <c r="D2337" t="s">
        <v>440</v>
      </c>
      <c r="E2337" t="s">
        <v>381</v>
      </c>
      <c r="F2337">
        <v>29</v>
      </c>
      <c r="G2337">
        <v>0</v>
      </c>
      <c r="H2337">
        <f>IF(report_B_CategorieBoekjaar[[#This Row],[BedrijfsCode]]="002",IF(report_B_CategorieBoekjaar[[#This Row],[Boekjaar]]=Projectbegroting!$K$1,report_B_CategorieBoekjaar[[#This Row],[CategorieCode]],0),0)</f>
        <v>0</v>
      </c>
      <c r="I2337">
        <f>IF(report_B_CategorieBoekjaar[[#This Row],[BedrijfsCode]]="001",IF(report_B_CategorieBoekjaar[[#This Row],[Boekjaar]]=Projectbegroting!$K$1,report_B_CategorieBoekjaar[[#This Row],[CategorieCode]],0),0)</f>
        <v>0</v>
      </c>
    </row>
    <row r="2338" spans="1:9" hidden="1" x14ac:dyDescent="0.3">
      <c r="A2338" t="s">
        <v>525</v>
      </c>
      <c r="B2338" s="20">
        <v>43101</v>
      </c>
      <c r="C2338" t="s">
        <v>441</v>
      </c>
      <c r="D2338" t="s">
        <v>442</v>
      </c>
      <c r="E2338" t="s">
        <v>381</v>
      </c>
      <c r="F2338">
        <v>46</v>
      </c>
      <c r="G2338">
        <v>76</v>
      </c>
      <c r="H2338">
        <f>IF(report_B_CategorieBoekjaar[[#This Row],[BedrijfsCode]]="002",IF(report_B_CategorieBoekjaar[[#This Row],[Boekjaar]]=Projectbegroting!$K$1,report_B_CategorieBoekjaar[[#This Row],[CategorieCode]],0),0)</f>
        <v>0</v>
      </c>
      <c r="I2338">
        <f>IF(report_B_CategorieBoekjaar[[#This Row],[BedrijfsCode]]="001",IF(report_B_CategorieBoekjaar[[#This Row],[Boekjaar]]=Projectbegroting!$K$1,report_B_CategorieBoekjaar[[#This Row],[CategorieCode]],0),0)</f>
        <v>0</v>
      </c>
    </row>
    <row r="2339" spans="1:9" hidden="1" x14ac:dyDescent="0.3">
      <c r="A2339" t="s">
        <v>525</v>
      </c>
      <c r="B2339" s="20">
        <v>43101</v>
      </c>
      <c r="C2339" t="s">
        <v>443</v>
      </c>
      <c r="D2339" t="s">
        <v>444</v>
      </c>
      <c r="E2339" t="s">
        <v>384</v>
      </c>
      <c r="F2339">
        <v>0</v>
      </c>
      <c r="G2339">
        <v>0</v>
      </c>
      <c r="H2339">
        <f>IF(report_B_CategorieBoekjaar[[#This Row],[BedrijfsCode]]="002",IF(report_B_CategorieBoekjaar[[#This Row],[Boekjaar]]=Projectbegroting!$K$1,report_B_CategorieBoekjaar[[#This Row],[CategorieCode]],0),0)</f>
        <v>0</v>
      </c>
      <c r="I2339">
        <f>IF(report_B_CategorieBoekjaar[[#This Row],[BedrijfsCode]]="001",IF(report_B_CategorieBoekjaar[[#This Row],[Boekjaar]]=Projectbegroting!$K$1,report_B_CategorieBoekjaar[[#This Row],[CategorieCode]],0),0)</f>
        <v>0</v>
      </c>
    </row>
    <row r="2340" spans="1:9" hidden="1" x14ac:dyDescent="0.3">
      <c r="A2340" t="s">
        <v>525</v>
      </c>
      <c r="B2340" s="20">
        <v>43101</v>
      </c>
      <c r="C2340" t="s">
        <v>445</v>
      </c>
      <c r="D2340" t="s">
        <v>446</v>
      </c>
      <c r="E2340" t="s">
        <v>381</v>
      </c>
      <c r="F2340">
        <v>71</v>
      </c>
      <c r="G2340">
        <v>101</v>
      </c>
      <c r="H2340">
        <f>IF(report_B_CategorieBoekjaar[[#This Row],[BedrijfsCode]]="002",IF(report_B_CategorieBoekjaar[[#This Row],[Boekjaar]]=Projectbegroting!$K$1,report_B_CategorieBoekjaar[[#This Row],[CategorieCode]],0),0)</f>
        <v>0</v>
      </c>
      <c r="I2340">
        <f>IF(report_B_CategorieBoekjaar[[#This Row],[BedrijfsCode]]="001",IF(report_B_CategorieBoekjaar[[#This Row],[Boekjaar]]=Projectbegroting!$K$1,report_B_CategorieBoekjaar[[#This Row],[CategorieCode]],0),0)</f>
        <v>0</v>
      </c>
    </row>
    <row r="2341" spans="1:9" hidden="1" x14ac:dyDescent="0.3">
      <c r="A2341" t="s">
        <v>525</v>
      </c>
      <c r="B2341" s="20">
        <v>43101</v>
      </c>
      <c r="C2341" t="s">
        <v>447</v>
      </c>
      <c r="D2341" t="s">
        <v>448</v>
      </c>
      <c r="E2341" t="s">
        <v>384</v>
      </c>
      <c r="F2341">
        <v>0</v>
      </c>
      <c r="G2341">
        <v>0</v>
      </c>
      <c r="H2341">
        <f>IF(report_B_CategorieBoekjaar[[#This Row],[BedrijfsCode]]="002",IF(report_B_CategorieBoekjaar[[#This Row],[Boekjaar]]=Projectbegroting!$K$1,report_B_CategorieBoekjaar[[#This Row],[CategorieCode]],0),0)</f>
        <v>0</v>
      </c>
      <c r="I2341">
        <f>IF(report_B_CategorieBoekjaar[[#This Row],[BedrijfsCode]]="001",IF(report_B_CategorieBoekjaar[[#This Row],[Boekjaar]]=Projectbegroting!$K$1,report_B_CategorieBoekjaar[[#This Row],[CategorieCode]],0),0)</f>
        <v>0</v>
      </c>
    </row>
    <row r="2342" spans="1:9" hidden="1" x14ac:dyDescent="0.3">
      <c r="A2342" t="s">
        <v>525</v>
      </c>
      <c r="B2342" s="20">
        <v>43101</v>
      </c>
      <c r="C2342" t="s">
        <v>449</v>
      </c>
      <c r="D2342" t="s">
        <v>450</v>
      </c>
      <c r="E2342" t="s">
        <v>381</v>
      </c>
      <c r="F2342">
        <v>31</v>
      </c>
      <c r="G2342">
        <v>78</v>
      </c>
      <c r="H2342">
        <f>IF(report_B_CategorieBoekjaar[[#This Row],[BedrijfsCode]]="002",IF(report_B_CategorieBoekjaar[[#This Row],[Boekjaar]]=Projectbegroting!$K$1,report_B_CategorieBoekjaar[[#This Row],[CategorieCode]],0),0)</f>
        <v>0</v>
      </c>
      <c r="I2342">
        <f>IF(report_B_CategorieBoekjaar[[#This Row],[BedrijfsCode]]="001",IF(report_B_CategorieBoekjaar[[#This Row],[Boekjaar]]=Projectbegroting!$K$1,report_B_CategorieBoekjaar[[#This Row],[CategorieCode]],0),0)</f>
        <v>0</v>
      </c>
    </row>
    <row r="2343" spans="1:9" hidden="1" x14ac:dyDescent="0.3">
      <c r="A2343" t="s">
        <v>525</v>
      </c>
      <c r="B2343" s="20">
        <v>43101</v>
      </c>
      <c r="C2343" t="s">
        <v>451</v>
      </c>
      <c r="D2343" t="s">
        <v>452</v>
      </c>
      <c r="E2343" t="s">
        <v>384</v>
      </c>
      <c r="F2343">
        <v>0</v>
      </c>
      <c r="G2343">
        <v>0</v>
      </c>
      <c r="H2343">
        <f>IF(report_B_CategorieBoekjaar[[#This Row],[BedrijfsCode]]="002",IF(report_B_CategorieBoekjaar[[#This Row],[Boekjaar]]=Projectbegroting!$K$1,report_B_CategorieBoekjaar[[#This Row],[CategorieCode]],0),0)</f>
        <v>0</v>
      </c>
      <c r="I2343">
        <f>IF(report_B_CategorieBoekjaar[[#This Row],[BedrijfsCode]]="001",IF(report_B_CategorieBoekjaar[[#This Row],[Boekjaar]]=Projectbegroting!$K$1,report_B_CategorieBoekjaar[[#This Row],[CategorieCode]],0),0)</f>
        <v>0</v>
      </c>
    </row>
    <row r="2344" spans="1:9" hidden="1" x14ac:dyDescent="0.3">
      <c r="A2344" t="s">
        <v>525</v>
      </c>
      <c r="B2344" s="20">
        <v>43101</v>
      </c>
      <c r="C2344" t="s">
        <v>453</v>
      </c>
      <c r="D2344" t="s">
        <v>454</v>
      </c>
      <c r="E2344" t="s">
        <v>381</v>
      </c>
      <c r="F2344">
        <v>53</v>
      </c>
      <c r="G2344">
        <v>0</v>
      </c>
      <c r="H2344">
        <f>IF(report_B_CategorieBoekjaar[[#This Row],[BedrijfsCode]]="002",IF(report_B_CategorieBoekjaar[[#This Row],[Boekjaar]]=Projectbegroting!$K$1,report_B_CategorieBoekjaar[[#This Row],[CategorieCode]],0),0)</f>
        <v>0</v>
      </c>
      <c r="I2344">
        <f>IF(report_B_CategorieBoekjaar[[#This Row],[BedrijfsCode]]="001",IF(report_B_CategorieBoekjaar[[#This Row],[Boekjaar]]=Projectbegroting!$K$1,report_B_CategorieBoekjaar[[#This Row],[CategorieCode]],0),0)</f>
        <v>0</v>
      </c>
    </row>
    <row r="2345" spans="1:9" hidden="1" x14ac:dyDescent="0.3">
      <c r="A2345" t="s">
        <v>525</v>
      </c>
      <c r="B2345" s="20">
        <v>43101</v>
      </c>
      <c r="C2345" t="s">
        <v>455</v>
      </c>
      <c r="D2345" t="s">
        <v>456</v>
      </c>
      <c r="E2345" t="s">
        <v>381</v>
      </c>
      <c r="F2345">
        <v>74</v>
      </c>
      <c r="G2345">
        <v>0</v>
      </c>
      <c r="H2345">
        <f>IF(report_B_CategorieBoekjaar[[#This Row],[BedrijfsCode]]="002",IF(report_B_CategorieBoekjaar[[#This Row],[Boekjaar]]=Projectbegroting!$K$1,report_B_CategorieBoekjaar[[#This Row],[CategorieCode]],0),0)</f>
        <v>0</v>
      </c>
      <c r="I2345">
        <f>IF(report_B_CategorieBoekjaar[[#This Row],[BedrijfsCode]]="001",IF(report_B_CategorieBoekjaar[[#This Row],[Boekjaar]]=Projectbegroting!$K$1,report_B_CategorieBoekjaar[[#This Row],[CategorieCode]],0),0)</f>
        <v>0</v>
      </c>
    </row>
    <row r="2346" spans="1:9" hidden="1" x14ac:dyDescent="0.3">
      <c r="A2346" t="s">
        <v>525</v>
      </c>
      <c r="B2346" s="20">
        <v>43101</v>
      </c>
      <c r="C2346" t="s">
        <v>457</v>
      </c>
      <c r="D2346" t="s">
        <v>458</v>
      </c>
      <c r="E2346" t="s">
        <v>384</v>
      </c>
      <c r="F2346">
        <v>0</v>
      </c>
      <c r="G2346">
        <v>0</v>
      </c>
      <c r="H2346">
        <f>IF(report_B_CategorieBoekjaar[[#This Row],[BedrijfsCode]]="002",IF(report_B_CategorieBoekjaar[[#This Row],[Boekjaar]]=Projectbegroting!$K$1,report_B_CategorieBoekjaar[[#This Row],[CategorieCode]],0),0)</f>
        <v>0</v>
      </c>
      <c r="I2346">
        <f>IF(report_B_CategorieBoekjaar[[#This Row],[BedrijfsCode]]="001",IF(report_B_CategorieBoekjaar[[#This Row],[Boekjaar]]=Projectbegroting!$K$1,report_B_CategorieBoekjaar[[#This Row],[CategorieCode]],0),0)</f>
        <v>0</v>
      </c>
    </row>
    <row r="2347" spans="1:9" hidden="1" x14ac:dyDescent="0.3">
      <c r="A2347" t="s">
        <v>525</v>
      </c>
      <c r="B2347" s="20">
        <v>43101</v>
      </c>
      <c r="C2347" t="s">
        <v>459</v>
      </c>
      <c r="D2347" t="s">
        <v>460</v>
      </c>
      <c r="E2347" t="s">
        <v>381</v>
      </c>
      <c r="F2347">
        <v>88</v>
      </c>
      <c r="G2347">
        <v>0</v>
      </c>
      <c r="H2347">
        <f>IF(report_B_CategorieBoekjaar[[#This Row],[BedrijfsCode]]="002",IF(report_B_CategorieBoekjaar[[#This Row],[Boekjaar]]=Projectbegroting!$K$1,report_B_CategorieBoekjaar[[#This Row],[CategorieCode]],0),0)</f>
        <v>0</v>
      </c>
      <c r="I2347">
        <f>IF(report_B_CategorieBoekjaar[[#This Row],[BedrijfsCode]]="001",IF(report_B_CategorieBoekjaar[[#This Row],[Boekjaar]]=Projectbegroting!$K$1,report_B_CategorieBoekjaar[[#This Row],[CategorieCode]],0),0)</f>
        <v>0</v>
      </c>
    </row>
    <row r="2348" spans="1:9" hidden="1" x14ac:dyDescent="0.3">
      <c r="A2348" t="s">
        <v>525</v>
      </c>
      <c r="B2348" s="20">
        <v>43101</v>
      </c>
      <c r="C2348" t="s">
        <v>461</v>
      </c>
      <c r="D2348" t="s">
        <v>462</v>
      </c>
      <c r="E2348" t="s">
        <v>384</v>
      </c>
      <c r="F2348">
        <v>0</v>
      </c>
      <c r="G2348">
        <v>0</v>
      </c>
      <c r="H2348">
        <f>IF(report_B_CategorieBoekjaar[[#This Row],[BedrijfsCode]]="002",IF(report_B_CategorieBoekjaar[[#This Row],[Boekjaar]]=Projectbegroting!$K$1,report_B_CategorieBoekjaar[[#This Row],[CategorieCode]],0),0)</f>
        <v>0</v>
      </c>
      <c r="I2348">
        <f>IF(report_B_CategorieBoekjaar[[#This Row],[BedrijfsCode]]="001",IF(report_B_CategorieBoekjaar[[#This Row],[Boekjaar]]=Projectbegroting!$K$1,report_B_CategorieBoekjaar[[#This Row],[CategorieCode]],0),0)</f>
        <v>0</v>
      </c>
    </row>
    <row r="2349" spans="1:9" hidden="1" x14ac:dyDescent="0.3">
      <c r="A2349" t="s">
        <v>525</v>
      </c>
      <c r="B2349" s="20">
        <v>43101</v>
      </c>
      <c r="C2349" t="s">
        <v>463</v>
      </c>
      <c r="D2349" t="s">
        <v>464</v>
      </c>
      <c r="E2349" t="s">
        <v>384</v>
      </c>
      <c r="F2349">
        <v>0</v>
      </c>
      <c r="G2349">
        <v>0</v>
      </c>
      <c r="H2349">
        <f>IF(report_B_CategorieBoekjaar[[#This Row],[BedrijfsCode]]="002",IF(report_B_CategorieBoekjaar[[#This Row],[Boekjaar]]=Projectbegroting!$K$1,report_B_CategorieBoekjaar[[#This Row],[CategorieCode]],0),0)</f>
        <v>0</v>
      </c>
      <c r="I2349">
        <f>IF(report_B_CategorieBoekjaar[[#This Row],[BedrijfsCode]]="001",IF(report_B_CategorieBoekjaar[[#This Row],[Boekjaar]]=Projectbegroting!$K$1,report_B_CategorieBoekjaar[[#This Row],[CategorieCode]],0),0)</f>
        <v>0</v>
      </c>
    </row>
    <row r="2350" spans="1:9" hidden="1" x14ac:dyDescent="0.3">
      <c r="A2350" t="s">
        <v>525</v>
      </c>
      <c r="B2350" s="20">
        <v>43101</v>
      </c>
      <c r="C2350" t="s">
        <v>465</v>
      </c>
      <c r="D2350" t="s">
        <v>466</v>
      </c>
      <c r="E2350" t="s">
        <v>381</v>
      </c>
      <c r="F2350">
        <v>32</v>
      </c>
      <c r="G2350">
        <v>85</v>
      </c>
      <c r="H2350">
        <f>IF(report_B_CategorieBoekjaar[[#This Row],[BedrijfsCode]]="002",IF(report_B_CategorieBoekjaar[[#This Row],[Boekjaar]]=Projectbegroting!$K$1,report_B_CategorieBoekjaar[[#This Row],[CategorieCode]],0),0)</f>
        <v>0</v>
      </c>
      <c r="I2350">
        <f>IF(report_B_CategorieBoekjaar[[#This Row],[BedrijfsCode]]="001",IF(report_B_CategorieBoekjaar[[#This Row],[Boekjaar]]=Projectbegroting!$K$1,report_B_CategorieBoekjaar[[#This Row],[CategorieCode]],0),0)</f>
        <v>0</v>
      </c>
    </row>
    <row r="2351" spans="1:9" hidden="1" x14ac:dyDescent="0.3">
      <c r="A2351" t="s">
        <v>525</v>
      </c>
      <c r="B2351" s="20">
        <v>43101</v>
      </c>
      <c r="C2351" t="s">
        <v>467</v>
      </c>
      <c r="D2351" t="s">
        <v>468</v>
      </c>
      <c r="E2351" t="s">
        <v>384</v>
      </c>
      <c r="F2351">
        <v>0</v>
      </c>
      <c r="G2351">
        <v>0</v>
      </c>
      <c r="H2351">
        <f>IF(report_B_CategorieBoekjaar[[#This Row],[BedrijfsCode]]="002",IF(report_B_CategorieBoekjaar[[#This Row],[Boekjaar]]=Projectbegroting!$K$1,report_B_CategorieBoekjaar[[#This Row],[CategorieCode]],0),0)</f>
        <v>0</v>
      </c>
      <c r="I2351">
        <f>IF(report_B_CategorieBoekjaar[[#This Row],[BedrijfsCode]]="001",IF(report_B_CategorieBoekjaar[[#This Row],[Boekjaar]]=Projectbegroting!$K$1,report_B_CategorieBoekjaar[[#This Row],[CategorieCode]],0),0)</f>
        <v>0</v>
      </c>
    </row>
    <row r="2352" spans="1:9" hidden="1" x14ac:dyDescent="0.3">
      <c r="A2352" t="s">
        <v>525</v>
      </c>
      <c r="B2352" s="20">
        <v>43101</v>
      </c>
      <c r="C2352" t="s">
        <v>469</v>
      </c>
      <c r="D2352" t="s">
        <v>470</v>
      </c>
      <c r="E2352" t="s">
        <v>381</v>
      </c>
      <c r="F2352">
        <v>37</v>
      </c>
      <c r="G2352">
        <v>0</v>
      </c>
      <c r="H2352">
        <f>IF(report_B_CategorieBoekjaar[[#This Row],[BedrijfsCode]]="002",IF(report_B_CategorieBoekjaar[[#This Row],[Boekjaar]]=Projectbegroting!$K$1,report_B_CategorieBoekjaar[[#This Row],[CategorieCode]],0),0)</f>
        <v>0</v>
      </c>
      <c r="I2352">
        <f>IF(report_B_CategorieBoekjaar[[#This Row],[BedrijfsCode]]="001",IF(report_B_CategorieBoekjaar[[#This Row],[Boekjaar]]=Projectbegroting!$K$1,report_B_CategorieBoekjaar[[#This Row],[CategorieCode]],0),0)</f>
        <v>0</v>
      </c>
    </row>
    <row r="2353" spans="1:9" hidden="1" x14ac:dyDescent="0.3">
      <c r="A2353" t="s">
        <v>525</v>
      </c>
      <c r="B2353" s="20">
        <v>43101</v>
      </c>
      <c r="C2353" t="s">
        <v>471</v>
      </c>
      <c r="D2353" t="s">
        <v>472</v>
      </c>
      <c r="E2353" t="s">
        <v>384</v>
      </c>
      <c r="F2353">
        <v>0</v>
      </c>
      <c r="G2353">
        <v>0</v>
      </c>
      <c r="H2353">
        <f>IF(report_B_CategorieBoekjaar[[#This Row],[BedrijfsCode]]="002",IF(report_B_CategorieBoekjaar[[#This Row],[Boekjaar]]=Projectbegroting!$K$1,report_B_CategorieBoekjaar[[#This Row],[CategorieCode]],0),0)</f>
        <v>0</v>
      </c>
      <c r="I2353">
        <f>IF(report_B_CategorieBoekjaar[[#This Row],[BedrijfsCode]]="001",IF(report_B_CategorieBoekjaar[[#This Row],[Boekjaar]]=Projectbegroting!$K$1,report_B_CategorieBoekjaar[[#This Row],[CategorieCode]],0),0)</f>
        <v>0</v>
      </c>
    </row>
    <row r="2354" spans="1:9" hidden="1" x14ac:dyDescent="0.3">
      <c r="A2354" t="s">
        <v>525</v>
      </c>
      <c r="B2354" s="20">
        <v>43101</v>
      </c>
      <c r="C2354" t="s">
        <v>62</v>
      </c>
      <c r="D2354" t="s">
        <v>473</v>
      </c>
      <c r="E2354" t="s">
        <v>381</v>
      </c>
      <c r="F2354">
        <v>39</v>
      </c>
      <c r="G2354">
        <v>0</v>
      </c>
      <c r="H2354">
        <f>IF(report_B_CategorieBoekjaar[[#This Row],[BedrijfsCode]]="002",IF(report_B_CategorieBoekjaar[[#This Row],[Boekjaar]]=Projectbegroting!$K$1,report_B_CategorieBoekjaar[[#This Row],[CategorieCode]],0),0)</f>
        <v>0</v>
      </c>
      <c r="I2354">
        <f>IF(report_B_CategorieBoekjaar[[#This Row],[BedrijfsCode]]="001",IF(report_B_CategorieBoekjaar[[#This Row],[Boekjaar]]=Projectbegroting!$K$1,report_B_CategorieBoekjaar[[#This Row],[CategorieCode]],0),0)</f>
        <v>0</v>
      </c>
    </row>
    <row r="2355" spans="1:9" hidden="1" x14ac:dyDescent="0.3">
      <c r="A2355" t="s">
        <v>525</v>
      </c>
      <c r="B2355" s="20">
        <v>43101</v>
      </c>
      <c r="C2355" t="s">
        <v>474</v>
      </c>
      <c r="D2355" t="s">
        <v>475</v>
      </c>
      <c r="E2355" t="s">
        <v>384</v>
      </c>
      <c r="F2355">
        <v>0</v>
      </c>
      <c r="G2355">
        <v>0</v>
      </c>
      <c r="H2355">
        <f>IF(report_B_CategorieBoekjaar[[#This Row],[BedrijfsCode]]="002",IF(report_B_CategorieBoekjaar[[#This Row],[Boekjaar]]=Projectbegroting!$K$1,report_B_CategorieBoekjaar[[#This Row],[CategorieCode]],0),0)</f>
        <v>0</v>
      </c>
      <c r="I2355">
        <f>IF(report_B_CategorieBoekjaar[[#This Row],[BedrijfsCode]]="001",IF(report_B_CategorieBoekjaar[[#This Row],[Boekjaar]]=Projectbegroting!$K$1,report_B_CategorieBoekjaar[[#This Row],[CategorieCode]],0),0)</f>
        <v>0</v>
      </c>
    </row>
    <row r="2356" spans="1:9" hidden="1" x14ac:dyDescent="0.3">
      <c r="A2356" t="s">
        <v>525</v>
      </c>
      <c r="B2356" s="20">
        <v>43101</v>
      </c>
      <c r="C2356" t="s">
        <v>64</v>
      </c>
      <c r="D2356" t="s">
        <v>476</v>
      </c>
      <c r="E2356" t="s">
        <v>381</v>
      </c>
      <c r="F2356">
        <v>37</v>
      </c>
      <c r="G2356">
        <v>90</v>
      </c>
      <c r="H2356">
        <f>IF(report_B_CategorieBoekjaar[[#This Row],[BedrijfsCode]]="002",IF(report_B_CategorieBoekjaar[[#This Row],[Boekjaar]]=Projectbegroting!$K$1,report_B_CategorieBoekjaar[[#This Row],[CategorieCode]],0),0)</f>
        <v>0</v>
      </c>
      <c r="I2356">
        <f>IF(report_B_CategorieBoekjaar[[#This Row],[BedrijfsCode]]="001",IF(report_B_CategorieBoekjaar[[#This Row],[Boekjaar]]=Projectbegroting!$K$1,report_B_CategorieBoekjaar[[#This Row],[CategorieCode]],0),0)</f>
        <v>0</v>
      </c>
    </row>
    <row r="2357" spans="1:9" hidden="1" x14ac:dyDescent="0.3">
      <c r="A2357" t="s">
        <v>525</v>
      </c>
      <c r="B2357" s="20">
        <v>43101</v>
      </c>
      <c r="C2357" t="s">
        <v>477</v>
      </c>
      <c r="D2357" t="s">
        <v>478</v>
      </c>
      <c r="E2357" t="s">
        <v>384</v>
      </c>
      <c r="F2357">
        <v>0</v>
      </c>
      <c r="G2357">
        <v>0</v>
      </c>
      <c r="H2357">
        <f>IF(report_B_CategorieBoekjaar[[#This Row],[BedrijfsCode]]="002",IF(report_B_CategorieBoekjaar[[#This Row],[Boekjaar]]=Projectbegroting!$K$1,report_B_CategorieBoekjaar[[#This Row],[CategorieCode]],0),0)</f>
        <v>0</v>
      </c>
      <c r="I2357">
        <f>IF(report_B_CategorieBoekjaar[[#This Row],[BedrijfsCode]]="001",IF(report_B_CategorieBoekjaar[[#This Row],[Boekjaar]]=Projectbegroting!$K$1,report_B_CategorieBoekjaar[[#This Row],[CategorieCode]],0),0)</f>
        <v>0</v>
      </c>
    </row>
    <row r="2358" spans="1:9" hidden="1" x14ac:dyDescent="0.3">
      <c r="A2358" t="s">
        <v>525</v>
      </c>
      <c r="B2358" s="20">
        <v>43101</v>
      </c>
      <c r="C2358" t="s">
        <v>80</v>
      </c>
      <c r="D2358" t="s">
        <v>81</v>
      </c>
      <c r="E2358" t="s">
        <v>381</v>
      </c>
      <c r="F2358">
        <v>66</v>
      </c>
      <c r="G2358">
        <v>0</v>
      </c>
      <c r="H2358">
        <f>IF(report_B_CategorieBoekjaar[[#This Row],[BedrijfsCode]]="002",IF(report_B_CategorieBoekjaar[[#This Row],[Boekjaar]]=Projectbegroting!$K$1,report_B_CategorieBoekjaar[[#This Row],[CategorieCode]],0),0)</f>
        <v>0</v>
      </c>
      <c r="I2358">
        <f>IF(report_B_CategorieBoekjaar[[#This Row],[BedrijfsCode]]="001",IF(report_B_CategorieBoekjaar[[#This Row],[Boekjaar]]=Projectbegroting!$K$1,report_B_CategorieBoekjaar[[#This Row],[CategorieCode]],0),0)</f>
        <v>0</v>
      </c>
    </row>
    <row r="2359" spans="1:9" hidden="1" x14ac:dyDescent="0.3">
      <c r="A2359" t="s">
        <v>525</v>
      </c>
      <c r="B2359" s="20">
        <v>43101</v>
      </c>
      <c r="C2359" t="s">
        <v>479</v>
      </c>
      <c r="D2359" t="s">
        <v>480</v>
      </c>
      <c r="E2359" t="s">
        <v>384</v>
      </c>
      <c r="F2359">
        <v>0</v>
      </c>
      <c r="G2359">
        <v>0</v>
      </c>
      <c r="H2359">
        <f>IF(report_B_CategorieBoekjaar[[#This Row],[BedrijfsCode]]="002",IF(report_B_CategorieBoekjaar[[#This Row],[Boekjaar]]=Projectbegroting!$K$1,report_B_CategorieBoekjaar[[#This Row],[CategorieCode]],0),0)</f>
        <v>0</v>
      </c>
      <c r="I2359">
        <f>IF(report_B_CategorieBoekjaar[[#This Row],[BedrijfsCode]]="001",IF(report_B_CategorieBoekjaar[[#This Row],[Boekjaar]]=Projectbegroting!$K$1,report_B_CategorieBoekjaar[[#This Row],[CategorieCode]],0),0)</f>
        <v>0</v>
      </c>
    </row>
    <row r="2360" spans="1:9" hidden="1" x14ac:dyDescent="0.3">
      <c r="A2360" t="s">
        <v>525</v>
      </c>
      <c r="B2360" s="20">
        <v>43101</v>
      </c>
      <c r="C2360" t="s">
        <v>481</v>
      </c>
      <c r="D2360" t="s">
        <v>482</v>
      </c>
      <c r="E2360" t="s">
        <v>384</v>
      </c>
      <c r="F2360">
        <v>0</v>
      </c>
      <c r="G2360">
        <v>0</v>
      </c>
      <c r="H2360">
        <f>IF(report_B_CategorieBoekjaar[[#This Row],[BedrijfsCode]]="002",IF(report_B_CategorieBoekjaar[[#This Row],[Boekjaar]]=Projectbegroting!$K$1,report_B_CategorieBoekjaar[[#This Row],[CategorieCode]],0),0)</f>
        <v>0</v>
      </c>
      <c r="I2360">
        <f>IF(report_B_CategorieBoekjaar[[#This Row],[BedrijfsCode]]="001",IF(report_B_CategorieBoekjaar[[#This Row],[Boekjaar]]=Projectbegroting!$K$1,report_B_CategorieBoekjaar[[#This Row],[CategorieCode]],0),0)</f>
        <v>0</v>
      </c>
    </row>
    <row r="2361" spans="1:9" hidden="1" x14ac:dyDescent="0.3">
      <c r="A2361" t="s">
        <v>525</v>
      </c>
      <c r="B2361" s="20">
        <v>43101</v>
      </c>
      <c r="C2361" t="s">
        <v>98</v>
      </c>
      <c r="D2361" t="s">
        <v>99</v>
      </c>
      <c r="E2361" t="s">
        <v>381</v>
      </c>
      <c r="F2361">
        <v>61</v>
      </c>
      <c r="G2361">
        <v>0</v>
      </c>
      <c r="H2361">
        <f>IF(report_B_CategorieBoekjaar[[#This Row],[BedrijfsCode]]="002",IF(report_B_CategorieBoekjaar[[#This Row],[Boekjaar]]=Projectbegroting!$K$1,report_B_CategorieBoekjaar[[#This Row],[CategorieCode]],0),0)</f>
        <v>0</v>
      </c>
      <c r="I2361">
        <f>IF(report_B_CategorieBoekjaar[[#This Row],[BedrijfsCode]]="001",IF(report_B_CategorieBoekjaar[[#This Row],[Boekjaar]]=Projectbegroting!$K$1,report_B_CategorieBoekjaar[[#This Row],[CategorieCode]],0),0)</f>
        <v>0</v>
      </c>
    </row>
    <row r="2362" spans="1:9" hidden="1" x14ac:dyDescent="0.3">
      <c r="A2362" t="s">
        <v>525</v>
      </c>
      <c r="B2362" s="20">
        <v>43101</v>
      </c>
      <c r="C2362" t="s">
        <v>485</v>
      </c>
      <c r="D2362" t="s">
        <v>486</v>
      </c>
      <c r="E2362" t="s">
        <v>384</v>
      </c>
      <c r="F2362">
        <v>0</v>
      </c>
      <c r="G2362">
        <v>0</v>
      </c>
      <c r="H2362">
        <f>IF(report_B_CategorieBoekjaar[[#This Row],[BedrijfsCode]]="002",IF(report_B_CategorieBoekjaar[[#This Row],[Boekjaar]]=Projectbegroting!$K$1,report_B_CategorieBoekjaar[[#This Row],[CategorieCode]],0),0)</f>
        <v>0</v>
      </c>
      <c r="I2362">
        <f>IF(report_B_CategorieBoekjaar[[#This Row],[BedrijfsCode]]="001",IF(report_B_CategorieBoekjaar[[#This Row],[Boekjaar]]=Projectbegroting!$K$1,report_B_CategorieBoekjaar[[#This Row],[CategorieCode]],0),0)</f>
        <v>0</v>
      </c>
    </row>
    <row r="2363" spans="1:9" hidden="1" x14ac:dyDescent="0.3">
      <c r="A2363" t="s">
        <v>525</v>
      </c>
      <c r="B2363" s="20">
        <v>43101</v>
      </c>
      <c r="C2363" t="s">
        <v>175</v>
      </c>
      <c r="D2363" t="s">
        <v>487</v>
      </c>
      <c r="E2363" t="s">
        <v>384</v>
      </c>
      <c r="F2363">
        <v>0</v>
      </c>
      <c r="G2363">
        <v>0</v>
      </c>
      <c r="H2363">
        <f>IF(report_B_CategorieBoekjaar[[#This Row],[BedrijfsCode]]="002",IF(report_B_CategorieBoekjaar[[#This Row],[Boekjaar]]=Projectbegroting!$K$1,report_B_CategorieBoekjaar[[#This Row],[CategorieCode]],0),0)</f>
        <v>0</v>
      </c>
      <c r="I2363">
        <f>IF(report_B_CategorieBoekjaar[[#This Row],[BedrijfsCode]]="001",IF(report_B_CategorieBoekjaar[[#This Row],[Boekjaar]]=Projectbegroting!$K$1,report_B_CategorieBoekjaar[[#This Row],[CategorieCode]],0),0)</f>
        <v>0</v>
      </c>
    </row>
    <row r="2364" spans="1:9" hidden="1" x14ac:dyDescent="0.3">
      <c r="A2364" t="s">
        <v>525</v>
      </c>
      <c r="B2364" s="20">
        <v>43101</v>
      </c>
      <c r="C2364" t="s">
        <v>488</v>
      </c>
      <c r="D2364" t="s">
        <v>489</v>
      </c>
      <c r="E2364" t="s">
        <v>381</v>
      </c>
      <c r="F2364">
        <v>62</v>
      </c>
      <c r="G2364">
        <v>0</v>
      </c>
      <c r="H2364">
        <f>IF(report_B_CategorieBoekjaar[[#This Row],[BedrijfsCode]]="002",IF(report_B_CategorieBoekjaar[[#This Row],[Boekjaar]]=Projectbegroting!$K$1,report_B_CategorieBoekjaar[[#This Row],[CategorieCode]],0),0)</f>
        <v>0</v>
      </c>
      <c r="I2364">
        <f>IF(report_B_CategorieBoekjaar[[#This Row],[BedrijfsCode]]="001",IF(report_B_CategorieBoekjaar[[#This Row],[Boekjaar]]=Projectbegroting!$K$1,report_B_CategorieBoekjaar[[#This Row],[CategorieCode]],0),0)</f>
        <v>0</v>
      </c>
    </row>
    <row r="2365" spans="1:9" hidden="1" x14ac:dyDescent="0.3">
      <c r="A2365" t="s">
        <v>525</v>
      </c>
      <c r="B2365" s="20">
        <v>43101</v>
      </c>
      <c r="C2365" t="s">
        <v>490</v>
      </c>
      <c r="D2365" t="s">
        <v>491</v>
      </c>
      <c r="E2365" t="s">
        <v>384</v>
      </c>
      <c r="F2365">
        <v>0</v>
      </c>
      <c r="G2365">
        <v>0</v>
      </c>
      <c r="H2365">
        <f>IF(report_B_CategorieBoekjaar[[#This Row],[BedrijfsCode]]="002",IF(report_B_CategorieBoekjaar[[#This Row],[Boekjaar]]=Projectbegroting!$K$1,report_B_CategorieBoekjaar[[#This Row],[CategorieCode]],0),0)</f>
        <v>0</v>
      </c>
      <c r="I2365">
        <f>IF(report_B_CategorieBoekjaar[[#This Row],[BedrijfsCode]]="001",IF(report_B_CategorieBoekjaar[[#This Row],[Boekjaar]]=Projectbegroting!$K$1,report_B_CategorieBoekjaar[[#This Row],[CategorieCode]],0),0)</f>
        <v>0</v>
      </c>
    </row>
    <row r="2366" spans="1:9" hidden="1" x14ac:dyDescent="0.3">
      <c r="A2366" t="s">
        <v>525</v>
      </c>
      <c r="B2366" s="20">
        <v>43101</v>
      </c>
      <c r="C2366" t="s">
        <v>68</v>
      </c>
      <c r="D2366" t="s">
        <v>492</v>
      </c>
      <c r="E2366" t="s">
        <v>381</v>
      </c>
      <c r="F2366">
        <v>42</v>
      </c>
      <c r="G2366">
        <v>72</v>
      </c>
      <c r="H2366">
        <f>IF(report_B_CategorieBoekjaar[[#This Row],[BedrijfsCode]]="002",IF(report_B_CategorieBoekjaar[[#This Row],[Boekjaar]]=Projectbegroting!$K$1,report_B_CategorieBoekjaar[[#This Row],[CategorieCode]],0),0)</f>
        <v>0</v>
      </c>
      <c r="I2366">
        <f>IF(report_B_CategorieBoekjaar[[#This Row],[BedrijfsCode]]="001",IF(report_B_CategorieBoekjaar[[#This Row],[Boekjaar]]=Projectbegroting!$K$1,report_B_CategorieBoekjaar[[#This Row],[CategorieCode]],0),0)</f>
        <v>0</v>
      </c>
    </row>
    <row r="2367" spans="1:9" hidden="1" x14ac:dyDescent="0.3">
      <c r="A2367" t="s">
        <v>525</v>
      </c>
      <c r="B2367" s="20">
        <v>43101</v>
      </c>
      <c r="C2367" t="s">
        <v>177</v>
      </c>
      <c r="D2367" t="s">
        <v>493</v>
      </c>
      <c r="E2367" t="s">
        <v>384</v>
      </c>
      <c r="F2367">
        <v>0</v>
      </c>
      <c r="G2367">
        <v>0</v>
      </c>
      <c r="H2367">
        <f>IF(report_B_CategorieBoekjaar[[#This Row],[BedrijfsCode]]="002",IF(report_B_CategorieBoekjaar[[#This Row],[Boekjaar]]=Projectbegroting!$K$1,report_B_CategorieBoekjaar[[#This Row],[CategorieCode]],0),0)</f>
        <v>0</v>
      </c>
      <c r="I2367">
        <f>IF(report_B_CategorieBoekjaar[[#This Row],[BedrijfsCode]]="001",IF(report_B_CategorieBoekjaar[[#This Row],[Boekjaar]]=Projectbegroting!$K$1,report_B_CategorieBoekjaar[[#This Row],[CategorieCode]],0),0)</f>
        <v>0</v>
      </c>
    </row>
    <row r="2368" spans="1:9" hidden="1" x14ac:dyDescent="0.3">
      <c r="A2368" t="s">
        <v>525</v>
      </c>
      <c r="B2368" s="20">
        <v>43101</v>
      </c>
      <c r="C2368" t="s">
        <v>494</v>
      </c>
      <c r="D2368" t="s">
        <v>495</v>
      </c>
      <c r="E2368" t="s">
        <v>381</v>
      </c>
      <c r="F2368">
        <v>34</v>
      </c>
      <c r="G2368">
        <v>0</v>
      </c>
      <c r="H2368">
        <f>IF(report_B_CategorieBoekjaar[[#This Row],[BedrijfsCode]]="002",IF(report_B_CategorieBoekjaar[[#This Row],[Boekjaar]]=Projectbegroting!$K$1,report_B_CategorieBoekjaar[[#This Row],[CategorieCode]],0),0)</f>
        <v>0</v>
      </c>
      <c r="I2368">
        <f>IF(report_B_CategorieBoekjaar[[#This Row],[BedrijfsCode]]="001",IF(report_B_CategorieBoekjaar[[#This Row],[Boekjaar]]=Projectbegroting!$K$1,report_B_CategorieBoekjaar[[#This Row],[CategorieCode]],0),0)</f>
        <v>0</v>
      </c>
    </row>
    <row r="2369" spans="1:9" hidden="1" x14ac:dyDescent="0.3">
      <c r="A2369" t="s">
        <v>525</v>
      </c>
      <c r="B2369" s="20">
        <v>43101</v>
      </c>
      <c r="C2369" t="s">
        <v>496</v>
      </c>
      <c r="D2369" t="s">
        <v>497</v>
      </c>
      <c r="E2369" t="s">
        <v>384</v>
      </c>
      <c r="F2369">
        <v>0</v>
      </c>
      <c r="G2369">
        <v>0</v>
      </c>
      <c r="H2369">
        <f>IF(report_B_CategorieBoekjaar[[#This Row],[BedrijfsCode]]="002",IF(report_B_CategorieBoekjaar[[#This Row],[Boekjaar]]=Projectbegroting!$K$1,report_B_CategorieBoekjaar[[#This Row],[CategorieCode]],0),0)</f>
        <v>0</v>
      </c>
      <c r="I2369">
        <f>IF(report_B_CategorieBoekjaar[[#This Row],[BedrijfsCode]]="001",IF(report_B_CategorieBoekjaar[[#This Row],[Boekjaar]]=Projectbegroting!$K$1,report_B_CategorieBoekjaar[[#This Row],[CategorieCode]],0),0)</f>
        <v>0</v>
      </c>
    </row>
    <row r="2370" spans="1:9" hidden="1" x14ac:dyDescent="0.3">
      <c r="A2370" t="s">
        <v>525</v>
      </c>
      <c r="B2370" s="20">
        <v>43101</v>
      </c>
      <c r="C2370" t="s">
        <v>70</v>
      </c>
      <c r="D2370" t="s">
        <v>498</v>
      </c>
      <c r="E2370" t="s">
        <v>381</v>
      </c>
      <c r="F2370">
        <v>34</v>
      </c>
      <c r="G2370">
        <v>87</v>
      </c>
      <c r="H2370">
        <f>IF(report_B_CategorieBoekjaar[[#This Row],[BedrijfsCode]]="002",IF(report_B_CategorieBoekjaar[[#This Row],[Boekjaar]]=Projectbegroting!$K$1,report_B_CategorieBoekjaar[[#This Row],[CategorieCode]],0),0)</f>
        <v>0</v>
      </c>
      <c r="I2370">
        <f>IF(report_B_CategorieBoekjaar[[#This Row],[BedrijfsCode]]="001",IF(report_B_CategorieBoekjaar[[#This Row],[Boekjaar]]=Projectbegroting!$K$1,report_B_CategorieBoekjaar[[#This Row],[CategorieCode]],0),0)</f>
        <v>0</v>
      </c>
    </row>
    <row r="2371" spans="1:9" hidden="1" x14ac:dyDescent="0.3">
      <c r="A2371" t="s">
        <v>525</v>
      </c>
      <c r="B2371" s="20">
        <v>43101</v>
      </c>
      <c r="C2371" t="s">
        <v>499</v>
      </c>
      <c r="D2371" t="s">
        <v>500</v>
      </c>
      <c r="E2371" t="s">
        <v>384</v>
      </c>
      <c r="F2371">
        <v>0</v>
      </c>
      <c r="G2371">
        <v>0</v>
      </c>
      <c r="H2371">
        <f>IF(report_B_CategorieBoekjaar[[#This Row],[BedrijfsCode]]="002",IF(report_B_CategorieBoekjaar[[#This Row],[Boekjaar]]=Projectbegroting!$K$1,report_B_CategorieBoekjaar[[#This Row],[CategorieCode]],0),0)</f>
        <v>0</v>
      </c>
      <c r="I2371">
        <f>IF(report_B_CategorieBoekjaar[[#This Row],[BedrijfsCode]]="001",IF(report_B_CategorieBoekjaar[[#This Row],[Boekjaar]]=Projectbegroting!$K$1,report_B_CategorieBoekjaar[[#This Row],[CategorieCode]],0),0)</f>
        <v>0</v>
      </c>
    </row>
    <row r="2372" spans="1:9" hidden="1" x14ac:dyDescent="0.3">
      <c r="A2372" t="s">
        <v>525</v>
      </c>
      <c r="B2372" s="20">
        <v>43101</v>
      </c>
      <c r="C2372" t="s">
        <v>501</v>
      </c>
      <c r="D2372" t="s">
        <v>502</v>
      </c>
      <c r="E2372" t="s">
        <v>381</v>
      </c>
      <c r="F2372">
        <v>63</v>
      </c>
      <c r="G2372">
        <v>0</v>
      </c>
      <c r="H2372">
        <f>IF(report_B_CategorieBoekjaar[[#This Row],[BedrijfsCode]]="002",IF(report_B_CategorieBoekjaar[[#This Row],[Boekjaar]]=Projectbegroting!$K$1,report_B_CategorieBoekjaar[[#This Row],[CategorieCode]],0),0)</f>
        <v>0</v>
      </c>
      <c r="I2372">
        <f>IF(report_B_CategorieBoekjaar[[#This Row],[BedrijfsCode]]="001",IF(report_B_CategorieBoekjaar[[#This Row],[Boekjaar]]=Projectbegroting!$K$1,report_B_CategorieBoekjaar[[#This Row],[CategorieCode]],0),0)</f>
        <v>0</v>
      </c>
    </row>
    <row r="2373" spans="1:9" hidden="1" x14ac:dyDescent="0.3">
      <c r="A2373" t="s">
        <v>525</v>
      </c>
      <c r="B2373" s="20">
        <v>43101</v>
      </c>
      <c r="C2373" t="s">
        <v>503</v>
      </c>
      <c r="D2373" t="s">
        <v>504</v>
      </c>
      <c r="E2373" t="s">
        <v>384</v>
      </c>
      <c r="F2373">
        <v>0</v>
      </c>
      <c r="G2373">
        <v>0</v>
      </c>
      <c r="H2373">
        <f>IF(report_B_CategorieBoekjaar[[#This Row],[BedrijfsCode]]="002",IF(report_B_CategorieBoekjaar[[#This Row],[Boekjaar]]=Projectbegroting!$K$1,report_B_CategorieBoekjaar[[#This Row],[CategorieCode]],0),0)</f>
        <v>0</v>
      </c>
      <c r="I2373">
        <f>IF(report_B_CategorieBoekjaar[[#This Row],[BedrijfsCode]]="001",IF(report_B_CategorieBoekjaar[[#This Row],[Boekjaar]]=Projectbegroting!$K$1,report_B_CategorieBoekjaar[[#This Row],[CategorieCode]],0),0)</f>
        <v>0</v>
      </c>
    </row>
    <row r="2374" spans="1:9" hidden="1" x14ac:dyDescent="0.3">
      <c r="A2374" t="s">
        <v>525</v>
      </c>
      <c r="B2374" s="20">
        <v>43101</v>
      </c>
      <c r="C2374" t="s">
        <v>505</v>
      </c>
      <c r="D2374" t="s">
        <v>506</v>
      </c>
      <c r="E2374" t="s">
        <v>381</v>
      </c>
      <c r="F2374">
        <v>41</v>
      </c>
      <c r="G2374">
        <v>0</v>
      </c>
      <c r="H2374">
        <f>IF(report_B_CategorieBoekjaar[[#This Row],[BedrijfsCode]]="002",IF(report_B_CategorieBoekjaar[[#This Row],[Boekjaar]]=Projectbegroting!$K$1,report_B_CategorieBoekjaar[[#This Row],[CategorieCode]],0),0)</f>
        <v>0</v>
      </c>
      <c r="I2374">
        <f>IF(report_B_CategorieBoekjaar[[#This Row],[BedrijfsCode]]="001",IF(report_B_CategorieBoekjaar[[#This Row],[Boekjaar]]=Projectbegroting!$K$1,report_B_CategorieBoekjaar[[#This Row],[CategorieCode]],0),0)</f>
        <v>0</v>
      </c>
    </row>
    <row r="2375" spans="1:9" hidden="1" x14ac:dyDescent="0.3">
      <c r="A2375" t="s">
        <v>525</v>
      </c>
      <c r="B2375" s="20">
        <v>43101</v>
      </c>
      <c r="C2375" t="s">
        <v>507</v>
      </c>
      <c r="D2375" t="s">
        <v>508</v>
      </c>
      <c r="E2375" t="s">
        <v>384</v>
      </c>
      <c r="F2375">
        <v>0</v>
      </c>
      <c r="G2375">
        <v>0</v>
      </c>
      <c r="H2375">
        <f>IF(report_B_CategorieBoekjaar[[#This Row],[BedrijfsCode]]="002",IF(report_B_CategorieBoekjaar[[#This Row],[Boekjaar]]=Projectbegroting!$K$1,report_B_CategorieBoekjaar[[#This Row],[CategorieCode]],0),0)</f>
        <v>0</v>
      </c>
      <c r="I2375">
        <f>IF(report_B_CategorieBoekjaar[[#This Row],[BedrijfsCode]]="001",IF(report_B_CategorieBoekjaar[[#This Row],[Boekjaar]]=Projectbegroting!$K$1,report_B_CategorieBoekjaar[[#This Row],[CategorieCode]],0),0)</f>
        <v>0</v>
      </c>
    </row>
    <row r="2376" spans="1:9" hidden="1" x14ac:dyDescent="0.3">
      <c r="A2376" t="s">
        <v>525</v>
      </c>
      <c r="B2376" s="20">
        <v>43101</v>
      </c>
      <c r="C2376" t="s">
        <v>509</v>
      </c>
      <c r="D2376" t="s">
        <v>510</v>
      </c>
      <c r="E2376" t="s">
        <v>381</v>
      </c>
      <c r="F2376">
        <v>135</v>
      </c>
      <c r="G2376">
        <v>0</v>
      </c>
      <c r="H2376">
        <f>IF(report_B_CategorieBoekjaar[[#This Row],[BedrijfsCode]]="002",IF(report_B_CategorieBoekjaar[[#This Row],[Boekjaar]]=Projectbegroting!$K$1,report_B_CategorieBoekjaar[[#This Row],[CategorieCode]],0),0)</f>
        <v>0</v>
      </c>
      <c r="I2376">
        <f>IF(report_B_CategorieBoekjaar[[#This Row],[BedrijfsCode]]="001",IF(report_B_CategorieBoekjaar[[#This Row],[Boekjaar]]=Projectbegroting!$K$1,report_B_CategorieBoekjaar[[#This Row],[CategorieCode]],0),0)</f>
        <v>0</v>
      </c>
    </row>
    <row r="2377" spans="1:9" hidden="1" x14ac:dyDescent="0.3">
      <c r="A2377" t="s">
        <v>525</v>
      </c>
      <c r="B2377" s="20">
        <v>43101</v>
      </c>
      <c r="C2377" t="s">
        <v>511</v>
      </c>
      <c r="D2377" t="s">
        <v>512</v>
      </c>
      <c r="E2377" t="s">
        <v>381</v>
      </c>
      <c r="F2377">
        <v>0</v>
      </c>
      <c r="G2377">
        <v>0</v>
      </c>
      <c r="H2377">
        <f>IF(report_B_CategorieBoekjaar[[#This Row],[BedrijfsCode]]="002",IF(report_B_CategorieBoekjaar[[#This Row],[Boekjaar]]=Projectbegroting!$K$1,report_B_CategorieBoekjaar[[#This Row],[CategorieCode]],0),0)</f>
        <v>0</v>
      </c>
      <c r="I2377">
        <f>IF(report_B_CategorieBoekjaar[[#This Row],[BedrijfsCode]]="001",IF(report_B_CategorieBoekjaar[[#This Row],[Boekjaar]]=Projectbegroting!$K$1,report_B_CategorieBoekjaar[[#This Row],[CategorieCode]],0),0)</f>
        <v>0</v>
      </c>
    </row>
    <row r="2378" spans="1:9" hidden="1" x14ac:dyDescent="0.3">
      <c r="A2378" t="s">
        <v>525</v>
      </c>
      <c r="B2378" s="20">
        <v>43101</v>
      </c>
      <c r="C2378" t="s">
        <v>92</v>
      </c>
      <c r="D2378" t="s">
        <v>513</v>
      </c>
      <c r="E2378" t="s">
        <v>381</v>
      </c>
      <c r="F2378">
        <v>58</v>
      </c>
      <c r="G2378">
        <v>123</v>
      </c>
      <c r="H2378">
        <f>IF(report_B_CategorieBoekjaar[[#This Row],[BedrijfsCode]]="002",IF(report_B_CategorieBoekjaar[[#This Row],[Boekjaar]]=Projectbegroting!$K$1,report_B_CategorieBoekjaar[[#This Row],[CategorieCode]],0),0)</f>
        <v>0</v>
      </c>
      <c r="I2378">
        <f>IF(report_B_CategorieBoekjaar[[#This Row],[BedrijfsCode]]="001",IF(report_B_CategorieBoekjaar[[#This Row],[Boekjaar]]=Projectbegroting!$K$1,report_B_CategorieBoekjaar[[#This Row],[CategorieCode]],0),0)</f>
        <v>0</v>
      </c>
    </row>
    <row r="2379" spans="1:9" hidden="1" x14ac:dyDescent="0.3">
      <c r="A2379" t="s">
        <v>525</v>
      </c>
      <c r="B2379" s="20">
        <v>43101</v>
      </c>
      <c r="C2379" t="s">
        <v>514</v>
      </c>
      <c r="D2379" t="s">
        <v>515</v>
      </c>
      <c r="E2379" t="s">
        <v>384</v>
      </c>
      <c r="F2379">
        <v>0</v>
      </c>
      <c r="G2379">
        <v>0</v>
      </c>
      <c r="H2379">
        <f>IF(report_B_CategorieBoekjaar[[#This Row],[BedrijfsCode]]="002",IF(report_B_CategorieBoekjaar[[#This Row],[Boekjaar]]=Projectbegroting!$K$1,report_B_CategorieBoekjaar[[#This Row],[CategorieCode]],0),0)</f>
        <v>0</v>
      </c>
      <c r="I2379">
        <f>IF(report_B_CategorieBoekjaar[[#This Row],[BedrijfsCode]]="001",IF(report_B_CategorieBoekjaar[[#This Row],[Boekjaar]]=Projectbegroting!$K$1,report_B_CategorieBoekjaar[[#This Row],[CategorieCode]],0),0)</f>
        <v>0</v>
      </c>
    </row>
    <row r="2380" spans="1:9" hidden="1" x14ac:dyDescent="0.3">
      <c r="A2380" t="s">
        <v>525</v>
      </c>
      <c r="B2380" s="20">
        <v>43101</v>
      </c>
      <c r="C2380" t="s">
        <v>72</v>
      </c>
      <c r="D2380" t="s">
        <v>516</v>
      </c>
      <c r="E2380" t="s">
        <v>381</v>
      </c>
      <c r="F2380">
        <v>38</v>
      </c>
      <c r="G2380">
        <v>68</v>
      </c>
      <c r="H2380">
        <f>IF(report_B_CategorieBoekjaar[[#This Row],[BedrijfsCode]]="002",IF(report_B_CategorieBoekjaar[[#This Row],[Boekjaar]]=Projectbegroting!$K$1,report_B_CategorieBoekjaar[[#This Row],[CategorieCode]],0),0)</f>
        <v>0</v>
      </c>
      <c r="I2380">
        <f>IF(report_B_CategorieBoekjaar[[#This Row],[BedrijfsCode]]="001",IF(report_B_CategorieBoekjaar[[#This Row],[Boekjaar]]=Projectbegroting!$K$1,report_B_CategorieBoekjaar[[#This Row],[CategorieCode]],0),0)</f>
        <v>0</v>
      </c>
    </row>
    <row r="2381" spans="1:9" hidden="1" x14ac:dyDescent="0.3">
      <c r="A2381" t="s">
        <v>525</v>
      </c>
      <c r="B2381" s="20">
        <v>43101</v>
      </c>
      <c r="C2381" t="s">
        <v>517</v>
      </c>
      <c r="D2381" t="s">
        <v>518</v>
      </c>
      <c r="E2381" t="s">
        <v>384</v>
      </c>
      <c r="F2381">
        <v>0</v>
      </c>
      <c r="G2381">
        <v>0</v>
      </c>
      <c r="H2381">
        <f>IF(report_B_CategorieBoekjaar[[#This Row],[BedrijfsCode]]="002",IF(report_B_CategorieBoekjaar[[#This Row],[Boekjaar]]=Projectbegroting!$K$1,report_B_CategorieBoekjaar[[#This Row],[CategorieCode]],0),0)</f>
        <v>0</v>
      </c>
      <c r="I2381">
        <f>IF(report_B_CategorieBoekjaar[[#This Row],[BedrijfsCode]]="001",IF(report_B_CategorieBoekjaar[[#This Row],[Boekjaar]]=Projectbegroting!$K$1,report_B_CategorieBoekjaar[[#This Row],[CategorieCode]],0),0)</f>
        <v>0</v>
      </c>
    </row>
    <row r="2382" spans="1:9" hidden="1" x14ac:dyDescent="0.3">
      <c r="A2382" t="s">
        <v>525</v>
      </c>
      <c r="B2382" s="20">
        <v>43101</v>
      </c>
      <c r="C2382" t="s">
        <v>74</v>
      </c>
      <c r="D2382" t="s">
        <v>75</v>
      </c>
      <c r="E2382" t="s">
        <v>381</v>
      </c>
      <c r="F2382">
        <v>34</v>
      </c>
      <c r="G2382">
        <v>64</v>
      </c>
      <c r="H2382">
        <f>IF(report_B_CategorieBoekjaar[[#This Row],[BedrijfsCode]]="002",IF(report_B_CategorieBoekjaar[[#This Row],[Boekjaar]]=Projectbegroting!$K$1,report_B_CategorieBoekjaar[[#This Row],[CategorieCode]],0),0)</f>
        <v>0</v>
      </c>
      <c r="I2382">
        <f>IF(report_B_CategorieBoekjaar[[#This Row],[BedrijfsCode]]="001",IF(report_B_CategorieBoekjaar[[#This Row],[Boekjaar]]=Projectbegroting!$K$1,report_B_CategorieBoekjaar[[#This Row],[CategorieCode]],0),0)</f>
        <v>0</v>
      </c>
    </row>
    <row r="2383" spans="1:9" hidden="1" x14ac:dyDescent="0.3">
      <c r="A2383" t="s">
        <v>525</v>
      </c>
      <c r="B2383" s="20">
        <v>43101</v>
      </c>
      <c r="C2383" t="s">
        <v>178</v>
      </c>
      <c r="D2383" t="s">
        <v>519</v>
      </c>
      <c r="E2383" t="s">
        <v>384</v>
      </c>
      <c r="F2383">
        <v>0</v>
      </c>
      <c r="G2383">
        <v>0</v>
      </c>
      <c r="H2383">
        <f>IF(report_B_CategorieBoekjaar[[#This Row],[BedrijfsCode]]="002",IF(report_B_CategorieBoekjaar[[#This Row],[Boekjaar]]=Projectbegroting!$K$1,report_B_CategorieBoekjaar[[#This Row],[CategorieCode]],0),0)</f>
        <v>0</v>
      </c>
      <c r="I2383">
        <f>IF(report_B_CategorieBoekjaar[[#This Row],[BedrijfsCode]]="001",IF(report_B_CategorieBoekjaar[[#This Row],[Boekjaar]]=Projectbegroting!$K$1,report_B_CategorieBoekjaar[[#This Row],[CategorieCode]],0),0)</f>
        <v>0</v>
      </c>
    </row>
    <row r="2384" spans="1:9" hidden="1" x14ac:dyDescent="0.3">
      <c r="A2384" t="s">
        <v>525</v>
      </c>
      <c r="B2384" s="20">
        <v>43101</v>
      </c>
      <c r="C2384" t="s">
        <v>520</v>
      </c>
      <c r="D2384" t="s">
        <v>521</v>
      </c>
      <c r="E2384" t="s">
        <v>384</v>
      </c>
      <c r="F2384">
        <v>0</v>
      </c>
      <c r="G2384">
        <v>0</v>
      </c>
      <c r="H2384">
        <f>IF(report_B_CategorieBoekjaar[[#This Row],[BedrijfsCode]]="002",IF(report_B_CategorieBoekjaar[[#This Row],[Boekjaar]]=Projectbegroting!$K$1,report_B_CategorieBoekjaar[[#This Row],[CategorieCode]],0),0)</f>
        <v>0</v>
      </c>
      <c r="I2384">
        <f>IF(report_B_CategorieBoekjaar[[#This Row],[BedrijfsCode]]="001",IF(report_B_CategorieBoekjaar[[#This Row],[Boekjaar]]=Projectbegroting!$K$1,report_B_CategorieBoekjaar[[#This Row],[CategorieCode]],0),0)</f>
        <v>0</v>
      </c>
    </row>
    <row r="2385" spans="1:9" hidden="1" x14ac:dyDescent="0.3">
      <c r="A2385" t="s">
        <v>525</v>
      </c>
      <c r="B2385" s="20">
        <v>43101</v>
      </c>
      <c r="C2385" t="s">
        <v>522</v>
      </c>
      <c r="D2385" t="s">
        <v>523</v>
      </c>
      <c r="E2385" t="s">
        <v>381</v>
      </c>
      <c r="F2385">
        <v>75</v>
      </c>
      <c r="G2385">
        <v>0</v>
      </c>
      <c r="H2385">
        <f>IF(report_B_CategorieBoekjaar[[#This Row],[BedrijfsCode]]="002",IF(report_B_CategorieBoekjaar[[#This Row],[Boekjaar]]=Projectbegroting!$K$1,report_B_CategorieBoekjaar[[#This Row],[CategorieCode]],0),0)</f>
        <v>0</v>
      </c>
      <c r="I2385">
        <f>IF(report_B_CategorieBoekjaar[[#This Row],[BedrijfsCode]]="001",IF(report_B_CategorieBoekjaar[[#This Row],[Boekjaar]]=Projectbegroting!$K$1,report_B_CategorieBoekjaar[[#This Row],[CategorieCode]],0),0)</f>
        <v>0</v>
      </c>
    </row>
    <row r="2386" spans="1:9" hidden="1" x14ac:dyDescent="0.3">
      <c r="A2386" t="s">
        <v>525</v>
      </c>
      <c r="B2386" s="20">
        <v>43101</v>
      </c>
      <c r="C2386" t="s">
        <v>78</v>
      </c>
      <c r="D2386" t="s">
        <v>79</v>
      </c>
      <c r="E2386" t="s">
        <v>381</v>
      </c>
      <c r="F2386">
        <v>63</v>
      </c>
      <c r="G2386">
        <v>93</v>
      </c>
      <c r="H2386">
        <f>IF(report_B_CategorieBoekjaar[[#This Row],[BedrijfsCode]]="002",IF(report_B_CategorieBoekjaar[[#This Row],[Boekjaar]]=Projectbegroting!$K$1,report_B_CategorieBoekjaar[[#This Row],[CategorieCode]],0),0)</f>
        <v>0</v>
      </c>
      <c r="I2386">
        <f>IF(report_B_CategorieBoekjaar[[#This Row],[BedrijfsCode]]="001",IF(report_B_CategorieBoekjaar[[#This Row],[Boekjaar]]=Projectbegroting!$K$1,report_B_CategorieBoekjaar[[#This Row],[CategorieCode]],0),0)</f>
        <v>0</v>
      </c>
    </row>
    <row r="2387" spans="1:9" hidden="1" x14ac:dyDescent="0.3">
      <c r="A2387" t="s">
        <v>525</v>
      </c>
      <c r="B2387" s="20">
        <v>43101</v>
      </c>
      <c r="C2387" t="s">
        <v>176</v>
      </c>
      <c r="D2387" t="s">
        <v>524</v>
      </c>
      <c r="E2387" t="s">
        <v>384</v>
      </c>
      <c r="F2387">
        <v>0</v>
      </c>
      <c r="G2387">
        <v>0</v>
      </c>
      <c r="H2387">
        <f>IF(report_B_CategorieBoekjaar[[#This Row],[BedrijfsCode]]="002",IF(report_B_CategorieBoekjaar[[#This Row],[Boekjaar]]=Projectbegroting!$K$1,report_B_CategorieBoekjaar[[#This Row],[CategorieCode]],0),0)</f>
        <v>0</v>
      </c>
      <c r="I2387">
        <f>IF(report_B_CategorieBoekjaar[[#This Row],[BedrijfsCode]]="001",IF(report_B_CategorieBoekjaar[[#This Row],[Boekjaar]]=Projectbegroting!$K$1,report_B_CategorieBoekjaar[[#This Row],[CategorieCode]],0),0)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E9ED-818F-4069-A1C2-5D5DB614689F}">
  <dimension ref="A1:Z2783"/>
  <sheetViews>
    <sheetView workbookViewId="0">
      <selection activeCell="V1" sqref="V1"/>
    </sheetView>
  </sheetViews>
  <sheetFormatPr defaultRowHeight="14.4" x14ac:dyDescent="0.3"/>
  <cols>
    <col min="1" max="1" width="14.6640625" bestFit="1" customWidth="1"/>
    <col min="2" max="2" width="18" bestFit="1" customWidth="1"/>
    <col min="3" max="3" width="61.6640625" bestFit="1" customWidth="1"/>
    <col min="4" max="4" width="19.88671875" bestFit="1" customWidth="1"/>
    <col min="5" max="5" width="15.88671875" bestFit="1" customWidth="1"/>
    <col min="6" max="6" width="81.109375" bestFit="1" customWidth="1"/>
    <col min="7" max="8" width="15.88671875" bestFit="1" customWidth="1"/>
    <col min="9" max="9" width="15" bestFit="1" customWidth="1"/>
    <col min="10" max="10" width="12.44140625" bestFit="1" customWidth="1"/>
    <col min="11" max="11" width="12" bestFit="1" customWidth="1"/>
    <col min="12" max="12" width="15.109375" bestFit="1" customWidth="1"/>
    <col min="13" max="13" width="33.5546875" bestFit="1" customWidth="1"/>
    <col min="14" max="14" width="33.109375" bestFit="1" customWidth="1"/>
    <col min="15" max="15" width="29.88671875" bestFit="1" customWidth="1"/>
    <col min="16" max="16" width="32.44140625" bestFit="1" customWidth="1"/>
    <col min="17" max="17" width="30" bestFit="1" customWidth="1"/>
    <col min="18" max="18" width="22.6640625" bestFit="1" customWidth="1"/>
    <col min="19" max="21" width="15.5546875" bestFit="1" customWidth="1"/>
    <col min="22" max="22" width="44.44140625" bestFit="1" customWidth="1"/>
    <col min="23" max="23" width="14.6640625" bestFit="1" customWidth="1"/>
    <col min="24" max="25" width="15.109375" bestFit="1" customWidth="1"/>
    <col min="26" max="26" width="27.88671875" bestFit="1" customWidth="1"/>
    <col min="27" max="27" width="14.33203125" bestFit="1" customWidth="1"/>
    <col min="28" max="28" width="26.33203125" bestFit="1" customWidth="1"/>
    <col min="29" max="29" width="14.33203125" bestFit="1" customWidth="1"/>
    <col min="30" max="30" width="26.33203125" customWidth="1"/>
  </cols>
  <sheetData>
    <row r="1" spans="1:26" x14ac:dyDescent="0.3">
      <c r="A1" t="s">
        <v>321</v>
      </c>
      <c r="B1" t="s">
        <v>526</v>
      </c>
      <c r="C1" t="s">
        <v>527</v>
      </c>
      <c r="D1" t="s">
        <v>528</v>
      </c>
      <c r="E1" t="s">
        <v>529</v>
      </c>
      <c r="F1" t="s">
        <v>530</v>
      </c>
      <c r="G1" t="s">
        <v>531</v>
      </c>
      <c r="H1" t="s">
        <v>532</v>
      </c>
      <c r="I1" t="s">
        <v>533</v>
      </c>
      <c r="J1" t="s">
        <v>534</v>
      </c>
      <c r="K1" t="s">
        <v>535</v>
      </c>
      <c r="L1" t="s">
        <v>536</v>
      </c>
      <c r="M1" t="s">
        <v>537</v>
      </c>
      <c r="N1" t="s">
        <v>538</v>
      </c>
      <c r="O1" t="s">
        <v>539</v>
      </c>
      <c r="P1" t="s">
        <v>540</v>
      </c>
      <c r="Q1" t="s">
        <v>541</v>
      </c>
      <c r="R1" t="s">
        <v>542</v>
      </c>
      <c r="S1" t="s">
        <v>543</v>
      </c>
      <c r="T1" t="s">
        <v>544</v>
      </c>
      <c r="U1" t="s">
        <v>545</v>
      </c>
      <c r="V1" t="s">
        <v>546</v>
      </c>
      <c r="W1" t="s">
        <v>20</v>
      </c>
      <c r="X1" t="s">
        <v>212</v>
      </c>
      <c r="Y1" t="s">
        <v>214</v>
      </c>
      <c r="Z1" t="s">
        <v>547</v>
      </c>
    </row>
    <row r="2" spans="1:26" x14ac:dyDescent="0.3">
      <c r="A2" t="s">
        <v>525</v>
      </c>
      <c r="B2" t="s">
        <v>548</v>
      </c>
      <c r="C2" t="s">
        <v>549</v>
      </c>
      <c r="D2" t="s">
        <v>550</v>
      </c>
      <c r="E2" t="s">
        <v>550</v>
      </c>
      <c r="G2" s="1">
        <v>45302</v>
      </c>
      <c r="H2" s="1">
        <v>45302</v>
      </c>
      <c r="I2" t="s">
        <v>551</v>
      </c>
      <c r="J2" t="s">
        <v>550</v>
      </c>
      <c r="K2" t="s">
        <v>550</v>
      </c>
      <c r="L2" t="s">
        <v>552</v>
      </c>
      <c r="M2" t="s">
        <v>550</v>
      </c>
      <c r="O2" t="s">
        <v>550</v>
      </c>
      <c r="Q2" t="s">
        <v>550</v>
      </c>
      <c r="S2" t="s">
        <v>550</v>
      </c>
      <c r="T2" t="s">
        <v>550</v>
      </c>
      <c r="U2" t="s">
        <v>550</v>
      </c>
      <c r="V2" t="s">
        <v>553</v>
      </c>
      <c r="W2" t="s">
        <v>554</v>
      </c>
      <c r="X2" t="s">
        <v>241</v>
      </c>
      <c r="Z2" t="s">
        <v>548</v>
      </c>
    </row>
    <row r="3" spans="1:26" x14ac:dyDescent="0.3">
      <c r="A3" t="s">
        <v>525</v>
      </c>
      <c r="B3" t="s">
        <v>247</v>
      </c>
      <c r="C3" t="s">
        <v>555</v>
      </c>
      <c r="D3" t="s">
        <v>550</v>
      </c>
      <c r="E3" t="s">
        <v>550</v>
      </c>
      <c r="G3" s="1">
        <v>45302</v>
      </c>
      <c r="H3" s="1">
        <v>45302</v>
      </c>
      <c r="I3" t="s">
        <v>551</v>
      </c>
      <c r="J3" t="s">
        <v>550</v>
      </c>
      <c r="K3" t="s">
        <v>550</v>
      </c>
      <c r="L3" t="s">
        <v>552</v>
      </c>
      <c r="M3" t="s">
        <v>550</v>
      </c>
      <c r="O3" t="s">
        <v>550</v>
      </c>
      <c r="Q3" t="s">
        <v>550</v>
      </c>
      <c r="S3" t="s">
        <v>550</v>
      </c>
      <c r="T3" t="s">
        <v>550</v>
      </c>
      <c r="U3" t="s">
        <v>550</v>
      </c>
      <c r="V3" t="s">
        <v>556</v>
      </c>
      <c r="W3" t="s">
        <v>554</v>
      </c>
      <c r="X3" t="s">
        <v>247</v>
      </c>
      <c r="Z3" t="s">
        <v>557</v>
      </c>
    </row>
    <row r="4" spans="1:26" x14ac:dyDescent="0.3">
      <c r="A4" t="s">
        <v>525</v>
      </c>
      <c r="B4" t="s">
        <v>558</v>
      </c>
      <c r="C4" t="s">
        <v>559</v>
      </c>
      <c r="D4" t="s">
        <v>550</v>
      </c>
      <c r="E4" t="s">
        <v>550</v>
      </c>
      <c r="G4" s="1">
        <v>45302</v>
      </c>
      <c r="H4" s="1">
        <v>45302</v>
      </c>
      <c r="I4" t="s">
        <v>551</v>
      </c>
      <c r="J4" t="s">
        <v>550</v>
      </c>
      <c r="K4" t="s">
        <v>550</v>
      </c>
      <c r="L4" t="s">
        <v>552</v>
      </c>
      <c r="M4" t="s">
        <v>550</v>
      </c>
      <c r="O4" t="s">
        <v>550</v>
      </c>
      <c r="Q4" t="s">
        <v>550</v>
      </c>
      <c r="S4" t="s">
        <v>550</v>
      </c>
      <c r="T4" t="s">
        <v>550</v>
      </c>
      <c r="U4" t="s">
        <v>550</v>
      </c>
      <c r="V4" t="s">
        <v>560</v>
      </c>
      <c r="W4" t="s">
        <v>561</v>
      </c>
      <c r="X4" t="s">
        <v>234</v>
      </c>
      <c r="Z4" t="s">
        <v>558</v>
      </c>
    </row>
    <row r="5" spans="1:26" x14ac:dyDescent="0.3">
      <c r="A5" t="s">
        <v>525</v>
      </c>
      <c r="B5" t="s">
        <v>562</v>
      </c>
      <c r="C5" t="s">
        <v>563</v>
      </c>
      <c r="D5" t="s">
        <v>550</v>
      </c>
      <c r="E5" t="s">
        <v>550</v>
      </c>
      <c r="G5" s="1">
        <v>45302</v>
      </c>
      <c r="H5" s="1">
        <v>45302</v>
      </c>
      <c r="I5" t="s">
        <v>551</v>
      </c>
      <c r="J5" t="s">
        <v>550</v>
      </c>
      <c r="K5" t="s">
        <v>550</v>
      </c>
      <c r="L5" t="s">
        <v>552</v>
      </c>
      <c r="M5" t="s">
        <v>550</v>
      </c>
      <c r="O5" t="s">
        <v>550</v>
      </c>
      <c r="Q5" t="s">
        <v>550</v>
      </c>
      <c r="S5" t="s">
        <v>550</v>
      </c>
      <c r="T5" t="s">
        <v>550</v>
      </c>
      <c r="U5" t="s">
        <v>550</v>
      </c>
      <c r="V5" t="s">
        <v>564</v>
      </c>
      <c r="W5" t="s">
        <v>565</v>
      </c>
      <c r="X5" t="s">
        <v>252</v>
      </c>
      <c r="Y5" t="s">
        <v>566</v>
      </c>
      <c r="Z5" t="s">
        <v>562</v>
      </c>
    </row>
    <row r="6" spans="1:26" x14ac:dyDescent="0.3">
      <c r="A6" t="s">
        <v>525</v>
      </c>
      <c r="B6" t="s">
        <v>567</v>
      </c>
      <c r="C6" t="s">
        <v>568</v>
      </c>
      <c r="D6" t="s">
        <v>550</v>
      </c>
      <c r="E6" t="s">
        <v>550</v>
      </c>
      <c r="G6" s="1">
        <v>45302</v>
      </c>
      <c r="H6" s="1">
        <v>45302</v>
      </c>
      <c r="I6" t="s">
        <v>551</v>
      </c>
      <c r="J6" t="s">
        <v>550</v>
      </c>
      <c r="K6" t="s">
        <v>550</v>
      </c>
      <c r="L6" t="s">
        <v>552</v>
      </c>
      <c r="M6" t="s">
        <v>550</v>
      </c>
      <c r="O6" t="s">
        <v>550</v>
      </c>
      <c r="Q6" t="s">
        <v>550</v>
      </c>
      <c r="S6" t="s">
        <v>550</v>
      </c>
      <c r="T6" t="s">
        <v>550</v>
      </c>
      <c r="U6" t="s">
        <v>550</v>
      </c>
      <c r="V6" t="s">
        <v>569</v>
      </c>
      <c r="W6" t="s">
        <v>565</v>
      </c>
      <c r="X6" t="s">
        <v>252</v>
      </c>
      <c r="Z6" t="s">
        <v>567</v>
      </c>
    </row>
    <row r="7" spans="1:26" x14ac:dyDescent="0.3">
      <c r="A7" t="s">
        <v>525</v>
      </c>
      <c r="B7" t="s">
        <v>570</v>
      </c>
      <c r="C7" t="s">
        <v>571</v>
      </c>
      <c r="D7" t="s">
        <v>550</v>
      </c>
      <c r="E7" t="s">
        <v>550</v>
      </c>
      <c r="G7" s="1">
        <v>45302</v>
      </c>
      <c r="H7" s="1">
        <v>45302</v>
      </c>
      <c r="I7" t="s">
        <v>551</v>
      </c>
      <c r="J7" t="s">
        <v>550</v>
      </c>
      <c r="K7" t="s">
        <v>550</v>
      </c>
      <c r="L7" t="s">
        <v>552</v>
      </c>
      <c r="M7" t="s">
        <v>550</v>
      </c>
      <c r="O7" t="s">
        <v>550</v>
      </c>
      <c r="Q7" t="s">
        <v>550</v>
      </c>
      <c r="S7" t="s">
        <v>550</v>
      </c>
      <c r="T7" t="s">
        <v>550</v>
      </c>
      <c r="U7" t="s">
        <v>550</v>
      </c>
      <c r="V7" t="s">
        <v>572</v>
      </c>
      <c r="W7" t="s">
        <v>565</v>
      </c>
      <c r="X7" t="s">
        <v>252</v>
      </c>
      <c r="Y7" t="s">
        <v>573</v>
      </c>
      <c r="Z7" t="s">
        <v>570</v>
      </c>
    </row>
    <row r="8" spans="1:26" x14ac:dyDescent="0.3">
      <c r="A8" t="s">
        <v>525</v>
      </c>
      <c r="B8" t="s">
        <v>574</v>
      </c>
      <c r="C8" t="s">
        <v>575</v>
      </c>
      <c r="D8" t="s">
        <v>550</v>
      </c>
      <c r="E8" t="s">
        <v>550</v>
      </c>
      <c r="G8" s="1">
        <v>45302</v>
      </c>
      <c r="H8" s="1">
        <v>45302</v>
      </c>
      <c r="I8" t="s">
        <v>551</v>
      </c>
      <c r="J8" t="s">
        <v>550</v>
      </c>
      <c r="K8" t="s">
        <v>550</v>
      </c>
      <c r="L8" t="s">
        <v>552</v>
      </c>
      <c r="M8" t="s">
        <v>550</v>
      </c>
      <c r="O8" t="s">
        <v>550</v>
      </c>
      <c r="Q8" t="s">
        <v>550</v>
      </c>
      <c r="S8" t="s">
        <v>550</v>
      </c>
      <c r="T8" t="s">
        <v>550</v>
      </c>
      <c r="U8" t="s">
        <v>550</v>
      </c>
      <c r="V8" t="s">
        <v>576</v>
      </c>
      <c r="W8" t="s">
        <v>565</v>
      </c>
      <c r="X8" t="s">
        <v>252</v>
      </c>
      <c r="Y8" t="s">
        <v>577</v>
      </c>
      <c r="Z8" t="s">
        <v>574</v>
      </c>
    </row>
    <row r="9" spans="1:26" x14ac:dyDescent="0.3">
      <c r="A9" t="s">
        <v>525</v>
      </c>
      <c r="B9" t="s">
        <v>578</v>
      </c>
      <c r="C9" t="s">
        <v>579</v>
      </c>
      <c r="D9" t="s">
        <v>550</v>
      </c>
      <c r="E9" t="s">
        <v>550</v>
      </c>
      <c r="G9" s="1">
        <v>45302</v>
      </c>
      <c r="H9" s="1">
        <v>45302</v>
      </c>
      <c r="I9" t="s">
        <v>551</v>
      </c>
      <c r="J9" t="s">
        <v>550</v>
      </c>
      <c r="K9" t="s">
        <v>550</v>
      </c>
      <c r="L9" t="s">
        <v>552</v>
      </c>
      <c r="M9" t="s">
        <v>550</v>
      </c>
      <c r="O9" t="s">
        <v>550</v>
      </c>
      <c r="Q9" t="s">
        <v>550</v>
      </c>
      <c r="S9" t="s">
        <v>550</v>
      </c>
      <c r="T9" t="s">
        <v>550</v>
      </c>
      <c r="U9" t="s">
        <v>550</v>
      </c>
      <c r="V9" t="s">
        <v>580</v>
      </c>
      <c r="W9" t="s">
        <v>565</v>
      </c>
      <c r="X9" t="s">
        <v>252</v>
      </c>
      <c r="Y9" t="s">
        <v>581</v>
      </c>
      <c r="Z9" t="s">
        <v>578</v>
      </c>
    </row>
    <row r="10" spans="1:26" x14ac:dyDescent="0.3">
      <c r="A10" t="s">
        <v>525</v>
      </c>
      <c r="B10" t="s">
        <v>582</v>
      </c>
      <c r="C10" t="s">
        <v>583</v>
      </c>
      <c r="D10" t="s">
        <v>550</v>
      </c>
      <c r="E10" t="s">
        <v>550</v>
      </c>
      <c r="G10" s="1">
        <v>45302</v>
      </c>
      <c r="H10" s="1">
        <v>45302</v>
      </c>
      <c r="I10" t="s">
        <v>551</v>
      </c>
      <c r="J10" t="s">
        <v>550</v>
      </c>
      <c r="K10" t="s">
        <v>550</v>
      </c>
      <c r="L10" t="s">
        <v>552</v>
      </c>
      <c r="M10" t="s">
        <v>550</v>
      </c>
      <c r="O10" t="s">
        <v>550</v>
      </c>
      <c r="Q10" t="s">
        <v>550</v>
      </c>
      <c r="S10" t="s">
        <v>550</v>
      </c>
      <c r="T10" t="s">
        <v>550</v>
      </c>
      <c r="U10" t="s">
        <v>550</v>
      </c>
      <c r="V10" t="s">
        <v>584</v>
      </c>
      <c r="W10" t="s">
        <v>565</v>
      </c>
      <c r="X10" t="s">
        <v>252</v>
      </c>
      <c r="Y10" t="s">
        <v>585</v>
      </c>
      <c r="Z10" t="s">
        <v>582</v>
      </c>
    </row>
    <row r="11" spans="1:26" x14ac:dyDescent="0.3">
      <c r="A11" t="s">
        <v>525</v>
      </c>
      <c r="B11" t="s">
        <v>586</v>
      </c>
      <c r="C11" t="s">
        <v>587</v>
      </c>
      <c r="D11" t="s">
        <v>550</v>
      </c>
      <c r="E11" t="s">
        <v>550</v>
      </c>
      <c r="G11" s="1">
        <v>45302</v>
      </c>
      <c r="H11" s="1">
        <v>45302</v>
      </c>
      <c r="I11" t="s">
        <v>551</v>
      </c>
      <c r="J11" t="s">
        <v>550</v>
      </c>
      <c r="K11" t="s">
        <v>550</v>
      </c>
      <c r="L11" t="s">
        <v>552</v>
      </c>
      <c r="M11" t="s">
        <v>550</v>
      </c>
      <c r="O11" t="s">
        <v>550</v>
      </c>
      <c r="Q11" t="s">
        <v>550</v>
      </c>
      <c r="S11" t="s">
        <v>550</v>
      </c>
      <c r="T11" t="s">
        <v>550</v>
      </c>
      <c r="U11" t="s">
        <v>550</v>
      </c>
      <c r="V11" t="s">
        <v>588</v>
      </c>
      <c r="W11" t="s">
        <v>565</v>
      </c>
      <c r="X11" t="s">
        <v>252</v>
      </c>
      <c r="Y11" t="s">
        <v>589</v>
      </c>
      <c r="Z11" t="s">
        <v>586</v>
      </c>
    </row>
    <row r="12" spans="1:26" x14ac:dyDescent="0.3">
      <c r="A12" t="s">
        <v>525</v>
      </c>
      <c r="B12" t="s">
        <v>590</v>
      </c>
      <c r="C12" t="s">
        <v>591</v>
      </c>
      <c r="D12" t="s">
        <v>550</v>
      </c>
      <c r="E12" t="s">
        <v>550</v>
      </c>
      <c r="G12" s="1">
        <v>45302</v>
      </c>
      <c r="H12" s="1">
        <v>45302</v>
      </c>
      <c r="I12" t="s">
        <v>551</v>
      </c>
      <c r="J12" t="s">
        <v>550</v>
      </c>
      <c r="K12" t="s">
        <v>550</v>
      </c>
      <c r="L12" t="s">
        <v>552</v>
      </c>
      <c r="M12" t="s">
        <v>550</v>
      </c>
      <c r="O12" t="s">
        <v>550</v>
      </c>
      <c r="Q12" t="s">
        <v>550</v>
      </c>
      <c r="S12" t="s">
        <v>550</v>
      </c>
      <c r="T12" t="s">
        <v>550</v>
      </c>
      <c r="U12" t="s">
        <v>550</v>
      </c>
      <c r="V12" t="s">
        <v>592</v>
      </c>
      <c r="W12" t="s">
        <v>565</v>
      </c>
      <c r="X12" t="s">
        <v>258</v>
      </c>
      <c r="Y12" t="s">
        <v>227</v>
      </c>
      <c r="Z12" t="s">
        <v>590</v>
      </c>
    </row>
    <row r="13" spans="1:26" x14ac:dyDescent="0.3">
      <c r="A13" t="s">
        <v>525</v>
      </c>
      <c r="B13" t="s">
        <v>593</v>
      </c>
      <c r="C13" t="s">
        <v>594</v>
      </c>
      <c r="D13" t="s">
        <v>550</v>
      </c>
      <c r="E13" t="s">
        <v>550</v>
      </c>
      <c r="G13" s="1">
        <v>45302</v>
      </c>
      <c r="H13" s="1">
        <v>45302</v>
      </c>
      <c r="I13" t="s">
        <v>551</v>
      </c>
      <c r="J13" t="s">
        <v>550</v>
      </c>
      <c r="K13" t="s">
        <v>550</v>
      </c>
      <c r="L13" t="s">
        <v>552</v>
      </c>
      <c r="M13" t="s">
        <v>550</v>
      </c>
      <c r="O13" t="s">
        <v>550</v>
      </c>
      <c r="Q13" t="s">
        <v>550</v>
      </c>
      <c r="S13" t="s">
        <v>550</v>
      </c>
      <c r="T13" t="s">
        <v>550</v>
      </c>
      <c r="U13" t="s">
        <v>550</v>
      </c>
      <c r="V13" t="s">
        <v>595</v>
      </c>
      <c r="W13" t="s">
        <v>565</v>
      </c>
      <c r="X13" t="s">
        <v>258</v>
      </c>
      <c r="Y13" t="s">
        <v>235</v>
      </c>
      <c r="Z13" t="s">
        <v>593</v>
      </c>
    </row>
    <row r="14" spans="1:26" x14ac:dyDescent="0.3">
      <c r="A14" t="s">
        <v>525</v>
      </c>
      <c r="B14" t="s">
        <v>596</v>
      </c>
      <c r="C14" t="s">
        <v>597</v>
      </c>
      <c r="D14" t="s">
        <v>550</v>
      </c>
      <c r="E14" t="s">
        <v>550</v>
      </c>
      <c r="G14" s="1">
        <v>45302</v>
      </c>
      <c r="H14" s="1">
        <v>45302</v>
      </c>
      <c r="I14" t="s">
        <v>551</v>
      </c>
      <c r="J14" t="s">
        <v>550</v>
      </c>
      <c r="K14" t="s">
        <v>550</v>
      </c>
      <c r="L14" t="s">
        <v>552</v>
      </c>
      <c r="M14" t="s">
        <v>550</v>
      </c>
      <c r="O14" t="s">
        <v>550</v>
      </c>
      <c r="Q14" t="s">
        <v>550</v>
      </c>
      <c r="S14" t="s">
        <v>550</v>
      </c>
      <c r="T14" t="s">
        <v>550</v>
      </c>
      <c r="U14" t="s">
        <v>550</v>
      </c>
      <c r="V14" t="s">
        <v>598</v>
      </c>
      <c r="W14" t="s">
        <v>565</v>
      </c>
      <c r="X14" t="s">
        <v>258</v>
      </c>
      <c r="Y14" t="s">
        <v>242</v>
      </c>
      <c r="Z14" t="s">
        <v>596</v>
      </c>
    </row>
    <row r="15" spans="1:26" x14ac:dyDescent="0.3">
      <c r="A15" t="s">
        <v>525</v>
      </c>
      <c r="B15" t="s">
        <v>599</v>
      </c>
      <c r="C15" t="s">
        <v>600</v>
      </c>
      <c r="D15" t="s">
        <v>550</v>
      </c>
      <c r="E15" t="s">
        <v>550</v>
      </c>
      <c r="G15" s="1">
        <v>45302</v>
      </c>
      <c r="H15" s="1">
        <v>45302</v>
      </c>
      <c r="I15" t="s">
        <v>551</v>
      </c>
      <c r="J15" t="s">
        <v>550</v>
      </c>
      <c r="K15" t="s">
        <v>550</v>
      </c>
      <c r="L15" t="s">
        <v>552</v>
      </c>
      <c r="M15" t="s">
        <v>550</v>
      </c>
      <c r="O15" t="s">
        <v>550</v>
      </c>
      <c r="Q15" t="s">
        <v>550</v>
      </c>
      <c r="S15" t="s">
        <v>550</v>
      </c>
      <c r="T15" t="s">
        <v>550</v>
      </c>
      <c r="U15" t="s">
        <v>550</v>
      </c>
      <c r="V15" t="s">
        <v>601</v>
      </c>
      <c r="W15" t="s">
        <v>565</v>
      </c>
      <c r="X15" t="s">
        <v>258</v>
      </c>
      <c r="Z15" t="s">
        <v>599</v>
      </c>
    </row>
    <row r="16" spans="1:26" x14ac:dyDescent="0.3">
      <c r="A16" t="s">
        <v>525</v>
      </c>
      <c r="B16" t="s">
        <v>602</v>
      </c>
      <c r="C16" t="s">
        <v>603</v>
      </c>
      <c r="D16" t="s">
        <v>550</v>
      </c>
      <c r="E16" t="s">
        <v>550</v>
      </c>
      <c r="G16" s="1">
        <v>45302</v>
      </c>
      <c r="H16" s="1">
        <v>45302</v>
      </c>
      <c r="I16" t="s">
        <v>551</v>
      </c>
      <c r="J16" t="s">
        <v>550</v>
      </c>
      <c r="K16" t="s">
        <v>550</v>
      </c>
      <c r="L16" t="s">
        <v>552</v>
      </c>
      <c r="M16" t="s">
        <v>550</v>
      </c>
      <c r="O16" t="s">
        <v>550</v>
      </c>
      <c r="Q16" t="s">
        <v>550</v>
      </c>
      <c r="S16" t="s">
        <v>550</v>
      </c>
      <c r="T16" t="s">
        <v>550</v>
      </c>
      <c r="U16" t="s">
        <v>550</v>
      </c>
      <c r="V16" t="s">
        <v>604</v>
      </c>
      <c r="W16" t="s">
        <v>565</v>
      </c>
      <c r="X16" t="s">
        <v>258</v>
      </c>
      <c r="Y16" t="s">
        <v>248</v>
      </c>
      <c r="Z16" t="s">
        <v>602</v>
      </c>
    </row>
    <row r="17" spans="1:26" x14ac:dyDescent="0.3">
      <c r="A17" t="s">
        <v>525</v>
      </c>
      <c r="B17" t="s">
        <v>605</v>
      </c>
      <c r="C17" t="s">
        <v>606</v>
      </c>
      <c r="D17" t="s">
        <v>550</v>
      </c>
      <c r="E17" t="s">
        <v>550</v>
      </c>
      <c r="G17" s="1">
        <v>45302</v>
      </c>
      <c r="H17" s="1">
        <v>45302</v>
      </c>
      <c r="I17" t="s">
        <v>551</v>
      </c>
      <c r="J17" t="s">
        <v>550</v>
      </c>
      <c r="K17" t="s">
        <v>550</v>
      </c>
      <c r="L17" t="s">
        <v>552</v>
      </c>
      <c r="M17" t="s">
        <v>550</v>
      </c>
      <c r="O17" t="s">
        <v>550</v>
      </c>
      <c r="Q17" t="s">
        <v>550</v>
      </c>
      <c r="S17" t="s">
        <v>550</v>
      </c>
      <c r="T17" t="s">
        <v>550</v>
      </c>
      <c r="U17" t="s">
        <v>550</v>
      </c>
      <c r="V17" t="s">
        <v>607</v>
      </c>
      <c r="W17" t="s">
        <v>565</v>
      </c>
      <c r="X17" t="s">
        <v>258</v>
      </c>
      <c r="Y17" t="s">
        <v>253</v>
      </c>
      <c r="Z17" t="s">
        <v>605</v>
      </c>
    </row>
    <row r="18" spans="1:26" x14ac:dyDescent="0.3">
      <c r="A18" t="s">
        <v>525</v>
      </c>
      <c r="B18" t="s">
        <v>263</v>
      </c>
      <c r="C18" t="s">
        <v>608</v>
      </c>
      <c r="D18" t="s">
        <v>550</v>
      </c>
      <c r="E18" t="s">
        <v>550</v>
      </c>
      <c r="G18" s="1">
        <v>45302</v>
      </c>
      <c r="H18" s="1">
        <v>45302</v>
      </c>
      <c r="I18" t="s">
        <v>551</v>
      </c>
      <c r="J18" t="s">
        <v>550</v>
      </c>
      <c r="K18" t="s">
        <v>550</v>
      </c>
      <c r="L18" t="s">
        <v>552</v>
      </c>
      <c r="M18" t="s">
        <v>550</v>
      </c>
      <c r="O18" t="s">
        <v>550</v>
      </c>
      <c r="Q18" t="s">
        <v>550</v>
      </c>
      <c r="S18" t="s">
        <v>550</v>
      </c>
      <c r="T18" t="s">
        <v>550</v>
      </c>
      <c r="U18" t="s">
        <v>550</v>
      </c>
      <c r="V18" t="s">
        <v>609</v>
      </c>
      <c r="W18" t="s">
        <v>565</v>
      </c>
      <c r="X18" t="s">
        <v>263</v>
      </c>
      <c r="Z18" t="s">
        <v>610</v>
      </c>
    </row>
    <row r="19" spans="1:26" x14ac:dyDescent="0.3">
      <c r="A19" t="s">
        <v>525</v>
      </c>
      <c r="B19" t="s">
        <v>267</v>
      </c>
      <c r="C19" t="s">
        <v>611</v>
      </c>
      <c r="D19" t="s">
        <v>550</v>
      </c>
      <c r="E19" t="s">
        <v>550</v>
      </c>
      <c r="G19" s="1">
        <v>45302</v>
      </c>
      <c r="H19" s="1">
        <v>45302</v>
      </c>
      <c r="I19" t="s">
        <v>551</v>
      </c>
      <c r="J19" t="s">
        <v>550</v>
      </c>
      <c r="K19" t="s">
        <v>550</v>
      </c>
      <c r="L19" t="s">
        <v>552</v>
      </c>
      <c r="M19" t="s">
        <v>550</v>
      </c>
      <c r="O19" t="s">
        <v>550</v>
      </c>
      <c r="Q19" t="s">
        <v>550</v>
      </c>
      <c r="S19" t="s">
        <v>550</v>
      </c>
      <c r="T19" t="s">
        <v>550</v>
      </c>
      <c r="U19" t="s">
        <v>550</v>
      </c>
      <c r="V19" t="s">
        <v>612</v>
      </c>
      <c r="W19" t="s">
        <v>613</v>
      </c>
      <c r="X19" t="s">
        <v>267</v>
      </c>
      <c r="Z19" t="s">
        <v>614</v>
      </c>
    </row>
    <row r="20" spans="1:26" x14ac:dyDescent="0.3">
      <c r="A20" t="s">
        <v>525</v>
      </c>
      <c r="B20" t="s">
        <v>259</v>
      </c>
      <c r="C20" t="s">
        <v>615</v>
      </c>
      <c r="D20" t="s">
        <v>550</v>
      </c>
      <c r="E20" t="s">
        <v>550</v>
      </c>
      <c r="G20" s="1">
        <v>45302</v>
      </c>
      <c r="H20" s="1">
        <v>45302</v>
      </c>
      <c r="I20" t="s">
        <v>551</v>
      </c>
      <c r="J20" t="s">
        <v>550</v>
      </c>
      <c r="K20" t="s">
        <v>550</v>
      </c>
      <c r="L20" t="s">
        <v>552</v>
      </c>
      <c r="M20" t="s">
        <v>550</v>
      </c>
      <c r="O20" t="s">
        <v>550</v>
      </c>
      <c r="Q20" t="s">
        <v>550</v>
      </c>
      <c r="S20" t="s">
        <v>550</v>
      </c>
      <c r="T20" t="s">
        <v>550</v>
      </c>
      <c r="U20" t="s">
        <v>550</v>
      </c>
      <c r="V20" t="s">
        <v>616</v>
      </c>
      <c r="W20" t="s">
        <v>613</v>
      </c>
      <c r="X20" t="s">
        <v>267</v>
      </c>
      <c r="Y20" t="s">
        <v>259</v>
      </c>
      <c r="Z20" t="s">
        <v>617</v>
      </c>
    </row>
    <row r="21" spans="1:26" x14ac:dyDescent="0.3">
      <c r="A21" t="s">
        <v>525</v>
      </c>
      <c r="B21" t="s">
        <v>618</v>
      </c>
      <c r="C21" t="s">
        <v>619</v>
      </c>
      <c r="D21" t="s">
        <v>550</v>
      </c>
      <c r="E21" t="s">
        <v>550</v>
      </c>
      <c r="G21" s="1">
        <v>45322</v>
      </c>
      <c r="H21" s="1">
        <v>45322</v>
      </c>
      <c r="I21" t="s">
        <v>551</v>
      </c>
      <c r="J21" t="s">
        <v>550</v>
      </c>
      <c r="K21" t="s">
        <v>550</v>
      </c>
      <c r="L21" t="s">
        <v>552</v>
      </c>
      <c r="M21" t="s">
        <v>550</v>
      </c>
      <c r="O21" t="s">
        <v>550</v>
      </c>
      <c r="Q21" t="s">
        <v>550</v>
      </c>
      <c r="S21" t="s">
        <v>550</v>
      </c>
      <c r="T21" t="s">
        <v>550</v>
      </c>
      <c r="U21" t="s">
        <v>550</v>
      </c>
      <c r="V21" t="s">
        <v>620</v>
      </c>
      <c r="W21" t="s">
        <v>613</v>
      </c>
      <c r="X21" t="s">
        <v>267</v>
      </c>
      <c r="Y21" t="s">
        <v>268</v>
      </c>
      <c r="Z21" t="s">
        <v>618</v>
      </c>
    </row>
    <row r="22" spans="1:26" x14ac:dyDescent="0.3">
      <c r="A22" t="s">
        <v>525</v>
      </c>
      <c r="B22" t="s">
        <v>621</v>
      </c>
      <c r="C22" t="s">
        <v>622</v>
      </c>
      <c r="D22" t="s">
        <v>550</v>
      </c>
      <c r="E22" t="s">
        <v>550</v>
      </c>
      <c r="G22" s="1">
        <v>45292</v>
      </c>
      <c r="H22" s="1">
        <v>45292</v>
      </c>
      <c r="I22" t="s">
        <v>551</v>
      </c>
      <c r="J22" t="s">
        <v>550</v>
      </c>
      <c r="K22" t="s">
        <v>550</v>
      </c>
      <c r="L22" t="s">
        <v>552</v>
      </c>
      <c r="M22" t="s">
        <v>550</v>
      </c>
      <c r="O22" t="s">
        <v>550</v>
      </c>
      <c r="Q22" t="s">
        <v>550</v>
      </c>
      <c r="S22" t="s">
        <v>550</v>
      </c>
      <c r="T22" t="s">
        <v>550</v>
      </c>
      <c r="U22" t="s">
        <v>550</v>
      </c>
      <c r="V22" t="s">
        <v>623</v>
      </c>
      <c r="W22" t="s">
        <v>613</v>
      </c>
      <c r="X22" t="s">
        <v>267</v>
      </c>
      <c r="Y22" t="s">
        <v>268</v>
      </c>
      <c r="Z22" t="s">
        <v>621</v>
      </c>
    </row>
    <row r="23" spans="1:26" x14ac:dyDescent="0.3">
      <c r="A23" t="s">
        <v>525</v>
      </c>
      <c r="B23" t="s">
        <v>624</v>
      </c>
      <c r="C23" t="s">
        <v>625</v>
      </c>
      <c r="D23" t="s">
        <v>550</v>
      </c>
      <c r="E23" t="s">
        <v>550</v>
      </c>
      <c r="G23" s="1">
        <v>45292</v>
      </c>
      <c r="H23" s="1">
        <v>45292</v>
      </c>
      <c r="I23" t="s">
        <v>551</v>
      </c>
      <c r="J23" t="s">
        <v>550</v>
      </c>
      <c r="K23" t="s">
        <v>550</v>
      </c>
      <c r="L23" t="s">
        <v>552</v>
      </c>
      <c r="M23" t="s">
        <v>550</v>
      </c>
      <c r="O23" t="s">
        <v>550</v>
      </c>
      <c r="Q23" t="s">
        <v>550</v>
      </c>
      <c r="S23" t="s">
        <v>550</v>
      </c>
      <c r="T23" t="s">
        <v>550</v>
      </c>
      <c r="U23" t="s">
        <v>550</v>
      </c>
      <c r="V23" t="s">
        <v>626</v>
      </c>
      <c r="W23" t="s">
        <v>613</v>
      </c>
      <c r="X23" t="s">
        <v>276</v>
      </c>
      <c r="Z23" t="s">
        <v>624</v>
      </c>
    </row>
    <row r="24" spans="1:26" x14ac:dyDescent="0.3">
      <c r="A24" t="s">
        <v>525</v>
      </c>
      <c r="B24" t="s">
        <v>627</v>
      </c>
      <c r="C24" t="s">
        <v>628</v>
      </c>
      <c r="D24" t="s">
        <v>550</v>
      </c>
      <c r="E24" t="s">
        <v>550</v>
      </c>
      <c r="G24" s="1">
        <v>45302</v>
      </c>
      <c r="H24" s="1">
        <v>45302</v>
      </c>
      <c r="I24" t="s">
        <v>551</v>
      </c>
      <c r="J24" t="s">
        <v>550</v>
      </c>
      <c r="K24" t="s">
        <v>550</v>
      </c>
      <c r="L24" t="s">
        <v>552</v>
      </c>
      <c r="M24" t="s">
        <v>550</v>
      </c>
      <c r="O24" t="s">
        <v>550</v>
      </c>
      <c r="Q24" t="s">
        <v>550</v>
      </c>
      <c r="S24" t="s">
        <v>550</v>
      </c>
      <c r="T24" t="s">
        <v>550</v>
      </c>
      <c r="U24" t="s">
        <v>550</v>
      </c>
      <c r="V24" t="s">
        <v>629</v>
      </c>
      <c r="W24" t="s">
        <v>613</v>
      </c>
      <c r="X24" t="s">
        <v>263</v>
      </c>
      <c r="Z24" t="s">
        <v>627</v>
      </c>
    </row>
    <row r="25" spans="1:26" x14ac:dyDescent="0.3">
      <c r="A25" t="s">
        <v>525</v>
      </c>
      <c r="B25" t="s">
        <v>630</v>
      </c>
      <c r="C25" t="s">
        <v>631</v>
      </c>
      <c r="D25" t="s">
        <v>550</v>
      </c>
      <c r="E25" t="s">
        <v>550</v>
      </c>
      <c r="G25" s="1">
        <v>45302</v>
      </c>
      <c r="H25" s="1">
        <v>45302</v>
      </c>
      <c r="I25" t="s">
        <v>551</v>
      </c>
      <c r="J25" t="s">
        <v>550</v>
      </c>
      <c r="K25" t="s">
        <v>550</v>
      </c>
      <c r="L25" t="s">
        <v>552</v>
      </c>
      <c r="M25" t="s">
        <v>550</v>
      </c>
      <c r="O25" t="s">
        <v>550</v>
      </c>
      <c r="Q25" t="s">
        <v>550</v>
      </c>
      <c r="S25" t="s">
        <v>550</v>
      </c>
      <c r="T25" t="s">
        <v>550</v>
      </c>
      <c r="U25" t="s">
        <v>550</v>
      </c>
      <c r="V25" t="s">
        <v>632</v>
      </c>
      <c r="W25" t="s">
        <v>613</v>
      </c>
      <c r="X25" t="s">
        <v>281</v>
      </c>
      <c r="Y25" t="s">
        <v>290</v>
      </c>
      <c r="Z25" t="s">
        <v>630</v>
      </c>
    </row>
    <row r="26" spans="1:26" x14ac:dyDescent="0.3">
      <c r="A26" t="s">
        <v>525</v>
      </c>
      <c r="B26" t="s">
        <v>633</v>
      </c>
      <c r="C26" t="s">
        <v>634</v>
      </c>
      <c r="D26" t="s">
        <v>550</v>
      </c>
      <c r="E26" t="s">
        <v>550</v>
      </c>
      <c r="G26" s="1">
        <v>45292</v>
      </c>
      <c r="H26" s="1">
        <v>45292</v>
      </c>
      <c r="I26" t="s">
        <v>551</v>
      </c>
      <c r="J26" t="s">
        <v>550</v>
      </c>
      <c r="K26" t="s">
        <v>635</v>
      </c>
      <c r="L26" t="s">
        <v>552</v>
      </c>
      <c r="M26" t="s">
        <v>550</v>
      </c>
      <c r="O26" t="s">
        <v>550</v>
      </c>
      <c r="Q26" t="s">
        <v>550</v>
      </c>
      <c r="S26" t="s">
        <v>550</v>
      </c>
      <c r="T26" t="s">
        <v>550</v>
      </c>
      <c r="U26" t="s">
        <v>550</v>
      </c>
      <c r="V26" t="s">
        <v>636</v>
      </c>
      <c r="W26" t="s">
        <v>613</v>
      </c>
      <c r="X26" t="s">
        <v>281</v>
      </c>
      <c r="Y26" t="s">
        <v>293</v>
      </c>
      <c r="Z26" t="s">
        <v>633</v>
      </c>
    </row>
    <row r="27" spans="1:26" x14ac:dyDescent="0.3">
      <c r="A27" t="s">
        <v>525</v>
      </c>
      <c r="B27" t="s">
        <v>637</v>
      </c>
      <c r="C27" t="s">
        <v>638</v>
      </c>
      <c r="D27" t="s">
        <v>550</v>
      </c>
      <c r="E27" t="s">
        <v>550</v>
      </c>
      <c r="G27" s="1">
        <v>45302</v>
      </c>
      <c r="H27" s="1">
        <v>45302</v>
      </c>
      <c r="I27" t="s">
        <v>551</v>
      </c>
      <c r="J27" t="s">
        <v>550</v>
      </c>
      <c r="K27" t="s">
        <v>550</v>
      </c>
      <c r="L27" t="s">
        <v>552</v>
      </c>
      <c r="M27" t="s">
        <v>550</v>
      </c>
      <c r="O27" t="s">
        <v>550</v>
      </c>
      <c r="Q27" t="s">
        <v>550</v>
      </c>
      <c r="S27" t="s">
        <v>550</v>
      </c>
      <c r="T27" t="s">
        <v>550</v>
      </c>
      <c r="U27" t="s">
        <v>550</v>
      </c>
      <c r="V27" t="s">
        <v>639</v>
      </c>
      <c r="W27" t="s">
        <v>613</v>
      </c>
      <c r="X27" t="s">
        <v>281</v>
      </c>
      <c r="Y27" t="s">
        <v>297</v>
      </c>
      <c r="Z27" t="s">
        <v>637</v>
      </c>
    </row>
    <row r="28" spans="1:26" x14ac:dyDescent="0.3">
      <c r="A28" t="s">
        <v>525</v>
      </c>
      <c r="B28" t="s">
        <v>640</v>
      </c>
      <c r="C28" t="s">
        <v>641</v>
      </c>
      <c r="D28" t="s">
        <v>550</v>
      </c>
      <c r="E28" t="s">
        <v>550</v>
      </c>
      <c r="G28" s="1">
        <v>45292</v>
      </c>
      <c r="H28" s="1">
        <v>45292</v>
      </c>
      <c r="I28" t="s">
        <v>551</v>
      </c>
      <c r="J28" t="s">
        <v>550</v>
      </c>
      <c r="K28" t="s">
        <v>550</v>
      </c>
      <c r="L28" t="s">
        <v>552</v>
      </c>
      <c r="M28" t="s">
        <v>550</v>
      </c>
      <c r="O28" t="s">
        <v>550</v>
      </c>
      <c r="Q28" t="s">
        <v>550</v>
      </c>
      <c r="S28" t="s">
        <v>550</v>
      </c>
      <c r="T28" t="s">
        <v>550</v>
      </c>
      <c r="U28" t="s">
        <v>550</v>
      </c>
      <c r="V28" t="s">
        <v>642</v>
      </c>
      <c r="W28" t="s">
        <v>613</v>
      </c>
      <c r="X28" t="s">
        <v>281</v>
      </c>
      <c r="Y28" t="s">
        <v>306</v>
      </c>
      <c r="Z28" t="s">
        <v>640</v>
      </c>
    </row>
    <row r="29" spans="1:26" x14ac:dyDescent="0.3">
      <c r="A29" t="s">
        <v>525</v>
      </c>
      <c r="B29" t="s">
        <v>643</v>
      </c>
      <c r="C29" t="s">
        <v>644</v>
      </c>
      <c r="D29" t="s">
        <v>550</v>
      </c>
      <c r="E29" t="s">
        <v>550</v>
      </c>
      <c r="G29" s="1">
        <v>45302</v>
      </c>
      <c r="H29" s="1">
        <v>45302</v>
      </c>
      <c r="I29" t="s">
        <v>551</v>
      </c>
      <c r="J29" t="s">
        <v>550</v>
      </c>
      <c r="K29" t="s">
        <v>550</v>
      </c>
      <c r="L29" t="s">
        <v>552</v>
      </c>
      <c r="M29" t="s">
        <v>550</v>
      </c>
      <c r="O29" t="s">
        <v>550</v>
      </c>
      <c r="Q29" t="s">
        <v>550</v>
      </c>
      <c r="S29" t="s">
        <v>550</v>
      </c>
      <c r="T29" t="s">
        <v>550</v>
      </c>
      <c r="U29" t="s">
        <v>550</v>
      </c>
      <c r="V29" t="s">
        <v>645</v>
      </c>
      <c r="W29" t="s">
        <v>613</v>
      </c>
      <c r="X29" t="s">
        <v>281</v>
      </c>
      <c r="Y29" t="s">
        <v>301</v>
      </c>
      <c r="Z29" t="s">
        <v>643</v>
      </c>
    </row>
    <row r="30" spans="1:26" x14ac:dyDescent="0.3">
      <c r="A30" t="s">
        <v>525</v>
      </c>
      <c r="B30" t="s">
        <v>646</v>
      </c>
      <c r="C30" t="s">
        <v>647</v>
      </c>
      <c r="D30" t="s">
        <v>550</v>
      </c>
      <c r="E30" t="s">
        <v>550</v>
      </c>
      <c r="G30" s="1">
        <v>45302</v>
      </c>
      <c r="H30" s="1">
        <v>45302</v>
      </c>
      <c r="I30" t="s">
        <v>551</v>
      </c>
      <c r="J30" t="s">
        <v>550</v>
      </c>
      <c r="K30" t="s">
        <v>550</v>
      </c>
      <c r="L30" t="s">
        <v>552</v>
      </c>
      <c r="M30" t="s">
        <v>550</v>
      </c>
      <c r="O30" t="s">
        <v>550</v>
      </c>
      <c r="Q30" t="s">
        <v>550</v>
      </c>
      <c r="S30" t="s">
        <v>550</v>
      </c>
      <c r="T30" t="s">
        <v>550</v>
      </c>
      <c r="U30" t="s">
        <v>550</v>
      </c>
      <c r="V30" t="s">
        <v>648</v>
      </c>
      <c r="W30" t="s">
        <v>613</v>
      </c>
      <c r="X30" t="s">
        <v>281</v>
      </c>
      <c r="Y30" t="s">
        <v>305</v>
      </c>
      <c r="Z30" t="s">
        <v>646</v>
      </c>
    </row>
    <row r="31" spans="1:26" x14ac:dyDescent="0.3">
      <c r="A31" t="s">
        <v>525</v>
      </c>
      <c r="B31" t="s">
        <v>649</v>
      </c>
      <c r="C31" t="s">
        <v>650</v>
      </c>
      <c r="D31" t="s">
        <v>550</v>
      </c>
      <c r="E31" t="s">
        <v>550</v>
      </c>
      <c r="G31" s="1">
        <v>45302</v>
      </c>
      <c r="H31" s="1">
        <v>45302</v>
      </c>
      <c r="I31" t="s">
        <v>551</v>
      </c>
      <c r="J31" t="s">
        <v>550</v>
      </c>
      <c r="K31" t="s">
        <v>550</v>
      </c>
      <c r="L31" t="s">
        <v>552</v>
      </c>
      <c r="M31" t="s">
        <v>550</v>
      </c>
      <c r="O31" t="s">
        <v>550</v>
      </c>
      <c r="Q31" t="s">
        <v>550</v>
      </c>
      <c r="S31" t="s">
        <v>550</v>
      </c>
      <c r="T31" t="s">
        <v>550</v>
      </c>
      <c r="U31" t="s">
        <v>550</v>
      </c>
      <c r="V31" t="s">
        <v>651</v>
      </c>
      <c r="W31" t="s">
        <v>613</v>
      </c>
      <c r="X31" t="s">
        <v>281</v>
      </c>
      <c r="Y31" t="s">
        <v>312</v>
      </c>
      <c r="Z31" t="s">
        <v>649</v>
      </c>
    </row>
    <row r="32" spans="1:26" x14ac:dyDescent="0.3">
      <c r="A32" t="s">
        <v>525</v>
      </c>
      <c r="B32" t="s">
        <v>652</v>
      </c>
      <c r="C32" t="s">
        <v>653</v>
      </c>
      <c r="D32" t="s">
        <v>550</v>
      </c>
      <c r="E32" t="s">
        <v>550</v>
      </c>
      <c r="G32" s="1">
        <v>45302</v>
      </c>
      <c r="H32" s="1">
        <v>45302</v>
      </c>
      <c r="I32" t="s">
        <v>551</v>
      </c>
      <c r="J32" t="s">
        <v>550</v>
      </c>
      <c r="K32" t="s">
        <v>550</v>
      </c>
      <c r="L32" t="s">
        <v>552</v>
      </c>
      <c r="M32" t="s">
        <v>550</v>
      </c>
      <c r="O32" t="s">
        <v>550</v>
      </c>
      <c r="Q32" t="s">
        <v>550</v>
      </c>
      <c r="S32" t="s">
        <v>550</v>
      </c>
      <c r="T32" t="s">
        <v>550</v>
      </c>
      <c r="U32" t="s">
        <v>550</v>
      </c>
      <c r="V32" t="s">
        <v>654</v>
      </c>
      <c r="W32" t="s">
        <v>613</v>
      </c>
      <c r="X32" t="s">
        <v>281</v>
      </c>
      <c r="Y32" t="s">
        <v>655</v>
      </c>
      <c r="Z32" t="s">
        <v>652</v>
      </c>
    </row>
    <row r="33" spans="1:26" x14ac:dyDescent="0.3">
      <c r="A33" t="s">
        <v>525</v>
      </c>
      <c r="B33" t="s">
        <v>656</v>
      </c>
      <c r="C33" t="s">
        <v>657</v>
      </c>
      <c r="D33" t="s">
        <v>550</v>
      </c>
      <c r="E33" t="s">
        <v>550</v>
      </c>
      <c r="G33" s="1">
        <v>45302</v>
      </c>
      <c r="H33" s="1">
        <v>45302</v>
      </c>
      <c r="I33" t="s">
        <v>551</v>
      </c>
      <c r="J33" t="s">
        <v>550</v>
      </c>
      <c r="K33" t="s">
        <v>550</v>
      </c>
      <c r="L33" t="s">
        <v>552</v>
      </c>
      <c r="M33" t="s">
        <v>550</v>
      </c>
      <c r="O33" t="s">
        <v>550</v>
      </c>
      <c r="Q33" t="s">
        <v>550</v>
      </c>
      <c r="S33" t="s">
        <v>550</v>
      </c>
      <c r="T33" t="s">
        <v>550</v>
      </c>
      <c r="U33" t="s">
        <v>550</v>
      </c>
      <c r="V33" t="s">
        <v>658</v>
      </c>
      <c r="W33" t="s">
        <v>613</v>
      </c>
      <c r="X33" t="s">
        <v>281</v>
      </c>
      <c r="Y33" t="s">
        <v>314</v>
      </c>
      <c r="Z33" t="s">
        <v>656</v>
      </c>
    </row>
    <row r="34" spans="1:26" x14ac:dyDescent="0.3">
      <c r="A34" t="s">
        <v>525</v>
      </c>
      <c r="B34" t="s">
        <v>659</v>
      </c>
      <c r="C34" t="s">
        <v>660</v>
      </c>
      <c r="D34" t="s">
        <v>550</v>
      </c>
      <c r="E34" t="s">
        <v>550</v>
      </c>
      <c r="G34" s="1">
        <v>45302</v>
      </c>
      <c r="H34" s="1">
        <v>45302</v>
      </c>
      <c r="I34" t="s">
        <v>551</v>
      </c>
      <c r="J34" t="s">
        <v>550</v>
      </c>
      <c r="K34" t="s">
        <v>550</v>
      </c>
      <c r="L34" t="s">
        <v>552</v>
      </c>
      <c r="M34" t="s">
        <v>550</v>
      </c>
      <c r="O34" t="s">
        <v>550</v>
      </c>
      <c r="Q34" t="s">
        <v>550</v>
      </c>
      <c r="S34" t="s">
        <v>550</v>
      </c>
      <c r="T34" t="s">
        <v>550</v>
      </c>
      <c r="U34" t="s">
        <v>550</v>
      </c>
      <c r="V34" t="s">
        <v>661</v>
      </c>
      <c r="W34" t="s">
        <v>613</v>
      </c>
      <c r="X34" t="s">
        <v>281</v>
      </c>
      <c r="Z34" t="s">
        <v>659</v>
      </c>
    </row>
    <row r="35" spans="1:26" x14ac:dyDescent="0.3">
      <c r="A35" t="s">
        <v>525</v>
      </c>
      <c r="B35" t="s">
        <v>662</v>
      </c>
      <c r="C35" t="s">
        <v>663</v>
      </c>
      <c r="D35" t="s">
        <v>550</v>
      </c>
      <c r="E35" t="s">
        <v>664</v>
      </c>
      <c r="F35" t="s">
        <v>27</v>
      </c>
      <c r="G35" s="1">
        <v>42737</v>
      </c>
      <c r="H35" s="1">
        <v>43465</v>
      </c>
      <c r="I35" t="s">
        <v>665</v>
      </c>
      <c r="J35" t="s">
        <v>666</v>
      </c>
      <c r="K35" t="s">
        <v>24</v>
      </c>
      <c r="L35" t="s">
        <v>667</v>
      </c>
      <c r="M35" t="s">
        <v>550</v>
      </c>
      <c r="O35" t="s">
        <v>550</v>
      </c>
      <c r="Q35" t="s">
        <v>550</v>
      </c>
      <c r="S35" t="s">
        <v>550</v>
      </c>
      <c r="T35" t="s">
        <v>550</v>
      </c>
      <c r="U35" t="s">
        <v>550</v>
      </c>
      <c r="V35" t="s">
        <v>668</v>
      </c>
      <c r="X35" t="s">
        <v>669</v>
      </c>
      <c r="Z35" t="s">
        <v>662</v>
      </c>
    </row>
    <row r="36" spans="1:26" x14ac:dyDescent="0.3">
      <c r="A36" t="s">
        <v>525</v>
      </c>
      <c r="B36" t="s">
        <v>670</v>
      </c>
      <c r="C36" t="s">
        <v>671</v>
      </c>
      <c r="D36" t="s">
        <v>550</v>
      </c>
      <c r="E36" t="s">
        <v>664</v>
      </c>
      <c r="F36" t="s">
        <v>27</v>
      </c>
      <c r="G36" s="1">
        <v>42737</v>
      </c>
      <c r="H36" s="1">
        <v>43465</v>
      </c>
      <c r="I36" t="s">
        <v>665</v>
      </c>
      <c r="J36" t="s">
        <v>666</v>
      </c>
      <c r="K36" t="s">
        <v>24</v>
      </c>
      <c r="L36" t="s">
        <v>667</v>
      </c>
      <c r="M36" t="s">
        <v>550</v>
      </c>
      <c r="O36" t="s">
        <v>550</v>
      </c>
      <c r="Q36" t="s">
        <v>550</v>
      </c>
      <c r="S36" t="s">
        <v>550</v>
      </c>
      <c r="T36" t="s">
        <v>550</v>
      </c>
      <c r="U36" t="s">
        <v>550</v>
      </c>
      <c r="V36" t="s">
        <v>672</v>
      </c>
      <c r="X36" t="s">
        <v>669</v>
      </c>
      <c r="Z36" t="s">
        <v>670</v>
      </c>
    </row>
    <row r="37" spans="1:26" x14ac:dyDescent="0.3">
      <c r="A37" t="s">
        <v>525</v>
      </c>
      <c r="B37" t="s">
        <v>673</v>
      </c>
      <c r="C37" t="s">
        <v>674</v>
      </c>
      <c r="D37" t="s">
        <v>550</v>
      </c>
      <c r="E37" t="s">
        <v>664</v>
      </c>
      <c r="F37" t="s">
        <v>27</v>
      </c>
      <c r="G37" s="1">
        <v>42737</v>
      </c>
      <c r="H37" s="1">
        <v>43465</v>
      </c>
      <c r="I37" t="s">
        <v>665</v>
      </c>
      <c r="J37" t="s">
        <v>666</v>
      </c>
      <c r="K37" t="s">
        <v>24</v>
      </c>
      <c r="L37" t="s">
        <v>667</v>
      </c>
      <c r="M37" t="s">
        <v>550</v>
      </c>
      <c r="O37" t="s">
        <v>550</v>
      </c>
      <c r="Q37" t="s">
        <v>550</v>
      </c>
      <c r="S37" t="s">
        <v>550</v>
      </c>
      <c r="T37" t="s">
        <v>550</v>
      </c>
      <c r="U37" t="s">
        <v>550</v>
      </c>
      <c r="V37" t="s">
        <v>675</v>
      </c>
      <c r="X37" t="s">
        <v>669</v>
      </c>
      <c r="Z37" t="s">
        <v>673</v>
      </c>
    </row>
    <row r="38" spans="1:26" x14ac:dyDescent="0.3">
      <c r="A38" t="s">
        <v>525</v>
      </c>
      <c r="B38" t="s">
        <v>676</v>
      </c>
      <c r="C38" t="s">
        <v>677</v>
      </c>
      <c r="D38" t="s">
        <v>550</v>
      </c>
      <c r="E38" t="s">
        <v>664</v>
      </c>
      <c r="F38" t="s">
        <v>27</v>
      </c>
      <c r="G38" s="1">
        <v>42737</v>
      </c>
      <c r="H38" s="1">
        <v>43465</v>
      </c>
      <c r="I38" t="s">
        <v>665</v>
      </c>
      <c r="J38" t="s">
        <v>666</v>
      </c>
      <c r="K38" t="s">
        <v>24</v>
      </c>
      <c r="L38" t="s">
        <v>667</v>
      </c>
      <c r="M38" t="s">
        <v>550</v>
      </c>
      <c r="O38" t="s">
        <v>550</v>
      </c>
      <c r="Q38" t="s">
        <v>550</v>
      </c>
      <c r="S38" t="s">
        <v>550</v>
      </c>
      <c r="T38" t="s">
        <v>550</v>
      </c>
      <c r="U38" t="s">
        <v>550</v>
      </c>
      <c r="V38" t="s">
        <v>678</v>
      </c>
      <c r="X38" t="s">
        <v>669</v>
      </c>
      <c r="Z38" t="s">
        <v>676</v>
      </c>
    </row>
    <row r="39" spans="1:26" x14ac:dyDescent="0.3">
      <c r="A39" t="s">
        <v>525</v>
      </c>
      <c r="B39" t="s">
        <v>679</v>
      </c>
      <c r="C39" t="s">
        <v>680</v>
      </c>
      <c r="D39" t="s">
        <v>550</v>
      </c>
      <c r="E39" t="s">
        <v>664</v>
      </c>
      <c r="F39" t="s">
        <v>27</v>
      </c>
      <c r="G39" s="1">
        <v>42737</v>
      </c>
      <c r="H39" s="1">
        <v>43465</v>
      </c>
      <c r="I39" t="s">
        <v>665</v>
      </c>
      <c r="J39" t="s">
        <v>666</v>
      </c>
      <c r="K39" t="s">
        <v>24</v>
      </c>
      <c r="L39" t="s">
        <v>667</v>
      </c>
      <c r="M39" t="s">
        <v>550</v>
      </c>
      <c r="O39" t="s">
        <v>550</v>
      </c>
      <c r="Q39" t="s">
        <v>550</v>
      </c>
      <c r="S39" t="s">
        <v>550</v>
      </c>
      <c r="T39" t="s">
        <v>550</v>
      </c>
      <c r="U39" t="s">
        <v>550</v>
      </c>
      <c r="V39" t="s">
        <v>681</v>
      </c>
      <c r="X39" t="s">
        <v>669</v>
      </c>
      <c r="Z39" t="s">
        <v>679</v>
      </c>
    </row>
    <row r="40" spans="1:26" x14ac:dyDescent="0.3">
      <c r="A40" t="s">
        <v>525</v>
      </c>
      <c r="B40" t="s">
        <v>682</v>
      </c>
      <c r="C40" t="s">
        <v>683</v>
      </c>
      <c r="D40" t="s">
        <v>550</v>
      </c>
      <c r="E40" t="s">
        <v>664</v>
      </c>
      <c r="F40" t="s">
        <v>27</v>
      </c>
      <c r="G40" s="1">
        <v>42737</v>
      </c>
      <c r="H40" s="1">
        <v>43465</v>
      </c>
      <c r="I40" t="s">
        <v>665</v>
      </c>
      <c r="J40" t="s">
        <v>666</v>
      </c>
      <c r="K40" t="s">
        <v>24</v>
      </c>
      <c r="L40" t="s">
        <v>667</v>
      </c>
      <c r="M40" t="s">
        <v>550</v>
      </c>
      <c r="O40" t="s">
        <v>550</v>
      </c>
      <c r="Q40" t="s">
        <v>550</v>
      </c>
      <c r="S40" t="s">
        <v>550</v>
      </c>
      <c r="T40" t="s">
        <v>550</v>
      </c>
      <c r="U40" t="s">
        <v>550</v>
      </c>
      <c r="V40" t="s">
        <v>684</v>
      </c>
      <c r="X40" t="s">
        <v>669</v>
      </c>
      <c r="Z40" t="s">
        <v>682</v>
      </c>
    </row>
    <row r="41" spans="1:26" x14ac:dyDescent="0.3">
      <c r="A41" t="s">
        <v>525</v>
      </c>
      <c r="B41" t="s">
        <v>685</v>
      </c>
      <c r="C41" t="s">
        <v>686</v>
      </c>
      <c r="D41" t="s">
        <v>550</v>
      </c>
      <c r="E41" t="s">
        <v>664</v>
      </c>
      <c r="F41" t="s">
        <v>27</v>
      </c>
      <c r="G41" s="1">
        <v>42737</v>
      </c>
      <c r="H41" s="1">
        <v>43465</v>
      </c>
      <c r="I41" t="s">
        <v>665</v>
      </c>
      <c r="J41" t="s">
        <v>666</v>
      </c>
      <c r="K41" t="s">
        <v>24</v>
      </c>
      <c r="L41" t="s">
        <v>667</v>
      </c>
      <c r="M41" t="s">
        <v>550</v>
      </c>
      <c r="O41" t="s">
        <v>550</v>
      </c>
      <c r="Q41" t="s">
        <v>550</v>
      </c>
      <c r="S41" t="s">
        <v>550</v>
      </c>
      <c r="T41" t="s">
        <v>550</v>
      </c>
      <c r="U41" t="s">
        <v>550</v>
      </c>
      <c r="V41" t="s">
        <v>687</v>
      </c>
      <c r="X41" t="s">
        <v>669</v>
      </c>
      <c r="Z41" t="s">
        <v>685</v>
      </c>
    </row>
    <row r="42" spans="1:26" x14ac:dyDescent="0.3">
      <c r="A42" t="s">
        <v>525</v>
      </c>
      <c r="B42" t="s">
        <v>688</v>
      </c>
      <c r="C42" t="s">
        <v>689</v>
      </c>
      <c r="D42" t="s">
        <v>550</v>
      </c>
      <c r="E42" t="s">
        <v>664</v>
      </c>
      <c r="F42" t="s">
        <v>27</v>
      </c>
      <c r="G42" s="1">
        <v>42737</v>
      </c>
      <c r="H42" s="1">
        <v>43465</v>
      </c>
      <c r="I42" t="s">
        <v>665</v>
      </c>
      <c r="J42" t="s">
        <v>666</v>
      </c>
      <c r="K42" t="s">
        <v>24</v>
      </c>
      <c r="L42" t="s">
        <v>667</v>
      </c>
      <c r="M42" t="s">
        <v>550</v>
      </c>
      <c r="O42" t="s">
        <v>550</v>
      </c>
      <c r="Q42" t="s">
        <v>550</v>
      </c>
      <c r="S42" t="s">
        <v>550</v>
      </c>
      <c r="T42" t="s">
        <v>550</v>
      </c>
      <c r="U42" t="s">
        <v>550</v>
      </c>
      <c r="V42" t="s">
        <v>690</v>
      </c>
      <c r="X42" t="s">
        <v>669</v>
      </c>
      <c r="Z42" t="s">
        <v>688</v>
      </c>
    </row>
    <row r="43" spans="1:26" x14ac:dyDescent="0.3">
      <c r="A43" t="s">
        <v>525</v>
      </c>
      <c r="B43" t="s">
        <v>691</v>
      </c>
      <c r="C43" t="s">
        <v>692</v>
      </c>
      <c r="D43" t="s">
        <v>550</v>
      </c>
      <c r="E43" t="s">
        <v>664</v>
      </c>
      <c r="F43" t="s">
        <v>27</v>
      </c>
      <c r="G43" s="1">
        <v>42737</v>
      </c>
      <c r="H43" s="1">
        <v>43465</v>
      </c>
      <c r="I43" t="s">
        <v>665</v>
      </c>
      <c r="J43" t="s">
        <v>666</v>
      </c>
      <c r="K43" t="s">
        <v>24</v>
      </c>
      <c r="L43" t="s">
        <v>667</v>
      </c>
      <c r="M43" t="s">
        <v>550</v>
      </c>
      <c r="O43" t="s">
        <v>550</v>
      </c>
      <c r="Q43" t="s">
        <v>550</v>
      </c>
      <c r="S43" t="s">
        <v>550</v>
      </c>
      <c r="T43" t="s">
        <v>550</v>
      </c>
      <c r="U43" t="s">
        <v>550</v>
      </c>
      <c r="V43" t="s">
        <v>693</v>
      </c>
      <c r="X43" t="s">
        <v>669</v>
      </c>
      <c r="Z43" t="s">
        <v>691</v>
      </c>
    </row>
    <row r="44" spans="1:26" x14ac:dyDescent="0.3">
      <c r="A44" t="s">
        <v>525</v>
      </c>
      <c r="B44" t="s">
        <v>694</v>
      </c>
      <c r="C44" t="s">
        <v>695</v>
      </c>
      <c r="D44" t="s">
        <v>550</v>
      </c>
      <c r="E44" t="s">
        <v>664</v>
      </c>
      <c r="F44" t="s">
        <v>27</v>
      </c>
      <c r="G44" s="1">
        <v>42737</v>
      </c>
      <c r="H44" s="1">
        <v>43465</v>
      </c>
      <c r="I44" t="s">
        <v>665</v>
      </c>
      <c r="J44" t="s">
        <v>666</v>
      </c>
      <c r="K44" t="s">
        <v>24</v>
      </c>
      <c r="L44" t="s">
        <v>667</v>
      </c>
      <c r="M44" t="s">
        <v>550</v>
      </c>
      <c r="O44" t="s">
        <v>550</v>
      </c>
      <c r="Q44" t="s">
        <v>550</v>
      </c>
      <c r="S44" t="s">
        <v>550</v>
      </c>
      <c r="T44" t="s">
        <v>550</v>
      </c>
      <c r="U44" t="s">
        <v>550</v>
      </c>
      <c r="V44" t="s">
        <v>696</v>
      </c>
      <c r="X44" t="s">
        <v>669</v>
      </c>
      <c r="Z44" t="s">
        <v>694</v>
      </c>
    </row>
    <row r="45" spans="1:26" x14ac:dyDescent="0.3">
      <c r="A45" t="s">
        <v>525</v>
      </c>
      <c r="B45" t="s">
        <v>697</v>
      </c>
      <c r="C45" t="s">
        <v>698</v>
      </c>
      <c r="D45" t="s">
        <v>550</v>
      </c>
      <c r="E45" t="s">
        <v>664</v>
      </c>
      <c r="F45" t="s">
        <v>27</v>
      </c>
      <c r="G45" s="1">
        <v>42737</v>
      </c>
      <c r="H45" s="1">
        <v>43465</v>
      </c>
      <c r="I45" t="s">
        <v>665</v>
      </c>
      <c r="J45" t="s">
        <v>666</v>
      </c>
      <c r="K45" t="s">
        <v>24</v>
      </c>
      <c r="L45" t="s">
        <v>667</v>
      </c>
      <c r="M45" t="s">
        <v>550</v>
      </c>
      <c r="O45" t="s">
        <v>550</v>
      </c>
      <c r="Q45" t="s">
        <v>550</v>
      </c>
      <c r="S45" t="s">
        <v>550</v>
      </c>
      <c r="T45" t="s">
        <v>550</v>
      </c>
      <c r="U45" t="s">
        <v>550</v>
      </c>
      <c r="V45" t="s">
        <v>699</v>
      </c>
      <c r="X45" t="s">
        <v>669</v>
      </c>
      <c r="Z45" t="s">
        <v>697</v>
      </c>
    </row>
    <row r="46" spans="1:26" x14ac:dyDescent="0.3">
      <c r="A46" t="s">
        <v>525</v>
      </c>
      <c r="B46" t="s">
        <v>700</v>
      </c>
      <c r="C46" t="s">
        <v>701</v>
      </c>
      <c r="D46" t="s">
        <v>550</v>
      </c>
      <c r="E46" t="s">
        <v>664</v>
      </c>
      <c r="F46" t="s">
        <v>27</v>
      </c>
      <c r="G46" s="1">
        <v>42737</v>
      </c>
      <c r="H46" s="1">
        <v>43465</v>
      </c>
      <c r="I46" t="s">
        <v>665</v>
      </c>
      <c r="J46" t="s">
        <v>666</v>
      </c>
      <c r="K46" t="s">
        <v>24</v>
      </c>
      <c r="L46" t="s">
        <v>667</v>
      </c>
      <c r="M46" t="s">
        <v>550</v>
      </c>
      <c r="O46" t="s">
        <v>550</v>
      </c>
      <c r="Q46" t="s">
        <v>550</v>
      </c>
      <c r="S46" t="s">
        <v>550</v>
      </c>
      <c r="T46" t="s">
        <v>550</v>
      </c>
      <c r="U46" t="s">
        <v>550</v>
      </c>
      <c r="V46" t="s">
        <v>702</v>
      </c>
      <c r="X46" t="s">
        <v>669</v>
      </c>
      <c r="Z46" t="s">
        <v>700</v>
      </c>
    </row>
    <row r="47" spans="1:26" x14ac:dyDescent="0.3">
      <c r="A47" t="s">
        <v>525</v>
      </c>
      <c r="B47" t="s">
        <v>703</v>
      </c>
      <c r="C47" t="s">
        <v>704</v>
      </c>
      <c r="D47" t="s">
        <v>550</v>
      </c>
      <c r="E47" t="s">
        <v>664</v>
      </c>
      <c r="F47" t="s">
        <v>27</v>
      </c>
      <c r="G47" s="1">
        <v>42737</v>
      </c>
      <c r="H47" s="1">
        <v>43465</v>
      </c>
      <c r="I47" t="s">
        <v>665</v>
      </c>
      <c r="J47" t="s">
        <v>666</v>
      </c>
      <c r="K47" t="s">
        <v>24</v>
      </c>
      <c r="L47" t="s">
        <v>667</v>
      </c>
      <c r="M47" t="s">
        <v>550</v>
      </c>
      <c r="O47" t="s">
        <v>550</v>
      </c>
      <c r="Q47" t="s">
        <v>550</v>
      </c>
      <c r="S47" t="s">
        <v>550</v>
      </c>
      <c r="T47" t="s">
        <v>550</v>
      </c>
      <c r="U47" t="s">
        <v>550</v>
      </c>
      <c r="V47" t="s">
        <v>705</v>
      </c>
      <c r="X47" t="s">
        <v>669</v>
      </c>
      <c r="Z47" t="s">
        <v>703</v>
      </c>
    </row>
    <row r="48" spans="1:26" x14ac:dyDescent="0.3">
      <c r="A48" t="s">
        <v>525</v>
      </c>
      <c r="B48" t="s">
        <v>706</v>
      </c>
      <c r="C48" t="s">
        <v>707</v>
      </c>
      <c r="D48" t="s">
        <v>550</v>
      </c>
      <c r="E48" t="s">
        <v>664</v>
      </c>
      <c r="F48" t="s">
        <v>27</v>
      </c>
      <c r="G48" s="1">
        <v>42737</v>
      </c>
      <c r="H48" s="1">
        <v>43465</v>
      </c>
      <c r="I48" t="s">
        <v>665</v>
      </c>
      <c r="J48" t="s">
        <v>666</v>
      </c>
      <c r="K48" t="s">
        <v>24</v>
      </c>
      <c r="L48" t="s">
        <v>667</v>
      </c>
      <c r="M48" t="s">
        <v>550</v>
      </c>
      <c r="O48" t="s">
        <v>550</v>
      </c>
      <c r="Q48" t="s">
        <v>550</v>
      </c>
      <c r="S48" t="s">
        <v>550</v>
      </c>
      <c r="T48" t="s">
        <v>550</v>
      </c>
      <c r="U48" t="s">
        <v>550</v>
      </c>
      <c r="V48" t="s">
        <v>708</v>
      </c>
      <c r="X48" t="s">
        <v>669</v>
      </c>
      <c r="Z48" t="s">
        <v>706</v>
      </c>
    </row>
    <row r="49" spans="1:26" x14ac:dyDescent="0.3">
      <c r="A49" t="s">
        <v>525</v>
      </c>
      <c r="B49" t="s">
        <v>709</v>
      </c>
      <c r="C49" t="s">
        <v>710</v>
      </c>
      <c r="D49" t="s">
        <v>550</v>
      </c>
      <c r="E49" t="s">
        <v>664</v>
      </c>
      <c r="F49" t="s">
        <v>27</v>
      </c>
      <c r="G49" s="1">
        <v>42737</v>
      </c>
      <c r="H49" s="1">
        <v>43465</v>
      </c>
      <c r="I49" t="s">
        <v>665</v>
      </c>
      <c r="J49" t="s">
        <v>666</v>
      </c>
      <c r="K49" t="s">
        <v>24</v>
      </c>
      <c r="L49" t="s">
        <v>667</v>
      </c>
      <c r="M49" t="s">
        <v>550</v>
      </c>
      <c r="O49" t="s">
        <v>550</v>
      </c>
      <c r="Q49" t="s">
        <v>550</v>
      </c>
      <c r="S49" t="s">
        <v>550</v>
      </c>
      <c r="T49" t="s">
        <v>550</v>
      </c>
      <c r="U49" t="s">
        <v>550</v>
      </c>
      <c r="V49" t="s">
        <v>711</v>
      </c>
      <c r="X49" t="s">
        <v>669</v>
      </c>
      <c r="Z49" t="s">
        <v>709</v>
      </c>
    </row>
    <row r="50" spans="1:26" x14ac:dyDescent="0.3">
      <c r="A50" t="s">
        <v>525</v>
      </c>
      <c r="B50" t="s">
        <v>712</v>
      </c>
      <c r="C50" t="s">
        <v>713</v>
      </c>
      <c r="D50" t="s">
        <v>550</v>
      </c>
      <c r="E50" t="s">
        <v>664</v>
      </c>
      <c r="F50" t="s">
        <v>27</v>
      </c>
      <c r="G50" s="1">
        <v>42737</v>
      </c>
      <c r="H50" s="1">
        <v>43465</v>
      </c>
      <c r="I50" t="s">
        <v>665</v>
      </c>
      <c r="J50" t="s">
        <v>666</v>
      </c>
      <c r="K50" t="s">
        <v>24</v>
      </c>
      <c r="L50" t="s">
        <v>667</v>
      </c>
      <c r="M50" t="s">
        <v>550</v>
      </c>
      <c r="O50" t="s">
        <v>550</v>
      </c>
      <c r="Q50" t="s">
        <v>550</v>
      </c>
      <c r="S50" t="s">
        <v>550</v>
      </c>
      <c r="T50" t="s">
        <v>550</v>
      </c>
      <c r="U50" t="s">
        <v>550</v>
      </c>
      <c r="V50" t="s">
        <v>714</v>
      </c>
      <c r="X50" t="s">
        <v>669</v>
      </c>
      <c r="Z50" t="s">
        <v>712</v>
      </c>
    </row>
    <row r="51" spans="1:26" x14ac:dyDescent="0.3">
      <c r="A51" t="s">
        <v>525</v>
      </c>
      <c r="B51" t="s">
        <v>715</v>
      </c>
      <c r="C51" t="s">
        <v>716</v>
      </c>
      <c r="D51" t="s">
        <v>550</v>
      </c>
      <c r="E51" t="s">
        <v>664</v>
      </c>
      <c r="F51" t="s">
        <v>27</v>
      </c>
      <c r="G51" s="1">
        <v>42737</v>
      </c>
      <c r="H51" s="1">
        <v>43465</v>
      </c>
      <c r="I51" t="s">
        <v>665</v>
      </c>
      <c r="J51" t="s">
        <v>666</v>
      </c>
      <c r="K51" t="s">
        <v>24</v>
      </c>
      <c r="L51" t="s">
        <v>667</v>
      </c>
      <c r="M51" t="s">
        <v>550</v>
      </c>
      <c r="O51" t="s">
        <v>550</v>
      </c>
      <c r="Q51" t="s">
        <v>550</v>
      </c>
      <c r="S51" t="s">
        <v>550</v>
      </c>
      <c r="T51" t="s">
        <v>550</v>
      </c>
      <c r="U51" t="s">
        <v>550</v>
      </c>
      <c r="V51" t="s">
        <v>717</v>
      </c>
      <c r="X51" t="s">
        <v>669</v>
      </c>
      <c r="Z51" t="s">
        <v>715</v>
      </c>
    </row>
    <row r="52" spans="1:26" x14ac:dyDescent="0.3">
      <c r="A52" t="s">
        <v>525</v>
      </c>
      <c r="B52" t="s">
        <v>718</v>
      </c>
      <c r="C52" t="s">
        <v>719</v>
      </c>
      <c r="D52" t="s">
        <v>550</v>
      </c>
      <c r="E52" t="s">
        <v>664</v>
      </c>
      <c r="F52" t="s">
        <v>27</v>
      </c>
      <c r="G52" s="1">
        <v>42737</v>
      </c>
      <c r="H52" s="1">
        <v>43465</v>
      </c>
      <c r="I52" t="s">
        <v>665</v>
      </c>
      <c r="J52" t="s">
        <v>666</v>
      </c>
      <c r="K52" t="s">
        <v>24</v>
      </c>
      <c r="L52" t="s">
        <v>667</v>
      </c>
      <c r="M52" t="s">
        <v>550</v>
      </c>
      <c r="O52" t="s">
        <v>550</v>
      </c>
      <c r="Q52" t="s">
        <v>550</v>
      </c>
      <c r="S52" t="s">
        <v>550</v>
      </c>
      <c r="T52" t="s">
        <v>550</v>
      </c>
      <c r="U52" t="s">
        <v>550</v>
      </c>
      <c r="V52" t="s">
        <v>720</v>
      </c>
      <c r="X52" t="s">
        <v>669</v>
      </c>
      <c r="Z52" t="s">
        <v>718</v>
      </c>
    </row>
    <row r="53" spans="1:26" x14ac:dyDescent="0.3">
      <c r="A53" t="s">
        <v>525</v>
      </c>
      <c r="B53" t="s">
        <v>721</v>
      </c>
      <c r="C53" t="s">
        <v>722</v>
      </c>
      <c r="D53" t="s">
        <v>550</v>
      </c>
      <c r="E53" t="s">
        <v>664</v>
      </c>
      <c r="F53" t="s">
        <v>27</v>
      </c>
      <c r="G53" s="1">
        <v>42737</v>
      </c>
      <c r="H53" s="1">
        <v>43465</v>
      </c>
      <c r="I53" t="s">
        <v>665</v>
      </c>
      <c r="J53" t="s">
        <v>666</v>
      </c>
      <c r="K53" t="s">
        <v>24</v>
      </c>
      <c r="L53" t="s">
        <v>667</v>
      </c>
      <c r="M53" t="s">
        <v>550</v>
      </c>
      <c r="O53" t="s">
        <v>550</v>
      </c>
      <c r="Q53" t="s">
        <v>550</v>
      </c>
      <c r="S53" t="s">
        <v>550</v>
      </c>
      <c r="T53" t="s">
        <v>550</v>
      </c>
      <c r="U53" t="s">
        <v>550</v>
      </c>
      <c r="V53" t="s">
        <v>723</v>
      </c>
      <c r="X53" t="s">
        <v>669</v>
      </c>
      <c r="Z53" t="s">
        <v>721</v>
      </c>
    </row>
    <row r="54" spans="1:26" x14ac:dyDescent="0.3">
      <c r="A54" t="s">
        <v>525</v>
      </c>
      <c r="B54" t="s">
        <v>724</v>
      </c>
      <c r="C54" t="s">
        <v>725</v>
      </c>
      <c r="D54" t="s">
        <v>550</v>
      </c>
      <c r="E54" t="s">
        <v>664</v>
      </c>
      <c r="F54" t="s">
        <v>27</v>
      </c>
      <c r="G54" s="1">
        <v>42737</v>
      </c>
      <c r="H54" s="1">
        <v>43465</v>
      </c>
      <c r="I54" t="s">
        <v>665</v>
      </c>
      <c r="J54" t="s">
        <v>666</v>
      </c>
      <c r="K54" t="s">
        <v>24</v>
      </c>
      <c r="L54" t="s">
        <v>667</v>
      </c>
      <c r="M54" t="s">
        <v>550</v>
      </c>
      <c r="O54" t="s">
        <v>550</v>
      </c>
      <c r="Q54" t="s">
        <v>550</v>
      </c>
      <c r="S54" t="s">
        <v>550</v>
      </c>
      <c r="T54" t="s">
        <v>550</v>
      </c>
      <c r="U54" t="s">
        <v>550</v>
      </c>
      <c r="V54" t="s">
        <v>726</v>
      </c>
      <c r="X54" t="s">
        <v>669</v>
      </c>
      <c r="Z54" t="s">
        <v>724</v>
      </c>
    </row>
    <row r="55" spans="1:26" x14ac:dyDescent="0.3">
      <c r="A55" t="s">
        <v>525</v>
      </c>
      <c r="B55" t="s">
        <v>727</v>
      </c>
      <c r="C55" t="s">
        <v>728</v>
      </c>
      <c r="D55" t="s">
        <v>550</v>
      </c>
      <c r="E55" t="s">
        <v>664</v>
      </c>
      <c r="F55" t="s">
        <v>27</v>
      </c>
      <c r="G55" s="1">
        <v>42737</v>
      </c>
      <c r="H55" s="1">
        <v>43465</v>
      </c>
      <c r="I55" t="s">
        <v>665</v>
      </c>
      <c r="J55" t="s">
        <v>666</v>
      </c>
      <c r="K55" t="s">
        <v>24</v>
      </c>
      <c r="L55" t="s">
        <v>667</v>
      </c>
      <c r="M55" t="s">
        <v>550</v>
      </c>
      <c r="O55" t="s">
        <v>550</v>
      </c>
      <c r="Q55" t="s">
        <v>550</v>
      </c>
      <c r="S55" t="s">
        <v>550</v>
      </c>
      <c r="T55" t="s">
        <v>550</v>
      </c>
      <c r="U55" t="s">
        <v>550</v>
      </c>
      <c r="V55" t="s">
        <v>729</v>
      </c>
      <c r="X55" t="s">
        <v>669</v>
      </c>
      <c r="Z55" t="s">
        <v>727</v>
      </c>
    </row>
    <row r="56" spans="1:26" x14ac:dyDescent="0.3">
      <c r="A56" t="s">
        <v>525</v>
      </c>
      <c r="B56" t="s">
        <v>730</v>
      </c>
      <c r="C56" t="s">
        <v>731</v>
      </c>
      <c r="D56" t="s">
        <v>550</v>
      </c>
      <c r="E56" t="s">
        <v>664</v>
      </c>
      <c r="F56" t="s">
        <v>27</v>
      </c>
      <c r="G56" s="1">
        <v>42737</v>
      </c>
      <c r="H56" s="1">
        <v>43465</v>
      </c>
      <c r="I56" t="s">
        <v>665</v>
      </c>
      <c r="J56" t="s">
        <v>666</v>
      </c>
      <c r="K56" t="s">
        <v>24</v>
      </c>
      <c r="L56" t="s">
        <v>667</v>
      </c>
      <c r="M56" t="s">
        <v>550</v>
      </c>
      <c r="O56" t="s">
        <v>550</v>
      </c>
      <c r="Q56" t="s">
        <v>550</v>
      </c>
      <c r="S56" t="s">
        <v>550</v>
      </c>
      <c r="T56" t="s">
        <v>550</v>
      </c>
      <c r="U56" t="s">
        <v>550</v>
      </c>
      <c r="V56" t="s">
        <v>732</v>
      </c>
      <c r="X56" t="s">
        <v>669</v>
      </c>
      <c r="Z56" t="s">
        <v>730</v>
      </c>
    </row>
    <row r="57" spans="1:26" x14ac:dyDescent="0.3">
      <c r="A57" t="s">
        <v>525</v>
      </c>
      <c r="B57" t="s">
        <v>733</v>
      </c>
      <c r="C57" t="s">
        <v>734</v>
      </c>
      <c r="D57" t="s">
        <v>550</v>
      </c>
      <c r="E57" t="s">
        <v>664</v>
      </c>
      <c r="F57" t="s">
        <v>27</v>
      </c>
      <c r="G57" s="1">
        <v>42737</v>
      </c>
      <c r="H57" s="1">
        <v>43465</v>
      </c>
      <c r="I57" t="s">
        <v>665</v>
      </c>
      <c r="J57" t="s">
        <v>666</v>
      </c>
      <c r="K57" t="s">
        <v>24</v>
      </c>
      <c r="L57" t="s">
        <v>667</v>
      </c>
      <c r="M57" t="s">
        <v>550</v>
      </c>
      <c r="O57" t="s">
        <v>550</v>
      </c>
      <c r="Q57" t="s">
        <v>550</v>
      </c>
      <c r="S57" t="s">
        <v>550</v>
      </c>
      <c r="T57" t="s">
        <v>550</v>
      </c>
      <c r="U57" t="s">
        <v>550</v>
      </c>
      <c r="V57" t="s">
        <v>735</v>
      </c>
      <c r="X57" t="s">
        <v>669</v>
      </c>
      <c r="Z57" t="s">
        <v>733</v>
      </c>
    </row>
    <row r="58" spans="1:26" x14ac:dyDescent="0.3">
      <c r="A58" t="s">
        <v>525</v>
      </c>
      <c r="B58" t="s">
        <v>736</v>
      </c>
      <c r="C58" t="s">
        <v>737</v>
      </c>
      <c r="D58" t="s">
        <v>550</v>
      </c>
      <c r="E58" t="s">
        <v>664</v>
      </c>
      <c r="F58" t="s">
        <v>27</v>
      </c>
      <c r="G58" s="1">
        <v>42737</v>
      </c>
      <c r="H58" s="1">
        <v>43465</v>
      </c>
      <c r="I58" t="s">
        <v>665</v>
      </c>
      <c r="J58" t="s">
        <v>666</v>
      </c>
      <c r="K58" t="s">
        <v>24</v>
      </c>
      <c r="L58" t="s">
        <v>667</v>
      </c>
      <c r="M58" t="s">
        <v>550</v>
      </c>
      <c r="O58" t="s">
        <v>550</v>
      </c>
      <c r="Q58" t="s">
        <v>550</v>
      </c>
      <c r="S58" t="s">
        <v>550</v>
      </c>
      <c r="T58" t="s">
        <v>550</v>
      </c>
      <c r="U58" t="s">
        <v>550</v>
      </c>
      <c r="V58" t="s">
        <v>738</v>
      </c>
      <c r="X58" t="s">
        <v>669</v>
      </c>
      <c r="Z58" t="s">
        <v>736</v>
      </c>
    </row>
    <row r="59" spans="1:26" x14ac:dyDescent="0.3">
      <c r="A59" t="s">
        <v>525</v>
      </c>
      <c r="B59" t="s">
        <v>739</v>
      </c>
      <c r="C59" t="s">
        <v>740</v>
      </c>
      <c r="D59" t="s">
        <v>550</v>
      </c>
      <c r="E59" t="s">
        <v>664</v>
      </c>
      <c r="F59" t="s">
        <v>27</v>
      </c>
      <c r="G59" s="1">
        <v>42737</v>
      </c>
      <c r="H59" s="1">
        <v>43465</v>
      </c>
      <c r="I59" t="s">
        <v>665</v>
      </c>
      <c r="J59" t="s">
        <v>666</v>
      </c>
      <c r="K59" t="s">
        <v>24</v>
      </c>
      <c r="L59" t="s">
        <v>667</v>
      </c>
      <c r="M59" t="s">
        <v>550</v>
      </c>
      <c r="O59" t="s">
        <v>550</v>
      </c>
      <c r="Q59" t="s">
        <v>550</v>
      </c>
      <c r="S59" t="s">
        <v>550</v>
      </c>
      <c r="T59" t="s">
        <v>550</v>
      </c>
      <c r="U59" t="s">
        <v>550</v>
      </c>
      <c r="V59" t="s">
        <v>741</v>
      </c>
      <c r="X59" t="s">
        <v>669</v>
      </c>
      <c r="Z59" t="s">
        <v>739</v>
      </c>
    </row>
    <row r="60" spans="1:26" x14ac:dyDescent="0.3">
      <c r="A60" t="s">
        <v>525</v>
      </c>
      <c r="B60" t="s">
        <v>742</v>
      </c>
      <c r="C60" t="s">
        <v>743</v>
      </c>
      <c r="D60" t="s">
        <v>550</v>
      </c>
      <c r="E60" t="s">
        <v>664</v>
      </c>
      <c r="F60" t="s">
        <v>27</v>
      </c>
      <c r="G60" s="1">
        <v>42737</v>
      </c>
      <c r="H60" s="1">
        <v>43465</v>
      </c>
      <c r="I60" t="s">
        <v>665</v>
      </c>
      <c r="J60" t="s">
        <v>666</v>
      </c>
      <c r="K60" t="s">
        <v>24</v>
      </c>
      <c r="L60" t="s">
        <v>667</v>
      </c>
      <c r="M60" t="s">
        <v>550</v>
      </c>
      <c r="O60" t="s">
        <v>550</v>
      </c>
      <c r="Q60" t="s">
        <v>550</v>
      </c>
      <c r="S60" t="s">
        <v>550</v>
      </c>
      <c r="T60" t="s">
        <v>550</v>
      </c>
      <c r="U60" t="s">
        <v>550</v>
      </c>
      <c r="V60" t="s">
        <v>744</v>
      </c>
      <c r="X60" t="s">
        <v>669</v>
      </c>
      <c r="Z60" t="s">
        <v>742</v>
      </c>
    </row>
    <row r="61" spans="1:26" x14ac:dyDescent="0.3">
      <c r="A61" t="s">
        <v>525</v>
      </c>
      <c r="B61" t="s">
        <v>745</v>
      </c>
      <c r="C61" t="s">
        <v>746</v>
      </c>
      <c r="D61" t="s">
        <v>550</v>
      </c>
      <c r="E61" t="s">
        <v>664</v>
      </c>
      <c r="F61" t="s">
        <v>27</v>
      </c>
      <c r="G61" s="1">
        <v>42737</v>
      </c>
      <c r="H61" s="1">
        <v>43465</v>
      </c>
      <c r="I61" t="s">
        <v>665</v>
      </c>
      <c r="J61" t="s">
        <v>666</v>
      </c>
      <c r="K61" t="s">
        <v>24</v>
      </c>
      <c r="L61" t="s">
        <v>667</v>
      </c>
      <c r="M61" t="s">
        <v>550</v>
      </c>
      <c r="O61" t="s">
        <v>550</v>
      </c>
      <c r="Q61" t="s">
        <v>550</v>
      </c>
      <c r="S61" t="s">
        <v>550</v>
      </c>
      <c r="T61" t="s">
        <v>550</v>
      </c>
      <c r="U61" t="s">
        <v>550</v>
      </c>
      <c r="V61" t="s">
        <v>747</v>
      </c>
      <c r="X61" t="s">
        <v>669</v>
      </c>
      <c r="Z61" t="s">
        <v>745</v>
      </c>
    </row>
    <row r="62" spans="1:26" x14ac:dyDescent="0.3">
      <c r="A62" t="s">
        <v>525</v>
      </c>
      <c r="B62" t="s">
        <v>748</v>
      </c>
      <c r="C62" t="s">
        <v>749</v>
      </c>
      <c r="D62" t="s">
        <v>550</v>
      </c>
      <c r="E62" t="s">
        <v>664</v>
      </c>
      <c r="F62" t="s">
        <v>27</v>
      </c>
      <c r="G62" s="1">
        <v>42737</v>
      </c>
      <c r="H62" s="1">
        <v>43465</v>
      </c>
      <c r="I62" t="s">
        <v>665</v>
      </c>
      <c r="J62" t="s">
        <v>666</v>
      </c>
      <c r="K62" t="s">
        <v>24</v>
      </c>
      <c r="L62" t="s">
        <v>667</v>
      </c>
      <c r="M62" t="s">
        <v>550</v>
      </c>
      <c r="O62" t="s">
        <v>550</v>
      </c>
      <c r="Q62" t="s">
        <v>550</v>
      </c>
      <c r="S62" t="s">
        <v>550</v>
      </c>
      <c r="T62" t="s">
        <v>550</v>
      </c>
      <c r="U62" t="s">
        <v>550</v>
      </c>
      <c r="V62" t="s">
        <v>750</v>
      </c>
      <c r="X62" t="s">
        <v>669</v>
      </c>
      <c r="Z62" t="s">
        <v>748</v>
      </c>
    </row>
    <row r="63" spans="1:26" x14ac:dyDescent="0.3">
      <c r="A63" t="s">
        <v>525</v>
      </c>
      <c r="B63" t="s">
        <v>751</v>
      </c>
      <c r="C63" t="s">
        <v>752</v>
      </c>
      <c r="D63" t="s">
        <v>550</v>
      </c>
      <c r="E63" t="s">
        <v>664</v>
      </c>
      <c r="F63" t="s">
        <v>27</v>
      </c>
      <c r="G63" s="1">
        <v>42737</v>
      </c>
      <c r="H63" s="1">
        <v>43465</v>
      </c>
      <c r="I63" t="s">
        <v>665</v>
      </c>
      <c r="J63" t="s">
        <v>666</v>
      </c>
      <c r="K63" t="s">
        <v>24</v>
      </c>
      <c r="L63" t="s">
        <v>667</v>
      </c>
      <c r="M63" t="s">
        <v>550</v>
      </c>
      <c r="O63" t="s">
        <v>550</v>
      </c>
      <c r="Q63" t="s">
        <v>550</v>
      </c>
      <c r="S63" t="s">
        <v>550</v>
      </c>
      <c r="T63" t="s">
        <v>550</v>
      </c>
      <c r="U63" t="s">
        <v>550</v>
      </c>
      <c r="V63" t="s">
        <v>753</v>
      </c>
      <c r="X63" t="s">
        <v>669</v>
      </c>
      <c r="Z63" t="s">
        <v>751</v>
      </c>
    </row>
    <row r="64" spans="1:26" x14ac:dyDescent="0.3">
      <c r="A64" t="s">
        <v>525</v>
      </c>
      <c r="B64" t="s">
        <v>754</v>
      </c>
      <c r="C64" t="s">
        <v>755</v>
      </c>
      <c r="D64" t="s">
        <v>550</v>
      </c>
      <c r="E64" t="s">
        <v>664</v>
      </c>
      <c r="F64" t="s">
        <v>27</v>
      </c>
      <c r="G64" s="1">
        <v>42737</v>
      </c>
      <c r="H64" s="1">
        <v>43465</v>
      </c>
      <c r="I64" t="s">
        <v>665</v>
      </c>
      <c r="J64" t="s">
        <v>666</v>
      </c>
      <c r="K64" t="s">
        <v>24</v>
      </c>
      <c r="L64" t="s">
        <v>667</v>
      </c>
      <c r="M64" t="s">
        <v>550</v>
      </c>
      <c r="O64" t="s">
        <v>550</v>
      </c>
      <c r="Q64" t="s">
        <v>550</v>
      </c>
      <c r="S64" t="s">
        <v>550</v>
      </c>
      <c r="T64" t="s">
        <v>550</v>
      </c>
      <c r="U64" t="s">
        <v>550</v>
      </c>
      <c r="V64" t="s">
        <v>756</v>
      </c>
      <c r="X64" t="s">
        <v>669</v>
      </c>
      <c r="Z64" t="s">
        <v>754</v>
      </c>
    </row>
    <row r="65" spans="1:26" x14ac:dyDescent="0.3">
      <c r="A65" t="s">
        <v>525</v>
      </c>
      <c r="B65" t="s">
        <v>757</v>
      </c>
      <c r="C65" t="s">
        <v>758</v>
      </c>
      <c r="D65" t="s">
        <v>550</v>
      </c>
      <c r="E65" t="s">
        <v>664</v>
      </c>
      <c r="F65" t="s">
        <v>27</v>
      </c>
      <c r="G65" s="1">
        <v>42737</v>
      </c>
      <c r="H65" s="1">
        <v>43465</v>
      </c>
      <c r="I65" t="s">
        <v>665</v>
      </c>
      <c r="J65" t="s">
        <v>666</v>
      </c>
      <c r="K65" t="s">
        <v>24</v>
      </c>
      <c r="L65" t="s">
        <v>667</v>
      </c>
      <c r="M65" t="s">
        <v>550</v>
      </c>
      <c r="O65" t="s">
        <v>550</v>
      </c>
      <c r="Q65" t="s">
        <v>550</v>
      </c>
      <c r="S65" t="s">
        <v>550</v>
      </c>
      <c r="T65" t="s">
        <v>550</v>
      </c>
      <c r="U65" t="s">
        <v>550</v>
      </c>
      <c r="V65" t="s">
        <v>759</v>
      </c>
      <c r="X65" t="s">
        <v>669</v>
      </c>
      <c r="Z65" t="s">
        <v>757</v>
      </c>
    </row>
    <row r="66" spans="1:26" x14ac:dyDescent="0.3">
      <c r="A66" t="s">
        <v>525</v>
      </c>
      <c r="B66" t="s">
        <v>760</v>
      </c>
      <c r="C66" t="s">
        <v>761</v>
      </c>
      <c r="D66" t="s">
        <v>550</v>
      </c>
      <c r="E66" t="s">
        <v>664</v>
      </c>
      <c r="F66" t="s">
        <v>27</v>
      </c>
      <c r="G66" s="1">
        <v>42737</v>
      </c>
      <c r="H66" s="1">
        <v>43465</v>
      </c>
      <c r="I66" t="s">
        <v>665</v>
      </c>
      <c r="J66" t="s">
        <v>666</v>
      </c>
      <c r="K66" t="s">
        <v>24</v>
      </c>
      <c r="L66" t="s">
        <v>667</v>
      </c>
      <c r="M66" t="s">
        <v>550</v>
      </c>
      <c r="O66" t="s">
        <v>550</v>
      </c>
      <c r="Q66" t="s">
        <v>550</v>
      </c>
      <c r="S66" t="s">
        <v>550</v>
      </c>
      <c r="T66" t="s">
        <v>550</v>
      </c>
      <c r="U66" t="s">
        <v>550</v>
      </c>
      <c r="V66" t="s">
        <v>762</v>
      </c>
      <c r="X66" t="s">
        <v>669</v>
      </c>
      <c r="Z66" t="s">
        <v>760</v>
      </c>
    </row>
    <row r="67" spans="1:26" x14ac:dyDescent="0.3">
      <c r="A67" t="s">
        <v>525</v>
      </c>
      <c r="B67" t="s">
        <v>763</v>
      </c>
      <c r="C67" t="s">
        <v>764</v>
      </c>
      <c r="D67" t="s">
        <v>550</v>
      </c>
      <c r="E67" t="s">
        <v>664</v>
      </c>
      <c r="F67" t="s">
        <v>27</v>
      </c>
      <c r="G67" s="1">
        <v>42737</v>
      </c>
      <c r="H67" s="1">
        <v>43465</v>
      </c>
      <c r="I67" t="s">
        <v>665</v>
      </c>
      <c r="J67" t="s">
        <v>666</v>
      </c>
      <c r="K67" t="s">
        <v>24</v>
      </c>
      <c r="L67" t="s">
        <v>667</v>
      </c>
      <c r="M67" t="s">
        <v>550</v>
      </c>
      <c r="O67" t="s">
        <v>550</v>
      </c>
      <c r="Q67" t="s">
        <v>550</v>
      </c>
      <c r="S67" t="s">
        <v>550</v>
      </c>
      <c r="T67" t="s">
        <v>550</v>
      </c>
      <c r="U67" t="s">
        <v>550</v>
      </c>
      <c r="V67" t="s">
        <v>765</v>
      </c>
      <c r="X67" t="s">
        <v>669</v>
      </c>
      <c r="Z67" t="s">
        <v>763</v>
      </c>
    </row>
    <row r="68" spans="1:26" x14ac:dyDescent="0.3">
      <c r="A68" t="s">
        <v>525</v>
      </c>
      <c r="B68" t="s">
        <v>766</v>
      </c>
      <c r="C68" t="s">
        <v>767</v>
      </c>
      <c r="D68" t="s">
        <v>550</v>
      </c>
      <c r="E68" t="s">
        <v>664</v>
      </c>
      <c r="F68" t="s">
        <v>27</v>
      </c>
      <c r="G68" s="1">
        <v>42737</v>
      </c>
      <c r="H68" s="1">
        <v>43465</v>
      </c>
      <c r="I68" t="s">
        <v>665</v>
      </c>
      <c r="J68" t="s">
        <v>666</v>
      </c>
      <c r="K68" t="s">
        <v>24</v>
      </c>
      <c r="L68" t="s">
        <v>667</v>
      </c>
      <c r="M68" t="s">
        <v>550</v>
      </c>
      <c r="O68" t="s">
        <v>550</v>
      </c>
      <c r="Q68" t="s">
        <v>550</v>
      </c>
      <c r="S68" t="s">
        <v>550</v>
      </c>
      <c r="T68" t="s">
        <v>550</v>
      </c>
      <c r="U68" t="s">
        <v>550</v>
      </c>
      <c r="V68" t="s">
        <v>768</v>
      </c>
      <c r="X68" t="s">
        <v>669</v>
      </c>
      <c r="Z68" t="s">
        <v>766</v>
      </c>
    </row>
    <row r="69" spans="1:26" x14ac:dyDescent="0.3">
      <c r="A69" t="s">
        <v>525</v>
      </c>
      <c r="B69" t="s">
        <v>769</v>
      </c>
      <c r="C69" t="s">
        <v>770</v>
      </c>
      <c r="D69" t="s">
        <v>550</v>
      </c>
      <c r="E69" t="s">
        <v>664</v>
      </c>
      <c r="F69" t="s">
        <v>27</v>
      </c>
      <c r="G69" s="1">
        <v>42737</v>
      </c>
      <c r="H69" s="1">
        <v>43465</v>
      </c>
      <c r="I69" t="s">
        <v>665</v>
      </c>
      <c r="J69" t="s">
        <v>666</v>
      </c>
      <c r="K69" t="s">
        <v>24</v>
      </c>
      <c r="L69" t="s">
        <v>667</v>
      </c>
      <c r="M69" t="s">
        <v>550</v>
      </c>
      <c r="O69" t="s">
        <v>550</v>
      </c>
      <c r="Q69" t="s">
        <v>550</v>
      </c>
      <c r="S69" t="s">
        <v>550</v>
      </c>
      <c r="T69" t="s">
        <v>550</v>
      </c>
      <c r="U69" t="s">
        <v>550</v>
      </c>
      <c r="V69" t="s">
        <v>771</v>
      </c>
      <c r="X69" t="s">
        <v>669</v>
      </c>
      <c r="Z69" t="s">
        <v>769</v>
      </c>
    </row>
    <row r="70" spans="1:26" x14ac:dyDescent="0.3">
      <c r="A70" t="s">
        <v>525</v>
      </c>
      <c r="B70" t="s">
        <v>772</v>
      </c>
      <c r="C70" t="s">
        <v>773</v>
      </c>
      <c r="D70" t="s">
        <v>550</v>
      </c>
      <c r="E70" t="s">
        <v>550</v>
      </c>
      <c r="G70" s="1">
        <v>45302</v>
      </c>
      <c r="H70" s="1">
        <v>45302</v>
      </c>
      <c r="I70" t="s">
        <v>665</v>
      </c>
      <c r="J70" t="s">
        <v>550</v>
      </c>
      <c r="K70" t="s">
        <v>550</v>
      </c>
      <c r="L70" t="s">
        <v>552</v>
      </c>
      <c r="M70" t="s">
        <v>550</v>
      </c>
      <c r="O70" t="s">
        <v>550</v>
      </c>
      <c r="Q70" t="s">
        <v>550</v>
      </c>
      <c r="S70" t="s">
        <v>550</v>
      </c>
      <c r="T70" t="s">
        <v>550</v>
      </c>
      <c r="U70" t="s">
        <v>550</v>
      </c>
      <c r="V70" t="s">
        <v>774</v>
      </c>
      <c r="X70" t="s">
        <v>281</v>
      </c>
      <c r="Y70" t="s">
        <v>775</v>
      </c>
      <c r="Z70" t="s">
        <v>772</v>
      </c>
    </row>
    <row r="71" spans="1:26" x14ac:dyDescent="0.3">
      <c r="A71" t="s">
        <v>525</v>
      </c>
      <c r="B71" t="s">
        <v>776</v>
      </c>
      <c r="C71" t="s">
        <v>777</v>
      </c>
      <c r="D71" t="s">
        <v>550</v>
      </c>
      <c r="E71" t="s">
        <v>778</v>
      </c>
      <c r="F71" t="s">
        <v>779</v>
      </c>
      <c r="G71" s="1">
        <v>44927</v>
      </c>
      <c r="H71" s="1">
        <v>44927</v>
      </c>
      <c r="I71" t="s">
        <v>780</v>
      </c>
      <c r="J71" t="s">
        <v>781</v>
      </c>
      <c r="K71" t="s">
        <v>24</v>
      </c>
      <c r="L71" t="s">
        <v>216</v>
      </c>
      <c r="M71" t="s">
        <v>782</v>
      </c>
      <c r="N71" t="s">
        <v>287</v>
      </c>
      <c r="O71" t="s">
        <v>550</v>
      </c>
      <c r="Q71" t="s">
        <v>550</v>
      </c>
      <c r="S71" t="s">
        <v>783</v>
      </c>
      <c r="T71" t="s">
        <v>550</v>
      </c>
      <c r="U71" t="s">
        <v>784</v>
      </c>
      <c r="V71" t="s">
        <v>785</v>
      </c>
      <c r="W71" t="s">
        <v>613</v>
      </c>
      <c r="X71" t="s">
        <v>74</v>
      </c>
      <c r="Y71" t="s">
        <v>786</v>
      </c>
      <c r="Z71" t="s">
        <v>776</v>
      </c>
    </row>
    <row r="72" spans="1:26" x14ac:dyDescent="0.3">
      <c r="A72" t="s">
        <v>525</v>
      </c>
      <c r="B72" t="s">
        <v>787</v>
      </c>
      <c r="C72" t="s">
        <v>788</v>
      </c>
      <c r="D72" t="s">
        <v>550</v>
      </c>
      <c r="E72" t="s">
        <v>550</v>
      </c>
      <c r="G72" s="1">
        <v>45302</v>
      </c>
      <c r="H72" s="1">
        <v>45302</v>
      </c>
      <c r="I72" t="s">
        <v>551</v>
      </c>
      <c r="J72" t="s">
        <v>550</v>
      </c>
      <c r="K72" t="s">
        <v>550</v>
      </c>
      <c r="L72" t="s">
        <v>552</v>
      </c>
      <c r="M72" t="s">
        <v>789</v>
      </c>
      <c r="N72" t="s">
        <v>790</v>
      </c>
      <c r="O72" t="s">
        <v>550</v>
      </c>
      <c r="Q72" t="s">
        <v>550</v>
      </c>
      <c r="S72" t="s">
        <v>550</v>
      </c>
      <c r="T72" t="s">
        <v>550</v>
      </c>
      <c r="U72" t="s">
        <v>550</v>
      </c>
      <c r="V72" t="s">
        <v>791</v>
      </c>
      <c r="W72" t="s">
        <v>554</v>
      </c>
      <c r="X72" t="s">
        <v>226</v>
      </c>
      <c r="Z72" t="s">
        <v>787</v>
      </c>
    </row>
    <row r="73" spans="1:26" x14ac:dyDescent="0.3">
      <c r="A73" t="s">
        <v>525</v>
      </c>
      <c r="B73" t="s">
        <v>792</v>
      </c>
      <c r="C73" t="s">
        <v>793</v>
      </c>
      <c r="D73" t="s">
        <v>550</v>
      </c>
      <c r="E73" t="s">
        <v>794</v>
      </c>
      <c r="F73" t="s">
        <v>795</v>
      </c>
      <c r="G73" s="1">
        <v>45195</v>
      </c>
      <c r="H73" s="1">
        <v>45195</v>
      </c>
      <c r="I73" t="s">
        <v>665</v>
      </c>
      <c r="J73" t="s">
        <v>796</v>
      </c>
      <c r="K73" t="s">
        <v>24</v>
      </c>
      <c r="L73" t="s">
        <v>216</v>
      </c>
      <c r="M73" t="s">
        <v>797</v>
      </c>
      <c r="N73" t="s">
        <v>313</v>
      </c>
      <c r="O73" t="s">
        <v>550</v>
      </c>
      <c r="Q73" t="s">
        <v>550</v>
      </c>
      <c r="S73" t="s">
        <v>550</v>
      </c>
      <c r="T73" t="s">
        <v>550</v>
      </c>
      <c r="U73" t="s">
        <v>550</v>
      </c>
      <c r="V73" t="s">
        <v>798</v>
      </c>
      <c r="W73" t="s">
        <v>554</v>
      </c>
      <c r="X73" t="s">
        <v>669</v>
      </c>
      <c r="Y73" t="s">
        <v>799</v>
      </c>
      <c r="Z73" t="s">
        <v>792</v>
      </c>
    </row>
    <row r="74" spans="1:26" x14ac:dyDescent="0.3">
      <c r="A74" t="s">
        <v>525</v>
      </c>
      <c r="B74" t="s">
        <v>800</v>
      </c>
      <c r="C74" t="s">
        <v>801</v>
      </c>
      <c r="D74" t="s">
        <v>550</v>
      </c>
      <c r="E74" t="s">
        <v>664</v>
      </c>
      <c r="F74" t="s">
        <v>27</v>
      </c>
      <c r="G74" s="1">
        <v>44256</v>
      </c>
      <c r="H74" s="1">
        <v>44256</v>
      </c>
      <c r="I74" t="s">
        <v>665</v>
      </c>
      <c r="J74" t="s">
        <v>666</v>
      </c>
      <c r="K74" t="s">
        <v>24</v>
      </c>
      <c r="L74" t="s">
        <v>667</v>
      </c>
      <c r="M74" t="s">
        <v>797</v>
      </c>
      <c r="N74" t="s">
        <v>313</v>
      </c>
      <c r="O74" t="s">
        <v>550</v>
      </c>
      <c r="Q74" t="s">
        <v>550</v>
      </c>
      <c r="S74" t="s">
        <v>550</v>
      </c>
      <c r="T74" t="s">
        <v>550</v>
      </c>
      <c r="U74" t="s">
        <v>550</v>
      </c>
      <c r="V74" t="s">
        <v>802</v>
      </c>
      <c r="W74" t="s">
        <v>613</v>
      </c>
      <c r="X74" t="s">
        <v>74</v>
      </c>
      <c r="Y74" t="s">
        <v>803</v>
      </c>
      <c r="Z74" t="s">
        <v>800</v>
      </c>
    </row>
    <row r="75" spans="1:26" x14ac:dyDescent="0.3">
      <c r="A75" t="s">
        <v>330</v>
      </c>
      <c r="B75" t="s">
        <v>804</v>
      </c>
      <c r="C75" t="s">
        <v>805</v>
      </c>
      <c r="D75" t="s">
        <v>550</v>
      </c>
      <c r="E75" t="s">
        <v>806</v>
      </c>
      <c r="F75" t="s">
        <v>805</v>
      </c>
      <c r="G75" s="1">
        <v>44866</v>
      </c>
      <c r="H75" s="1">
        <v>44866</v>
      </c>
      <c r="I75" t="s">
        <v>665</v>
      </c>
      <c r="J75" t="s">
        <v>807</v>
      </c>
      <c r="K75" t="s">
        <v>808</v>
      </c>
      <c r="L75" t="s">
        <v>809</v>
      </c>
      <c r="M75" t="s">
        <v>810</v>
      </c>
      <c r="N75" t="s">
        <v>811</v>
      </c>
      <c r="O75" t="s">
        <v>550</v>
      </c>
      <c r="Q75" t="s">
        <v>550</v>
      </c>
      <c r="S75" t="s">
        <v>803</v>
      </c>
      <c r="T75" t="s">
        <v>550</v>
      </c>
      <c r="U75" t="s">
        <v>550</v>
      </c>
      <c r="V75" t="s">
        <v>812</v>
      </c>
      <c r="W75" t="s">
        <v>813</v>
      </c>
      <c r="X75" t="s">
        <v>809</v>
      </c>
      <c r="Y75" t="s">
        <v>803</v>
      </c>
      <c r="Z75" t="s">
        <v>804</v>
      </c>
    </row>
    <row r="76" spans="1:26" x14ac:dyDescent="0.3">
      <c r="A76" t="s">
        <v>330</v>
      </c>
      <c r="B76" t="s">
        <v>814</v>
      </c>
      <c r="C76" t="s">
        <v>815</v>
      </c>
      <c r="D76" t="s">
        <v>550</v>
      </c>
      <c r="E76" t="s">
        <v>816</v>
      </c>
      <c r="F76" t="s">
        <v>817</v>
      </c>
      <c r="G76" s="1">
        <v>45292</v>
      </c>
      <c r="H76" s="1">
        <v>45657</v>
      </c>
      <c r="I76" t="s">
        <v>780</v>
      </c>
      <c r="J76" t="s">
        <v>816</v>
      </c>
      <c r="K76" t="s">
        <v>550</v>
      </c>
      <c r="L76" t="s">
        <v>217</v>
      </c>
      <c r="M76" t="s">
        <v>818</v>
      </c>
      <c r="N76" t="s">
        <v>819</v>
      </c>
      <c r="O76" t="s">
        <v>550</v>
      </c>
      <c r="Q76" t="s">
        <v>550</v>
      </c>
      <c r="S76" t="s">
        <v>550</v>
      </c>
      <c r="T76" t="s">
        <v>550</v>
      </c>
      <c r="U76" t="s">
        <v>550</v>
      </c>
      <c r="V76" t="s">
        <v>820</v>
      </c>
      <c r="Z76" t="s">
        <v>814</v>
      </c>
    </row>
    <row r="77" spans="1:26" x14ac:dyDescent="0.3">
      <c r="A77" t="s">
        <v>330</v>
      </c>
      <c r="B77" t="s">
        <v>821</v>
      </c>
      <c r="C77" t="s">
        <v>822</v>
      </c>
      <c r="D77" t="s">
        <v>814</v>
      </c>
      <c r="E77" t="s">
        <v>816</v>
      </c>
      <c r="F77" t="s">
        <v>817</v>
      </c>
      <c r="G77" s="1">
        <v>45292</v>
      </c>
      <c r="H77" s="1">
        <v>45657</v>
      </c>
      <c r="I77" t="s">
        <v>780</v>
      </c>
      <c r="J77" t="s">
        <v>816</v>
      </c>
      <c r="K77" t="s">
        <v>550</v>
      </c>
      <c r="L77" t="s">
        <v>217</v>
      </c>
      <c r="M77" t="s">
        <v>818</v>
      </c>
      <c r="N77" t="s">
        <v>819</v>
      </c>
      <c r="O77" t="s">
        <v>550</v>
      </c>
      <c r="Q77" t="s">
        <v>550</v>
      </c>
      <c r="S77" t="s">
        <v>550</v>
      </c>
      <c r="T77" t="s">
        <v>550</v>
      </c>
      <c r="U77" t="s">
        <v>550</v>
      </c>
      <c r="V77" t="s">
        <v>823</v>
      </c>
      <c r="Z77" t="s">
        <v>821</v>
      </c>
    </row>
    <row r="78" spans="1:26" x14ac:dyDescent="0.3">
      <c r="A78" t="s">
        <v>330</v>
      </c>
      <c r="B78" t="s">
        <v>824</v>
      </c>
      <c r="C78" t="s">
        <v>825</v>
      </c>
      <c r="D78" t="s">
        <v>814</v>
      </c>
      <c r="E78" t="s">
        <v>816</v>
      </c>
      <c r="F78" t="s">
        <v>817</v>
      </c>
      <c r="G78" s="1">
        <v>45292</v>
      </c>
      <c r="H78" s="1">
        <v>45657</v>
      </c>
      <c r="I78" t="s">
        <v>780</v>
      </c>
      <c r="J78" t="s">
        <v>816</v>
      </c>
      <c r="K78" t="s">
        <v>550</v>
      </c>
      <c r="L78" t="s">
        <v>19</v>
      </c>
      <c r="M78" t="s">
        <v>818</v>
      </c>
      <c r="N78" t="s">
        <v>819</v>
      </c>
      <c r="O78" t="s">
        <v>550</v>
      </c>
      <c r="Q78" t="s">
        <v>550</v>
      </c>
      <c r="S78" t="s">
        <v>550</v>
      </c>
      <c r="T78" t="s">
        <v>550</v>
      </c>
      <c r="U78" t="s">
        <v>550</v>
      </c>
      <c r="V78" t="s">
        <v>826</v>
      </c>
      <c r="Z78" t="s">
        <v>824</v>
      </c>
    </row>
    <row r="79" spans="1:26" x14ac:dyDescent="0.3">
      <c r="A79" t="s">
        <v>330</v>
      </c>
      <c r="B79" t="s">
        <v>827</v>
      </c>
      <c r="C79" t="s">
        <v>828</v>
      </c>
      <c r="D79" t="s">
        <v>814</v>
      </c>
      <c r="E79" t="s">
        <v>816</v>
      </c>
      <c r="F79" t="s">
        <v>817</v>
      </c>
      <c r="G79" s="1">
        <v>45292</v>
      </c>
      <c r="H79" s="1">
        <v>45657</v>
      </c>
      <c r="I79" t="s">
        <v>780</v>
      </c>
      <c r="J79" t="s">
        <v>816</v>
      </c>
      <c r="K79" t="s">
        <v>550</v>
      </c>
      <c r="L79" t="s">
        <v>19</v>
      </c>
      <c r="M79" t="s">
        <v>818</v>
      </c>
      <c r="N79" t="s">
        <v>819</v>
      </c>
      <c r="O79" t="s">
        <v>550</v>
      </c>
      <c r="Q79" t="s">
        <v>550</v>
      </c>
      <c r="S79" t="s">
        <v>550</v>
      </c>
      <c r="T79" t="s">
        <v>550</v>
      </c>
      <c r="U79" t="s">
        <v>550</v>
      </c>
      <c r="V79" t="s">
        <v>829</v>
      </c>
      <c r="Z79" t="s">
        <v>827</v>
      </c>
    </row>
    <row r="80" spans="1:26" x14ac:dyDescent="0.3">
      <c r="A80" t="s">
        <v>525</v>
      </c>
      <c r="B80" t="s">
        <v>830</v>
      </c>
      <c r="C80" t="s">
        <v>831</v>
      </c>
      <c r="D80" t="s">
        <v>550</v>
      </c>
      <c r="E80" t="s">
        <v>664</v>
      </c>
      <c r="F80" t="s">
        <v>27</v>
      </c>
      <c r="G80" s="1">
        <v>44562</v>
      </c>
      <c r="H80" s="1">
        <v>44926</v>
      </c>
      <c r="I80" t="s">
        <v>665</v>
      </c>
      <c r="J80" t="s">
        <v>666</v>
      </c>
      <c r="K80" t="s">
        <v>635</v>
      </c>
      <c r="L80" t="s">
        <v>667</v>
      </c>
      <c r="M80" t="s">
        <v>832</v>
      </c>
      <c r="N80" t="s">
        <v>833</v>
      </c>
      <c r="O80" t="s">
        <v>550</v>
      </c>
      <c r="Q80" t="s">
        <v>550</v>
      </c>
      <c r="S80" t="s">
        <v>783</v>
      </c>
      <c r="T80" t="s">
        <v>550</v>
      </c>
      <c r="U80" t="s">
        <v>550</v>
      </c>
      <c r="V80" t="s">
        <v>834</v>
      </c>
      <c r="W80" t="s">
        <v>835</v>
      </c>
      <c r="X80" t="s">
        <v>669</v>
      </c>
      <c r="Y80" t="s">
        <v>803</v>
      </c>
      <c r="Z80" t="s">
        <v>830</v>
      </c>
    </row>
    <row r="81" spans="1:26" x14ac:dyDescent="0.3">
      <c r="A81" t="s">
        <v>330</v>
      </c>
      <c r="B81" t="s">
        <v>836</v>
      </c>
      <c r="C81" t="s">
        <v>837</v>
      </c>
      <c r="D81" t="s">
        <v>550</v>
      </c>
      <c r="E81" t="s">
        <v>838</v>
      </c>
      <c r="F81" t="s">
        <v>839</v>
      </c>
      <c r="G81" s="1">
        <v>46023</v>
      </c>
      <c r="H81" s="1">
        <v>46023</v>
      </c>
      <c r="I81" t="s">
        <v>551</v>
      </c>
      <c r="J81" t="s">
        <v>840</v>
      </c>
      <c r="K81" t="s">
        <v>841</v>
      </c>
      <c r="L81" t="s">
        <v>842</v>
      </c>
      <c r="M81" t="s">
        <v>843</v>
      </c>
      <c r="N81" t="s">
        <v>319</v>
      </c>
      <c r="O81" t="s">
        <v>550</v>
      </c>
      <c r="Q81" t="s">
        <v>550</v>
      </c>
      <c r="S81" t="s">
        <v>803</v>
      </c>
      <c r="T81" t="s">
        <v>550</v>
      </c>
      <c r="U81" t="s">
        <v>550</v>
      </c>
      <c r="V81" t="s">
        <v>844</v>
      </c>
      <c r="W81" t="s">
        <v>813</v>
      </c>
      <c r="Z81" t="s">
        <v>836</v>
      </c>
    </row>
    <row r="82" spans="1:26" x14ac:dyDescent="0.3">
      <c r="A82" t="s">
        <v>330</v>
      </c>
      <c r="B82" t="s">
        <v>845</v>
      </c>
      <c r="C82" t="s">
        <v>846</v>
      </c>
      <c r="D82" t="s">
        <v>836</v>
      </c>
      <c r="E82" t="s">
        <v>838</v>
      </c>
      <c r="F82" t="s">
        <v>839</v>
      </c>
      <c r="G82" s="1">
        <v>46023</v>
      </c>
      <c r="H82" s="1">
        <v>46077</v>
      </c>
      <c r="I82" t="s">
        <v>551</v>
      </c>
      <c r="J82" t="s">
        <v>840</v>
      </c>
      <c r="K82" t="s">
        <v>841</v>
      </c>
      <c r="L82" t="s">
        <v>842</v>
      </c>
      <c r="M82" t="s">
        <v>843</v>
      </c>
      <c r="N82" t="s">
        <v>319</v>
      </c>
      <c r="O82" t="s">
        <v>550</v>
      </c>
      <c r="Q82" t="s">
        <v>550</v>
      </c>
      <c r="S82" t="s">
        <v>803</v>
      </c>
      <c r="T82" t="s">
        <v>847</v>
      </c>
      <c r="U82" t="s">
        <v>550</v>
      </c>
      <c r="V82" t="s">
        <v>848</v>
      </c>
      <c r="W82" t="s">
        <v>813</v>
      </c>
      <c r="Z82" t="s">
        <v>845</v>
      </c>
    </row>
    <row r="83" spans="1:26" x14ac:dyDescent="0.3">
      <c r="A83" t="s">
        <v>525</v>
      </c>
      <c r="B83" t="s">
        <v>849</v>
      </c>
      <c r="C83" t="s">
        <v>850</v>
      </c>
      <c r="D83" t="s">
        <v>550</v>
      </c>
      <c r="E83" t="s">
        <v>664</v>
      </c>
      <c r="F83" t="s">
        <v>27</v>
      </c>
      <c r="G83" s="1">
        <v>43467</v>
      </c>
      <c r="H83" s="1">
        <v>43920</v>
      </c>
      <c r="I83" t="s">
        <v>665</v>
      </c>
      <c r="J83" t="s">
        <v>666</v>
      </c>
      <c r="K83" t="s">
        <v>24</v>
      </c>
      <c r="L83" t="s">
        <v>667</v>
      </c>
      <c r="M83" t="s">
        <v>851</v>
      </c>
      <c r="N83" t="s">
        <v>852</v>
      </c>
      <c r="O83" t="s">
        <v>853</v>
      </c>
      <c r="P83" t="s">
        <v>854</v>
      </c>
      <c r="Q83" t="s">
        <v>550</v>
      </c>
      <c r="S83" t="s">
        <v>550</v>
      </c>
      <c r="T83" t="s">
        <v>550</v>
      </c>
      <c r="U83" t="s">
        <v>550</v>
      </c>
      <c r="V83" t="s">
        <v>855</v>
      </c>
      <c r="W83" t="s">
        <v>565</v>
      </c>
      <c r="X83" t="s">
        <v>669</v>
      </c>
      <c r="Y83" t="s">
        <v>856</v>
      </c>
      <c r="Z83" t="s">
        <v>849</v>
      </c>
    </row>
    <row r="84" spans="1:26" x14ac:dyDescent="0.3">
      <c r="A84" t="s">
        <v>525</v>
      </c>
      <c r="B84" t="s">
        <v>857</v>
      </c>
      <c r="C84" t="s">
        <v>858</v>
      </c>
      <c r="D84" t="s">
        <v>550</v>
      </c>
      <c r="E84" t="s">
        <v>859</v>
      </c>
      <c r="F84" t="s">
        <v>860</v>
      </c>
      <c r="G84" s="1">
        <v>43299</v>
      </c>
      <c r="H84" s="1">
        <v>43404</v>
      </c>
      <c r="I84" t="s">
        <v>665</v>
      </c>
      <c r="J84" t="s">
        <v>861</v>
      </c>
      <c r="K84" t="s">
        <v>862</v>
      </c>
      <c r="L84" t="s">
        <v>863</v>
      </c>
      <c r="M84" t="s">
        <v>864</v>
      </c>
      <c r="N84" t="s">
        <v>865</v>
      </c>
      <c r="O84" t="s">
        <v>866</v>
      </c>
      <c r="P84" t="s">
        <v>867</v>
      </c>
      <c r="Q84" t="s">
        <v>550</v>
      </c>
      <c r="S84" t="s">
        <v>550</v>
      </c>
      <c r="T84" t="s">
        <v>550</v>
      </c>
      <c r="U84" t="s">
        <v>550</v>
      </c>
      <c r="V84" t="s">
        <v>868</v>
      </c>
      <c r="W84" t="s">
        <v>869</v>
      </c>
      <c r="X84" t="s">
        <v>870</v>
      </c>
      <c r="Y84" t="s">
        <v>847</v>
      </c>
      <c r="Z84" t="s">
        <v>857</v>
      </c>
    </row>
    <row r="85" spans="1:26" x14ac:dyDescent="0.3">
      <c r="A85" t="s">
        <v>525</v>
      </c>
      <c r="B85" t="s">
        <v>871</v>
      </c>
      <c r="C85" t="s">
        <v>872</v>
      </c>
      <c r="D85" t="s">
        <v>550</v>
      </c>
      <c r="E85" t="s">
        <v>664</v>
      </c>
      <c r="F85" t="s">
        <v>27</v>
      </c>
      <c r="G85" s="1">
        <v>43831</v>
      </c>
      <c r="H85" s="1">
        <v>43874</v>
      </c>
      <c r="I85" t="s">
        <v>665</v>
      </c>
      <c r="J85" t="s">
        <v>666</v>
      </c>
      <c r="K85" t="s">
        <v>24</v>
      </c>
      <c r="L85" t="s">
        <v>667</v>
      </c>
      <c r="M85" t="s">
        <v>873</v>
      </c>
      <c r="N85" t="s">
        <v>244</v>
      </c>
      <c r="O85" t="s">
        <v>853</v>
      </c>
      <c r="P85" t="s">
        <v>854</v>
      </c>
      <c r="Q85" t="s">
        <v>550</v>
      </c>
      <c r="S85" t="s">
        <v>550</v>
      </c>
      <c r="T85" t="s">
        <v>550</v>
      </c>
      <c r="U85" t="s">
        <v>550</v>
      </c>
      <c r="V85" t="s">
        <v>874</v>
      </c>
      <c r="W85" t="s">
        <v>875</v>
      </c>
      <c r="X85" t="s">
        <v>669</v>
      </c>
      <c r="Y85" t="s">
        <v>856</v>
      </c>
      <c r="Z85" t="s">
        <v>871</v>
      </c>
    </row>
    <row r="86" spans="1:26" x14ac:dyDescent="0.3">
      <c r="A86" t="s">
        <v>330</v>
      </c>
      <c r="B86" t="s">
        <v>876</v>
      </c>
      <c r="C86" t="s">
        <v>877</v>
      </c>
      <c r="D86" t="s">
        <v>550</v>
      </c>
      <c r="E86" t="s">
        <v>878</v>
      </c>
      <c r="F86" t="s">
        <v>879</v>
      </c>
      <c r="G86" s="1">
        <v>44844</v>
      </c>
      <c r="H86" s="1">
        <v>44844</v>
      </c>
      <c r="I86" t="s">
        <v>665</v>
      </c>
      <c r="J86" t="s">
        <v>880</v>
      </c>
      <c r="K86" t="s">
        <v>862</v>
      </c>
      <c r="L86" t="s">
        <v>809</v>
      </c>
      <c r="M86" t="s">
        <v>881</v>
      </c>
      <c r="N86" t="s">
        <v>882</v>
      </c>
      <c r="O86" t="s">
        <v>883</v>
      </c>
      <c r="P86" t="s">
        <v>884</v>
      </c>
      <c r="Q86" t="s">
        <v>550</v>
      </c>
      <c r="S86" t="s">
        <v>803</v>
      </c>
      <c r="T86" t="s">
        <v>550</v>
      </c>
      <c r="U86" t="s">
        <v>550</v>
      </c>
      <c r="V86" t="s">
        <v>885</v>
      </c>
      <c r="W86" t="s">
        <v>886</v>
      </c>
      <c r="X86" t="s">
        <v>809</v>
      </c>
      <c r="Y86" t="s">
        <v>803</v>
      </c>
      <c r="Z86" t="s">
        <v>876</v>
      </c>
    </row>
    <row r="87" spans="1:26" x14ac:dyDescent="0.3">
      <c r="A87" t="s">
        <v>525</v>
      </c>
      <c r="B87" t="s">
        <v>887</v>
      </c>
      <c r="C87" t="s">
        <v>888</v>
      </c>
      <c r="D87" t="s">
        <v>550</v>
      </c>
      <c r="E87" t="s">
        <v>664</v>
      </c>
      <c r="F87" t="s">
        <v>27</v>
      </c>
      <c r="G87" s="1">
        <v>43983</v>
      </c>
      <c r="H87" s="1">
        <v>43999</v>
      </c>
      <c r="I87" t="s">
        <v>665</v>
      </c>
      <c r="J87" t="s">
        <v>666</v>
      </c>
      <c r="K87" t="s">
        <v>24</v>
      </c>
      <c r="L87" t="s">
        <v>667</v>
      </c>
      <c r="M87" t="s">
        <v>889</v>
      </c>
      <c r="N87" t="s">
        <v>890</v>
      </c>
      <c r="O87" t="s">
        <v>891</v>
      </c>
      <c r="P87" t="s">
        <v>892</v>
      </c>
      <c r="Q87" t="s">
        <v>550</v>
      </c>
      <c r="S87" t="s">
        <v>550</v>
      </c>
      <c r="T87" t="s">
        <v>893</v>
      </c>
      <c r="U87" t="s">
        <v>550</v>
      </c>
      <c r="V87" t="s">
        <v>894</v>
      </c>
      <c r="W87" t="s">
        <v>613</v>
      </c>
      <c r="X87" t="s">
        <v>74</v>
      </c>
      <c r="Y87" t="s">
        <v>803</v>
      </c>
      <c r="Z87" t="s">
        <v>887</v>
      </c>
    </row>
    <row r="88" spans="1:26" x14ac:dyDescent="0.3">
      <c r="A88" t="s">
        <v>525</v>
      </c>
      <c r="B88" t="s">
        <v>895</v>
      </c>
      <c r="C88" t="s">
        <v>896</v>
      </c>
      <c r="D88" t="s">
        <v>550</v>
      </c>
      <c r="E88" t="s">
        <v>664</v>
      </c>
      <c r="F88" t="s">
        <v>27</v>
      </c>
      <c r="G88" s="1">
        <v>43983</v>
      </c>
      <c r="H88" s="1">
        <v>44000</v>
      </c>
      <c r="I88" t="s">
        <v>665</v>
      </c>
      <c r="J88" t="s">
        <v>666</v>
      </c>
      <c r="K88" t="s">
        <v>24</v>
      </c>
      <c r="L88" t="s">
        <v>667</v>
      </c>
      <c r="M88" t="s">
        <v>797</v>
      </c>
      <c r="N88" t="s">
        <v>313</v>
      </c>
      <c r="O88" t="s">
        <v>891</v>
      </c>
      <c r="P88" t="s">
        <v>892</v>
      </c>
      <c r="Q88" t="s">
        <v>550</v>
      </c>
      <c r="S88" t="s">
        <v>550</v>
      </c>
      <c r="T88" t="s">
        <v>893</v>
      </c>
      <c r="U88" t="s">
        <v>550</v>
      </c>
      <c r="V88" t="s">
        <v>897</v>
      </c>
      <c r="W88" t="s">
        <v>554</v>
      </c>
      <c r="X88" t="s">
        <v>669</v>
      </c>
      <c r="Y88" t="s">
        <v>799</v>
      </c>
      <c r="Z88" t="s">
        <v>895</v>
      </c>
    </row>
    <row r="89" spans="1:26" x14ac:dyDescent="0.3">
      <c r="A89" t="s">
        <v>330</v>
      </c>
      <c r="B89" t="s">
        <v>898</v>
      </c>
      <c r="C89" t="s">
        <v>899</v>
      </c>
      <c r="D89" t="s">
        <v>550</v>
      </c>
      <c r="E89" t="s">
        <v>816</v>
      </c>
      <c r="F89" t="s">
        <v>817</v>
      </c>
      <c r="G89" s="1">
        <v>43102</v>
      </c>
      <c r="H89" s="1">
        <v>43465</v>
      </c>
      <c r="I89" t="s">
        <v>665</v>
      </c>
      <c r="J89" t="s">
        <v>816</v>
      </c>
      <c r="K89" t="s">
        <v>900</v>
      </c>
      <c r="L89" t="s">
        <v>901</v>
      </c>
      <c r="M89" t="s">
        <v>902</v>
      </c>
      <c r="N89" t="s">
        <v>903</v>
      </c>
      <c r="O89" t="s">
        <v>902</v>
      </c>
      <c r="P89" t="s">
        <v>903</v>
      </c>
      <c r="Q89" t="s">
        <v>904</v>
      </c>
      <c r="R89" t="s">
        <v>905</v>
      </c>
      <c r="S89" t="s">
        <v>550</v>
      </c>
      <c r="T89" t="s">
        <v>550</v>
      </c>
      <c r="U89" t="s">
        <v>550</v>
      </c>
      <c r="V89" t="s">
        <v>906</v>
      </c>
      <c r="W89" t="s">
        <v>907</v>
      </c>
      <c r="X89" t="s">
        <v>908</v>
      </c>
      <c r="Y89" t="s">
        <v>909</v>
      </c>
      <c r="Z89" t="s">
        <v>898</v>
      </c>
    </row>
    <row r="90" spans="1:26" x14ac:dyDescent="0.3">
      <c r="A90" t="s">
        <v>330</v>
      </c>
      <c r="B90" t="s">
        <v>910</v>
      </c>
      <c r="C90" t="s">
        <v>911</v>
      </c>
      <c r="D90" t="s">
        <v>912</v>
      </c>
      <c r="E90" t="s">
        <v>816</v>
      </c>
      <c r="F90" t="s">
        <v>817</v>
      </c>
      <c r="G90" s="1">
        <v>43102</v>
      </c>
      <c r="H90" s="1">
        <v>43465</v>
      </c>
      <c r="I90" t="s">
        <v>665</v>
      </c>
      <c r="J90" t="s">
        <v>816</v>
      </c>
      <c r="K90" t="s">
        <v>900</v>
      </c>
      <c r="L90" t="s">
        <v>901</v>
      </c>
      <c r="M90" t="s">
        <v>913</v>
      </c>
      <c r="N90" t="s">
        <v>914</v>
      </c>
      <c r="O90" t="s">
        <v>915</v>
      </c>
      <c r="P90" t="s">
        <v>916</v>
      </c>
      <c r="Q90" t="s">
        <v>904</v>
      </c>
      <c r="R90" t="s">
        <v>905</v>
      </c>
      <c r="S90" t="s">
        <v>550</v>
      </c>
      <c r="T90" t="s">
        <v>550</v>
      </c>
      <c r="U90" t="s">
        <v>550</v>
      </c>
      <c r="V90" t="s">
        <v>917</v>
      </c>
      <c r="W90" t="s">
        <v>918</v>
      </c>
      <c r="X90" t="s">
        <v>908</v>
      </c>
      <c r="Y90" t="s">
        <v>909</v>
      </c>
      <c r="Z90" t="s">
        <v>910</v>
      </c>
    </row>
    <row r="91" spans="1:26" x14ac:dyDescent="0.3">
      <c r="A91" t="s">
        <v>330</v>
      </c>
      <c r="B91" t="s">
        <v>919</v>
      </c>
      <c r="C91" t="s">
        <v>920</v>
      </c>
      <c r="D91" t="s">
        <v>912</v>
      </c>
      <c r="E91" t="s">
        <v>816</v>
      </c>
      <c r="F91" t="s">
        <v>817</v>
      </c>
      <c r="G91" s="1">
        <v>43102</v>
      </c>
      <c r="H91" s="1">
        <v>43465</v>
      </c>
      <c r="I91" t="s">
        <v>665</v>
      </c>
      <c r="J91" t="s">
        <v>816</v>
      </c>
      <c r="K91" t="s">
        <v>900</v>
      </c>
      <c r="L91" t="s">
        <v>901</v>
      </c>
      <c r="M91" t="s">
        <v>913</v>
      </c>
      <c r="N91" t="s">
        <v>914</v>
      </c>
      <c r="O91" t="s">
        <v>915</v>
      </c>
      <c r="P91" t="s">
        <v>916</v>
      </c>
      <c r="Q91" t="s">
        <v>904</v>
      </c>
      <c r="R91" t="s">
        <v>905</v>
      </c>
      <c r="S91" t="s">
        <v>550</v>
      </c>
      <c r="T91" t="s">
        <v>550</v>
      </c>
      <c r="U91" t="s">
        <v>550</v>
      </c>
      <c r="V91" t="s">
        <v>921</v>
      </c>
      <c r="W91" t="s">
        <v>918</v>
      </c>
      <c r="X91" t="s">
        <v>908</v>
      </c>
      <c r="Y91" t="s">
        <v>909</v>
      </c>
      <c r="Z91" t="s">
        <v>919</v>
      </c>
    </row>
    <row r="92" spans="1:26" x14ac:dyDescent="0.3">
      <c r="A92" t="s">
        <v>330</v>
      </c>
      <c r="B92" t="s">
        <v>922</v>
      </c>
      <c r="C92" t="s">
        <v>923</v>
      </c>
      <c r="D92" t="s">
        <v>912</v>
      </c>
      <c r="E92" t="s">
        <v>816</v>
      </c>
      <c r="F92" t="s">
        <v>817</v>
      </c>
      <c r="G92" s="1">
        <v>43102</v>
      </c>
      <c r="H92" s="1">
        <v>43465</v>
      </c>
      <c r="I92" t="s">
        <v>665</v>
      </c>
      <c r="J92" t="s">
        <v>816</v>
      </c>
      <c r="K92" t="s">
        <v>900</v>
      </c>
      <c r="L92" t="s">
        <v>901</v>
      </c>
      <c r="M92" t="s">
        <v>913</v>
      </c>
      <c r="N92" t="s">
        <v>914</v>
      </c>
      <c r="O92" t="s">
        <v>915</v>
      </c>
      <c r="P92" t="s">
        <v>916</v>
      </c>
      <c r="Q92" t="s">
        <v>904</v>
      </c>
      <c r="R92" t="s">
        <v>905</v>
      </c>
      <c r="S92" t="s">
        <v>550</v>
      </c>
      <c r="T92" t="s">
        <v>550</v>
      </c>
      <c r="U92" t="s">
        <v>550</v>
      </c>
      <c r="V92" t="s">
        <v>924</v>
      </c>
      <c r="W92" t="s">
        <v>918</v>
      </c>
      <c r="X92" t="s">
        <v>908</v>
      </c>
      <c r="Y92" t="s">
        <v>909</v>
      </c>
      <c r="Z92" t="s">
        <v>922</v>
      </c>
    </row>
    <row r="93" spans="1:26" x14ac:dyDescent="0.3">
      <c r="A93" t="s">
        <v>330</v>
      </c>
      <c r="B93" t="s">
        <v>925</v>
      </c>
      <c r="C93" t="s">
        <v>926</v>
      </c>
      <c r="D93" t="s">
        <v>912</v>
      </c>
      <c r="E93" t="s">
        <v>816</v>
      </c>
      <c r="F93" t="s">
        <v>817</v>
      </c>
      <c r="G93" s="1">
        <v>43102</v>
      </c>
      <c r="H93" s="1">
        <v>43465</v>
      </c>
      <c r="I93" t="s">
        <v>665</v>
      </c>
      <c r="J93" t="s">
        <v>816</v>
      </c>
      <c r="K93" t="s">
        <v>900</v>
      </c>
      <c r="L93" t="s">
        <v>901</v>
      </c>
      <c r="M93" t="s">
        <v>913</v>
      </c>
      <c r="N93" t="s">
        <v>914</v>
      </c>
      <c r="O93" t="s">
        <v>915</v>
      </c>
      <c r="P93" t="s">
        <v>916</v>
      </c>
      <c r="Q93" t="s">
        <v>904</v>
      </c>
      <c r="R93" t="s">
        <v>905</v>
      </c>
      <c r="S93" t="s">
        <v>550</v>
      </c>
      <c r="T93" t="s">
        <v>550</v>
      </c>
      <c r="U93" t="s">
        <v>550</v>
      </c>
      <c r="V93" t="s">
        <v>927</v>
      </c>
      <c r="W93" t="s">
        <v>918</v>
      </c>
      <c r="X93" t="s">
        <v>908</v>
      </c>
      <c r="Y93" t="s">
        <v>909</v>
      </c>
      <c r="Z93" t="s">
        <v>925</v>
      </c>
    </row>
    <row r="94" spans="1:26" x14ac:dyDescent="0.3">
      <c r="A94" t="s">
        <v>330</v>
      </c>
      <c r="B94" t="s">
        <v>928</v>
      </c>
      <c r="C94" t="s">
        <v>929</v>
      </c>
      <c r="D94" t="s">
        <v>550</v>
      </c>
      <c r="E94" t="s">
        <v>816</v>
      </c>
      <c r="F94" t="s">
        <v>817</v>
      </c>
      <c r="G94" s="1">
        <v>43102</v>
      </c>
      <c r="H94" s="1">
        <v>43465</v>
      </c>
      <c r="I94" t="s">
        <v>665</v>
      </c>
      <c r="J94" t="s">
        <v>816</v>
      </c>
      <c r="K94" t="s">
        <v>900</v>
      </c>
      <c r="L94" t="s">
        <v>901</v>
      </c>
      <c r="M94" t="s">
        <v>930</v>
      </c>
      <c r="N94" t="s">
        <v>931</v>
      </c>
      <c r="O94" t="s">
        <v>915</v>
      </c>
      <c r="P94" t="s">
        <v>916</v>
      </c>
      <c r="Q94" t="s">
        <v>904</v>
      </c>
      <c r="R94" t="s">
        <v>905</v>
      </c>
      <c r="S94" t="s">
        <v>550</v>
      </c>
      <c r="T94" t="s">
        <v>550</v>
      </c>
      <c r="U94" t="s">
        <v>550</v>
      </c>
      <c r="V94" t="s">
        <v>932</v>
      </c>
      <c r="W94" t="s">
        <v>933</v>
      </c>
      <c r="X94" t="s">
        <v>908</v>
      </c>
      <c r="Y94" t="s">
        <v>909</v>
      </c>
      <c r="Z94" t="s">
        <v>928</v>
      </c>
    </row>
    <row r="95" spans="1:26" x14ac:dyDescent="0.3">
      <c r="A95" t="s">
        <v>330</v>
      </c>
      <c r="B95" t="s">
        <v>934</v>
      </c>
      <c r="C95" t="s">
        <v>935</v>
      </c>
      <c r="D95" t="s">
        <v>550</v>
      </c>
      <c r="E95" t="s">
        <v>816</v>
      </c>
      <c r="F95" t="s">
        <v>817</v>
      </c>
      <c r="G95" s="1">
        <v>43102</v>
      </c>
      <c r="H95" s="1">
        <v>43465</v>
      </c>
      <c r="I95" t="s">
        <v>665</v>
      </c>
      <c r="J95" t="s">
        <v>816</v>
      </c>
      <c r="K95" t="s">
        <v>900</v>
      </c>
      <c r="L95" t="s">
        <v>901</v>
      </c>
      <c r="M95" t="s">
        <v>936</v>
      </c>
      <c r="N95" t="s">
        <v>937</v>
      </c>
      <c r="O95" t="s">
        <v>938</v>
      </c>
      <c r="P95" t="s">
        <v>939</v>
      </c>
      <c r="Q95" t="s">
        <v>904</v>
      </c>
      <c r="R95" t="s">
        <v>905</v>
      </c>
      <c r="S95" t="s">
        <v>550</v>
      </c>
      <c r="T95" t="s">
        <v>550</v>
      </c>
      <c r="U95" t="s">
        <v>550</v>
      </c>
      <c r="V95" t="s">
        <v>940</v>
      </c>
      <c r="W95" t="s">
        <v>941</v>
      </c>
      <c r="X95" t="s">
        <v>908</v>
      </c>
      <c r="Y95" t="s">
        <v>909</v>
      </c>
      <c r="Z95" t="s">
        <v>934</v>
      </c>
    </row>
    <row r="96" spans="1:26" x14ac:dyDescent="0.3">
      <c r="A96" t="s">
        <v>330</v>
      </c>
      <c r="B96" t="s">
        <v>942</v>
      </c>
      <c r="C96" t="s">
        <v>943</v>
      </c>
      <c r="D96" t="s">
        <v>934</v>
      </c>
      <c r="E96" t="s">
        <v>816</v>
      </c>
      <c r="F96" t="s">
        <v>817</v>
      </c>
      <c r="G96" s="1">
        <v>43102</v>
      </c>
      <c r="H96" s="1">
        <v>43465</v>
      </c>
      <c r="I96" t="s">
        <v>665</v>
      </c>
      <c r="J96" t="s">
        <v>816</v>
      </c>
      <c r="K96" t="s">
        <v>900</v>
      </c>
      <c r="L96" t="s">
        <v>901</v>
      </c>
      <c r="M96" t="s">
        <v>936</v>
      </c>
      <c r="N96" t="s">
        <v>937</v>
      </c>
      <c r="O96" t="s">
        <v>938</v>
      </c>
      <c r="P96" t="s">
        <v>939</v>
      </c>
      <c r="Q96" t="s">
        <v>904</v>
      </c>
      <c r="R96" t="s">
        <v>905</v>
      </c>
      <c r="S96" t="s">
        <v>550</v>
      </c>
      <c r="T96" t="s">
        <v>550</v>
      </c>
      <c r="U96" t="s">
        <v>550</v>
      </c>
      <c r="V96" t="s">
        <v>944</v>
      </c>
      <c r="W96" t="s">
        <v>941</v>
      </c>
      <c r="X96" t="s">
        <v>908</v>
      </c>
      <c r="Y96" t="s">
        <v>909</v>
      </c>
      <c r="Z96" t="s">
        <v>942</v>
      </c>
    </row>
    <row r="97" spans="1:26" x14ac:dyDescent="0.3">
      <c r="A97" t="s">
        <v>330</v>
      </c>
      <c r="B97" t="s">
        <v>945</v>
      </c>
      <c r="C97" t="s">
        <v>946</v>
      </c>
      <c r="D97" t="s">
        <v>934</v>
      </c>
      <c r="E97" t="s">
        <v>816</v>
      </c>
      <c r="F97" t="s">
        <v>817</v>
      </c>
      <c r="G97" s="1">
        <v>43102</v>
      </c>
      <c r="H97" s="1">
        <v>43465</v>
      </c>
      <c r="I97" t="s">
        <v>665</v>
      </c>
      <c r="J97" t="s">
        <v>816</v>
      </c>
      <c r="K97" t="s">
        <v>900</v>
      </c>
      <c r="L97" t="s">
        <v>901</v>
      </c>
      <c r="M97" t="s">
        <v>936</v>
      </c>
      <c r="N97" t="s">
        <v>937</v>
      </c>
      <c r="O97" t="s">
        <v>938</v>
      </c>
      <c r="P97" t="s">
        <v>939</v>
      </c>
      <c r="Q97" t="s">
        <v>904</v>
      </c>
      <c r="R97" t="s">
        <v>905</v>
      </c>
      <c r="S97" t="s">
        <v>550</v>
      </c>
      <c r="T97" t="s">
        <v>550</v>
      </c>
      <c r="U97" t="s">
        <v>550</v>
      </c>
      <c r="V97" t="s">
        <v>947</v>
      </c>
      <c r="W97" t="s">
        <v>941</v>
      </c>
      <c r="X97" t="s">
        <v>908</v>
      </c>
      <c r="Y97" t="s">
        <v>909</v>
      </c>
      <c r="Z97" t="s">
        <v>945</v>
      </c>
    </row>
    <row r="98" spans="1:26" x14ac:dyDescent="0.3">
      <c r="A98" t="s">
        <v>330</v>
      </c>
      <c r="B98" t="s">
        <v>948</v>
      </c>
      <c r="C98" t="s">
        <v>698</v>
      </c>
      <c r="D98" t="s">
        <v>934</v>
      </c>
      <c r="E98" t="s">
        <v>816</v>
      </c>
      <c r="F98" t="s">
        <v>817</v>
      </c>
      <c r="G98" s="1">
        <v>43102</v>
      </c>
      <c r="H98" s="1">
        <v>43465</v>
      </c>
      <c r="I98" t="s">
        <v>665</v>
      </c>
      <c r="J98" t="s">
        <v>816</v>
      </c>
      <c r="K98" t="s">
        <v>900</v>
      </c>
      <c r="L98" t="s">
        <v>901</v>
      </c>
      <c r="M98" t="s">
        <v>936</v>
      </c>
      <c r="N98" t="s">
        <v>937</v>
      </c>
      <c r="O98" t="s">
        <v>938</v>
      </c>
      <c r="P98" t="s">
        <v>939</v>
      </c>
      <c r="Q98" t="s">
        <v>904</v>
      </c>
      <c r="R98" t="s">
        <v>905</v>
      </c>
      <c r="S98" t="s">
        <v>550</v>
      </c>
      <c r="T98" t="s">
        <v>550</v>
      </c>
      <c r="U98" t="s">
        <v>550</v>
      </c>
      <c r="V98" t="s">
        <v>949</v>
      </c>
      <c r="W98" t="s">
        <v>941</v>
      </c>
      <c r="X98" t="s">
        <v>908</v>
      </c>
      <c r="Y98" t="s">
        <v>909</v>
      </c>
      <c r="Z98" t="s">
        <v>948</v>
      </c>
    </row>
    <row r="99" spans="1:26" x14ac:dyDescent="0.3">
      <c r="A99" t="s">
        <v>330</v>
      </c>
      <c r="B99" t="s">
        <v>950</v>
      </c>
      <c r="C99" t="s">
        <v>935</v>
      </c>
      <c r="D99" t="s">
        <v>550</v>
      </c>
      <c r="E99" t="s">
        <v>816</v>
      </c>
      <c r="F99" t="s">
        <v>817</v>
      </c>
      <c r="G99" s="1">
        <v>43467</v>
      </c>
      <c r="H99" s="1">
        <v>43467</v>
      </c>
      <c r="I99" t="s">
        <v>665</v>
      </c>
      <c r="J99" t="s">
        <v>816</v>
      </c>
      <c r="K99" t="s">
        <v>900</v>
      </c>
      <c r="L99" t="s">
        <v>901</v>
      </c>
      <c r="M99" t="s">
        <v>936</v>
      </c>
      <c r="N99" t="s">
        <v>937</v>
      </c>
      <c r="O99" t="s">
        <v>938</v>
      </c>
      <c r="P99" t="s">
        <v>939</v>
      </c>
      <c r="Q99" t="s">
        <v>904</v>
      </c>
      <c r="R99" t="s">
        <v>905</v>
      </c>
      <c r="S99" t="s">
        <v>550</v>
      </c>
      <c r="T99" t="s">
        <v>550</v>
      </c>
      <c r="U99" t="s">
        <v>550</v>
      </c>
      <c r="V99" t="s">
        <v>951</v>
      </c>
      <c r="W99" t="s">
        <v>941</v>
      </c>
      <c r="X99" t="s">
        <v>908</v>
      </c>
      <c r="Y99" t="s">
        <v>909</v>
      </c>
      <c r="Z99" t="s">
        <v>950</v>
      </c>
    </row>
    <row r="100" spans="1:26" x14ac:dyDescent="0.3">
      <c r="A100" t="s">
        <v>330</v>
      </c>
      <c r="B100" t="s">
        <v>952</v>
      </c>
      <c r="C100" t="s">
        <v>953</v>
      </c>
      <c r="D100" t="s">
        <v>950</v>
      </c>
      <c r="E100" t="s">
        <v>816</v>
      </c>
      <c r="F100" t="s">
        <v>817</v>
      </c>
      <c r="G100" s="1">
        <v>43467</v>
      </c>
      <c r="H100" s="1">
        <v>43467</v>
      </c>
      <c r="I100" t="s">
        <v>665</v>
      </c>
      <c r="J100" t="s">
        <v>816</v>
      </c>
      <c r="K100" t="s">
        <v>900</v>
      </c>
      <c r="L100" t="s">
        <v>901</v>
      </c>
      <c r="M100" t="s">
        <v>936</v>
      </c>
      <c r="N100" t="s">
        <v>937</v>
      </c>
      <c r="O100" t="s">
        <v>938</v>
      </c>
      <c r="P100" t="s">
        <v>939</v>
      </c>
      <c r="Q100" t="s">
        <v>904</v>
      </c>
      <c r="R100" t="s">
        <v>905</v>
      </c>
      <c r="S100" t="s">
        <v>550</v>
      </c>
      <c r="T100" t="s">
        <v>550</v>
      </c>
      <c r="U100" t="s">
        <v>550</v>
      </c>
      <c r="V100" t="s">
        <v>954</v>
      </c>
      <c r="W100" t="s">
        <v>941</v>
      </c>
      <c r="X100" t="s">
        <v>908</v>
      </c>
      <c r="Y100" t="s">
        <v>909</v>
      </c>
      <c r="Z100" t="s">
        <v>952</v>
      </c>
    </row>
    <row r="101" spans="1:26" x14ac:dyDescent="0.3">
      <c r="A101" t="s">
        <v>330</v>
      </c>
      <c r="B101" t="s">
        <v>955</v>
      </c>
      <c r="C101" t="s">
        <v>946</v>
      </c>
      <c r="D101" t="s">
        <v>950</v>
      </c>
      <c r="E101" t="s">
        <v>816</v>
      </c>
      <c r="F101" t="s">
        <v>817</v>
      </c>
      <c r="G101" s="1">
        <v>43467</v>
      </c>
      <c r="H101" s="1">
        <v>43467</v>
      </c>
      <c r="I101" t="s">
        <v>665</v>
      </c>
      <c r="J101" t="s">
        <v>816</v>
      </c>
      <c r="K101" t="s">
        <v>900</v>
      </c>
      <c r="L101" t="s">
        <v>901</v>
      </c>
      <c r="M101" t="s">
        <v>936</v>
      </c>
      <c r="N101" t="s">
        <v>937</v>
      </c>
      <c r="O101" t="s">
        <v>938</v>
      </c>
      <c r="P101" t="s">
        <v>939</v>
      </c>
      <c r="Q101" t="s">
        <v>904</v>
      </c>
      <c r="R101" t="s">
        <v>905</v>
      </c>
      <c r="S101" t="s">
        <v>550</v>
      </c>
      <c r="T101" t="s">
        <v>550</v>
      </c>
      <c r="U101" t="s">
        <v>550</v>
      </c>
      <c r="V101" t="s">
        <v>956</v>
      </c>
      <c r="W101" t="s">
        <v>941</v>
      </c>
      <c r="X101" t="s">
        <v>908</v>
      </c>
      <c r="Y101" t="s">
        <v>909</v>
      </c>
      <c r="Z101" t="s">
        <v>955</v>
      </c>
    </row>
    <row r="102" spans="1:26" x14ac:dyDescent="0.3">
      <c r="A102" t="s">
        <v>330</v>
      </c>
      <c r="B102" t="s">
        <v>957</v>
      </c>
      <c r="C102" t="s">
        <v>935</v>
      </c>
      <c r="D102" t="s">
        <v>550</v>
      </c>
      <c r="E102" t="s">
        <v>816</v>
      </c>
      <c r="F102" t="s">
        <v>817</v>
      </c>
      <c r="G102" s="1">
        <v>43831</v>
      </c>
      <c r="H102" s="1">
        <v>43831</v>
      </c>
      <c r="I102" t="s">
        <v>665</v>
      </c>
      <c r="J102" t="s">
        <v>816</v>
      </c>
      <c r="K102" t="s">
        <v>958</v>
      </c>
      <c r="L102" t="s">
        <v>901</v>
      </c>
      <c r="M102" t="s">
        <v>936</v>
      </c>
      <c r="N102" t="s">
        <v>937</v>
      </c>
      <c r="O102" t="s">
        <v>938</v>
      </c>
      <c r="P102" t="s">
        <v>939</v>
      </c>
      <c r="Q102" t="s">
        <v>904</v>
      </c>
      <c r="R102" t="s">
        <v>905</v>
      </c>
      <c r="S102" t="s">
        <v>550</v>
      </c>
      <c r="T102" t="s">
        <v>550</v>
      </c>
      <c r="U102" t="s">
        <v>550</v>
      </c>
      <c r="V102" t="s">
        <v>959</v>
      </c>
      <c r="W102" t="s">
        <v>941</v>
      </c>
      <c r="X102" t="s">
        <v>908</v>
      </c>
      <c r="Y102" t="s">
        <v>909</v>
      </c>
      <c r="Z102" t="s">
        <v>957</v>
      </c>
    </row>
    <row r="103" spans="1:26" x14ac:dyDescent="0.3">
      <c r="A103" t="s">
        <v>330</v>
      </c>
      <c r="B103" t="s">
        <v>960</v>
      </c>
      <c r="C103" t="s">
        <v>943</v>
      </c>
      <c r="D103" t="s">
        <v>957</v>
      </c>
      <c r="E103" t="s">
        <v>816</v>
      </c>
      <c r="F103" t="s">
        <v>817</v>
      </c>
      <c r="G103" s="1">
        <v>43831</v>
      </c>
      <c r="H103" s="1">
        <v>44005</v>
      </c>
      <c r="I103" t="s">
        <v>665</v>
      </c>
      <c r="J103" t="s">
        <v>816</v>
      </c>
      <c r="K103" t="s">
        <v>958</v>
      </c>
      <c r="L103" t="s">
        <v>901</v>
      </c>
      <c r="M103" t="s">
        <v>936</v>
      </c>
      <c r="N103" t="s">
        <v>937</v>
      </c>
      <c r="O103" t="s">
        <v>938</v>
      </c>
      <c r="P103" t="s">
        <v>939</v>
      </c>
      <c r="Q103" t="s">
        <v>904</v>
      </c>
      <c r="R103" t="s">
        <v>905</v>
      </c>
      <c r="S103" t="s">
        <v>550</v>
      </c>
      <c r="T103" t="s">
        <v>550</v>
      </c>
      <c r="U103" t="s">
        <v>550</v>
      </c>
      <c r="V103" t="s">
        <v>961</v>
      </c>
      <c r="W103" t="s">
        <v>941</v>
      </c>
      <c r="X103" t="s">
        <v>908</v>
      </c>
      <c r="Y103" t="s">
        <v>909</v>
      </c>
      <c r="Z103" t="s">
        <v>960</v>
      </c>
    </row>
    <row r="104" spans="1:26" x14ac:dyDescent="0.3">
      <c r="A104" t="s">
        <v>330</v>
      </c>
      <c r="B104" t="s">
        <v>962</v>
      </c>
      <c r="C104" t="s">
        <v>963</v>
      </c>
      <c r="D104" t="s">
        <v>550</v>
      </c>
      <c r="E104" t="s">
        <v>816</v>
      </c>
      <c r="F104" t="s">
        <v>817</v>
      </c>
      <c r="G104" s="1">
        <v>43102</v>
      </c>
      <c r="H104" s="1">
        <v>43465</v>
      </c>
      <c r="I104" t="s">
        <v>665</v>
      </c>
      <c r="J104" t="s">
        <v>816</v>
      </c>
      <c r="K104" t="s">
        <v>900</v>
      </c>
      <c r="L104" t="s">
        <v>901</v>
      </c>
      <c r="M104" t="s">
        <v>964</v>
      </c>
      <c r="N104" t="s">
        <v>965</v>
      </c>
      <c r="O104" t="s">
        <v>938</v>
      </c>
      <c r="P104" t="s">
        <v>939</v>
      </c>
      <c r="Q104" t="s">
        <v>904</v>
      </c>
      <c r="R104" t="s">
        <v>905</v>
      </c>
      <c r="S104" t="s">
        <v>550</v>
      </c>
      <c r="T104" t="s">
        <v>550</v>
      </c>
      <c r="U104" t="s">
        <v>550</v>
      </c>
      <c r="V104" t="s">
        <v>966</v>
      </c>
      <c r="W104" t="s">
        <v>941</v>
      </c>
      <c r="X104" t="s">
        <v>908</v>
      </c>
      <c r="Y104" t="s">
        <v>909</v>
      </c>
      <c r="Z104" t="s">
        <v>962</v>
      </c>
    </row>
    <row r="105" spans="1:26" x14ac:dyDescent="0.3">
      <c r="A105" t="s">
        <v>330</v>
      </c>
      <c r="B105" t="s">
        <v>967</v>
      </c>
      <c r="C105" t="s">
        <v>963</v>
      </c>
      <c r="D105" t="s">
        <v>550</v>
      </c>
      <c r="E105" t="s">
        <v>816</v>
      </c>
      <c r="F105" t="s">
        <v>817</v>
      </c>
      <c r="G105" s="1">
        <v>43466</v>
      </c>
      <c r="H105" s="1">
        <v>43466</v>
      </c>
      <c r="I105" t="s">
        <v>665</v>
      </c>
      <c r="J105" t="s">
        <v>816</v>
      </c>
      <c r="K105" t="s">
        <v>900</v>
      </c>
      <c r="L105" t="s">
        <v>901</v>
      </c>
      <c r="M105" t="s">
        <v>964</v>
      </c>
      <c r="N105" t="s">
        <v>965</v>
      </c>
      <c r="O105" t="s">
        <v>938</v>
      </c>
      <c r="P105" t="s">
        <v>939</v>
      </c>
      <c r="Q105" t="s">
        <v>904</v>
      </c>
      <c r="R105" t="s">
        <v>905</v>
      </c>
      <c r="S105" t="s">
        <v>550</v>
      </c>
      <c r="T105" t="s">
        <v>550</v>
      </c>
      <c r="U105" t="s">
        <v>550</v>
      </c>
      <c r="V105" t="s">
        <v>968</v>
      </c>
      <c r="W105" t="s">
        <v>941</v>
      </c>
      <c r="X105" t="s">
        <v>908</v>
      </c>
      <c r="Y105" t="s">
        <v>909</v>
      </c>
      <c r="Z105" t="s">
        <v>967</v>
      </c>
    </row>
    <row r="106" spans="1:26" x14ac:dyDescent="0.3">
      <c r="A106" t="s">
        <v>525</v>
      </c>
      <c r="B106" t="s">
        <v>969</v>
      </c>
      <c r="C106" t="s">
        <v>970</v>
      </c>
      <c r="D106" t="s">
        <v>550</v>
      </c>
      <c r="E106" t="s">
        <v>664</v>
      </c>
      <c r="F106" t="s">
        <v>27</v>
      </c>
      <c r="G106" s="1">
        <v>43467</v>
      </c>
      <c r="H106" s="1">
        <v>43467</v>
      </c>
      <c r="I106" t="s">
        <v>665</v>
      </c>
      <c r="J106" t="s">
        <v>666</v>
      </c>
      <c r="K106" t="s">
        <v>24</v>
      </c>
      <c r="L106" t="s">
        <v>667</v>
      </c>
      <c r="M106" t="s">
        <v>971</v>
      </c>
      <c r="N106" t="s">
        <v>972</v>
      </c>
      <c r="O106" t="s">
        <v>973</v>
      </c>
      <c r="P106" t="s">
        <v>974</v>
      </c>
      <c r="Q106" t="s">
        <v>975</v>
      </c>
      <c r="R106" t="s">
        <v>976</v>
      </c>
      <c r="S106" t="s">
        <v>550</v>
      </c>
      <c r="T106" t="s">
        <v>550</v>
      </c>
      <c r="U106" t="s">
        <v>550</v>
      </c>
      <c r="V106" t="s">
        <v>977</v>
      </c>
      <c r="W106" t="s">
        <v>978</v>
      </c>
      <c r="X106" t="s">
        <v>979</v>
      </c>
      <c r="Y106" t="s">
        <v>803</v>
      </c>
      <c r="Z106" t="s">
        <v>969</v>
      </c>
    </row>
    <row r="107" spans="1:26" x14ac:dyDescent="0.3">
      <c r="A107" t="s">
        <v>525</v>
      </c>
      <c r="B107" t="s">
        <v>980</v>
      </c>
      <c r="C107" t="s">
        <v>981</v>
      </c>
      <c r="D107" t="s">
        <v>550</v>
      </c>
      <c r="E107" t="s">
        <v>982</v>
      </c>
      <c r="F107" t="s">
        <v>983</v>
      </c>
      <c r="G107" s="1">
        <v>44197</v>
      </c>
      <c r="H107" s="1">
        <v>44197</v>
      </c>
      <c r="I107" t="s">
        <v>780</v>
      </c>
      <c r="J107" t="s">
        <v>984</v>
      </c>
      <c r="K107" t="s">
        <v>24</v>
      </c>
      <c r="L107" t="s">
        <v>901</v>
      </c>
      <c r="M107" t="s">
        <v>985</v>
      </c>
      <c r="N107" t="s">
        <v>986</v>
      </c>
      <c r="O107" t="s">
        <v>985</v>
      </c>
      <c r="P107" t="s">
        <v>986</v>
      </c>
      <c r="Q107" t="s">
        <v>975</v>
      </c>
      <c r="R107" t="s">
        <v>976</v>
      </c>
      <c r="S107" t="s">
        <v>550</v>
      </c>
      <c r="T107" t="s">
        <v>550</v>
      </c>
      <c r="U107" t="s">
        <v>550</v>
      </c>
      <c r="V107" t="s">
        <v>987</v>
      </c>
      <c r="W107" t="s">
        <v>988</v>
      </c>
      <c r="X107" t="s">
        <v>979</v>
      </c>
      <c r="Y107" t="s">
        <v>803</v>
      </c>
      <c r="Z107" t="s">
        <v>980</v>
      </c>
    </row>
    <row r="108" spans="1:26" x14ac:dyDescent="0.3">
      <c r="A108" t="s">
        <v>525</v>
      </c>
      <c r="B108" t="s">
        <v>989</v>
      </c>
      <c r="C108" t="s">
        <v>990</v>
      </c>
      <c r="D108" t="s">
        <v>980</v>
      </c>
      <c r="E108" t="s">
        <v>982</v>
      </c>
      <c r="F108" t="s">
        <v>983</v>
      </c>
      <c r="G108" s="1">
        <v>44197</v>
      </c>
      <c r="H108" s="1">
        <v>44197</v>
      </c>
      <c r="I108" t="s">
        <v>665</v>
      </c>
      <c r="J108" t="s">
        <v>984</v>
      </c>
      <c r="K108" t="s">
        <v>24</v>
      </c>
      <c r="L108" t="s">
        <v>901</v>
      </c>
      <c r="M108" t="s">
        <v>985</v>
      </c>
      <c r="N108" t="s">
        <v>986</v>
      </c>
      <c r="O108" t="s">
        <v>985</v>
      </c>
      <c r="P108" t="s">
        <v>986</v>
      </c>
      <c r="Q108" t="s">
        <v>975</v>
      </c>
      <c r="R108" t="s">
        <v>976</v>
      </c>
      <c r="S108" t="s">
        <v>550</v>
      </c>
      <c r="T108" t="s">
        <v>550</v>
      </c>
      <c r="U108" t="s">
        <v>550</v>
      </c>
      <c r="V108" t="s">
        <v>991</v>
      </c>
      <c r="W108" t="s">
        <v>988</v>
      </c>
      <c r="X108" t="s">
        <v>979</v>
      </c>
      <c r="Y108" t="s">
        <v>803</v>
      </c>
      <c r="Z108" t="s">
        <v>989</v>
      </c>
    </row>
    <row r="109" spans="1:26" x14ac:dyDescent="0.3">
      <c r="A109" t="s">
        <v>525</v>
      </c>
      <c r="B109" t="s">
        <v>992</v>
      </c>
      <c r="C109" t="s">
        <v>993</v>
      </c>
      <c r="D109" t="s">
        <v>550</v>
      </c>
      <c r="E109" t="s">
        <v>982</v>
      </c>
      <c r="F109" t="s">
        <v>983</v>
      </c>
      <c r="G109" s="1">
        <v>44197</v>
      </c>
      <c r="H109" s="1">
        <v>44197</v>
      </c>
      <c r="I109" t="s">
        <v>665</v>
      </c>
      <c r="J109" t="s">
        <v>984</v>
      </c>
      <c r="K109" t="s">
        <v>900</v>
      </c>
      <c r="L109" t="s">
        <v>901</v>
      </c>
      <c r="M109" t="s">
        <v>985</v>
      </c>
      <c r="N109" t="s">
        <v>986</v>
      </c>
      <c r="O109" t="s">
        <v>985</v>
      </c>
      <c r="P109" t="s">
        <v>986</v>
      </c>
      <c r="Q109" t="s">
        <v>975</v>
      </c>
      <c r="R109" t="s">
        <v>976</v>
      </c>
      <c r="S109" t="s">
        <v>550</v>
      </c>
      <c r="T109" t="s">
        <v>550</v>
      </c>
      <c r="U109" t="s">
        <v>550</v>
      </c>
      <c r="V109" t="s">
        <v>994</v>
      </c>
      <c r="W109" t="s">
        <v>988</v>
      </c>
      <c r="X109" t="s">
        <v>979</v>
      </c>
      <c r="Y109" t="s">
        <v>803</v>
      </c>
      <c r="Z109" t="s">
        <v>992</v>
      </c>
    </row>
    <row r="110" spans="1:26" x14ac:dyDescent="0.3">
      <c r="A110" t="s">
        <v>525</v>
      </c>
      <c r="B110" t="s">
        <v>995</v>
      </c>
      <c r="C110" t="s">
        <v>996</v>
      </c>
      <c r="D110" t="s">
        <v>992</v>
      </c>
      <c r="E110" t="s">
        <v>982</v>
      </c>
      <c r="F110" t="s">
        <v>983</v>
      </c>
      <c r="G110" s="1">
        <v>44197</v>
      </c>
      <c r="H110" s="1">
        <v>44197</v>
      </c>
      <c r="I110" t="s">
        <v>665</v>
      </c>
      <c r="J110" t="s">
        <v>984</v>
      </c>
      <c r="K110" t="s">
        <v>900</v>
      </c>
      <c r="L110" t="s">
        <v>901</v>
      </c>
      <c r="M110" t="s">
        <v>985</v>
      </c>
      <c r="N110" t="s">
        <v>986</v>
      </c>
      <c r="O110" t="s">
        <v>985</v>
      </c>
      <c r="P110" t="s">
        <v>986</v>
      </c>
      <c r="Q110" t="s">
        <v>975</v>
      </c>
      <c r="R110" t="s">
        <v>976</v>
      </c>
      <c r="S110" t="s">
        <v>550</v>
      </c>
      <c r="T110" t="s">
        <v>550</v>
      </c>
      <c r="U110" t="s">
        <v>550</v>
      </c>
      <c r="V110" t="s">
        <v>997</v>
      </c>
      <c r="W110" t="s">
        <v>988</v>
      </c>
      <c r="X110" t="s">
        <v>979</v>
      </c>
      <c r="Y110" t="s">
        <v>803</v>
      </c>
      <c r="Z110" t="s">
        <v>995</v>
      </c>
    </row>
    <row r="111" spans="1:26" x14ac:dyDescent="0.3">
      <c r="A111" t="s">
        <v>525</v>
      </c>
      <c r="B111" t="s">
        <v>998</v>
      </c>
      <c r="C111" t="s">
        <v>999</v>
      </c>
      <c r="D111" t="s">
        <v>550</v>
      </c>
      <c r="E111" t="s">
        <v>982</v>
      </c>
      <c r="F111" t="s">
        <v>983</v>
      </c>
      <c r="G111" s="1">
        <v>44197</v>
      </c>
      <c r="H111" s="1">
        <v>44197</v>
      </c>
      <c r="I111" t="s">
        <v>665</v>
      </c>
      <c r="J111" t="s">
        <v>984</v>
      </c>
      <c r="K111" t="s">
        <v>24</v>
      </c>
      <c r="L111" t="s">
        <v>901</v>
      </c>
      <c r="M111" t="s">
        <v>985</v>
      </c>
      <c r="N111" t="s">
        <v>986</v>
      </c>
      <c r="O111" t="s">
        <v>985</v>
      </c>
      <c r="P111" t="s">
        <v>986</v>
      </c>
      <c r="Q111" t="s">
        <v>975</v>
      </c>
      <c r="R111" t="s">
        <v>976</v>
      </c>
      <c r="S111" t="s">
        <v>550</v>
      </c>
      <c r="T111" t="s">
        <v>550</v>
      </c>
      <c r="U111" t="s">
        <v>550</v>
      </c>
      <c r="V111" t="s">
        <v>1000</v>
      </c>
      <c r="W111" t="s">
        <v>988</v>
      </c>
      <c r="X111" t="s">
        <v>979</v>
      </c>
      <c r="Y111" t="s">
        <v>803</v>
      </c>
      <c r="Z111" t="s">
        <v>998</v>
      </c>
    </row>
    <row r="112" spans="1:26" x14ac:dyDescent="0.3">
      <c r="A112" t="s">
        <v>525</v>
      </c>
      <c r="B112" t="s">
        <v>1001</v>
      </c>
      <c r="C112" t="s">
        <v>1002</v>
      </c>
      <c r="D112" t="s">
        <v>998</v>
      </c>
      <c r="E112" t="s">
        <v>982</v>
      </c>
      <c r="F112" t="s">
        <v>983</v>
      </c>
      <c r="G112" s="1">
        <v>44197</v>
      </c>
      <c r="H112" s="1">
        <v>44197</v>
      </c>
      <c r="I112" t="s">
        <v>665</v>
      </c>
      <c r="J112" t="s">
        <v>984</v>
      </c>
      <c r="K112" t="s">
        <v>24</v>
      </c>
      <c r="L112" t="s">
        <v>901</v>
      </c>
      <c r="M112" t="s">
        <v>985</v>
      </c>
      <c r="N112" t="s">
        <v>986</v>
      </c>
      <c r="O112" t="s">
        <v>985</v>
      </c>
      <c r="P112" t="s">
        <v>986</v>
      </c>
      <c r="Q112" t="s">
        <v>975</v>
      </c>
      <c r="R112" t="s">
        <v>976</v>
      </c>
      <c r="S112" t="s">
        <v>550</v>
      </c>
      <c r="T112" t="s">
        <v>550</v>
      </c>
      <c r="U112" t="s">
        <v>550</v>
      </c>
      <c r="V112" t="s">
        <v>1003</v>
      </c>
      <c r="W112" t="s">
        <v>988</v>
      </c>
      <c r="X112" t="s">
        <v>979</v>
      </c>
      <c r="Y112" t="s">
        <v>803</v>
      </c>
      <c r="Z112" t="s">
        <v>1001</v>
      </c>
    </row>
    <row r="113" spans="1:26" x14ac:dyDescent="0.3">
      <c r="A113" t="s">
        <v>525</v>
      </c>
      <c r="B113" t="s">
        <v>1004</v>
      </c>
      <c r="C113" t="s">
        <v>1005</v>
      </c>
      <c r="D113" t="s">
        <v>1006</v>
      </c>
      <c r="E113" t="s">
        <v>982</v>
      </c>
      <c r="F113" t="s">
        <v>983</v>
      </c>
      <c r="G113" s="1">
        <v>44197</v>
      </c>
      <c r="H113" s="1">
        <v>44197</v>
      </c>
      <c r="I113" t="s">
        <v>665</v>
      </c>
      <c r="J113" t="s">
        <v>984</v>
      </c>
      <c r="K113" t="s">
        <v>24</v>
      </c>
      <c r="L113" t="s">
        <v>901</v>
      </c>
      <c r="M113" t="s">
        <v>985</v>
      </c>
      <c r="N113" t="s">
        <v>986</v>
      </c>
      <c r="O113" t="s">
        <v>985</v>
      </c>
      <c r="P113" t="s">
        <v>986</v>
      </c>
      <c r="Q113" t="s">
        <v>975</v>
      </c>
      <c r="R113" t="s">
        <v>976</v>
      </c>
      <c r="S113" t="s">
        <v>550</v>
      </c>
      <c r="T113" t="s">
        <v>893</v>
      </c>
      <c r="U113" t="s">
        <v>550</v>
      </c>
      <c r="V113" t="s">
        <v>1007</v>
      </c>
      <c r="W113" t="s">
        <v>988</v>
      </c>
      <c r="X113" t="s">
        <v>979</v>
      </c>
      <c r="Y113" t="s">
        <v>803</v>
      </c>
      <c r="Z113" t="s">
        <v>1004</v>
      </c>
    </row>
    <row r="114" spans="1:26" x14ac:dyDescent="0.3">
      <c r="A114" t="s">
        <v>525</v>
      </c>
      <c r="B114" t="s">
        <v>1008</v>
      </c>
      <c r="C114" t="s">
        <v>1009</v>
      </c>
      <c r="D114" t="s">
        <v>550</v>
      </c>
      <c r="E114" t="s">
        <v>664</v>
      </c>
      <c r="F114" t="s">
        <v>27</v>
      </c>
      <c r="G114" s="1">
        <v>44197</v>
      </c>
      <c r="H114" s="1">
        <v>44197</v>
      </c>
      <c r="I114" t="s">
        <v>780</v>
      </c>
      <c r="J114" t="s">
        <v>666</v>
      </c>
      <c r="K114" t="s">
        <v>24</v>
      </c>
      <c r="L114" t="s">
        <v>1010</v>
      </c>
      <c r="M114" t="s">
        <v>1011</v>
      </c>
      <c r="N114" t="s">
        <v>1012</v>
      </c>
      <c r="O114" t="s">
        <v>985</v>
      </c>
      <c r="P114" t="s">
        <v>986</v>
      </c>
      <c r="Q114" t="s">
        <v>975</v>
      </c>
      <c r="R114" t="s">
        <v>976</v>
      </c>
      <c r="S114" t="s">
        <v>550</v>
      </c>
      <c r="T114" t="s">
        <v>550</v>
      </c>
      <c r="U114" t="s">
        <v>550</v>
      </c>
      <c r="V114" t="s">
        <v>1013</v>
      </c>
      <c r="W114" t="s">
        <v>1014</v>
      </c>
      <c r="X114" t="s">
        <v>870</v>
      </c>
      <c r="Y114" t="s">
        <v>803</v>
      </c>
      <c r="Z114" t="s">
        <v>1008</v>
      </c>
    </row>
    <row r="115" spans="1:26" x14ac:dyDescent="0.3">
      <c r="A115" t="s">
        <v>525</v>
      </c>
      <c r="B115" t="s">
        <v>1015</v>
      </c>
      <c r="C115" t="s">
        <v>1016</v>
      </c>
      <c r="D115" t="s">
        <v>1008</v>
      </c>
      <c r="E115" t="s">
        <v>664</v>
      </c>
      <c r="F115" t="s">
        <v>27</v>
      </c>
      <c r="G115" s="1">
        <v>44197</v>
      </c>
      <c r="H115" s="1">
        <v>44197</v>
      </c>
      <c r="I115" t="s">
        <v>665</v>
      </c>
      <c r="J115" t="s">
        <v>666</v>
      </c>
      <c r="K115" t="s">
        <v>24</v>
      </c>
      <c r="L115" t="s">
        <v>1010</v>
      </c>
      <c r="M115" t="s">
        <v>1011</v>
      </c>
      <c r="N115" t="s">
        <v>1012</v>
      </c>
      <c r="O115" t="s">
        <v>985</v>
      </c>
      <c r="P115" t="s">
        <v>986</v>
      </c>
      <c r="Q115" t="s">
        <v>975</v>
      </c>
      <c r="R115" t="s">
        <v>976</v>
      </c>
      <c r="S115" t="s">
        <v>550</v>
      </c>
      <c r="T115" t="s">
        <v>550</v>
      </c>
      <c r="U115" t="s">
        <v>550</v>
      </c>
      <c r="V115" t="s">
        <v>1017</v>
      </c>
      <c r="W115" t="s">
        <v>1014</v>
      </c>
      <c r="X115" t="s">
        <v>870</v>
      </c>
      <c r="Y115" t="s">
        <v>803</v>
      </c>
      <c r="Z115" t="s">
        <v>1015</v>
      </c>
    </row>
    <row r="116" spans="1:26" x14ac:dyDescent="0.3">
      <c r="A116" t="s">
        <v>525</v>
      </c>
      <c r="B116" t="s">
        <v>1018</v>
      </c>
      <c r="C116" t="s">
        <v>1019</v>
      </c>
      <c r="D116" t="s">
        <v>550</v>
      </c>
      <c r="E116" t="s">
        <v>664</v>
      </c>
      <c r="F116" t="s">
        <v>27</v>
      </c>
      <c r="G116" s="1">
        <v>44197</v>
      </c>
      <c r="H116" s="1">
        <v>44197</v>
      </c>
      <c r="I116" t="s">
        <v>780</v>
      </c>
      <c r="J116" t="s">
        <v>666</v>
      </c>
      <c r="K116" t="s">
        <v>24</v>
      </c>
      <c r="L116" t="s">
        <v>1010</v>
      </c>
      <c r="M116" t="s">
        <v>1011</v>
      </c>
      <c r="N116" t="s">
        <v>1012</v>
      </c>
      <c r="O116" t="s">
        <v>985</v>
      </c>
      <c r="P116" t="s">
        <v>986</v>
      </c>
      <c r="Q116" t="s">
        <v>975</v>
      </c>
      <c r="R116" t="s">
        <v>976</v>
      </c>
      <c r="S116" t="s">
        <v>550</v>
      </c>
      <c r="T116" t="s">
        <v>550</v>
      </c>
      <c r="U116" t="s">
        <v>550</v>
      </c>
      <c r="V116" t="s">
        <v>1020</v>
      </c>
      <c r="W116" t="s">
        <v>1021</v>
      </c>
      <c r="X116" t="s">
        <v>74</v>
      </c>
      <c r="Y116" t="s">
        <v>803</v>
      </c>
      <c r="Z116" t="s">
        <v>1018</v>
      </c>
    </row>
    <row r="117" spans="1:26" x14ac:dyDescent="0.3">
      <c r="A117" t="s">
        <v>525</v>
      </c>
      <c r="B117" t="s">
        <v>1022</v>
      </c>
      <c r="C117" t="s">
        <v>1023</v>
      </c>
      <c r="D117" t="s">
        <v>1018</v>
      </c>
      <c r="E117" t="s">
        <v>664</v>
      </c>
      <c r="F117" t="s">
        <v>27</v>
      </c>
      <c r="G117" s="1">
        <v>44197</v>
      </c>
      <c r="H117" s="1">
        <v>44206</v>
      </c>
      <c r="I117" t="s">
        <v>665</v>
      </c>
      <c r="J117" t="s">
        <v>666</v>
      </c>
      <c r="K117" t="s">
        <v>24</v>
      </c>
      <c r="L117" t="s">
        <v>1010</v>
      </c>
      <c r="M117" t="s">
        <v>1011</v>
      </c>
      <c r="N117" t="s">
        <v>1012</v>
      </c>
      <c r="O117" t="s">
        <v>985</v>
      </c>
      <c r="P117" t="s">
        <v>986</v>
      </c>
      <c r="Q117" t="s">
        <v>975</v>
      </c>
      <c r="R117" t="s">
        <v>976</v>
      </c>
      <c r="S117" t="s">
        <v>550</v>
      </c>
      <c r="T117" t="s">
        <v>550</v>
      </c>
      <c r="U117" t="s">
        <v>550</v>
      </c>
      <c r="V117" t="s">
        <v>1024</v>
      </c>
      <c r="W117" t="s">
        <v>1021</v>
      </c>
      <c r="X117" t="s">
        <v>74</v>
      </c>
      <c r="Y117" t="s">
        <v>803</v>
      </c>
      <c r="Z117" t="s">
        <v>1022</v>
      </c>
    </row>
    <row r="118" spans="1:26" x14ac:dyDescent="0.3">
      <c r="A118" t="s">
        <v>525</v>
      </c>
      <c r="B118" t="s">
        <v>1025</v>
      </c>
      <c r="C118" t="s">
        <v>1026</v>
      </c>
      <c r="D118" t="s">
        <v>550</v>
      </c>
      <c r="E118" t="s">
        <v>1027</v>
      </c>
      <c r="F118" t="s">
        <v>1028</v>
      </c>
      <c r="G118" s="1">
        <v>44197</v>
      </c>
      <c r="H118" s="1">
        <v>44197</v>
      </c>
      <c r="I118" t="s">
        <v>780</v>
      </c>
      <c r="J118" t="s">
        <v>1029</v>
      </c>
      <c r="K118" t="s">
        <v>24</v>
      </c>
      <c r="L118" t="s">
        <v>216</v>
      </c>
      <c r="M118" t="s">
        <v>1030</v>
      </c>
      <c r="N118" t="s">
        <v>255</v>
      </c>
      <c r="O118" t="s">
        <v>1031</v>
      </c>
      <c r="P118" t="s">
        <v>239</v>
      </c>
      <c r="Q118" t="s">
        <v>975</v>
      </c>
      <c r="R118" t="s">
        <v>976</v>
      </c>
      <c r="S118" t="s">
        <v>550</v>
      </c>
      <c r="T118" t="s">
        <v>550</v>
      </c>
      <c r="U118" t="s">
        <v>550</v>
      </c>
      <c r="V118" t="s">
        <v>1032</v>
      </c>
      <c r="W118" t="s">
        <v>1021</v>
      </c>
      <c r="X118" t="s">
        <v>74</v>
      </c>
      <c r="Y118" t="s">
        <v>1033</v>
      </c>
      <c r="Z118" t="s">
        <v>1025</v>
      </c>
    </row>
    <row r="119" spans="1:26" x14ac:dyDescent="0.3">
      <c r="A119" t="s">
        <v>525</v>
      </c>
      <c r="B119" t="s">
        <v>1034</v>
      </c>
      <c r="C119" t="s">
        <v>1035</v>
      </c>
      <c r="D119" t="s">
        <v>1025</v>
      </c>
      <c r="E119" t="s">
        <v>1027</v>
      </c>
      <c r="F119" t="s">
        <v>1028</v>
      </c>
      <c r="G119" s="1">
        <v>44197</v>
      </c>
      <c r="H119" s="1">
        <v>44215</v>
      </c>
      <c r="I119" t="s">
        <v>665</v>
      </c>
      <c r="J119" t="s">
        <v>1029</v>
      </c>
      <c r="K119" t="s">
        <v>24</v>
      </c>
      <c r="L119" t="s">
        <v>216</v>
      </c>
      <c r="M119" t="s">
        <v>1030</v>
      </c>
      <c r="N119" t="s">
        <v>255</v>
      </c>
      <c r="O119" t="s">
        <v>1031</v>
      </c>
      <c r="P119" t="s">
        <v>239</v>
      </c>
      <c r="Q119" t="s">
        <v>975</v>
      </c>
      <c r="R119" t="s">
        <v>976</v>
      </c>
      <c r="S119" t="s">
        <v>550</v>
      </c>
      <c r="T119" t="s">
        <v>550</v>
      </c>
      <c r="U119" t="s">
        <v>550</v>
      </c>
      <c r="V119" t="s">
        <v>1036</v>
      </c>
      <c r="W119" t="s">
        <v>1021</v>
      </c>
      <c r="X119" t="s">
        <v>74</v>
      </c>
      <c r="Y119" t="s">
        <v>1033</v>
      </c>
      <c r="Z119" t="s">
        <v>1034</v>
      </c>
    </row>
    <row r="120" spans="1:26" x14ac:dyDescent="0.3">
      <c r="A120" t="s">
        <v>525</v>
      </c>
      <c r="B120" t="s">
        <v>1037</v>
      </c>
      <c r="C120" t="s">
        <v>1038</v>
      </c>
      <c r="D120" t="s">
        <v>550</v>
      </c>
      <c r="E120" t="s">
        <v>1039</v>
      </c>
      <c r="F120" t="s">
        <v>1040</v>
      </c>
      <c r="G120" s="1">
        <v>43831</v>
      </c>
      <c r="H120" s="1">
        <v>43853</v>
      </c>
      <c r="I120" t="s">
        <v>665</v>
      </c>
      <c r="J120" t="s">
        <v>1041</v>
      </c>
      <c r="K120" t="s">
        <v>24</v>
      </c>
      <c r="L120" t="s">
        <v>216</v>
      </c>
      <c r="M120" t="s">
        <v>1030</v>
      </c>
      <c r="N120" t="s">
        <v>255</v>
      </c>
      <c r="O120" t="s">
        <v>1031</v>
      </c>
      <c r="P120" t="s">
        <v>239</v>
      </c>
      <c r="Q120" t="s">
        <v>975</v>
      </c>
      <c r="R120" t="s">
        <v>976</v>
      </c>
      <c r="S120" t="s">
        <v>550</v>
      </c>
      <c r="T120" t="s">
        <v>550</v>
      </c>
      <c r="U120" t="s">
        <v>550</v>
      </c>
      <c r="V120" t="s">
        <v>1042</v>
      </c>
      <c r="W120" t="s">
        <v>613</v>
      </c>
      <c r="X120" t="s">
        <v>74</v>
      </c>
      <c r="Y120" t="s">
        <v>803</v>
      </c>
      <c r="Z120" t="s">
        <v>1037</v>
      </c>
    </row>
    <row r="121" spans="1:26" x14ac:dyDescent="0.3">
      <c r="A121" t="s">
        <v>525</v>
      </c>
      <c r="B121" t="s">
        <v>1043</v>
      </c>
      <c r="C121" t="s">
        <v>1044</v>
      </c>
      <c r="D121" t="s">
        <v>550</v>
      </c>
      <c r="E121" t="s">
        <v>664</v>
      </c>
      <c r="F121" t="s">
        <v>27</v>
      </c>
      <c r="G121" s="1">
        <v>44197</v>
      </c>
      <c r="H121" s="1">
        <v>44197</v>
      </c>
      <c r="I121" t="s">
        <v>780</v>
      </c>
      <c r="J121" t="s">
        <v>666</v>
      </c>
      <c r="K121" t="s">
        <v>24</v>
      </c>
      <c r="L121" t="s">
        <v>1045</v>
      </c>
      <c r="M121" t="s">
        <v>1030</v>
      </c>
      <c r="N121" t="s">
        <v>255</v>
      </c>
      <c r="O121" t="s">
        <v>1031</v>
      </c>
      <c r="P121" t="s">
        <v>239</v>
      </c>
      <c r="Q121" t="s">
        <v>975</v>
      </c>
      <c r="R121" t="s">
        <v>976</v>
      </c>
      <c r="S121" t="s">
        <v>550</v>
      </c>
      <c r="T121" t="s">
        <v>550</v>
      </c>
      <c r="U121" t="s">
        <v>550</v>
      </c>
      <c r="V121" t="s">
        <v>1046</v>
      </c>
      <c r="W121" t="s">
        <v>1021</v>
      </c>
      <c r="X121" t="s">
        <v>74</v>
      </c>
      <c r="Y121" t="s">
        <v>803</v>
      </c>
      <c r="Z121" t="s">
        <v>1043</v>
      </c>
    </row>
    <row r="122" spans="1:26" x14ac:dyDescent="0.3">
      <c r="A122" t="s">
        <v>525</v>
      </c>
      <c r="B122" t="s">
        <v>1047</v>
      </c>
      <c r="C122" t="s">
        <v>1048</v>
      </c>
      <c r="D122" t="s">
        <v>1043</v>
      </c>
      <c r="E122" t="s">
        <v>664</v>
      </c>
      <c r="F122" t="s">
        <v>27</v>
      </c>
      <c r="G122" s="1">
        <v>44197</v>
      </c>
      <c r="H122" s="1">
        <v>44212</v>
      </c>
      <c r="I122" t="s">
        <v>665</v>
      </c>
      <c r="J122" t="s">
        <v>666</v>
      </c>
      <c r="K122" t="s">
        <v>24</v>
      </c>
      <c r="L122" t="s">
        <v>1045</v>
      </c>
      <c r="M122" t="s">
        <v>1030</v>
      </c>
      <c r="N122" t="s">
        <v>255</v>
      </c>
      <c r="O122" t="s">
        <v>1031</v>
      </c>
      <c r="P122" t="s">
        <v>239</v>
      </c>
      <c r="Q122" t="s">
        <v>975</v>
      </c>
      <c r="R122" t="s">
        <v>976</v>
      </c>
      <c r="S122" t="s">
        <v>550</v>
      </c>
      <c r="T122" t="s">
        <v>550</v>
      </c>
      <c r="U122" t="s">
        <v>550</v>
      </c>
      <c r="V122" t="s">
        <v>1049</v>
      </c>
      <c r="W122" t="s">
        <v>1021</v>
      </c>
      <c r="X122" t="s">
        <v>74</v>
      </c>
      <c r="Y122" t="s">
        <v>803</v>
      </c>
      <c r="Z122" t="s">
        <v>1047</v>
      </c>
    </row>
    <row r="123" spans="1:26" x14ac:dyDescent="0.3">
      <c r="A123" t="s">
        <v>525</v>
      </c>
      <c r="B123" t="s">
        <v>1050</v>
      </c>
      <c r="C123" t="s">
        <v>1051</v>
      </c>
      <c r="D123" t="s">
        <v>550</v>
      </c>
      <c r="E123" t="s">
        <v>664</v>
      </c>
      <c r="F123" t="s">
        <v>27</v>
      </c>
      <c r="G123" s="1">
        <v>44197</v>
      </c>
      <c r="H123" s="1">
        <v>44197</v>
      </c>
      <c r="I123" t="s">
        <v>780</v>
      </c>
      <c r="J123" t="s">
        <v>666</v>
      </c>
      <c r="K123" t="s">
        <v>24</v>
      </c>
      <c r="L123" t="s">
        <v>1045</v>
      </c>
      <c r="M123" t="s">
        <v>1030</v>
      </c>
      <c r="N123" t="s">
        <v>255</v>
      </c>
      <c r="O123" t="s">
        <v>1031</v>
      </c>
      <c r="P123" t="s">
        <v>239</v>
      </c>
      <c r="Q123" t="s">
        <v>975</v>
      </c>
      <c r="R123" t="s">
        <v>976</v>
      </c>
      <c r="S123" t="s">
        <v>550</v>
      </c>
      <c r="T123" t="s">
        <v>550</v>
      </c>
      <c r="U123" t="s">
        <v>550</v>
      </c>
      <c r="V123" t="s">
        <v>1052</v>
      </c>
      <c r="W123" t="s">
        <v>613</v>
      </c>
      <c r="X123" t="s">
        <v>74</v>
      </c>
      <c r="Y123" t="s">
        <v>786</v>
      </c>
      <c r="Z123" t="s">
        <v>1050</v>
      </c>
    </row>
    <row r="124" spans="1:26" x14ac:dyDescent="0.3">
      <c r="A124" t="s">
        <v>525</v>
      </c>
      <c r="B124" t="s">
        <v>1053</v>
      </c>
      <c r="C124" t="s">
        <v>1054</v>
      </c>
      <c r="D124" t="s">
        <v>1050</v>
      </c>
      <c r="E124" t="s">
        <v>664</v>
      </c>
      <c r="F124" t="s">
        <v>27</v>
      </c>
      <c r="G124" s="1">
        <v>44197</v>
      </c>
      <c r="H124" s="1">
        <v>44718</v>
      </c>
      <c r="I124" t="s">
        <v>665</v>
      </c>
      <c r="J124" t="s">
        <v>666</v>
      </c>
      <c r="K124" t="s">
        <v>24</v>
      </c>
      <c r="L124" t="s">
        <v>1045</v>
      </c>
      <c r="M124" t="s">
        <v>1030</v>
      </c>
      <c r="N124" t="s">
        <v>255</v>
      </c>
      <c r="O124" t="s">
        <v>1031</v>
      </c>
      <c r="P124" t="s">
        <v>239</v>
      </c>
      <c r="Q124" t="s">
        <v>975</v>
      </c>
      <c r="R124" t="s">
        <v>976</v>
      </c>
      <c r="S124" t="s">
        <v>550</v>
      </c>
      <c r="T124" t="s">
        <v>550</v>
      </c>
      <c r="U124" t="s">
        <v>550</v>
      </c>
      <c r="V124" t="s">
        <v>1055</v>
      </c>
      <c r="W124" t="s">
        <v>613</v>
      </c>
      <c r="X124" t="s">
        <v>74</v>
      </c>
      <c r="Y124" t="s">
        <v>786</v>
      </c>
      <c r="Z124" t="s">
        <v>1053</v>
      </c>
    </row>
    <row r="125" spans="1:26" x14ac:dyDescent="0.3">
      <c r="A125" t="s">
        <v>525</v>
      </c>
      <c r="B125" t="s">
        <v>1056</v>
      </c>
      <c r="C125" t="s">
        <v>1057</v>
      </c>
      <c r="D125" t="s">
        <v>550</v>
      </c>
      <c r="E125" t="s">
        <v>664</v>
      </c>
      <c r="F125" t="s">
        <v>27</v>
      </c>
      <c r="G125" s="1">
        <v>44197</v>
      </c>
      <c r="H125" s="1">
        <v>44197</v>
      </c>
      <c r="I125" t="s">
        <v>665</v>
      </c>
      <c r="J125" t="s">
        <v>666</v>
      </c>
      <c r="K125" t="s">
        <v>24</v>
      </c>
      <c r="L125" t="s">
        <v>1045</v>
      </c>
      <c r="M125" t="s">
        <v>1030</v>
      </c>
      <c r="N125" t="s">
        <v>255</v>
      </c>
      <c r="O125" t="s">
        <v>1031</v>
      </c>
      <c r="P125" t="s">
        <v>239</v>
      </c>
      <c r="Q125" t="s">
        <v>975</v>
      </c>
      <c r="R125" t="s">
        <v>976</v>
      </c>
      <c r="S125" t="s">
        <v>550</v>
      </c>
      <c r="T125" t="s">
        <v>550</v>
      </c>
      <c r="U125" t="s">
        <v>550</v>
      </c>
      <c r="V125" t="s">
        <v>1058</v>
      </c>
      <c r="W125" t="s">
        <v>1021</v>
      </c>
      <c r="X125" t="s">
        <v>74</v>
      </c>
      <c r="Y125" t="s">
        <v>1059</v>
      </c>
      <c r="Z125" t="s">
        <v>1056</v>
      </c>
    </row>
    <row r="126" spans="1:26" x14ac:dyDescent="0.3">
      <c r="A126" t="s">
        <v>525</v>
      </c>
      <c r="B126" t="s">
        <v>1060</v>
      </c>
      <c r="C126" t="s">
        <v>1061</v>
      </c>
      <c r="D126" t="s">
        <v>1056</v>
      </c>
      <c r="E126" t="s">
        <v>664</v>
      </c>
      <c r="F126" t="s">
        <v>27</v>
      </c>
      <c r="G126" s="1">
        <v>44197</v>
      </c>
      <c r="H126" s="1">
        <v>44198</v>
      </c>
      <c r="I126" t="s">
        <v>665</v>
      </c>
      <c r="J126" t="s">
        <v>666</v>
      </c>
      <c r="K126" t="s">
        <v>24</v>
      </c>
      <c r="L126" t="s">
        <v>1045</v>
      </c>
      <c r="M126" t="s">
        <v>1030</v>
      </c>
      <c r="N126" t="s">
        <v>255</v>
      </c>
      <c r="O126" t="s">
        <v>1031</v>
      </c>
      <c r="P126" t="s">
        <v>239</v>
      </c>
      <c r="Q126" t="s">
        <v>975</v>
      </c>
      <c r="R126" t="s">
        <v>976</v>
      </c>
      <c r="S126" t="s">
        <v>550</v>
      </c>
      <c r="T126" t="s">
        <v>550</v>
      </c>
      <c r="U126" t="s">
        <v>550</v>
      </c>
      <c r="V126" t="s">
        <v>1062</v>
      </c>
      <c r="W126" t="s">
        <v>1021</v>
      </c>
      <c r="X126" t="s">
        <v>74</v>
      </c>
      <c r="Y126" t="s">
        <v>1059</v>
      </c>
      <c r="Z126" t="s">
        <v>1060</v>
      </c>
    </row>
    <row r="127" spans="1:26" x14ac:dyDescent="0.3">
      <c r="A127" t="s">
        <v>525</v>
      </c>
      <c r="B127" t="s">
        <v>1063</v>
      </c>
      <c r="C127" t="s">
        <v>1064</v>
      </c>
      <c r="D127" t="s">
        <v>550</v>
      </c>
      <c r="E127" t="s">
        <v>1065</v>
      </c>
      <c r="F127" t="s">
        <v>1066</v>
      </c>
      <c r="G127" s="1">
        <v>44197</v>
      </c>
      <c r="H127" s="1">
        <v>44197</v>
      </c>
      <c r="I127" t="s">
        <v>665</v>
      </c>
      <c r="J127" t="s">
        <v>1067</v>
      </c>
      <c r="K127" t="s">
        <v>24</v>
      </c>
      <c r="L127" t="s">
        <v>667</v>
      </c>
      <c r="M127" t="s">
        <v>1030</v>
      </c>
      <c r="N127" t="s">
        <v>255</v>
      </c>
      <c r="O127" t="s">
        <v>1031</v>
      </c>
      <c r="P127" t="s">
        <v>239</v>
      </c>
      <c r="Q127" t="s">
        <v>975</v>
      </c>
      <c r="R127" t="s">
        <v>976</v>
      </c>
      <c r="S127" t="s">
        <v>550</v>
      </c>
      <c r="T127" t="s">
        <v>550</v>
      </c>
      <c r="U127" t="s">
        <v>550</v>
      </c>
      <c r="V127" t="s">
        <v>1068</v>
      </c>
      <c r="W127" t="s">
        <v>613</v>
      </c>
      <c r="X127" t="s">
        <v>74</v>
      </c>
      <c r="Y127" t="s">
        <v>786</v>
      </c>
      <c r="Z127" t="s">
        <v>1063</v>
      </c>
    </row>
    <row r="128" spans="1:26" x14ac:dyDescent="0.3">
      <c r="A128" t="s">
        <v>525</v>
      </c>
      <c r="B128" t="s">
        <v>1069</v>
      </c>
      <c r="C128" t="s">
        <v>1070</v>
      </c>
      <c r="D128" t="s">
        <v>1063</v>
      </c>
      <c r="E128" t="s">
        <v>1065</v>
      </c>
      <c r="F128" t="s">
        <v>1066</v>
      </c>
      <c r="G128" s="1">
        <v>44197</v>
      </c>
      <c r="H128" s="1">
        <v>44209</v>
      </c>
      <c r="I128" t="s">
        <v>665</v>
      </c>
      <c r="J128" t="s">
        <v>1067</v>
      </c>
      <c r="K128" t="s">
        <v>24</v>
      </c>
      <c r="L128" t="s">
        <v>667</v>
      </c>
      <c r="M128" t="s">
        <v>1030</v>
      </c>
      <c r="N128" t="s">
        <v>255</v>
      </c>
      <c r="O128" t="s">
        <v>1031</v>
      </c>
      <c r="P128" t="s">
        <v>239</v>
      </c>
      <c r="Q128" t="s">
        <v>975</v>
      </c>
      <c r="R128" t="s">
        <v>976</v>
      </c>
      <c r="S128" t="s">
        <v>550</v>
      </c>
      <c r="T128" t="s">
        <v>550</v>
      </c>
      <c r="U128" t="s">
        <v>550</v>
      </c>
      <c r="V128" t="s">
        <v>1071</v>
      </c>
      <c r="W128" t="s">
        <v>613</v>
      </c>
      <c r="X128" t="s">
        <v>74</v>
      </c>
      <c r="Y128" t="s">
        <v>786</v>
      </c>
      <c r="Z128" t="s">
        <v>1069</v>
      </c>
    </row>
    <row r="129" spans="1:26" x14ac:dyDescent="0.3">
      <c r="A129" t="s">
        <v>525</v>
      </c>
      <c r="B129" t="s">
        <v>1072</v>
      </c>
      <c r="C129" t="s">
        <v>1073</v>
      </c>
      <c r="D129" t="s">
        <v>550</v>
      </c>
      <c r="E129" t="s">
        <v>664</v>
      </c>
      <c r="F129" t="s">
        <v>27</v>
      </c>
      <c r="G129" s="1">
        <v>44197</v>
      </c>
      <c r="H129" s="1">
        <v>44197</v>
      </c>
      <c r="I129" t="s">
        <v>780</v>
      </c>
      <c r="J129" t="s">
        <v>666</v>
      </c>
      <c r="K129" t="s">
        <v>24</v>
      </c>
      <c r="L129" t="s">
        <v>667</v>
      </c>
      <c r="M129" t="s">
        <v>1030</v>
      </c>
      <c r="N129" t="s">
        <v>255</v>
      </c>
      <c r="O129" t="s">
        <v>1031</v>
      </c>
      <c r="P129" t="s">
        <v>239</v>
      </c>
      <c r="Q129" t="s">
        <v>975</v>
      </c>
      <c r="R129" t="s">
        <v>976</v>
      </c>
      <c r="S129" t="s">
        <v>550</v>
      </c>
      <c r="T129" t="s">
        <v>893</v>
      </c>
      <c r="U129" t="s">
        <v>550</v>
      </c>
      <c r="V129" t="s">
        <v>1074</v>
      </c>
      <c r="W129" t="s">
        <v>1021</v>
      </c>
      <c r="X129" t="s">
        <v>74</v>
      </c>
      <c r="Y129" t="s">
        <v>1075</v>
      </c>
      <c r="Z129" t="s">
        <v>1072</v>
      </c>
    </row>
    <row r="130" spans="1:26" x14ac:dyDescent="0.3">
      <c r="A130" t="s">
        <v>525</v>
      </c>
      <c r="B130" t="s">
        <v>1076</v>
      </c>
      <c r="C130" t="s">
        <v>1077</v>
      </c>
      <c r="D130" t="s">
        <v>1072</v>
      </c>
      <c r="E130" t="s">
        <v>664</v>
      </c>
      <c r="F130" t="s">
        <v>27</v>
      </c>
      <c r="G130" s="1">
        <v>44197</v>
      </c>
      <c r="H130" s="1">
        <v>44221</v>
      </c>
      <c r="I130" t="s">
        <v>665</v>
      </c>
      <c r="J130" t="s">
        <v>666</v>
      </c>
      <c r="K130" t="s">
        <v>24</v>
      </c>
      <c r="L130" t="s">
        <v>667</v>
      </c>
      <c r="M130" t="s">
        <v>1030</v>
      </c>
      <c r="N130" t="s">
        <v>255</v>
      </c>
      <c r="O130" t="s">
        <v>1031</v>
      </c>
      <c r="P130" t="s">
        <v>239</v>
      </c>
      <c r="Q130" t="s">
        <v>975</v>
      </c>
      <c r="R130" t="s">
        <v>976</v>
      </c>
      <c r="S130" t="s">
        <v>550</v>
      </c>
      <c r="T130" t="s">
        <v>893</v>
      </c>
      <c r="U130" t="s">
        <v>550</v>
      </c>
      <c r="V130" t="s">
        <v>1078</v>
      </c>
      <c r="W130" t="s">
        <v>1021</v>
      </c>
      <c r="X130" t="s">
        <v>74</v>
      </c>
      <c r="Y130" t="s">
        <v>1075</v>
      </c>
      <c r="Z130" t="s">
        <v>1076</v>
      </c>
    </row>
    <row r="131" spans="1:26" x14ac:dyDescent="0.3">
      <c r="A131" t="s">
        <v>525</v>
      </c>
      <c r="B131" t="s">
        <v>1079</v>
      </c>
      <c r="C131" t="s">
        <v>1080</v>
      </c>
      <c r="D131" t="s">
        <v>550</v>
      </c>
      <c r="E131" t="s">
        <v>664</v>
      </c>
      <c r="F131" t="s">
        <v>27</v>
      </c>
      <c r="G131" s="1">
        <v>44197</v>
      </c>
      <c r="H131" s="1">
        <v>44197</v>
      </c>
      <c r="I131" t="s">
        <v>665</v>
      </c>
      <c r="J131" t="s">
        <v>666</v>
      </c>
      <c r="K131" t="s">
        <v>24</v>
      </c>
      <c r="L131" t="s">
        <v>863</v>
      </c>
      <c r="M131" t="s">
        <v>1030</v>
      </c>
      <c r="N131" t="s">
        <v>255</v>
      </c>
      <c r="O131" t="s">
        <v>1031</v>
      </c>
      <c r="P131" t="s">
        <v>239</v>
      </c>
      <c r="Q131" t="s">
        <v>975</v>
      </c>
      <c r="R131" t="s">
        <v>976</v>
      </c>
      <c r="S131" t="s">
        <v>550</v>
      </c>
      <c r="T131" t="s">
        <v>550</v>
      </c>
      <c r="U131" t="s">
        <v>550</v>
      </c>
      <c r="V131" t="s">
        <v>1081</v>
      </c>
      <c r="W131" t="s">
        <v>1021</v>
      </c>
      <c r="X131" t="s">
        <v>74</v>
      </c>
      <c r="Y131" t="s">
        <v>1075</v>
      </c>
      <c r="Z131" t="s">
        <v>1079</v>
      </c>
    </row>
    <row r="132" spans="1:26" x14ac:dyDescent="0.3">
      <c r="A132" t="s">
        <v>525</v>
      </c>
      <c r="B132" t="s">
        <v>1082</v>
      </c>
      <c r="C132" t="s">
        <v>1083</v>
      </c>
      <c r="D132" t="s">
        <v>1079</v>
      </c>
      <c r="E132" t="s">
        <v>664</v>
      </c>
      <c r="F132" t="s">
        <v>27</v>
      </c>
      <c r="G132" s="1">
        <v>44197</v>
      </c>
      <c r="H132" s="1">
        <v>44237</v>
      </c>
      <c r="I132" t="s">
        <v>665</v>
      </c>
      <c r="J132" t="s">
        <v>666</v>
      </c>
      <c r="K132" t="s">
        <v>24</v>
      </c>
      <c r="L132" t="s">
        <v>863</v>
      </c>
      <c r="M132" t="s">
        <v>1030</v>
      </c>
      <c r="N132" t="s">
        <v>255</v>
      </c>
      <c r="O132" t="s">
        <v>1031</v>
      </c>
      <c r="P132" t="s">
        <v>239</v>
      </c>
      <c r="Q132" t="s">
        <v>975</v>
      </c>
      <c r="R132" t="s">
        <v>976</v>
      </c>
      <c r="S132" t="s">
        <v>550</v>
      </c>
      <c r="T132" t="s">
        <v>550</v>
      </c>
      <c r="U132" t="s">
        <v>550</v>
      </c>
      <c r="V132" t="s">
        <v>1084</v>
      </c>
      <c r="W132" t="s">
        <v>1021</v>
      </c>
      <c r="X132" t="s">
        <v>74</v>
      </c>
      <c r="Y132" t="s">
        <v>1075</v>
      </c>
      <c r="Z132" t="s">
        <v>1082</v>
      </c>
    </row>
    <row r="133" spans="1:26" x14ac:dyDescent="0.3">
      <c r="A133" t="s">
        <v>525</v>
      </c>
      <c r="B133" t="s">
        <v>1085</v>
      </c>
      <c r="C133" t="s">
        <v>1086</v>
      </c>
      <c r="D133" t="s">
        <v>550</v>
      </c>
      <c r="E133" t="s">
        <v>664</v>
      </c>
      <c r="F133" t="s">
        <v>27</v>
      </c>
      <c r="G133" s="1">
        <v>44197</v>
      </c>
      <c r="H133" s="1">
        <v>44197</v>
      </c>
      <c r="I133" t="s">
        <v>780</v>
      </c>
      <c r="J133" t="s">
        <v>666</v>
      </c>
      <c r="K133" t="s">
        <v>24</v>
      </c>
      <c r="L133" t="s">
        <v>1045</v>
      </c>
      <c r="M133" t="s">
        <v>1031</v>
      </c>
      <c r="N133" t="s">
        <v>239</v>
      </c>
      <c r="O133" t="s">
        <v>1031</v>
      </c>
      <c r="P133" t="s">
        <v>239</v>
      </c>
      <c r="Q133" t="s">
        <v>975</v>
      </c>
      <c r="R133" t="s">
        <v>976</v>
      </c>
      <c r="S133" t="s">
        <v>550</v>
      </c>
      <c r="T133" t="s">
        <v>550</v>
      </c>
      <c r="U133" t="s">
        <v>550</v>
      </c>
      <c r="V133" t="s">
        <v>1087</v>
      </c>
      <c r="W133" t="s">
        <v>613</v>
      </c>
      <c r="X133" t="s">
        <v>74</v>
      </c>
      <c r="Y133" t="s">
        <v>786</v>
      </c>
      <c r="Z133" t="s">
        <v>1085</v>
      </c>
    </row>
    <row r="134" spans="1:26" x14ac:dyDescent="0.3">
      <c r="A134" t="s">
        <v>525</v>
      </c>
      <c r="B134" t="s">
        <v>1088</v>
      </c>
      <c r="C134" t="s">
        <v>1089</v>
      </c>
      <c r="D134" t="s">
        <v>1085</v>
      </c>
      <c r="E134" t="s">
        <v>664</v>
      </c>
      <c r="F134" t="s">
        <v>27</v>
      </c>
      <c r="G134" s="1">
        <v>44197</v>
      </c>
      <c r="H134" s="1">
        <v>44197</v>
      </c>
      <c r="I134" t="s">
        <v>665</v>
      </c>
      <c r="J134" t="s">
        <v>666</v>
      </c>
      <c r="K134" t="s">
        <v>24</v>
      </c>
      <c r="L134" t="s">
        <v>1045</v>
      </c>
      <c r="M134" t="s">
        <v>1031</v>
      </c>
      <c r="N134" t="s">
        <v>239</v>
      </c>
      <c r="O134" t="s">
        <v>1031</v>
      </c>
      <c r="P134" t="s">
        <v>239</v>
      </c>
      <c r="Q134" t="s">
        <v>975</v>
      </c>
      <c r="R134" t="s">
        <v>976</v>
      </c>
      <c r="S134" t="s">
        <v>550</v>
      </c>
      <c r="T134" t="s">
        <v>550</v>
      </c>
      <c r="U134" t="s">
        <v>550</v>
      </c>
      <c r="V134" t="s">
        <v>1090</v>
      </c>
      <c r="W134" t="s">
        <v>613</v>
      </c>
      <c r="X134" t="s">
        <v>74</v>
      </c>
      <c r="Y134" t="s">
        <v>786</v>
      </c>
      <c r="Z134" t="s">
        <v>1088</v>
      </c>
    </row>
    <row r="135" spans="1:26" x14ac:dyDescent="0.3">
      <c r="A135" t="s">
        <v>525</v>
      </c>
      <c r="B135" t="s">
        <v>1091</v>
      </c>
      <c r="C135" t="s">
        <v>655</v>
      </c>
      <c r="D135" t="s">
        <v>550</v>
      </c>
      <c r="E135" t="s">
        <v>1092</v>
      </c>
      <c r="F135" t="s">
        <v>1093</v>
      </c>
      <c r="G135" s="1">
        <v>44197</v>
      </c>
      <c r="H135" s="1">
        <v>44197</v>
      </c>
      <c r="I135" t="s">
        <v>665</v>
      </c>
      <c r="J135" t="s">
        <v>1094</v>
      </c>
      <c r="K135" t="s">
        <v>24</v>
      </c>
      <c r="L135" t="s">
        <v>1045</v>
      </c>
      <c r="M135" t="s">
        <v>1095</v>
      </c>
      <c r="N135" t="s">
        <v>298</v>
      </c>
      <c r="O135" t="s">
        <v>1031</v>
      </c>
      <c r="P135" t="s">
        <v>239</v>
      </c>
      <c r="Q135" t="s">
        <v>975</v>
      </c>
      <c r="R135" t="s">
        <v>976</v>
      </c>
      <c r="S135" t="s">
        <v>550</v>
      </c>
      <c r="T135" t="s">
        <v>550</v>
      </c>
      <c r="U135" t="s">
        <v>550</v>
      </c>
      <c r="V135" t="s">
        <v>1096</v>
      </c>
      <c r="W135" t="s">
        <v>1021</v>
      </c>
      <c r="X135" t="s">
        <v>74</v>
      </c>
      <c r="Y135" t="s">
        <v>1075</v>
      </c>
      <c r="Z135" t="s">
        <v>1091</v>
      </c>
    </row>
    <row r="136" spans="1:26" x14ac:dyDescent="0.3">
      <c r="A136" t="s">
        <v>525</v>
      </c>
      <c r="B136" t="s">
        <v>1097</v>
      </c>
      <c r="C136" t="s">
        <v>1098</v>
      </c>
      <c r="D136" t="s">
        <v>1091</v>
      </c>
      <c r="E136" t="s">
        <v>1092</v>
      </c>
      <c r="F136" t="s">
        <v>1093</v>
      </c>
      <c r="G136" s="1">
        <v>44197</v>
      </c>
      <c r="H136" s="1">
        <v>44205</v>
      </c>
      <c r="I136" t="s">
        <v>665</v>
      </c>
      <c r="J136" t="s">
        <v>1094</v>
      </c>
      <c r="K136" t="s">
        <v>24</v>
      </c>
      <c r="L136" t="s">
        <v>1045</v>
      </c>
      <c r="M136" t="s">
        <v>1095</v>
      </c>
      <c r="N136" t="s">
        <v>298</v>
      </c>
      <c r="O136" t="s">
        <v>1031</v>
      </c>
      <c r="P136" t="s">
        <v>239</v>
      </c>
      <c r="Q136" t="s">
        <v>975</v>
      </c>
      <c r="R136" t="s">
        <v>976</v>
      </c>
      <c r="S136" t="s">
        <v>550</v>
      </c>
      <c r="T136" t="s">
        <v>550</v>
      </c>
      <c r="U136" t="s">
        <v>550</v>
      </c>
      <c r="V136" t="s">
        <v>1099</v>
      </c>
      <c r="W136" t="s">
        <v>1021</v>
      </c>
      <c r="X136" t="s">
        <v>74</v>
      </c>
      <c r="Y136" t="s">
        <v>1075</v>
      </c>
      <c r="Z136" t="s">
        <v>1097</v>
      </c>
    </row>
    <row r="137" spans="1:26" x14ac:dyDescent="0.3">
      <c r="A137" t="s">
        <v>525</v>
      </c>
      <c r="B137" t="s">
        <v>1100</v>
      </c>
      <c r="C137" t="s">
        <v>1101</v>
      </c>
      <c r="D137" t="s">
        <v>550</v>
      </c>
      <c r="E137" t="s">
        <v>1102</v>
      </c>
      <c r="F137" t="s">
        <v>1103</v>
      </c>
      <c r="G137" s="1">
        <v>44197</v>
      </c>
      <c r="H137" s="1">
        <v>44197</v>
      </c>
      <c r="I137" t="s">
        <v>665</v>
      </c>
      <c r="J137" t="s">
        <v>1104</v>
      </c>
      <c r="K137" t="s">
        <v>24</v>
      </c>
      <c r="L137" t="s">
        <v>1045</v>
      </c>
      <c r="M137" t="s">
        <v>1095</v>
      </c>
      <c r="N137" t="s">
        <v>298</v>
      </c>
      <c r="O137" t="s">
        <v>1031</v>
      </c>
      <c r="P137" t="s">
        <v>239</v>
      </c>
      <c r="Q137" t="s">
        <v>975</v>
      </c>
      <c r="R137" t="s">
        <v>976</v>
      </c>
      <c r="S137" t="s">
        <v>550</v>
      </c>
      <c r="T137" t="s">
        <v>550</v>
      </c>
      <c r="U137" t="s">
        <v>550</v>
      </c>
      <c r="V137" t="s">
        <v>1105</v>
      </c>
      <c r="W137" t="s">
        <v>1021</v>
      </c>
      <c r="X137" t="s">
        <v>74</v>
      </c>
      <c r="Y137" t="s">
        <v>1033</v>
      </c>
      <c r="Z137" t="s">
        <v>1100</v>
      </c>
    </row>
    <row r="138" spans="1:26" x14ac:dyDescent="0.3">
      <c r="A138" t="s">
        <v>525</v>
      </c>
      <c r="B138" t="s">
        <v>1106</v>
      </c>
      <c r="C138" t="s">
        <v>1107</v>
      </c>
      <c r="D138" t="s">
        <v>1100</v>
      </c>
      <c r="E138" t="s">
        <v>1102</v>
      </c>
      <c r="F138" t="s">
        <v>1103</v>
      </c>
      <c r="G138" s="1">
        <v>44197</v>
      </c>
      <c r="H138" s="1">
        <v>44240</v>
      </c>
      <c r="I138" t="s">
        <v>665</v>
      </c>
      <c r="J138" t="s">
        <v>1104</v>
      </c>
      <c r="K138" t="s">
        <v>24</v>
      </c>
      <c r="L138" t="s">
        <v>1045</v>
      </c>
      <c r="M138" t="s">
        <v>1095</v>
      </c>
      <c r="N138" t="s">
        <v>298</v>
      </c>
      <c r="O138" t="s">
        <v>1031</v>
      </c>
      <c r="P138" t="s">
        <v>239</v>
      </c>
      <c r="Q138" t="s">
        <v>975</v>
      </c>
      <c r="R138" t="s">
        <v>976</v>
      </c>
      <c r="S138" t="s">
        <v>550</v>
      </c>
      <c r="T138" t="s">
        <v>550</v>
      </c>
      <c r="U138" t="s">
        <v>550</v>
      </c>
      <c r="V138" t="s">
        <v>1108</v>
      </c>
      <c r="W138" t="s">
        <v>1021</v>
      </c>
      <c r="X138" t="s">
        <v>74</v>
      </c>
      <c r="Y138" t="s">
        <v>1033</v>
      </c>
      <c r="Z138" t="s">
        <v>1106</v>
      </c>
    </row>
    <row r="139" spans="1:26" x14ac:dyDescent="0.3">
      <c r="A139" t="s">
        <v>525</v>
      </c>
      <c r="B139" t="s">
        <v>1109</v>
      </c>
      <c r="C139" t="s">
        <v>1110</v>
      </c>
      <c r="D139" t="s">
        <v>550</v>
      </c>
      <c r="E139" t="s">
        <v>664</v>
      </c>
      <c r="F139" t="s">
        <v>27</v>
      </c>
      <c r="G139" s="1">
        <v>44197</v>
      </c>
      <c r="H139" s="1">
        <v>44197</v>
      </c>
      <c r="I139" t="s">
        <v>665</v>
      </c>
      <c r="J139" t="s">
        <v>666</v>
      </c>
      <c r="K139" t="s">
        <v>24</v>
      </c>
      <c r="L139" t="s">
        <v>1045</v>
      </c>
      <c r="M139" t="s">
        <v>1095</v>
      </c>
      <c r="N139" t="s">
        <v>298</v>
      </c>
      <c r="O139" t="s">
        <v>1031</v>
      </c>
      <c r="P139" t="s">
        <v>239</v>
      </c>
      <c r="Q139" t="s">
        <v>975</v>
      </c>
      <c r="R139" t="s">
        <v>976</v>
      </c>
      <c r="S139" t="s">
        <v>550</v>
      </c>
      <c r="T139" t="s">
        <v>550</v>
      </c>
      <c r="U139" t="s">
        <v>550</v>
      </c>
      <c r="V139" t="s">
        <v>1111</v>
      </c>
      <c r="W139" t="s">
        <v>1021</v>
      </c>
      <c r="X139" t="s">
        <v>74</v>
      </c>
      <c r="Y139" t="s">
        <v>1033</v>
      </c>
      <c r="Z139" t="s">
        <v>1109</v>
      </c>
    </row>
    <row r="140" spans="1:26" x14ac:dyDescent="0.3">
      <c r="A140" t="s">
        <v>525</v>
      </c>
      <c r="B140" t="s">
        <v>1112</v>
      </c>
      <c r="C140" t="s">
        <v>1113</v>
      </c>
      <c r="D140" t="s">
        <v>1109</v>
      </c>
      <c r="E140" t="s">
        <v>664</v>
      </c>
      <c r="F140" t="s">
        <v>27</v>
      </c>
      <c r="G140" s="1">
        <v>44197</v>
      </c>
      <c r="H140" s="1">
        <v>44206</v>
      </c>
      <c r="I140" t="s">
        <v>665</v>
      </c>
      <c r="J140" t="s">
        <v>666</v>
      </c>
      <c r="K140" t="s">
        <v>24</v>
      </c>
      <c r="L140" t="s">
        <v>1045</v>
      </c>
      <c r="M140" t="s">
        <v>1095</v>
      </c>
      <c r="N140" t="s">
        <v>298</v>
      </c>
      <c r="O140" t="s">
        <v>1031</v>
      </c>
      <c r="P140" t="s">
        <v>239</v>
      </c>
      <c r="Q140" t="s">
        <v>975</v>
      </c>
      <c r="R140" t="s">
        <v>976</v>
      </c>
      <c r="S140" t="s">
        <v>550</v>
      </c>
      <c r="T140" t="s">
        <v>550</v>
      </c>
      <c r="U140" t="s">
        <v>550</v>
      </c>
      <c r="V140" t="s">
        <v>1114</v>
      </c>
      <c r="W140" t="s">
        <v>1021</v>
      </c>
      <c r="X140" t="s">
        <v>74</v>
      </c>
      <c r="Y140" t="s">
        <v>1033</v>
      </c>
      <c r="Z140" t="s">
        <v>1112</v>
      </c>
    </row>
    <row r="141" spans="1:26" x14ac:dyDescent="0.3">
      <c r="A141" t="s">
        <v>525</v>
      </c>
      <c r="B141" t="s">
        <v>1115</v>
      </c>
      <c r="C141" t="s">
        <v>1116</v>
      </c>
      <c r="D141" t="s">
        <v>550</v>
      </c>
      <c r="E141" t="s">
        <v>1117</v>
      </c>
      <c r="F141" t="s">
        <v>1118</v>
      </c>
      <c r="G141" s="1">
        <v>43831</v>
      </c>
      <c r="H141" s="1">
        <v>43831</v>
      </c>
      <c r="I141" t="s">
        <v>665</v>
      </c>
      <c r="J141" t="s">
        <v>1119</v>
      </c>
      <c r="K141" t="s">
        <v>24</v>
      </c>
      <c r="L141" t="s">
        <v>216</v>
      </c>
      <c r="M141" t="s">
        <v>1120</v>
      </c>
      <c r="N141" t="s">
        <v>1121</v>
      </c>
      <c r="O141" t="s">
        <v>1031</v>
      </c>
      <c r="P141" t="s">
        <v>239</v>
      </c>
      <c r="Q141" t="s">
        <v>975</v>
      </c>
      <c r="R141" t="s">
        <v>976</v>
      </c>
      <c r="S141" t="s">
        <v>550</v>
      </c>
      <c r="T141" t="s">
        <v>550</v>
      </c>
      <c r="U141" t="s">
        <v>550</v>
      </c>
      <c r="V141" t="s">
        <v>1122</v>
      </c>
      <c r="W141" t="s">
        <v>613</v>
      </c>
      <c r="X141" t="s">
        <v>74</v>
      </c>
      <c r="Y141" t="s">
        <v>786</v>
      </c>
      <c r="Z141" t="s">
        <v>1115</v>
      </c>
    </row>
    <row r="142" spans="1:26" x14ac:dyDescent="0.3">
      <c r="A142" t="s">
        <v>525</v>
      </c>
      <c r="B142" t="s">
        <v>1123</v>
      </c>
      <c r="C142" t="s">
        <v>1124</v>
      </c>
      <c r="D142" t="s">
        <v>550</v>
      </c>
      <c r="E142" t="s">
        <v>1125</v>
      </c>
      <c r="F142" t="s">
        <v>1126</v>
      </c>
      <c r="G142" s="1">
        <v>44197</v>
      </c>
      <c r="H142" s="1">
        <v>44197</v>
      </c>
      <c r="I142" t="s">
        <v>665</v>
      </c>
      <c r="J142" t="s">
        <v>1127</v>
      </c>
      <c r="K142" t="s">
        <v>24</v>
      </c>
      <c r="L142" t="s">
        <v>1045</v>
      </c>
      <c r="M142" t="s">
        <v>1128</v>
      </c>
      <c r="N142" t="s">
        <v>1129</v>
      </c>
      <c r="O142" t="s">
        <v>1031</v>
      </c>
      <c r="P142" t="s">
        <v>239</v>
      </c>
      <c r="Q142" t="s">
        <v>975</v>
      </c>
      <c r="R142" t="s">
        <v>976</v>
      </c>
      <c r="S142" t="s">
        <v>550</v>
      </c>
      <c r="T142" t="s">
        <v>550</v>
      </c>
      <c r="U142" t="s">
        <v>550</v>
      </c>
      <c r="V142" t="s">
        <v>1130</v>
      </c>
      <c r="W142" t="s">
        <v>1021</v>
      </c>
      <c r="X142" t="s">
        <v>74</v>
      </c>
      <c r="Y142" t="s">
        <v>1033</v>
      </c>
      <c r="Z142" t="s">
        <v>1123</v>
      </c>
    </row>
    <row r="143" spans="1:26" x14ac:dyDescent="0.3">
      <c r="A143" t="s">
        <v>525</v>
      </c>
      <c r="B143" t="s">
        <v>1131</v>
      </c>
      <c r="C143" t="s">
        <v>1132</v>
      </c>
      <c r="D143" t="s">
        <v>1123</v>
      </c>
      <c r="E143" t="s">
        <v>1125</v>
      </c>
      <c r="F143" t="s">
        <v>1126</v>
      </c>
      <c r="G143" s="1">
        <v>44197</v>
      </c>
      <c r="H143" s="1">
        <v>44253</v>
      </c>
      <c r="I143" t="s">
        <v>665</v>
      </c>
      <c r="J143" t="s">
        <v>1127</v>
      </c>
      <c r="K143" t="s">
        <v>24</v>
      </c>
      <c r="L143" t="s">
        <v>1045</v>
      </c>
      <c r="M143" t="s">
        <v>1128</v>
      </c>
      <c r="N143" t="s">
        <v>1129</v>
      </c>
      <c r="O143" t="s">
        <v>1031</v>
      </c>
      <c r="P143" t="s">
        <v>239</v>
      </c>
      <c r="Q143" t="s">
        <v>975</v>
      </c>
      <c r="R143" t="s">
        <v>976</v>
      </c>
      <c r="S143" t="s">
        <v>550</v>
      </c>
      <c r="T143" t="s">
        <v>550</v>
      </c>
      <c r="U143" t="s">
        <v>550</v>
      </c>
      <c r="V143" t="s">
        <v>1133</v>
      </c>
      <c r="W143" t="s">
        <v>1021</v>
      </c>
      <c r="X143" t="s">
        <v>74</v>
      </c>
      <c r="Y143" t="s">
        <v>1033</v>
      </c>
      <c r="Z143" t="s">
        <v>1131</v>
      </c>
    </row>
    <row r="144" spans="1:26" x14ac:dyDescent="0.3">
      <c r="A144" t="s">
        <v>525</v>
      </c>
      <c r="B144" t="s">
        <v>1134</v>
      </c>
      <c r="C144" t="s">
        <v>1135</v>
      </c>
      <c r="D144" t="s">
        <v>550</v>
      </c>
      <c r="E144" t="s">
        <v>664</v>
      </c>
      <c r="F144" t="s">
        <v>27</v>
      </c>
      <c r="G144" s="1">
        <v>44197</v>
      </c>
      <c r="H144" s="1">
        <v>44197</v>
      </c>
      <c r="I144" t="s">
        <v>665</v>
      </c>
      <c r="J144" t="s">
        <v>666</v>
      </c>
      <c r="K144" t="s">
        <v>24</v>
      </c>
      <c r="L144" t="s">
        <v>1045</v>
      </c>
      <c r="M144" t="s">
        <v>1128</v>
      </c>
      <c r="N144" t="s">
        <v>1129</v>
      </c>
      <c r="O144" t="s">
        <v>1031</v>
      </c>
      <c r="P144" t="s">
        <v>239</v>
      </c>
      <c r="Q144" t="s">
        <v>975</v>
      </c>
      <c r="R144" t="s">
        <v>976</v>
      </c>
      <c r="S144" t="s">
        <v>550</v>
      </c>
      <c r="T144" t="s">
        <v>550</v>
      </c>
      <c r="U144" t="s">
        <v>550</v>
      </c>
      <c r="V144" t="s">
        <v>1136</v>
      </c>
      <c r="W144" t="s">
        <v>1021</v>
      </c>
      <c r="X144" t="s">
        <v>74</v>
      </c>
      <c r="Y144" t="s">
        <v>1033</v>
      </c>
      <c r="Z144" t="s">
        <v>1134</v>
      </c>
    </row>
    <row r="145" spans="1:26" x14ac:dyDescent="0.3">
      <c r="A145" t="s">
        <v>525</v>
      </c>
      <c r="B145" t="s">
        <v>1137</v>
      </c>
      <c r="C145" t="s">
        <v>1138</v>
      </c>
      <c r="D145" t="s">
        <v>1134</v>
      </c>
      <c r="E145" t="s">
        <v>664</v>
      </c>
      <c r="F145" t="s">
        <v>27</v>
      </c>
      <c r="G145" s="1">
        <v>44197</v>
      </c>
      <c r="H145" s="1">
        <v>44197</v>
      </c>
      <c r="I145" t="s">
        <v>665</v>
      </c>
      <c r="J145" t="s">
        <v>666</v>
      </c>
      <c r="K145" t="s">
        <v>24</v>
      </c>
      <c r="L145" t="s">
        <v>1045</v>
      </c>
      <c r="M145" t="s">
        <v>1128</v>
      </c>
      <c r="N145" t="s">
        <v>1129</v>
      </c>
      <c r="O145" t="s">
        <v>1031</v>
      </c>
      <c r="P145" t="s">
        <v>239</v>
      </c>
      <c r="Q145" t="s">
        <v>975</v>
      </c>
      <c r="R145" t="s">
        <v>976</v>
      </c>
      <c r="S145" t="s">
        <v>550</v>
      </c>
      <c r="T145" t="s">
        <v>550</v>
      </c>
      <c r="U145" t="s">
        <v>550</v>
      </c>
      <c r="V145" t="s">
        <v>1139</v>
      </c>
      <c r="W145" t="s">
        <v>1021</v>
      </c>
      <c r="X145" t="s">
        <v>74</v>
      </c>
      <c r="Y145" t="s">
        <v>1033</v>
      </c>
      <c r="Z145" t="s">
        <v>1137</v>
      </c>
    </row>
    <row r="146" spans="1:26" x14ac:dyDescent="0.3">
      <c r="A146" t="s">
        <v>525</v>
      </c>
      <c r="B146" t="s">
        <v>1140</v>
      </c>
      <c r="C146" t="s">
        <v>1141</v>
      </c>
      <c r="D146" t="s">
        <v>550</v>
      </c>
      <c r="E146" t="s">
        <v>1039</v>
      </c>
      <c r="F146" t="s">
        <v>1040</v>
      </c>
      <c r="G146" s="1">
        <v>44197</v>
      </c>
      <c r="H146" s="1">
        <v>44197</v>
      </c>
      <c r="I146" t="s">
        <v>665</v>
      </c>
      <c r="J146" t="s">
        <v>1041</v>
      </c>
      <c r="K146" t="s">
        <v>24</v>
      </c>
      <c r="L146" t="s">
        <v>1045</v>
      </c>
      <c r="M146" t="s">
        <v>1128</v>
      </c>
      <c r="N146" t="s">
        <v>1129</v>
      </c>
      <c r="O146" t="s">
        <v>1031</v>
      </c>
      <c r="P146" t="s">
        <v>239</v>
      </c>
      <c r="Q146" t="s">
        <v>975</v>
      </c>
      <c r="R146" t="s">
        <v>976</v>
      </c>
      <c r="S146" t="s">
        <v>550</v>
      </c>
      <c r="T146" t="s">
        <v>550</v>
      </c>
      <c r="U146" t="s">
        <v>550</v>
      </c>
      <c r="V146" t="s">
        <v>1142</v>
      </c>
      <c r="W146" t="s">
        <v>1021</v>
      </c>
      <c r="X146" t="s">
        <v>74</v>
      </c>
      <c r="Y146" t="s">
        <v>1033</v>
      </c>
      <c r="Z146" t="s">
        <v>1140</v>
      </c>
    </row>
    <row r="147" spans="1:26" x14ac:dyDescent="0.3">
      <c r="A147" t="s">
        <v>525</v>
      </c>
      <c r="B147" t="s">
        <v>1143</v>
      </c>
      <c r="C147" t="s">
        <v>1144</v>
      </c>
      <c r="D147" t="s">
        <v>1140</v>
      </c>
      <c r="E147" t="s">
        <v>1039</v>
      </c>
      <c r="F147" t="s">
        <v>1040</v>
      </c>
      <c r="G147" s="1">
        <v>44197</v>
      </c>
      <c r="H147" s="1">
        <v>44198</v>
      </c>
      <c r="I147" t="s">
        <v>665</v>
      </c>
      <c r="J147" t="s">
        <v>1041</v>
      </c>
      <c r="K147" t="s">
        <v>24</v>
      </c>
      <c r="L147" t="s">
        <v>1045</v>
      </c>
      <c r="M147" t="s">
        <v>1128</v>
      </c>
      <c r="N147" t="s">
        <v>1129</v>
      </c>
      <c r="O147" t="s">
        <v>1031</v>
      </c>
      <c r="P147" t="s">
        <v>239</v>
      </c>
      <c r="Q147" t="s">
        <v>975</v>
      </c>
      <c r="R147" t="s">
        <v>976</v>
      </c>
      <c r="S147" t="s">
        <v>550</v>
      </c>
      <c r="T147" t="s">
        <v>550</v>
      </c>
      <c r="U147" t="s">
        <v>550</v>
      </c>
      <c r="V147" t="s">
        <v>1145</v>
      </c>
      <c r="W147" t="s">
        <v>1021</v>
      </c>
      <c r="X147" t="s">
        <v>74</v>
      </c>
      <c r="Y147" t="s">
        <v>1033</v>
      </c>
      <c r="Z147" t="s">
        <v>1143</v>
      </c>
    </row>
    <row r="148" spans="1:26" x14ac:dyDescent="0.3">
      <c r="A148" t="s">
        <v>525</v>
      </c>
      <c r="B148" t="s">
        <v>1146</v>
      </c>
      <c r="C148" t="s">
        <v>1147</v>
      </c>
      <c r="D148" t="s">
        <v>800</v>
      </c>
      <c r="E148" t="s">
        <v>664</v>
      </c>
      <c r="F148" t="s">
        <v>27</v>
      </c>
      <c r="G148" s="1">
        <v>44256</v>
      </c>
      <c r="H148" s="1">
        <v>44305</v>
      </c>
      <c r="I148" t="s">
        <v>665</v>
      </c>
      <c r="J148" t="s">
        <v>666</v>
      </c>
      <c r="K148" t="s">
        <v>24</v>
      </c>
      <c r="L148" t="s">
        <v>667</v>
      </c>
      <c r="M148" t="s">
        <v>797</v>
      </c>
      <c r="N148" t="s">
        <v>313</v>
      </c>
      <c r="O148" t="s">
        <v>1031</v>
      </c>
      <c r="P148" t="s">
        <v>239</v>
      </c>
      <c r="Q148" t="s">
        <v>975</v>
      </c>
      <c r="R148" t="s">
        <v>976</v>
      </c>
      <c r="S148" t="s">
        <v>550</v>
      </c>
      <c r="T148" t="s">
        <v>893</v>
      </c>
      <c r="U148" t="s">
        <v>550</v>
      </c>
      <c r="V148" t="s">
        <v>1148</v>
      </c>
      <c r="W148" t="s">
        <v>613</v>
      </c>
      <c r="X148" t="s">
        <v>74</v>
      </c>
      <c r="Y148" t="s">
        <v>803</v>
      </c>
      <c r="Z148" t="s">
        <v>1146</v>
      </c>
    </row>
    <row r="149" spans="1:26" x14ac:dyDescent="0.3">
      <c r="A149" t="s">
        <v>525</v>
      </c>
      <c r="B149" t="s">
        <v>1149</v>
      </c>
      <c r="C149" t="s">
        <v>1150</v>
      </c>
      <c r="D149" t="s">
        <v>550</v>
      </c>
      <c r="E149" t="s">
        <v>1151</v>
      </c>
      <c r="F149" t="s">
        <v>1150</v>
      </c>
      <c r="G149" s="1">
        <v>44197</v>
      </c>
      <c r="H149" s="1">
        <v>44197</v>
      </c>
      <c r="I149" t="s">
        <v>665</v>
      </c>
      <c r="J149" t="s">
        <v>1152</v>
      </c>
      <c r="K149" t="s">
        <v>24</v>
      </c>
      <c r="L149" t="s">
        <v>216</v>
      </c>
      <c r="M149" t="s">
        <v>1120</v>
      </c>
      <c r="N149" t="s">
        <v>1121</v>
      </c>
      <c r="O149" t="s">
        <v>1031</v>
      </c>
      <c r="P149" t="s">
        <v>239</v>
      </c>
      <c r="Q149" t="s">
        <v>975</v>
      </c>
      <c r="R149" t="s">
        <v>976</v>
      </c>
      <c r="S149" t="s">
        <v>550</v>
      </c>
      <c r="T149" t="s">
        <v>550</v>
      </c>
      <c r="U149" t="s">
        <v>550</v>
      </c>
      <c r="V149" t="s">
        <v>1153</v>
      </c>
      <c r="W149" t="s">
        <v>613</v>
      </c>
      <c r="X149" t="s">
        <v>74</v>
      </c>
      <c r="Y149" t="s">
        <v>1075</v>
      </c>
      <c r="Z149" t="s">
        <v>1149</v>
      </c>
    </row>
    <row r="150" spans="1:26" x14ac:dyDescent="0.3">
      <c r="A150" t="s">
        <v>525</v>
      </c>
      <c r="B150" t="s">
        <v>1154</v>
      </c>
      <c r="C150" t="s">
        <v>1155</v>
      </c>
      <c r="D150" t="s">
        <v>1149</v>
      </c>
      <c r="E150" t="s">
        <v>1151</v>
      </c>
      <c r="F150" t="s">
        <v>1150</v>
      </c>
      <c r="G150" s="1">
        <v>44197</v>
      </c>
      <c r="H150" s="1">
        <v>44219</v>
      </c>
      <c r="I150" t="s">
        <v>665</v>
      </c>
      <c r="J150" t="s">
        <v>1152</v>
      </c>
      <c r="K150" t="s">
        <v>24</v>
      </c>
      <c r="L150" t="s">
        <v>216</v>
      </c>
      <c r="M150" t="s">
        <v>1120</v>
      </c>
      <c r="N150" t="s">
        <v>1121</v>
      </c>
      <c r="O150" t="s">
        <v>1031</v>
      </c>
      <c r="P150" t="s">
        <v>239</v>
      </c>
      <c r="Q150" t="s">
        <v>975</v>
      </c>
      <c r="R150" t="s">
        <v>976</v>
      </c>
      <c r="S150" t="s">
        <v>550</v>
      </c>
      <c r="T150" t="s">
        <v>550</v>
      </c>
      <c r="U150" t="s">
        <v>550</v>
      </c>
      <c r="V150" t="s">
        <v>1156</v>
      </c>
      <c r="W150" t="s">
        <v>613</v>
      </c>
      <c r="X150" t="s">
        <v>74</v>
      </c>
      <c r="Y150" t="s">
        <v>1075</v>
      </c>
      <c r="Z150" t="s">
        <v>1154</v>
      </c>
    </row>
    <row r="151" spans="1:26" x14ac:dyDescent="0.3">
      <c r="A151" t="s">
        <v>525</v>
      </c>
      <c r="B151" t="s">
        <v>1157</v>
      </c>
      <c r="C151" t="s">
        <v>1158</v>
      </c>
      <c r="D151" t="s">
        <v>1159</v>
      </c>
      <c r="E151" t="s">
        <v>1117</v>
      </c>
      <c r="F151" t="s">
        <v>1118</v>
      </c>
      <c r="G151" s="1">
        <v>44197</v>
      </c>
      <c r="H151" s="1">
        <v>44200</v>
      </c>
      <c r="I151" t="s">
        <v>665</v>
      </c>
      <c r="J151" t="s">
        <v>1119</v>
      </c>
      <c r="K151" t="s">
        <v>24</v>
      </c>
      <c r="L151" t="s">
        <v>216</v>
      </c>
      <c r="M151" t="s">
        <v>1120</v>
      </c>
      <c r="N151" t="s">
        <v>1121</v>
      </c>
      <c r="O151" t="s">
        <v>1031</v>
      </c>
      <c r="P151" t="s">
        <v>239</v>
      </c>
      <c r="Q151" t="s">
        <v>975</v>
      </c>
      <c r="R151" t="s">
        <v>976</v>
      </c>
      <c r="S151" t="s">
        <v>550</v>
      </c>
      <c r="T151" t="s">
        <v>550</v>
      </c>
      <c r="U151" t="s">
        <v>550</v>
      </c>
      <c r="V151" t="s">
        <v>1160</v>
      </c>
      <c r="W151" t="s">
        <v>613</v>
      </c>
      <c r="X151" t="s">
        <v>74</v>
      </c>
      <c r="Y151" t="s">
        <v>786</v>
      </c>
      <c r="Z151" t="s">
        <v>1157</v>
      </c>
    </row>
    <row r="152" spans="1:26" x14ac:dyDescent="0.3">
      <c r="A152" t="s">
        <v>525</v>
      </c>
      <c r="B152" t="s">
        <v>1161</v>
      </c>
      <c r="C152" t="s">
        <v>1162</v>
      </c>
      <c r="D152" t="s">
        <v>1115</v>
      </c>
      <c r="E152" t="s">
        <v>1117</v>
      </c>
      <c r="F152" t="s">
        <v>1118</v>
      </c>
      <c r="G152" s="1">
        <v>44197</v>
      </c>
      <c r="H152" s="1">
        <v>44244</v>
      </c>
      <c r="I152" t="s">
        <v>665</v>
      </c>
      <c r="J152" t="s">
        <v>1119</v>
      </c>
      <c r="K152" t="s">
        <v>24</v>
      </c>
      <c r="L152" t="s">
        <v>216</v>
      </c>
      <c r="M152" t="s">
        <v>1120</v>
      </c>
      <c r="N152" t="s">
        <v>1121</v>
      </c>
      <c r="O152" t="s">
        <v>1031</v>
      </c>
      <c r="P152" t="s">
        <v>239</v>
      </c>
      <c r="Q152" t="s">
        <v>975</v>
      </c>
      <c r="R152" t="s">
        <v>976</v>
      </c>
      <c r="S152" t="s">
        <v>550</v>
      </c>
      <c r="T152" t="s">
        <v>550</v>
      </c>
      <c r="U152" t="s">
        <v>550</v>
      </c>
      <c r="V152" t="s">
        <v>1163</v>
      </c>
      <c r="W152" t="s">
        <v>613</v>
      </c>
      <c r="X152" t="s">
        <v>74</v>
      </c>
      <c r="Y152" t="s">
        <v>786</v>
      </c>
      <c r="Z152" t="s">
        <v>1161</v>
      </c>
    </row>
    <row r="153" spans="1:26" x14ac:dyDescent="0.3">
      <c r="A153" t="s">
        <v>525</v>
      </c>
      <c r="B153" t="s">
        <v>1159</v>
      </c>
      <c r="C153" t="s">
        <v>1164</v>
      </c>
      <c r="D153" t="s">
        <v>550</v>
      </c>
      <c r="E153" t="s">
        <v>1117</v>
      </c>
      <c r="F153" t="s">
        <v>1118</v>
      </c>
      <c r="G153" s="1">
        <v>43831</v>
      </c>
      <c r="H153" s="1">
        <v>43831</v>
      </c>
      <c r="I153" t="s">
        <v>665</v>
      </c>
      <c r="J153" t="s">
        <v>1119</v>
      </c>
      <c r="K153" t="s">
        <v>24</v>
      </c>
      <c r="L153" t="s">
        <v>216</v>
      </c>
      <c r="M153" t="s">
        <v>1120</v>
      </c>
      <c r="N153" t="s">
        <v>1121</v>
      </c>
      <c r="O153" t="s">
        <v>1031</v>
      </c>
      <c r="P153" t="s">
        <v>239</v>
      </c>
      <c r="Q153" t="s">
        <v>975</v>
      </c>
      <c r="R153" t="s">
        <v>976</v>
      </c>
      <c r="S153" t="s">
        <v>550</v>
      </c>
      <c r="T153" t="s">
        <v>550</v>
      </c>
      <c r="U153" t="s">
        <v>550</v>
      </c>
      <c r="V153" t="s">
        <v>1165</v>
      </c>
      <c r="W153" t="s">
        <v>613</v>
      </c>
      <c r="X153" t="s">
        <v>74</v>
      </c>
      <c r="Y153" t="s">
        <v>786</v>
      </c>
      <c r="Z153" t="s">
        <v>1159</v>
      </c>
    </row>
    <row r="154" spans="1:26" x14ac:dyDescent="0.3">
      <c r="A154" t="s">
        <v>525</v>
      </c>
      <c r="B154" t="s">
        <v>1166</v>
      </c>
      <c r="C154" t="s">
        <v>1167</v>
      </c>
      <c r="D154" t="s">
        <v>550</v>
      </c>
      <c r="E154" t="s">
        <v>664</v>
      </c>
      <c r="F154" t="s">
        <v>27</v>
      </c>
      <c r="G154" s="1">
        <v>44197</v>
      </c>
      <c r="H154" s="1">
        <v>44197</v>
      </c>
      <c r="I154" t="s">
        <v>665</v>
      </c>
      <c r="J154" t="s">
        <v>666</v>
      </c>
      <c r="K154" t="s">
        <v>24</v>
      </c>
      <c r="L154" t="s">
        <v>667</v>
      </c>
      <c r="M154" t="s">
        <v>873</v>
      </c>
      <c r="N154" t="s">
        <v>244</v>
      </c>
      <c r="O154" t="s">
        <v>1168</v>
      </c>
      <c r="P154" t="s">
        <v>1169</v>
      </c>
      <c r="Q154" t="s">
        <v>975</v>
      </c>
      <c r="R154" t="s">
        <v>976</v>
      </c>
      <c r="S154" t="s">
        <v>550</v>
      </c>
      <c r="T154" t="s">
        <v>550</v>
      </c>
      <c r="U154" t="s">
        <v>550</v>
      </c>
      <c r="V154" t="s">
        <v>1170</v>
      </c>
      <c r="W154" t="s">
        <v>875</v>
      </c>
      <c r="X154" t="s">
        <v>669</v>
      </c>
      <c r="Y154" t="s">
        <v>856</v>
      </c>
      <c r="Z154" t="s">
        <v>1166</v>
      </c>
    </row>
    <row r="155" spans="1:26" x14ac:dyDescent="0.3">
      <c r="A155" t="s">
        <v>525</v>
      </c>
      <c r="B155" t="s">
        <v>1171</v>
      </c>
      <c r="C155" t="s">
        <v>1172</v>
      </c>
      <c r="D155" t="s">
        <v>1166</v>
      </c>
      <c r="E155" t="s">
        <v>664</v>
      </c>
      <c r="F155" t="s">
        <v>27</v>
      </c>
      <c r="G155" s="1">
        <v>44197</v>
      </c>
      <c r="H155" s="1">
        <v>44306</v>
      </c>
      <c r="I155" t="s">
        <v>665</v>
      </c>
      <c r="J155" t="s">
        <v>666</v>
      </c>
      <c r="K155" t="s">
        <v>24</v>
      </c>
      <c r="L155" t="s">
        <v>667</v>
      </c>
      <c r="M155" t="s">
        <v>873</v>
      </c>
      <c r="N155" t="s">
        <v>244</v>
      </c>
      <c r="O155" t="s">
        <v>1168</v>
      </c>
      <c r="P155" t="s">
        <v>1169</v>
      </c>
      <c r="Q155" t="s">
        <v>975</v>
      </c>
      <c r="R155" t="s">
        <v>976</v>
      </c>
      <c r="S155" t="s">
        <v>550</v>
      </c>
      <c r="T155" t="s">
        <v>550</v>
      </c>
      <c r="U155" t="s">
        <v>550</v>
      </c>
      <c r="V155" t="s">
        <v>1173</v>
      </c>
      <c r="W155" t="s">
        <v>875</v>
      </c>
      <c r="X155" t="s">
        <v>669</v>
      </c>
      <c r="Y155" t="s">
        <v>856</v>
      </c>
      <c r="Z155" t="s">
        <v>1171</v>
      </c>
    </row>
    <row r="156" spans="1:26" x14ac:dyDescent="0.3">
      <c r="A156" t="s">
        <v>525</v>
      </c>
      <c r="B156" t="s">
        <v>1174</v>
      </c>
      <c r="C156" t="s">
        <v>1175</v>
      </c>
      <c r="D156" t="s">
        <v>550</v>
      </c>
      <c r="E156" t="s">
        <v>664</v>
      </c>
      <c r="F156" t="s">
        <v>27</v>
      </c>
      <c r="G156" s="1">
        <v>44197</v>
      </c>
      <c r="H156" s="1">
        <v>44197</v>
      </c>
      <c r="I156" t="s">
        <v>665</v>
      </c>
      <c r="J156" t="s">
        <v>666</v>
      </c>
      <c r="K156" t="s">
        <v>24</v>
      </c>
      <c r="L156" t="s">
        <v>667</v>
      </c>
      <c r="M156" t="s">
        <v>873</v>
      </c>
      <c r="N156" t="s">
        <v>244</v>
      </c>
      <c r="O156" t="s">
        <v>1168</v>
      </c>
      <c r="P156" t="s">
        <v>1169</v>
      </c>
      <c r="Q156" t="s">
        <v>975</v>
      </c>
      <c r="R156" t="s">
        <v>976</v>
      </c>
      <c r="S156" t="s">
        <v>550</v>
      </c>
      <c r="T156" t="s">
        <v>550</v>
      </c>
      <c r="U156" t="s">
        <v>550</v>
      </c>
      <c r="V156" t="s">
        <v>1176</v>
      </c>
      <c r="W156" t="s">
        <v>875</v>
      </c>
      <c r="X156" t="s">
        <v>669</v>
      </c>
      <c r="Y156" t="s">
        <v>856</v>
      </c>
      <c r="Z156" t="s">
        <v>1174</v>
      </c>
    </row>
    <row r="157" spans="1:26" x14ac:dyDescent="0.3">
      <c r="A157" t="s">
        <v>525</v>
      </c>
      <c r="B157" t="s">
        <v>1177</v>
      </c>
      <c r="C157" t="s">
        <v>1178</v>
      </c>
      <c r="D157" t="s">
        <v>1174</v>
      </c>
      <c r="E157" t="s">
        <v>664</v>
      </c>
      <c r="F157" t="s">
        <v>27</v>
      </c>
      <c r="G157" s="1">
        <v>44197</v>
      </c>
      <c r="H157" s="1">
        <v>44318</v>
      </c>
      <c r="I157" t="s">
        <v>665</v>
      </c>
      <c r="J157" t="s">
        <v>666</v>
      </c>
      <c r="K157" t="s">
        <v>24</v>
      </c>
      <c r="L157" t="s">
        <v>667</v>
      </c>
      <c r="M157" t="s">
        <v>873</v>
      </c>
      <c r="N157" t="s">
        <v>244</v>
      </c>
      <c r="O157" t="s">
        <v>1168</v>
      </c>
      <c r="P157" t="s">
        <v>1169</v>
      </c>
      <c r="Q157" t="s">
        <v>975</v>
      </c>
      <c r="R157" t="s">
        <v>976</v>
      </c>
      <c r="S157" t="s">
        <v>550</v>
      </c>
      <c r="T157" t="s">
        <v>550</v>
      </c>
      <c r="U157" t="s">
        <v>550</v>
      </c>
      <c r="V157" t="s">
        <v>1179</v>
      </c>
      <c r="W157" t="s">
        <v>875</v>
      </c>
      <c r="X157" t="s">
        <v>669</v>
      </c>
      <c r="Y157" t="s">
        <v>856</v>
      </c>
      <c r="Z157" t="s">
        <v>1177</v>
      </c>
    </row>
    <row r="158" spans="1:26" x14ac:dyDescent="0.3">
      <c r="A158" t="s">
        <v>525</v>
      </c>
      <c r="B158" t="s">
        <v>1180</v>
      </c>
      <c r="C158" t="s">
        <v>1181</v>
      </c>
      <c r="D158" t="s">
        <v>550</v>
      </c>
      <c r="E158" t="s">
        <v>664</v>
      </c>
      <c r="F158" t="s">
        <v>27</v>
      </c>
      <c r="G158" s="1">
        <v>44197</v>
      </c>
      <c r="H158" s="1">
        <v>44197</v>
      </c>
      <c r="I158" t="s">
        <v>665</v>
      </c>
      <c r="J158" t="s">
        <v>666</v>
      </c>
      <c r="K158" t="s">
        <v>24</v>
      </c>
      <c r="L158" t="s">
        <v>667</v>
      </c>
      <c r="M158" t="s">
        <v>873</v>
      </c>
      <c r="N158" t="s">
        <v>244</v>
      </c>
      <c r="O158" t="s">
        <v>1168</v>
      </c>
      <c r="P158" t="s">
        <v>1169</v>
      </c>
      <c r="Q158" t="s">
        <v>975</v>
      </c>
      <c r="R158" t="s">
        <v>976</v>
      </c>
      <c r="S158" t="s">
        <v>550</v>
      </c>
      <c r="T158" t="s">
        <v>550</v>
      </c>
      <c r="U158" t="s">
        <v>550</v>
      </c>
      <c r="V158" t="s">
        <v>1182</v>
      </c>
      <c r="W158" t="s">
        <v>875</v>
      </c>
      <c r="X158" t="s">
        <v>669</v>
      </c>
      <c r="Y158" t="s">
        <v>856</v>
      </c>
      <c r="Z158" t="s">
        <v>1180</v>
      </c>
    </row>
    <row r="159" spans="1:26" x14ac:dyDescent="0.3">
      <c r="A159" t="s">
        <v>525</v>
      </c>
      <c r="B159" t="s">
        <v>1183</v>
      </c>
      <c r="C159" t="s">
        <v>1184</v>
      </c>
      <c r="D159" t="s">
        <v>1180</v>
      </c>
      <c r="E159" t="s">
        <v>664</v>
      </c>
      <c r="F159" t="s">
        <v>27</v>
      </c>
      <c r="G159" s="1">
        <v>44197</v>
      </c>
      <c r="H159" s="1">
        <v>44335</v>
      </c>
      <c r="I159" t="s">
        <v>665</v>
      </c>
      <c r="J159" t="s">
        <v>666</v>
      </c>
      <c r="K159" t="s">
        <v>24</v>
      </c>
      <c r="L159" t="s">
        <v>667</v>
      </c>
      <c r="M159" t="s">
        <v>873</v>
      </c>
      <c r="N159" t="s">
        <v>244</v>
      </c>
      <c r="O159" t="s">
        <v>1168</v>
      </c>
      <c r="P159" t="s">
        <v>1169</v>
      </c>
      <c r="Q159" t="s">
        <v>975</v>
      </c>
      <c r="R159" t="s">
        <v>976</v>
      </c>
      <c r="S159" t="s">
        <v>550</v>
      </c>
      <c r="T159" t="s">
        <v>550</v>
      </c>
      <c r="U159" t="s">
        <v>550</v>
      </c>
      <c r="V159" t="s">
        <v>1185</v>
      </c>
      <c r="W159" t="s">
        <v>875</v>
      </c>
      <c r="X159" t="s">
        <v>669</v>
      </c>
      <c r="Y159" t="s">
        <v>856</v>
      </c>
      <c r="Z159" t="s">
        <v>1183</v>
      </c>
    </row>
    <row r="160" spans="1:26" x14ac:dyDescent="0.3">
      <c r="A160" t="s">
        <v>525</v>
      </c>
      <c r="B160" t="s">
        <v>1186</v>
      </c>
      <c r="C160" t="s">
        <v>1187</v>
      </c>
      <c r="D160" t="s">
        <v>550</v>
      </c>
      <c r="E160" t="s">
        <v>664</v>
      </c>
      <c r="F160" t="s">
        <v>27</v>
      </c>
      <c r="G160" s="1">
        <v>44197</v>
      </c>
      <c r="H160" s="1">
        <v>44197</v>
      </c>
      <c r="I160" t="s">
        <v>665</v>
      </c>
      <c r="J160" t="s">
        <v>666</v>
      </c>
      <c r="K160" t="s">
        <v>24</v>
      </c>
      <c r="L160" t="s">
        <v>667</v>
      </c>
      <c r="M160" t="s">
        <v>873</v>
      </c>
      <c r="N160" t="s">
        <v>244</v>
      </c>
      <c r="O160" t="s">
        <v>1168</v>
      </c>
      <c r="P160" t="s">
        <v>1169</v>
      </c>
      <c r="Q160" t="s">
        <v>975</v>
      </c>
      <c r="R160" t="s">
        <v>976</v>
      </c>
      <c r="S160" t="s">
        <v>550</v>
      </c>
      <c r="T160" t="s">
        <v>550</v>
      </c>
      <c r="U160" t="s">
        <v>550</v>
      </c>
      <c r="V160" t="s">
        <v>1188</v>
      </c>
      <c r="W160" t="s">
        <v>875</v>
      </c>
      <c r="X160" t="s">
        <v>669</v>
      </c>
      <c r="Y160" t="s">
        <v>856</v>
      </c>
      <c r="Z160" t="s">
        <v>1186</v>
      </c>
    </row>
    <row r="161" spans="1:26" x14ac:dyDescent="0.3">
      <c r="A161" t="s">
        <v>525</v>
      </c>
      <c r="B161" t="s">
        <v>1189</v>
      </c>
      <c r="C161" t="s">
        <v>1190</v>
      </c>
      <c r="D161" t="s">
        <v>1186</v>
      </c>
      <c r="E161" t="s">
        <v>664</v>
      </c>
      <c r="F161" t="s">
        <v>27</v>
      </c>
      <c r="G161" s="1">
        <v>44197</v>
      </c>
      <c r="H161" s="1">
        <v>44350</v>
      </c>
      <c r="I161" t="s">
        <v>665</v>
      </c>
      <c r="J161" t="s">
        <v>666</v>
      </c>
      <c r="K161" t="s">
        <v>24</v>
      </c>
      <c r="L161" t="s">
        <v>667</v>
      </c>
      <c r="M161" t="s">
        <v>873</v>
      </c>
      <c r="N161" t="s">
        <v>244</v>
      </c>
      <c r="O161" t="s">
        <v>1168</v>
      </c>
      <c r="P161" t="s">
        <v>1169</v>
      </c>
      <c r="Q161" t="s">
        <v>975</v>
      </c>
      <c r="R161" t="s">
        <v>976</v>
      </c>
      <c r="S161" t="s">
        <v>550</v>
      </c>
      <c r="T161" t="s">
        <v>550</v>
      </c>
      <c r="U161" t="s">
        <v>550</v>
      </c>
      <c r="V161" t="s">
        <v>1191</v>
      </c>
      <c r="W161" t="s">
        <v>875</v>
      </c>
      <c r="X161" t="s">
        <v>669</v>
      </c>
      <c r="Y161" t="s">
        <v>856</v>
      </c>
      <c r="Z161" t="s">
        <v>1189</v>
      </c>
    </row>
    <row r="162" spans="1:26" x14ac:dyDescent="0.3">
      <c r="A162" t="s">
        <v>525</v>
      </c>
      <c r="B162" t="s">
        <v>1192</v>
      </c>
      <c r="C162" t="s">
        <v>1193</v>
      </c>
      <c r="D162" t="s">
        <v>550</v>
      </c>
      <c r="E162" t="s">
        <v>664</v>
      </c>
      <c r="F162" t="s">
        <v>27</v>
      </c>
      <c r="G162" s="1">
        <v>44256</v>
      </c>
      <c r="H162" s="1">
        <v>44256</v>
      </c>
      <c r="I162" t="s">
        <v>665</v>
      </c>
      <c r="J162" t="s">
        <v>666</v>
      </c>
      <c r="K162" t="s">
        <v>24</v>
      </c>
      <c r="L162" t="s">
        <v>667</v>
      </c>
      <c r="M162" t="s">
        <v>797</v>
      </c>
      <c r="N162" t="s">
        <v>313</v>
      </c>
      <c r="O162" t="s">
        <v>1168</v>
      </c>
      <c r="P162" t="s">
        <v>1169</v>
      </c>
      <c r="Q162" t="s">
        <v>975</v>
      </c>
      <c r="R162" t="s">
        <v>976</v>
      </c>
      <c r="S162" t="s">
        <v>550</v>
      </c>
      <c r="T162" t="s">
        <v>550</v>
      </c>
      <c r="U162" t="s">
        <v>550</v>
      </c>
      <c r="V162" t="s">
        <v>1194</v>
      </c>
      <c r="W162" t="s">
        <v>554</v>
      </c>
      <c r="X162" t="s">
        <v>669</v>
      </c>
      <c r="Y162" t="s">
        <v>803</v>
      </c>
      <c r="Z162" t="s">
        <v>1192</v>
      </c>
    </row>
    <row r="163" spans="1:26" x14ac:dyDescent="0.3">
      <c r="A163" t="s">
        <v>525</v>
      </c>
      <c r="B163" t="s">
        <v>1195</v>
      </c>
      <c r="C163" t="s">
        <v>1196</v>
      </c>
      <c r="D163" t="s">
        <v>1192</v>
      </c>
      <c r="E163" t="s">
        <v>664</v>
      </c>
      <c r="F163" t="s">
        <v>27</v>
      </c>
      <c r="G163" s="1">
        <v>44256</v>
      </c>
      <c r="H163" s="1">
        <v>44388</v>
      </c>
      <c r="I163" t="s">
        <v>665</v>
      </c>
      <c r="J163" t="s">
        <v>666</v>
      </c>
      <c r="K163" t="s">
        <v>24</v>
      </c>
      <c r="L163" t="s">
        <v>667</v>
      </c>
      <c r="M163" t="s">
        <v>797</v>
      </c>
      <c r="N163" t="s">
        <v>313</v>
      </c>
      <c r="O163" t="s">
        <v>1168</v>
      </c>
      <c r="P163" t="s">
        <v>1169</v>
      </c>
      <c r="Q163" t="s">
        <v>975</v>
      </c>
      <c r="R163" t="s">
        <v>976</v>
      </c>
      <c r="S163" t="s">
        <v>550</v>
      </c>
      <c r="T163" t="s">
        <v>893</v>
      </c>
      <c r="U163" t="s">
        <v>550</v>
      </c>
      <c r="V163" t="s">
        <v>1197</v>
      </c>
      <c r="W163" t="s">
        <v>554</v>
      </c>
      <c r="X163" t="s">
        <v>669</v>
      </c>
      <c r="Y163" t="s">
        <v>803</v>
      </c>
      <c r="Z163" t="s">
        <v>1195</v>
      </c>
    </row>
    <row r="164" spans="1:26" x14ac:dyDescent="0.3">
      <c r="A164" t="s">
        <v>525</v>
      </c>
      <c r="B164" t="s">
        <v>1198</v>
      </c>
      <c r="C164" t="s">
        <v>1199</v>
      </c>
      <c r="D164" t="s">
        <v>550</v>
      </c>
      <c r="E164" t="s">
        <v>664</v>
      </c>
      <c r="F164" t="s">
        <v>27</v>
      </c>
      <c r="G164" s="1">
        <v>44197</v>
      </c>
      <c r="H164" s="1">
        <v>44197</v>
      </c>
      <c r="I164" t="s">
        <v>665</v>
      </c>
      <c r="J164" t="s">
        <v>666</v>
      </c>
      <c r="K164" t="s">
        <v>24</v>
      </c>
      <c r="L164" t="s">
        <v>667</v>
      </c>
      <c r="M164" t="s">
        <v>797</v>
      </c>
      <c r="N164" t="s">
        <v>313</v>
      </c>
      <c r="O164" t="s">
        <v>1168</v>
      </c>
      <c r="P164" t="s">
        <v>1169</v>
      </c>
      <c r="Q164" t="s">
        <v>975</v>
      </c>
      <c r="R164" t="s">
        <v>976</v>
      </c>
      <c r="S164" t="s">
        <v>550</v>
      </c>
      <c r="T164" t="s">
        <v>550</v>
      </c>
      <c r="U164" t="s">
        <v>550</v>
      </c>
      <c r="V164" t="s">
        <v>1200</v>
      </c>
      <c r="W164" t="s">
        <v>554</v>
      </c>
      <c r="X164" t="s">
        <v>669</v>
      </c>
      <c r="Y164" t="s">
        <v>799</v>
      </c>
      <c r="Z164" t="s">
        <v>1198</v>
      </c>
    </row>
    <row r="165" spans="1:26" x14ac:dyDescent="0.3">
      <c r="A165" t="s">
        <v>525</v>
      </c>
      <c r="B165" t="s">
        <v>1201</v>
      </c>
      <c r="C165" t="s">
        <v>1202</v>
      </c>
      <c r="D165" t="s">
        <v>1198</v>
      </c>
      <c r="E165" t="s">
        <v>664</v>
      </c>
      <c r="F165" t="s">
        <v>27</v>
      </c>
      <c r="G165" s="1">
        <v>44197</v>
      </c>
      <c r="H165" s="1">
        <v>44275</v>
      </c>
      <c r="I165" t="s">
        <v>665</v>
      </c>
      <c r="J165" t="s">
        <v>666</v>
      </c>
      <c r="K165" t="s">
        <v>24</v>
      </c>
      <c r="L165" t="s">
        <v>667</v>
      </c>
      <c r="M165" t="s">
        <v>797</v>
      </c>
      <c r="N165" t="s">
        <v>313</v>
      </c>
      <c r="O165" t="s">
        <v>1168</v>
      </c>
      <c r="P165" t="s">
        <v>1169</v>
      </c>
      <c r="Q165" t="s">
        <v>975</v>
      </c>
      <c r="R165" t="s">
        <v>976</v>
      </c>
      <c r="S165" t="s">
        <v>550</v>
      </c>
      <c r="T165" t="s">
        <v>550</v>
      </c>
      <c r="U165" t="s">
        <v>550</v>
      </c>
      <c r="V165" t="s">
        <v>1203</v>
      </c>
      <c r="W165" t="s">
        <v>554</v>
      </c>
      <c r="X165" t="s">
        <v>669</v>
      </c>
      <c r="Y165" t="s">
        <v>799</v>
      </c>
      <c r="Z165" t="s">
        <v>1201</v>
      </c>
    </row>
    <row r="166" spans="1:26" x14ac:dyDescent="0.3">
      <c r="A166" t="s">
        <v>525</v>
      </c>
      <c r="B166" t="s">
        <v>1204</v>
      </c>
      <c r="C166" t="s">
        <v>1205</v>
      </c>
      <c r="D166" t="s">
        <v>550</v>
      </c>
      <c r="E166" t="s">
        <v>664</v>
      </c>
      <c r="F166" t="s">
        <v>27</v>
      </c>
      <c r="G166" s="1">
        <v>44197</v>
      </c>
      <c r="H166" s="1">
        <v>44197</v>
      </c>
      <c r="I166" t="s">
        <v>665</v>
      </c>
      <c r="J166" t="s">
        <v>666</v>
      </c>
      <c r="K166" t="s">
        <v>24</v>
      </c>
      <c r="L166" t="s">
        <v>667</v>
      </c>
      <c r="M166" t="s">
        <v>797</v>
      </c>
      <c r="N166" t="s">
        <v>313</v>
      </c>
      <c r="O166" t="s">
        <v>1168</v>
      </c>
      <c r="P166" t="s">
        <v>1169</v>
      </c>
      <c r="Q166" t="s">
        <v>975</v>
      </c>
      <c r="R166" t="s">
        <v>976</v>
      </c>
      <c r="S166" t="s">
        <v>550</v>
      </c>
      <c r="T166" t="s">
        <v>893</v>
      </c>
      <c r="U166" t="s">
        <v>550</v>
      </c>
      <c r="V166" t="s">
        <v>1206</v>
      </c>
      <c r="W166" t="s">
        <v>554</v>
      </c>
      <c r="X166" t="s">
        <v>669</v>
      </c>
      <c r="Y166" t="s">
        <v>799</v>
      </c>
      <c r="Z166" t="s">
        <v>1204</v>
      </c>
    </row>
    <row r="167" spans="1:26" x14ac:dyDescent="0.3">
      <c r="A167" t="s">
        <v>525</v>
      </c>
      <c r="B167" t="s">
        <v>1207</v>
      </c>
      <c r="C167" t="s">
        <v>1208</v>
      </c>
      <c r="D167" t="s">
        <v>1204</v>
      </c>
      <c r="E167" t="s">
        <v>664</v>
      </c>
      <c r="F167" t="s">
        <v>27</v>
      </c>
      <c r="G167" s="1">
        <v>44197</v>
      </c>
      <c r="H167" s="1">
        <v>44403</v>
      </c>
      <c r="I167" t="s">
        <v>665</v>
      </c>
      <c r="J167" t="s">
        <v>666</v>
      </c>
      <c r="K167" t="s">
        <v>24</v>
      </c>
      <c r="L167" t="s">
        <v>667</v>
      </c>
      <c r="M167" t="s">
        <v>797</v>
      </c>
      <c r="N167" t="s">
        <v>313</v>
      </c>
      <c r="O167" t="s">
        <v>1168</v>
      </c>
      <c r="P167" t="s">
        <v>1169</v>
      </c>
      <c r="Q167" t="s">
        <v>975</v>
      </c>
      <c r="R167" t="s">
        <v>976</v>
      </c>
      <c r="S167" t="s">
        <v>550</v>
      </c>
      <c r="T167" t="s">
        <v>893</v>
      </c>
      <c r="U167" t="s">
        <v>550</v>
      </c>
      <c r="V167" t="s">
        <v>1209</v>
      </c>
      <c r="W167" t="s">
        <v>554</v>
      </c>
      <c r="X167" t="s">
        <v>669</v>
      </c>
      <c r="Y167" t="s">
        <v>799</v>
      </c>
      <c r="Z167" t="s">
        <v>1207</v>
      </c>
    </row>
    <row r="168" spans="1:26" x14ac:dyDescent="0.3">
      <c r="A168" t="s">
        <v>525</v>
      </c>
      <c r="B168" t="s">
        <v>1210</v>
      </c>
      <c r="C168" t="s">
        <v>1211</v>
      </c>
      <c r="D168" t="s">
        <v>550</v>
      </c>
      <c r="E168" t="s">
        <v>664</v>
      </c>
      <c r="F168" t="s">
        <v>27</v>
      </c>
      <c r="G168" s="1">
        <v>44197</v>
      </c>
      <c r="H168" s="1">
        <v>44197</v>
      </c>
      <c r="I168" t="s">
        <v>665</v>
      </c>
      <c r="J168" t="s">
        <v>666</v>
      </c>
      <c r="K168" t="s">
        <v>24</v>
      </c>
      <c r="L168" t="s">
        <v>667</v>
      </c>
      <c r="M168" t="s">
        <v>797</v>
      </c>
      <c r="N168" t="s">
        <v>313</v>
      </c>
      <c r="O168" t="s">
        <v>1168</v>
      </c>
      <c r="P168" t="s">
        <v>1169</v>
      </c>
      <c r="Q168" t="s">
        <v>975</v>
      </c>
      <c r="R168" t="s">
        <v>976</v>
      </c>
      <c r="S168" t="s">
        <v>550</v>
      </c>
      <c r="T168" t="s">
        <v>893</v>
      </c>
      <c r="U168" t="s">
        <v>550</v>
      </c>
      <c r="V168" t="s">
        <v>1212</v>
      </c>
      <c r="W168" t="s">
        <v>554</v>
      </c>
      <c r="X168" t="s">
        <v>669</v>
      </c>
      <c r="Y168" t="s">
        <v>799</v>
      </c>
      <c r="Z168" t="s">
        <v>1210</v>
      </c>
    </row>
    <row r="169" spans="1:26" x14ac:dyDescent="0.3">
      <c r="A169" t="s">
        <v>525</v>
      </c>
      <c r="B169" t="s">
        <v>1213</v>
      </c>
      <c r="C169" t="s">
        <v>1214</v>
      </c>
      <c r="D169" t="s">
        <v>1210</v>
      </c>
      <c r="E169" t="s">
        <v>664</v>
      </c>
      <c r="F169" t="s">
        <v>27</v>
      </c>
      <c r="G169" s="1">
        <v>44197</v>
      </c>
      <c r="H169" s="1">
        <v>44231</v>
      </c>
      <c r="I169" t="s">
        <v>665</v>
      </c>
      <c r="J169" t="s">
        <v>666</v>
      </c>
      <c r="K169" t="s">
        <v>24</v>
      </c>
      <c r="L169" t="s">
        <v>667</v>
      </c>
      <c r="M169" t="s">
        <v>797</v>
      </c>
      <c r="N169" t="s">
        <v>313</v>
      </c>
      <c r="O169" t="s">
        <v>1168</v>
      </c>
      <c r="P169" t="s">
        <v>1169</v>
      </c>
      <c r="Q169" t="s">
        <v>975</v>
      </c>
      <c r="R169" t="s">
        <v>976</v>
      </c>
      <c r="S169" t="s">
        <v>550</v>
      </c>
      <c r="T169" t="s">
        <v>893</v>
      </c>
      <c r="U169" t="s">
        <v>550</v>
      </c>
      <c r="V169" t="s">
        <v>1215</v>
      </c>
      <c r="W169" t="s">
        <v>554</v>
      </c>
      <c r="X169" t="s">
        <v>669</v>
      </c>
      <c r="Y169" t="s">
        <v>799</v>
      </c>
      <c r="Z169" t="s">
        <v>1213</v>
      </c>
    </row>
    <row r="170" spans="1:26" x14ac:dyDescent="0.3">
      <c r="A170" t="s">
        <v>525</v>
      </c>
      <c r="B170" t="s">
        <v>1216</v>
      </c>
      <c r="C170" t="s">
        <v>1217</v>
      </c>
      <c r="D170" t="s">
        <v>550</v>
      </c>
      <c r="E170" t="s">
        <v>664</v>
      </c>
      <c r="F170" t="s">
        <v>27</v>
      </c>
      <c r="G170" s="1">
        <v>44197</v>
      </c>
      <c r="H170" s="1">
        <v>44197</v>
      </c>
      <c r="I170" t="s">
        <v>665</v>
      </c>
      <c r="J170" t="s">
        <v>666</v>
      </c>
      <c r="K170" t="s">
        <v>24</v>
      </c>
      <c r="L170" t="s">
        <v>1010</v>
      </c>
      <c r="M170" t="s">
        <v>797</v>
      </c>
      <c r="N170" t="s">
        <v>313</v>
      </c>
      <c r="O170" t="s">
        <v>1168</v>
      </c>
      <c r="P170" t="s">
        <v>1169</v>
      </c>
      <c r="Q170" t="s">
        <v>975</v>
      </c>
      <c r="R170" t="s">
        <v>976</v>
      </c>
      <c r="S170" t="s">
        <v>550</v>
      </c>
      <c r="T170" t="s">
        <v>550</v>
      </c>
      <c r="U170" t="s">
        <v>550</v>
      </c>
      <c r="V170" t="s">
        <v>1218</v>
      </c>
      <c r="W170" t="s">
        <v>554</v>
      </c>
      <c r="X170" t="s">
        <v>669</v>
      </c>
      <c r="Y170" t="s">
        <v>799</v>
      </c>
      <c r="Z170" t="s">
        <v>1216</v>
      </c>
    </row>
    <row r="171" spans="1:26" x14ac:dyDescent="0.3">
      <c r="A171" t="s">
        <v>525</v>
      </c>
      <c r="B171" t="s">
        <v>1219</v>
      </c>
      <c r="C171" t="s">
        <v>1220</v>
      </c>
      <c r="D171" t="s">
        <v>1216</v>
      </c>
      <c r="E171" t="s">
        <v>664</v>
      </c>
      <c r="F171" t="s">
        <v>27</v>
      </c>
      <c r="G171" s="1">
        <v>44197</v>
      </c>
      <c r="H171" s="1">
        <v>44256</v>
      </c>
      <c r="I171" t="s">
        <v>665</v>
      </c>
      <c r="J171" t="s">
        <v>666</v>
      </c>
      <c r="K171" t="s">
        <v>24</v>
      </c>
      <c r="L171" t="s">
        <v>1010</v>
      </c>
      <c r="M171" t="s">
        <v>797</v>
      </c>
      <c r="N171" t="s">
        <v>313</v>
      </c>
      <c r="O171" t="s">
        <v>1168</v>
      </c>
      <c r="P171" t="s">
        <v>1169</v>
      </c>
      <c r="Q171" t="s">
        <v>975</v>
      </c>
      <c r="R171" t="s">
        <v>976</v>
      </c>
      <c r="S171" t="s">
        <v>550</v>
      </c>
      <c r="T171" t="s">
        <v>550</v>
      </c>
      <c r="U171" t="s">
        <v>550</v>
      </c>
      <c r="V171" t="s">
        <v>1221</v>
      </c>
      <c r="W171" t="s">
        <v>554</v>
      </c>
      <c r="X171" t="s">
        <v>669</v>
      </c>
      <c r="Y171" t="s">
        <v>799</v>
      </c>
      <c r="Z171" t="s">
        <v>1219</v>
      </c>
    </row>
    <row r="172" spans="1:26" x14ac:dyDescent="0.3">
      <c r="A172" t="s">
        <v>525</v>
      </c>
      <c r="B172" t="s">
        <v>1222</v>
      </c>
      <c r="C172" t="s">
        <v>1223</v>
      </c>
      <c r="D172" t="s">
        <v>550</v>
      </c>
      <c r="E172" t="s">
        <v>664</v>
      </c>
      <c r="F172" t="s">
        <v>27</v>
      </c>
      <c r="G172" s="1">
        <v>44197</v>
      </c>
      <c r="H172" s="1">
        <v>44197</v>
      </c>
      <c r="I172" t="s">
        <v>665</v>
      </c>
      <c r="J172" t="s">
        <v>666</v>
      </c>
      <c r="K172" t="s">
        <v>24</v>
      </c>
      <c r="L172" t="s">
        <v>667</v>
      </c>
      <c r="M172" t="s">
        <v>797</v>
      </c>
      <c r="N172" t="s">
        <v>313</v>
      </c>
      <c r="O172" t="s">
        <v>1168</v>
      </c>
      <c r="P172" t="s">
        <v>1169</v>
      </c>
      <c r="Q172" t="s">
        <v>975</v>
      </c>
      <c r="R172" t="s">
        <v>976</v>
      </c>
      <c r="S172" t="s">
        <v>550</v>
      </c>
      <c r="T172" t="s">
        <v>550</v>
      </c>
      <c r="U172" t="s">
        <v>550</v>
      </c>
      <c r="V172" t="s">
        <v>1224</v>
      </c>
      <c r="W172" t="s">
        <v>554</v>
      </c>
      <c r="X172" t="s">
        <v>669</v>
      </c>
      <c r="Y172" t="s">
        <v>799</v>
      </c>
      <c r="Z172" t="s">
        <v>1222</v>
      </c>
    </row>
    <row r="173" spans="1:26" x14ac:dyDescent="0.3">
      <c r="A173" t="s">
        <v>525</v>
      </c>
      <c r="B173" t="s">
        <v>1225</v>
      </c>
      <c r="C173" t="s">
        <v>1226</v>
      </c>
      <c r="D173" t="s">
        <v>1222</v>
      </c>
      <c r="E173" t="s">
        <v>664</v>
      </c>
      <c r="F173" t="s">
        <v>27</v>
      </c>
      <c r="G173" s="1">
        <v>44197</v>
      </c>
      <c r="H173" s="1">
        <v>44252</v>
      </c>
      <c r="I173" t="s">
        <v>665</v>
      </c>
      <c r="J173" t="s">
        <v>666</v>
      </c>
      <c r="K173" t="s">
        <v>24</v>
      </c>
      <c r="L173" t="s">
        <v>667</v>
      </c>
      <c r="M173" t="s">
        <v>797</v>
      </c>
      <c r="N173" t="s">
        <v>313</v>
      </c>
      <c r="O173" t="s">
        <v>1168</v>
      </c>
      <c r="P173" t="s">
        <v>1169</v>
      </c>
      <c r="Q173" t="s">
        <v>975</v>
      </c>
      <c r="R173" t="s">
        <v>976</v>
      </c>
      <c r="S173" t="s">
        <v>550</v>
      </c>
      <c r="T173" t="s">
        <v>550</v>
      </c>
      <c r="U173" t="s">
        <v>550</v>
      </c>
      <c r="V173" t="s">
        <v>1227</v>
      </c>
      <c r="W173" t="s">
        <v>554</v>
      </c>
      <c r="X173" t="s">
        <v>669</v>
      </c>
      <c r="Y173" t="s">
        <v>799</v>
      </c>
      <c r="Z173" t="s">
        <v>1225</v>
      </c>
    </row>
    <row r="174" spans="1:26" x14ac:dyDescent="0.3">
      <c r="A174" t="s">
        <v>525</v>
      </c>
      <c r="B174" t="s">
        <v>1228</v>
      </c>
      <c r="C174" t="s">
        <v>1229</v>
      </c>
      <c r="D174" t="s">
        <v>550</v>
      </c>
      <c r="E174" t="s">
        <v>664</v>
      </c>
      <c r="F174" t="s">
        <v>27</v>
      </c>
      <c r="G174" s="1">
        <v>44197</v>
      </c>
      <c r="H174" s="1">
        <v>44197</v>
      </c>
      <c r="I174" t="s">
        <v>665</v>
      </c>
      <c r="J174" t="s">
        <v>666</v>
      </c>
      <c r="K174" t="s">
        <v>24</v>
      </c>
      <c r="L174" t="s">
        <v>667</v>
      </c>
      <c r="M174" t="s">
        <v>1230</v>
      </c>
      <c r="N174" t="s">
        <v>1231</v>
      </c>
      <c r="O174" t="s">
        <v>1168</v>
      </c>
      <c r="P174" t="s">
        <v>1169</v>
      </c>
      <c r="Q174" t="s">
        <v>975</v>
      </c>
      <c r="R174" t="s">
        <v>976</v>
      </c>
      <c r="S174" t="s">
        <v>550</v>
      </c>
      <c r="T174" t="s">
        <v>550</v>
      </c>
      <c r="U174" t="s">
        <v>550</v>
      </c>
      <c r="V174" t="s">
        <v>1232</v>
      </c>
      <c r="W174" t="s">
        <v>554</v>
      </c>
      <c r="X174" t="s">
        <v>669</v>
      </c>
      <c r="Y174" t="s">
        <v>799</v>
      </c>
      <c r="Z174" t="s">
        <v>1228</v>
      </c>
    </row>
    <row r="175" spans="1:26" x14ac:dyDescent="0.3">
      <c r="A175" t="s">
        <v>525</v>
      </c>
      <c r="B175" t="s">
        <v>1233</v>
      </c>
      <c r="C175" t="s">
        <v>1234</v>
      </c>
      <c r="D175" t="s">
        <v>1228</v>
      </c>
      <c r="E175" t="s">
        <v>664</v>
      </c>
      <c r="F175" t="s">
        <v>27</v>
      </c>
      <c r="G175" s="1">
        <v>44197</v>
      </c>
      <c r="H175" s="1">
        <v>44628</v>
      </c>
      <c r="I175" t="s">
        <v>665</v>
      </c>
      <c r="J175" t="s">
        <v>666</v>
      </c>
      <c r="K175" t="s">
        <v>24</v>
      </c>
      <c r="L175" t="s">
        <v>667</v>
      </c>
      <c r="M175" t="s">
        <v>1230</v>
      </c>
      <c r="N175" t="s">
        <v>1231</v>
      </c>
      <c r="O175" t="s">
        <v>1168</v>
      </c>
      <c r="P175" t="s">
        <v>1169</v>
      </c>
      <c r="Q175" t="s">
        <v>975</v>
      </c>
      <c r="R175" t="s">
        <v>976</v>
      </c>
      <c r="S175" t="s">
        <v>550</v>
      </c>
      <c r="T175" t="s">
        <v>550</v>
      </c>
      <c r="U175" t="s">
        <v>550</v>
      </c>
      <c r="V175" t="s">
        <v>1235</v>
      </c>
      <c r="W175" t="s">
        <v>554</v>
      </c>
      <c r="X175" t="s">
        <v>669</v>
      </c>
      <c r="Y175" t="s">
        <v>799</v>
      </c>
      <c r="Z175" t="s">
        <v>1233</v>
      </c>
    </row>
    <row r="176" spans="1:26" x14ac:dyDescent="0.3">
      <c r="A176" t="s">
        <v>525</v>
      </c>
      <c r="B176" t="s">
        <v>1236</v>
      </c>
      <c r="C176" t="s">
        <v>1237</v>
      </c>
      <c r="D176" t="s">
        <v>550</v>
      </c>
      <c r="E176" t="s">
        <v>664</v>
      </c>
      <c r="F176" t="s">
        <v>27</v>
      </c>
      <c r="G176" s="1">
        <v>44197</v>
      </c>
      <c r="H176" s="1">
        <v>44197</v>
      </c>
      <c r="I176" t="s">
        <v>665</v>
      </c>
      <c r="J176" t="s">
        <v>666</v>
      </c>
      <c r="K176" t="s">
        <v>24</v>
      </c>
      <c r="L176" t="s">
        <v>667</v>
      </c>
      <c r="M176" t="s">
        <v>1230</v>
      </c>
      <c r="N176" t="s">
        <v>1231</v>
      </c>
      <c r="O176" t="s">
        <v>1168</v>
      </c>
      <c r="P176" t="s">
        <v>1169</v>
      </c>
      <c r="Q176" t="s">
        <v>975</v>
      </c>
      <c r="R176" t="s">
        <v>976</v>
      </c>
      <c r="S176" t="s">
        <v>550</v>
      </c>
      <c r="T176" t="s">
        <v>550</v>
      </c>
      <c r="U176" t="s">
        <v>550</v>
      </c>
      <c r="V176" t="s">
        <v>1238</v>
      </c>
      <c r="W176" t="s">
        <v>554</v>
      </c>
      <c r="X176" t="s">
        <v>669</v>
      </c>
      <c r="Y176" t="s">
        <v>799</v>
      </c>
      <c r="Z176" t="s">
        <v>1236</v>
      </c>
    </row>
    <row r="177" spans="1:26" x14ac:dyDescent="0.3">
      <c r="A177" t="s">
        <v>525</v>
      </c>
      <c r="B177" t="s">
        <v>1239</v>
      </c>
      <c r="C177" t="s">
        <v>1240</v>
      </c>
      <c r="D177" t="s">
        <v>1236</v>
      </c>
      <c r="E177" t="s">
        <v>664</v>
      </c>
      <c r="F177" t="s">
        <v>27</v>
      </c>
      <c r="G177" s="1">
        <v>44197</v>
      </c>
      <c r="H177" s="1">
        <v>44453</v>
      </c>
      <c r="I177" t="s">
        <v>665</v>
      </c>
      <c r="J177" t="s">
        <v>666</v>
      </c>
      <c r="K177" t="s">
        <v>24</v>
      </c>
      <c r="L177" t="s">
        <v>667</v>
      </c>
      <c r="M177" t="s">
        <v>1230</v>
      </c>
      <c r="N177" t="s">
        <v>1231</v>
      </c>
      <c r="O177" t="s">
        <v>1168</v>
      </c>
      <c r="P177" t="s">
        <v>1169</v>
      </c>
      <c r="Q177" t="s">
        <v>975</v>
      </c>
      <c r="R177" t="s">
        <v>976</v>
      </c>
      <c r="S177" t="s">
        <v>550</v>
      </c>
      <c r="T177" t="s">
        <v>550</v>
      </c>
      <c r="U177" t="s">
        <v>550</v>
      </c>
      <c r="V177" t="s">
        <v>1241</v>
      </c>
      <c r="W177" t="s">
        <v>554</v>
      </c>
      <c r="X177" t="s">
        <v>669</v>
      </c>
      <c r="Y177" t="s">
        <v>799</v>
      </c>
      <c r="Z177" t="s">
        <v>1239</v>
      </c>
    </row>
    <row r="178" spans="1:26" x14ac:dyDescent="0.3">
      <c r="A178" t="s">
        <v>525</v>
      </c>
      <c r="B178" t="s">
        <v>1242</v>
      </c>
      <c r="C178" t="s">
        <v>1243</v>
      </c>
      <c r="D178" t="s">
        <v>550</v>
      </c>
      <c r="E178" t="s">
        <v>664</v>
      </c>
      <c r="F178" t="s">
        <v>27</v>
      </c>
      <c r="G178" s="1">
        <v>44197</v>
      </c>
      <c r="H178" s="1">
        <v>44197</v>
      </c>
      <c r="I178" t="s">
        <v>665</v>
      </c>
      <c r="J178" t="s">
        <v>666</v>
      </c>
      <c r="K178" t="s">
        <v>24</v>
      </c>
      <c r="L178" t="s">
        <v>667</v>
      </c>
      <c r="M178" t="s">
        <v>1230</v>
      </c>
      <c r="N178" t="s">
        <v>1231</v>
      </c>
      <c r="O178" t="s">
        <v>1168</v>
      </c>
      <c r="P178" t="s">
        <v>1169</v>
      </c>
      <c r="Q178" t="s">
        <v>975</v>
      </c>
      <c r="R178" t="s">
        <v>976</v>
      </c>
      <c r="S178" t="s">
        <v>550</v>
      </c>
      <c r="T178" t="s">
        <v>550</v>
      </c>
      <c r="U178" t="s">
        <v>550</v>
      </c>
      <c r="V178" t="s">
        <v>1244</v>
      </c>
      <c r="W178" t="s">
        <v>554</v>
      </c>
      <c r="X178" t="s">
        <v>669</v>
      </c>
      <c r="Y178" t="s">
        <v>799</v>
      </c>
      <c r="Z178" t="s">
        <v>1242</v>
      </c>
    </row>
    <row r="179" spans="1:26" x14ac:dyDescent="0.3">
      <c r="A179" t="s">
        <v>525</v>
      </c>
      <c r="B179" t="s">
        <v>1245</v>
      </c>
      <c r="C179" t="s">
        <v>1246</v>
      </c>
      <c r="D179" t="s">
        <v>1242</v>
      </c>
      <c r="E179" t="s">
        <v>664</v>
      </c>
      <c r="F179" t="s">
        <v>27</v>
      </c>
      <c r="G179" s="1">
        <v>44197</v>
      </c>
      <c r="H179" s="1">
        <v>44603</v>
      </c>
      <c r="I179" t="s">
        <v>665</v>
      </c>
      <c r="J179" t="s">
        <v>666</v>
      </c>
      <c r="K179" t="s">
        <v>24</v>
      </c>
      <c r="L179" t="s">
        <v>667</v>
      </c>
      <c r="M179" t="s">
        <v>1230</v>
      </c>
      <c r="N179" t="s">
        <v>1231</v>
      </c>
      <c r="O179" t="s">
        <v>1168</v>
      </c>
      <c r="P179" t="s">
        <v>1169</v>
      </c>
      <c r="Q179" t="s">
        <v>975</v>
      </c>
      <c r="R179" t="s">
        <v>976</v>
      </c>
      <c r="S179" t="s">
        <v>550</v>
      </c>
      <c r="T179" t="s">
        <v>550</v>
      </c>
      <c r="U179" t="s">
        <v>550</v>
      </c>
      <c r="V179" t="s">
        <v>1247</v>
      </c>
      <c r="W179" t="s">
        <v>554</v>
      </c>
      <c r="X179" t="s">
        <v>669</v>
      </c>
      <c r="Y179" t="s">
        <v>799</v>
      </c>
      <c r="Z179" t="s">
        <v>1245</v>
      </c>
    </row>
    <row r="180" spans="1:26" x14ac:dyDescent="0.3">
      <c r="A180" t="s">
        <v>525</v>
      </c>
      <c r="B180" t="s">
        <v>1248</v>
      </c>
      <c r="C180" t="s">
        <v>1249</v>
      </c>
      <c r="D180" t="s">
        <v>550</v>
      </c>
      <c r="E180" t="s">
        <v>664</v>
      </c>
      <c r="F180" t="s">
        <v>27</v>
      </c>
      <c r="G180" s="1">
        <v>44197</v>
      </c>
      <c r="H180" s="1">
        <v>44197</v>
      </c>
      <c r="I180" t="s">
        <v>665</v>
      </c>
      <c r="J180" t="s">
        <v>666</v>
      </c>
      <c r="K180" t="s">
        <v>24</v>
      </c>
      <c r="L180" t="s">
        <v>667</v>
      </c>
      <c r="M180" t="s">
        <v>1230</v>
      </c>
      <c r="N180" t="s">
        <v>1231</v>
      </c>
      <c r="O180" t="s">
        <v>1168</v>
      </c>
      <c r="P180" t="s">
        <v>1169</v>
      </c>
      <c r="Q180" t="s">
        <v>975</v>
      </c>
      <c r="R180" t="s">
        <v>976</v>
      </c>
      <c r="S180" t="s">
        <v>550</v>
      </c>
      <c r="T180" t="s">
        <v>550</v>
      </c>
      <c r="U180" t="s">
        <v>550</v>
      </c>
      <c r="V180" t="s">
        <v>1250</v>
      </c>
      <c r="W180" t="s">
        <v>554</v>
      </c>
      <c r="X180" t="s">
        <v>669</v>
      </c>
      <c r="Y180" t="s">
        <v>799</v>
      </c>
      <c r="Z180" t="s">
        <v>1248</v>
      </c>
    </row>
    <row r="181" spans="1:26" x14ac:dyDescent="0.3">
      <c r="A181" t="s">
        <v>525</v>
      </c>
      <c r="B181" t="s">
        <v>1251</v>
      </c>
      <c r="C181" t="s">
        <v>1252</v>
      </c>
      <c r="D181" t="s">
        <v>1248</v>
      </c>
      <c r="E181" t="s">
        <v>664</v>
      </c>
      <c r="F181" t="s">
        <v>27</v>
      </c>
      <c r="G181" s="1">
        <v>44197</v>
      </c>
      <c r="H181" s="1">
        <v>44578</v>
      </c>
      <c r="I181" t="s">
        <v>665</v>
      </c>
      <c r="J181" t="s">
        <v>666</v>
      </c>
      <c r="K181" t="s">
        <v>24</v>
      </c>
      <c r="L181" t="s">
        <v>667</v>
      </c>
      <c r="M181" t="s">
        <v>1230</v>
      </c>
      <c r="N181" t="s">
        <v>1231</v>
      </c>
      <c r="O181" t="s">
        <v>1168</v>
      </c>
      <c r="P181" t="s">
        <v>1169</v>
      </c>
      <c r="Q181" t="s">
        <v>975</v>
      </c>
      <c r="R181" t="s">
        <v>976</v>
      </c>
      <c r="S181" t="s">
        <v>550</v>
      </c>
      <c r="T181" t="s">
        <v>550</v>
      </c>
      <c r="U181" t="s">
        <v>550</v>
      </c>
      <c r="V181" t="s">
        <v>1253</v>
      </c>
      <c r="W181" t="s">
        <v>554</v>
      </c>
      <c r="X181" t="s">
        <v>669</v>
      </c>
      <c r="Y181" t="s">
        <v>799</v>
      </c>
      <c r="Z181" t="s">
        <v>1251</v>
      </c>
    </row>
    <row r="182" spans="1:26" x14ac:dyDescent="0.3">
      <c r="A182" t="s">
        <v>525</v>
      </c>
      <c r="B182" t="s">
        <v>1254</v>
      </c>
      <c r="C182" t="s">
        <v>1255</v>
      </c>
      <c r="D182" t="s">
        <v>550</v>
      </c>
      <c r="E182" t="s">
        <v>664</v>
      </c>
      <c r="F182" t="s">
        <v>27</v>
      </c>
      <c r="G182" s="1">
        <v>44197</v>
      </c>
      <c r="H182" s="1">
        <v>44197</v>
      </c>
      <c r="I182" t="s">
        <v>665</v>
      </c>
      <c r="J182" t="s">
        <v>666</v>
      </c>
      <c r="K182" t="s">
        <v>24</v>
      </c>
      <c r="L182" t="s">
        <v>216</v>
      </c>
      <c r="M182" t="s">
        <v>797</v>
      </c>
      <c r="N182" t="s">
        <v>313</v>
      </c>
      <c r="O182" t="s">
        <v>1168</v>
      </c>
      <c r="P182" t="s">
        <v>1169</v>
      </c>
      <c r="Q182" t="s">
        <v>975</v>
      </c>
      <c r="R182" t="s">
        <v>976</v>
      </c>
      <c r="S182" t="s">
        <v>550</v>
      </c>
      <c r="T182" t="s">
        <v>550</v>
      </c>
      <c r="U182" t="s">
        <v>550</v>
      </c>
      <c r="V182" t="s">
        <v>1256</v>
      </c>
      <c r="W182" t="s">
        <v>554</v>
      </c>
      <c r="X182" t="s">
        <v>669</v>
      </c>
      <c r="Y182" t="s">
        <v>799</v>
      </c>
      <c r="Z182" t="s">
        <v>1254</v>
      </c>
    </row>
    <row r="183" spans="1:26" x14ac:dyDescent="0.3">
      <c r="A183" t="s">
        <v>525</v>
      </c>
      <c r="B183" t="s">
        <v>1257</v>
      </c>
      <c r="C183" t="s">
        <v>1258</v>
      </c>
      <c r="D183" t="s">
        <v>1254</v>
      </c>
      <c r="E183" t="s">
        <v>664</v>
      </c>
      <c r="F183" t="s">
        <v>27</v>
      </c>
      <c r="G183" s="1">
        <v>44197</v>
      </c>
      <c r="H183" s="1">
        <v>44228</v>
      </c>
      <c r="I183" t="s">
        <v>665</v>
      </c>
      <c r="J183" t="s">
        <v>666</v>
      </c>
      <c r="K183" t="s">
        <v>24</v>
      </c>
      <c r="L183" t="s">
        <v>216</v>
      </c>
      <c r="M183" t="s">
        <v>797</v>
      </c>
      <c r="N183" t="s">
        <v>313</v>
      </c>
      <c r="O183" t="s">
        <v>1168</v>
      </c>
      <c r="P183" t="s">
        <v>1169</v>
      </c>
      <c r="Q183" t="s">
        <v>975</v>
      </c>
      <c r="R183" t="s">
        <v>976</v>
      </c>
      <c r="S183" t="s">
        <v>550</v>
      </c>
      <c r="T183" t="s">
        <v>550</v>
      </c>
      <c r="U183" t="s">
        <v>550</v>
      </c>
      <c r="V183" t="s">
        <v>1259</v>
      </c>
      <c r="W183" t="s">
        <v>554</v>
      </c>
      <c r="X183" t="s">
        <v>669</v>
      </c>
      <c r="Y183" t="s">
        <v>799</v>
      </c>
      <c r="Z183" t="s">
        <v>1257</v>
      </c>
    </row>
    <row r="184" spans="1:26" x14ac:dyDescent="0.3">
      <c r="A184" t="s">
        <v>525</v>
      </c>
      <c r="B184" t="s">
        <v>1260</v>
      </c>
      <c r="C184" t="s">
        <v>1261</v>
      </c>
      <c r="D184" t="s">
        <v>550</v>
      </c>
      <c r="E184" t="s">
        <v>664</v>
      </c>
      <c r="F184" t="s">
        <v>27</v>
      </c>
      <c r="G184" s="1">
        <v>44197</v>
      </c>
      <c r="H184" s="1">
        <v>44197</v>
      </c>
      <c r="I184" t="s">
        <v>665</v>
      </c>
      <c r="J184" t="s">
        <v>666</v>
      </c>
      <c r="K184" t="s">
        <v>24</v>
      </c>
      <c r="L184" t="s">
        <v>667</v>
      </c>
      <c r="M184" t="s">
        <v>1230</v>
      </c>
      <c r="N184" t="s">
        <v>1231</v>
      </c>
      <c r="O184" t="s">
        <v>1168</v>
      </c>
      <c r="P184" t="s">
        <v>1169</v>
      </c>
      <c r="Q184" t="s">
        <v>975</v>
      </c>
      <c r="R184" t="s">
        <v>976</v>
      </c>
      <c r="S184" t="s">
        <v>550</v>
      </c>
      <c r="T184" t="s">
        <v>550</v>
      </c>
      <c r="U184" t="s">
        <v>550</v>
      </c>
      <c r="V184" t="s">
        <v>1262</v>
      </c>
      <c r="W184" t="s">
        <v>554</v>
      </c>
      <c r="X184" t="s">
        <v>669</v>
      </c>
      <c r="Y184" t="s">
        <v>799</v>
      </c>
      <c r="Z184" t="s">
        <v>1260</v>
      </c>
    </row>
    <row r="185" spans="1:26" x14ac:dyDescent="0.3">
      <c r="A185" t="s">
        <v>525</v>
      </c>
      <c r="B185" t="s">
        <v>1263</v>
      </c>
      <c r="C185" t="s">
        <v>1264</v>
      </c>
      <c r="D185" t="s">
        <v>1260</v>
      </c>
      <c r="E185" t="s">
        <v>664</v>
      </c>
      <c r="F185" t="s">
        <v>27</v>
      </c>
      <c r="G185" s="1">
        <v>44197</v>
      </c>
      <c r="H185" s="1">
        <v>44221</v>
      </c>
      <c r="I185" t="s">
        <v>665</v>
      </c>
      <c r="J185" t="s">
        <v>666</v>
      </c>
      <c r="K185" t="s">
        <v>24</v>
      </c>
      <c r="L185" t="s">
        <v>667</v>
      </c>
      <c r="M185" t="s">
        <v>1230</v>
      </c>
      <c r="N185" t="s">
        <v>1231</v>
      </c>
      <c r="O185" t="s">
        <v>1168</v>
      </c>
      <c r="P185" t="s">
        <v>1169</v>
      </c>
      <c r="Q185" t="s">
        <v>975</v>
      </c>
      <c r="R185" t="s">
        <v>976</v>
      </c>
      <c r="S185" t="s">
        <v>550</v>
      </c>
      <c r="T185" t="s">
        <v>550</v>
      </c>
      <c r="U185" t="s">
        <v>550</v>
      </c>
      <c r="V185" t="s">
        <v>1265</v>
      </c>
      <c r="W185" t="s">
        <v>554</v>
      </c>
      <c r="X185" t="s">
        <v>669</v>
      </c>
      <c r="Y185" t="s">
        <v>799</v>
      </c>
      <c r="Z185" t="s">
        <v>1263</v>
      </c>
    </row>
    <row r="186" spans="1:26" x14ac:dyDescent="0.3">
      <c r="A186" t="s">
        <v>525</v>
      </c>
      <c r="B186" t="s">
        <v>1266</v>
      </c>
      <c r="C186" t="s">
        <v>1267</v>
      </c>
      <c r="D186" t="s">
        <v>550</v>
      </c>
      <c r="E186" t="s">
        <v>664</v>
      </c>
      <c r="F186" t="s">
        <v>27</v>
      </c>
      <c r="G186" s="1">
        <v>44197</v>
      </c>
      <c r="H186" s="1">
        <v>44197</v>
      </c>
      <c r="I186" t="s">
        <v>665</v>
      </c>
      <c r="J186" t="s">
        <v>666</v>
      </c>
      <c r="K186" t="s">
        <v>24</v>
      </c>
      <c r="L186" t="s">
        <v>667</v>
      </c>
      <c r="M186" t="s">
        <v>889</v>
      </c>
      <c r="N186" t="s">
        <v>890</v>
      </c>
      <c r="O186" t="s">
        <v>1168</v>
      </c>
      <c r="P186" t="s">
        <v>1169</v>
      </c>
      <c r="Q186" t="s">
        <v>975</v>
      </c>
      <c r="R186" t="s">
        <v>976</v>
      </c>
      <c r="S186" t="s">
        <v>550</v>
      </c>
      <c r="T186" t="s">
        <v>550</v>
      </c>
      <c r="U186" t="s">
        <v>550</v>
      </c>
      <c r="V186" t="s">
        <v>1268</v>
      </c>
      <c r="W186" t="s">
        <v>565</v>
      </c>
      <c r="X186" t="s">
        <v>669</v>
      </c>
      <c r="Y186" t="s">
        <v>856</v>
      </c>
      <c r="Z186" t="s">
        <v>1266</v>
      </c>
    </row>
    <row r="187" spans="1:26" x14ac:dyDescent="0.3">
      <c r="A187" t="s">
        <v>525</v>
      </c>
      <c r="B187" t="s">
        <v>1269</v>
      </c>
      <c r="C187" t="s">
        <v>1270</v>
      </c>
      <c r="D187" t="s">
        <v>1266</v>
      </c>
      <c r="E187" t="s">
        <v>664</v>
      </c>
      <c r="F187" t="s">
        <v>27</v>
      </c>
      <c r="G187" s="1">
        <v>44197</v>
      </c>
      <c r="H187" s="1">
        <v>44197</v>
      </c>
      <c r="I187" t="s">
        <v>665</v>
      </c>
      <c r="J187" t="s">
        <v>666</v>
      </c>
      <c r="K187" t="s">
        <v>24</v>
      </c>
      <c r="L187" t="s">
        <v>667</v>
      </c>
      <c r="M187" t="s">
        <v>889</v>
      </c>
      <c r="N187" t="s">
        <v>890</v>
      </c>
      <c r="O187" t="s">
        <v>1168</v>
      </c>
      <c r="P187" t="s">
        <v>1169</v>
      </c>
      <c r="Q187" t="s">
        <v>975</v>
      </c>
      <c r="R187" t="s">
        <v>976</v>
      </c>
      <c r="S187" t="s">
        <v>550</v>
      </c>
      <c r="T187" t="s">
        <v>893</v>
      </c>
      <c r="U187" t="s">
        <v>550</v>
      </c>
      <c r="V187" t="s">
        <v>1271</v>
      </c>
      <c r="W187" t="s">
        <v>565</v>
      </c>
      <c r="X187" t="s">
        <v>669</v>
      </c>
      <c r="Y187" t="s">
        <v>856</v>
      </c>
      <c r="Z187" t="s">
        <v>1269</v>
      </c>
    </row>
    <row r="188" spans="1:26" x14ac:dyDescent="0.3">
      <c r="A188" t="s">
        <v>525</v>
      </c>
      <c r="B188" t="s">
        <v>1272</v>
      </c>
      <c r="C188" t="s">
        <v>1273</v>
      </c>
      <c r="D188" t="s">
        <v>1274</v>
      </c>
      <c r="E188" t="s">
        <v>1275</v>
      </c>
      <c r="F188" t="s">
        <v>1276</v>
      </c>
      <c r="G188" s="1">
        <v>43983</v>
      </c>
      <c r="H188" s="1">
        <v>43992</v>
      </c>
      <c r="I188" t="s">
        <v>665</v>
      </c>
      <c r="J188" t="s">
        <v>1277</v>
      </c>
      <c r="K188" t="s">
        <v>24</v>
      </c>
      <c r="L188" t="s">
        <v>1045</v>
      </c>
      <c r="M188" t="s">
        <v>1030</v>
      </c>
      <c r="N188" t="s">
        <v>255</v>
      </c>
      <c r="O188" t="s">
        <v>1278</v>
      </c>
      <c r="P188" t="s">
        <v>1279</v>
      </c>
      <c r="Q188" t="s">
        <v>975</v>
      </c>
      <c r="R188" t="s">
        <v>976</v>
      </c>
      <c r="S188" t="s">
        <v>550</v>
      </c>
      <c r="T188" t="s">
        <v>550</v>
      </c>
      <c r="U188" t="s">
        <v>550</v>
      </c>
      <c r="V188" t="s">
        <v>1280</v>
      </c>
      <c r="W188" t="s">
        <v>613</v>
      </c>
      <c r="X188" t="s">
        <v>74</v>
      </c>
      <c r="Y188" t="s">
        <v>1281</v>
      </c>
      <c r="Z188" t="s">
        <v>1272</v>
      </c>
    </row>
    <row r="189" spans="1:26" x14ac:dyDescent="0.3">
      <c r="A189" t="s">
        <v>525</v>
      </c>
      <c r="B189" t="s">
        <v>1282</v>
      </c>
      <c r="C189" t="s">
        <v>1283</v>
      </c>
      <c r="D189" t="s">
        <v>1274</v>
      </c>
      <c r="E189" t="s">
        <v>1275</v>
      </c>
      <c r="F189" t="s">
        <v>1276</v>
      </c>
      <c r="G189" s="1">
        <v>44197</v>
      </c>
      <c r="H189" s="1">
        <v>44234</v>
      </c>
      <c r="I189" t="s">
        <v>665</v>
      </c>
      <c r="J189" t="s">
        <v>1277</v>
      </c>
      <c r="K189" t="s">
        <v>24</v>
      </c>
      <c r="L189" t="s">
        <v>1045</v>
      </c>
      <c r="M189" t="s">
        <v>1030</v>
      </c>
      <c r="N189" t="s">
        <v>255</v>
      </c>
      <c r="O189" t="s">
        <v>1278</v>
      </c>
      <c r="P189" t="s">
        <v>1279</v>
      </c>
      <c r="Q189" t="s">
        <v>975</v>
      </c>
      <c r="R189" t="s">
        <v>976</v>
      </c>
      <c r="S189" t="s">
        <v>550</v>
      </c>
      <c r="T189" t="s">
        <v>550</v>
      </c>
      <c r="U189" t="s">
        <v>550</v>
      </c>
      <c r="V189" t="s">
        <v>1284</v>
      </c>
      <c r="W189" t="s">
        <v>613</v>
      </c>
      <c r="X189" t="s">
        <v>74</v>
      </c>
      <c r="Y189" t="s">
        <v>1281</v>
      </c>
      <c r="Z189" t="s">
        <v>1282</v>
      </c>
    </row>
    <row r="190" spans="1:26" x14ac:dyDescent="0.3">
      <c r="A190" t="s">
        <v>525</v>
      </c>
      <c r="B190" t="s">
        <v>1285</v>
      </c>
      <c r="C190" t="s">
        <v>1286</v>
      </c>
      <c r="D190" t="s">
        <v>1274</v>
      </c>
      <c r="E190" t="s">
        <v>1275</v>
      </c>
      <c r="F190" t="s">
        <v>1276</v>
      </c>
      <c r="G190" s="1">
        <v>44197</v>
      </c>
      <c r="H190" s="1">
        <v>44197</v>
      </c>
      <c r="I190" t="s">
        <v>665</v>
      </c>
      <c r="J190" t="s">
        <v>1277</v>
      </c>
      <c r="K190" t="s">
        <v>24</v>
      </c>
      <c r="L190" t="s">
        <v>1045</v>
      </c>
      <c r="M190" t="s">
        <v>1030</v>
      </c>
      <c r="N190" t="s">
        <v>255</v>
      </c>
      <c r="O190" t="s">
        <v>1278</v>
      </c>
      <c r="P190" t="s">
        <v>1279</v>
      </c>
      <c r="Q190" t="s">
        <v>975</v>
      </c>
      <c r="R190" t="s">
        <v>976</v>
      </c>
      <c r="S190" t="s">
        <v>550</v>
      </c>
      <c r="T190" t="s">
        <v>550</v>
      </c>
      <c r="U190" t="s">
        <v>550</v>
      </c>
      <c r="V190" t="s">
        <v>1287</v>
      </c>
      <c r="W190" t="s">
        <v>613</v>
      </c>
      <c r="X190" t="s">
        <v>74</v>
      </c>
      <c r="Y190" t="s">
        <v>1281</v>
      </c>
      <c r="Z190" t="s">
        <v>1285</v>
      </c>
    </row>
    <row r="191" spans="1:26" x14ac:dyDescent="0.3">
      <c r="A191" t="s">
        <v>525</v>
      </c>
      <c r="B191" t="s">
        <v>1288</v>
      </c>
      <c r="C191" t="s">
        <v>1289</v>
      </c>
      <c r="D191" t="s">
        <v>1290</v>
      </c>
      <c r="E191" t="s">
        <v>1291</v>
      </c>
      <c r="F191" t="s">
        <v>1292</v>
      </c>
      <c r="G191" s="1">
        <v>44197</v>
      </c>
      <c r="H191" s="1">
        <v>44234</v>
      </c>
      <c r="I191" t="s">
        <v>665</v>
      </c>
      <c r="J191" t="s">
        <v>1041</v>
      </c>
      <c r="K191" t="s">
        <v>24</v>
      </c>
      <c r="L191" t="s">
        <v>216</v>
      </c>
      <c r="M191" t="s">
        <v>1293</v>
      </c>
      <c r="N191" t="s">
        <v>256</v>
      </c>
      <c r="O191" t="s">
        <v>1278</v>
      </c>
      <c r="P191" t="s">
        <v>1279</v>
      </c>
      <c r="Q191" t="s">
        <v>975</v>
      </c>
      <c r="R191" t="s">
        <v>976</v>
      </c>
      <c r="S191" t="s">
        <v>550</v>
      </c>
      <c r="T191" t="s">
        <v>550</v>
      </c>
      <c r="U191" t="s">
        <v>550</v>
      </c>
      <c r="V191" t="s">
        <v>1294</v>
      </c>
      <c r="W191" t="s">
        <v>613</v>
      </c>
      <c r="X191" t="s">
        <v>74</v>
      </c>
      <c r="Y191" t="s">
        <v>1281</v>
      </c>
      <c r="Z191" t="s">
        <v>1288</v>
      </c>
    </row>
    <row r="192" spans="1:26" x14ac:dyDescent="0.3">
      <c r="A192" t="s">
        <v>525</v>
      </c>
      <c r="B192" t="s">
        <v>1295</v>
      </c>
      <c r="C192" t="s">
        <v>1296</v>
      </c>
      <c r="D192" t="s">
        <v>1297</v>
      </c>
      <c r="E192" t="s">
        <v>1298</v>
      </c>
      <c r="F192" t="s">
        <v>1299</v>
      </c>
      <c r="G192" s="1">
        <v>44197</v>
      </c>
      <c r="H192" s="1">
        <v>44197</v>
      </c>
      <c r="I192" t="s">
        <v>665</v>
      </c>
      <c r="J192" t="s">
        <v>1300</v>
      </c>
      <c r="K192" t="s">
        <v>958</v>
      </c>
      <c r="L192" t="s">
        <v>216</v>
      </c>
      <c r="M192" t="s">
        <v>1030</v>
      </c>
      <c r="N192" t="s">
        <v>255</v>
      </c>
      <c r="O192" t="s">
        <v>1301</v>
      </c>
      <c r="P192" t="s">
        <v>1302</v>
      </c>
      <c r="Q192" t="s">
        <v>975</v>
      </c>
      <c r="R192" t="s">
        <v>976</v>
      </c>
      <c r="S192" t="s">
        <v>550</v>
      </c>
      <c r="T192" t="s">
        <v>550</v>
      </c>
      <c r="U192" t="s">
        <v>550</v>
      </c>
      <c r="V192" t="s">
        <v>1303</v>
      </c>
      <c r="W192" t="s">
        <v>613</v>
      </c>
      <c r="X192" t="s">
        <v>74</v>
      </c>
      <c r="Y192" t="s">
        <v>803</v>
      </c>
      <c r="Z192" t="s">
        <v>1295</v>
      </c>
    </row>
    <row r="193" spans="1:26" x14ac:dyDescent="0.3">
      <c r="A193" t="s">
        <v>525</v>
      </c>
      <c r="B193" t="s">
        <v>1304</v>
      </c>
      <c r="C193" t="s">
        <v>1305</v>
      </c>
      <c r="D193" t="s">
        <v>550</v>
      </c>
      <c r="E193" t="s">
        <v>1306</v>
      </c>
      <c r="F193" t="s">
        <v>1307</v>
      </c>
      <c r="G193" s="1">
        <v>43831</v>
      </c>
      <c r="H193" s="1">
        <v>43987</v>
      </c>
      <c r="I193" t="s">
        <v>665</v>
      </c>
      <c r="J193" t="s">
        <v>1308</v>
      </c>
      <c r="K193" t="s">
        <v>24</v>
      </c>
      <c r="L193" t="s">
        <v>216</v>
      </c>
      <c r="M193" t="s">
        <v>1301</v>
      </c>
      <c r="N193" t="s">
        <v>1302</v>
      </c>
      <c r="O193" t="s">
        <v>1301</v>
      </c>
      <c r="P193" t="s">
        <v>1302</v>
      </c>
      <c r="Q193" t="s">
        <v>975</v>
      </c>
      <c r="R193" t="s">
        <v>976</v>
      </c>
      <c r="S193" t="s">
        <v>550</v>
      </c>
      <c r="T193" t="s">
        <v>550</v>
      </c>
      <c r="U193" t="s">
        <v>550</v>
      </c>
      <c r="V193" t="s">
        <v>1309</v>
      </c>
      <c r="W193" t="s">
        <v>1021</v>
      </c>
      <c r="X193" t="s">
        <v>74</v>
      </c>
      <c r="Y193" t="s">
        <v>1033</v>
      </c>
      <c r="Z193" t="s">
        <v>1304</v>
      </c>
    </row>
    <row r="194" spans="1:26" x14ac:dyDescent="0.3">
      <c r="A194" t="s">
        <v>525</v>
      </c>
      <c r="B194" t="s">
        <v>1310</v>
      </c>
      <c r="C194" t="s">
        <v>1311</v>
      </c>
      <c r="D194" t="s">
        <v>550</v>
      </c>
      <c r="E194" t="s">
        <v>1306</v>
      </c>
      <c r="F194" t="s">
        <v>1307</v>
      </c>
      <c r="G194" s="1">
        <v>43831</v>
      </c>
      <c r="H194" s="1">
        <v>43909</v>
      </c>
      <c r="I194" t="s">
        <v>665</v>
      </c>
      <c r="J194" t="s">
        <v>1308</v>
      </c>
      <c r="K194" t="s">
        <v>24</v>
      </c>
      <c r="L194" t="s">
        <v>216</v>
      </c>
      <c r="M194" t="s">
        <v>1301</v>
      </c>
      <c r="N194" t="s">
        <v>1302</v>
      </c>
      <c r="O194" t="s">
        <v>1301</v>
      </c>
      <c r="P194" t="s">
        <v>1302</v>
      </c>
      <c r="Q194" t="s">
        <v>975</v>
      </c>
      <c r="R194" t="s">
        <v>976</v>
      </c>
      <c r="S194" t="s">
        <v>550</v>
      </c>
      <c r="T194" t="s">
        <v>550</v>
      </c>
      <c r="U194" t="s">
        <v>550</v>
      </c>
      <c r="V194" t="s">
        <v>1312</v>
      </c>
      <c r="W194" t="s">
        <v>1021</v>
      </c>
      <c r="X194" t="s">
        <v>74</v>
      </c>
      <c r="Y194" t="s">
        <v>1033</v>
      </c>
      <c r="Z194" t="s">
        <v>1310</v>
      </c>
    </row>
    <row r="195" spans="1:26" x14ac:dyDescent="0.3">
      <c r="A195" t="s">
        <v>525</v>
      </c>
      <c r="B195" t="s">
        <v>1313</v>
      </c>
      <c r="C195" t="s">
        <v>1314</v>
      </c>
      <c r="D195" t="s">
        <v>550</v>
      </c>
      <c r="E195" t="s">
        <v>1306</v>
      </c>
      <c r="F195" t="s">
        <v>1307</v>
      </c>
      <c r="G195" s="1">
        <v>44197</v>
      </c>
      <c r="H195" s="1">
        <v>44197</v>
      </c>
      <c r="I195" t="s">
        <v>665</v>
      </c>
      <c r="J195" t="s">
        <v>1308</v>
      </c>
      <c r="K195" t="s">
        <v>24</v>
      </c>
      <c r="L195" t="s">
        <v>1045</v>
      </c>
      <c r="M195" t="s">
        <v>1293</v>
      </c>
      <c r="N195" t="s">
        <v>256</v>
      </c>
      <c r="O195" t="s">
        <v>1301</v>
      </c>
      <c r="P195" t="s">
        <v>1302</v>
      </c>
      <c r="Q195" t="s">
        <v>975</v>
      </c>
      <c r="R195" t="s">
        <v>976</v>
      </c>
      <c r="S195" t="s">
        <v>550</v>
      </c>
      <c r="T195" t="s">
        <v>550</v>
      </c>
      <c r="U195" t="s">
        <v>550</v>
      </c>
      <c r="V195" t="s">
        <v>1315</v>
      </c>
      <c r="W195" t="s">
        <v>1021</v>
      </c>
      <c r="X195" t="s">
        <v>74</v>
      </c>
      <c r="Y195" t="s">
        <v>1033</v>
      </c>
      <c r="Z195" t="s">
        <v>1313</v>
      </c>
    </row>
    <row r="196" spans="1:26" x14ac:dyDescent="0.3">
      <c r="A196" t="s">
        <v>525</v>
      </c>
      <c r="B196" t="s">
        <v>1316</v>
      </c>
      <c r="C196" t="s">
        <v>1317</v>
      </c>
      <c r="D196" t="s">
        <v>550</v>
      </c>
      <c r="E196" t="s">
        <v>1318</v>
      </c>
      <c r="F196" t="s">
        <v>1319</v>
      </c>
      <c r="G196" s="1">
        <v>44197</v>
      </c>
      <c r="H196" s="1">
        <v>44197</v>
      </c>
      <c r="I196" t="s">
        <v>665</v>
      </c>
      <c r="J196" t="s">
        <v>1320</v>
      </c>
      <c r="K196" t="s">
        <v>958</v>
      </c>
      <c r="L196" t="s">
        <v>216</v>
      </c>
      <c r="M196" t="s">
        <v>1293</v>
      </c>
      <c r="N196" t="s">
        <v>256</v>
      </c>
      <c r="O196" t="s">
        <v>1301</v>
      </c>
      <c r="P196" t="s">
        <v>1302</v>
      </c>
      <c r="Q196" t="s">
        <v>975</v>
      </c>
      <c r="R196" t="s">
        <v>976</v>
      </c>
      <c r="S196" t="s">
        <v>550</v>
      </c>
      <c r="T196" t="s">
        <v>550</v>
      </c>
      <c r="U196" t="s">
        <v>550</v>
      </c>
      <c r="V196" t="s">
        <v>1321</v>
      </c>
      <c r="W196" t="s">
        <v>613</v>
      </c>
      <c r="X196" t="s">
        <v>74</v>
      </c>
      <c r="Y196" t="s">
        <v>786</v>
      </c>
      <c r="Z196" t="s">
        <v>1316</v>
      </c>
    </row>
    <row r="197" spans="1:26" x14ac:dyDescent="0.3">
      <c r="A197" t="s">
        <v>525</v>
      </c>
      <c r="B197" t="s">
        <v>1322</v>
      </c>
      <c r="C197" t="s">
        <v>1323</v>
      </c>
      <c r="D197" t="s">
        <v>1313</v>
      </c>
      <c r="E197" t="s">
        <v>1306</v>
      </c>
      <c r="F197" t="s">
        <v>1307</v>
      </c>
      <c r="G197" s="1">
        <v>44197</v>
      </c>
      <c r="H197" s="1">
        <v>44284</v>
      </c>
      <c r="I197" t="s">
        <v>665</v>
      </c>
      <c r="J197" t="s">
        <v>1308</v>
      </c>
      <c r="K197" t="s">
        <v>24</v>
      </c>
      <c r="L197" t="s">
        <v>1045</v>
      </c>
      <c r="M197" t="s">
        <v>1324</v>
      </c>
      <c r="N197" t="s">
        <v>1325</v>
      </c>
      <c r="O197" t="s">
        <v>1301</v>
      </c>
      <c r="P197" t="s">
        <v>1302</v>
      </c>
      <c r="Q197" t="s">
        <v>975</v>
      </c>
      <c r="R197" t="s">
        <v>976</v>
      </c>
      <c r="S197" t="s">
        <v>550</v>
      </c>
      <c r="T197" t="s">
        <v>550</v>
      </c>
      <c r="U197" t="s">
        <v>550</v>
      </c>
      <c r="V197" t="s">
        <v>1326</v>
      </c>
      <c r="W197" t="s">
        <v>1021</v>
      </c>
      <c r="X197" t="s">
        <v>74</v>
      </c>
      <c r="Y197" t="s">
        <v>1033</v>
      </c>
      <c r="Z197" t="s">
        <v>1322</v>
      </c>
    </row>
    <row r="198" spans="1:26" x14ac:dyDescent="0.3">
      <c r="A198" t="s">
        <v>525</v>
      </c>
      <c r="B198" t="s">
        <v>1327</v>
      </c>
      <c r="C198" t="s">
        <v>1328</v>
      </c>
      <c r="D198" t="s">
        <v>550</v>
      </c>
      <c r="E198" t="s">
        <v>1318</v>
      </c>
      <c r="F198" t="s">
        <v>1319</v>
      </c>
      <c r="G198" s="1">
        <v>43831</v>
      </c>
      <c r="H198" s="1">
        <v>43860</v>
      </c>
      <c r="I198" t="s">
        <v>665</v>
      </c>
      <c r="J198" t="s">
        <v>1320</v>
      </c>
      <c r="K198" t="s">
        <v>958</v>
      </c>
      <c r="L198" t="s">
        <v>216</v>
      </c>
      <c r="M198" t="s">
        <v>1030</v>
      </c>
      <c r="N198" t="s">
        <v>255</v>
      </c>
      <c r="O198" t="s">
        <v>1301</v>
      </c>
      <c r="P198" t="s">
        <v>1302</v>
      </c>
      <c r="Q198" t="s">
        <v>975</v>
      </c>
      <c r="R198" t="s">
        <v>976</v>
      </c>
      <c r="S198" t="s">
        <v>550</v>
      </c>
      <c r="T198" t="s">
        <v>550</v>
      </c>
      <c r="U198" t="s">
        <v>550</v>
      </c>
      <c r="V198" t="s">
        <v>1329</v>
      </c>
      <c r="W198" t="s">
        <v>613</v>
      </c>
      <c r="X198" t="s">
        <v>74</v>
      </c>
      <c r="Y198" t="s">
        <v>786</v>
      </c>
      <c r="Z198" t="s">
        <v>1327</v>
      </c>
    </row>
    <row r="199" spans="1:26" x14ac:dyDescent="0.3">
      <c r="A199" t="s">
        <v>525</v>
      </c>
      <c r="B199" t="s">
        <v>1330</v>
      </c>
      <c r="C199" t="s">
        <v>1331</v>
      </c>
      <c r="D199" t="s">
        <v>550</v>
      </c>
      <c r="E199" t="s">
        <v>1332</v>
      </c>
      <c r="F199" t="s">
        <v>1333</v>
      </c>
      <c r="G199" s="1">
        <v>43831</v>
      </c>
      <c r="H199" s="1">
        <v>43839</v>
      </c>
      <c r="I199" t="s">
        <v>665</v>
      </c>
      <c r="J199" t="s">
        <v>1334</v>
      </c>
      <c r="K199" t="s">
        <v>24</v>
      </c>
      <c r="L199" t="s">
        <v>216</v>
      </c>
      <c r="M199" t="s">
        <v>1030</v>
      </c>
      <c r="N199" t="s">
        <v>255</v>
      </c>
      <c r="O199" t="s">
        <v>1301</v>
      </c>
      <c r="P199" t="s">
        <v>1302</v>
      </c>
      <c r="Q199" t="s">
        <v>975</v>
      </c>
      <c r="R199" t="s">
        <v>976</v>
      </c>
      <c r="S199" t="s">
        <v>550</v>
      </c>
      <c r="T199" t="s">
        <v>550</v>
      </c>
      <c r="U199" t="s">
        <v>550</v>
      </c>
      <c r="V199" t="s">
        <v>1335</v>
      </c>
      <c r="W199" t="s">
        <v>613</v>
      </c>
      <c r="X199" t="s">
        <v>74</v>
      </c>
      <c r="Y199" t="s">
        <v>803</v>
      </c>
      <c r="Z199" t="s">
        <v>1330</v>
      </c>
    </row>
    <row r="200" spans="1:26" x14ac:dyDescent="0.3">
      <c r="A200" t="s">
        <v>525</v>
      </c>
      <c r="B200" t="s">
        <v>1336</v>
      </c>
      <c r="C200" t="s">
        <v>1337</v>
      </c>
      <c r="D200" t="s">
        <v>550</v>
      </c>
      <c r="E200" t="s">
        <v>1338</v>
      </c>
      <c r="F200" t="s">
        <v>1339</v>
      </c>
      <c r="G200" s="1">
        <v>43831</v>
      </c>
      <c r="H200" s="1">
        <v>45657</v>
      </c>
      <c r="I200" t="s">
        <v>780</v>
      </c>
      <c r="J200" t="s">
        <v>1340</v>
      </c>
      <c r="K200" t="s">
        <v>958</v>
      </c>
      <c r="L200" t="s">
        <v>216</v>
      </c>
      <c r="M200" t="s">
        <v>1293</v>
      </c>
      <c r="N200" t="s">
        <v>256</v>
      </c>
      <c r="O200" t="s">
        <v>1301</v>
      </c>
      <c r="P200" t="s">
        <v>1302</v>
      </c>
      <c r="Q200" t="s">
        <v>975</v>
      </c>
      <c r="R200" t="s">
        <v>976</v>
      </c>
      <c r="S200" t="s">
        <v>550</v>
      </c>
      <c r="T200" t="s">
        <v>550</v>
      </c>
      <c r="U200" t="s">
        <v>550</v>
      </c>
      <c r="V200" t="s">
        <v>1341</v>
      </c>
      <c r="W200" t="s">
        <v>613</v>
      </c>
      <c r="X200" t="s">
        <v>74</v>
      </c>
      <c r="Y200" t="s">
        <v>1281</v>
      </c>
      <c r="Z200" t="s">
        <v>1336</v>
      </c>
    </row>
    <row r="201" spans="1:26" x14ac:dyDescent="0.3">
      <c r="A201" t="s">
        <v>525</v>
      </c>
      <c r="B201" t="s">
        <v>1342</v>
      </c>
      <c r="C201" t="s">
        <v>1343</v>
      </c>
      <c r="D201" t="s">
        <v>1336</v>
      </c>
      <c r="E201" t="s">
        <v>1338</v>
      </c>
      <c r="F201" t="s">
        <v>1339</v>
      </c>
      <c r="G201" s="1">
        <v>43831</v>
      </c>
      <c r="H201" s="1">
        <v>43844</v>
      </c>
      <c r="I201" t="s">
        <v>665</v>
      </c>
      <c r="J201" t="s">
        <v>1340</v>
      </c>
      <c r="K201" t="s">
        <v>958</v>
      </c>
      <c r="L201" t="s">
        <v>216</v>
      </c>
      <c r="M201" t="s">
        <v>1293</v>
      </c>
      <c r="N201" t="s">
        <v>256</v>
      </c>
      <c r="O201" t="s">
        <v>1301</v>
      </c>
      <c r="P201" t="s">
        <v>1302</v>
      </c>
      <c r="Q201" t="s">
        <v>975</v>
      </c>
      <c r="R201" t="s">
        <v>976</v>
      </c>
      <c r="S201" t="s">
        <v>550</v>
      </c>
      <c r="T201" t="s">
        <v>550</v>
      </c>
      <c r="U201" t="s">
        <v>162</v>
      </c>
      <c r="V201" t="s">
        <v>1344</v>
      </c>
      <c r="W201" t="s">
        <v>613</v>
      </c>
      <c r="X201" t="s">
        <v>74</v>
      </c>
      <c r="Y201" t="s">
        <v>1281</v>
      </c>
      <c r="Z201" t="s">
        <v>1342</v>
      </c>
    </row>
    <row r="202" spans="1:26" x14ac:dyDescent="0.3">
      <c r="A202" t="s">
        <v>525</v>
      </c>
      <c r="B202" t="s">
        <v>1345</v>
      </c>
      <c r="C202" t="s">
        <v>1346</v>
      </c>
      <c r="D202" t="s">
        <v>1347</v>
      </c>
      <c r="E202" t="s">
        <v>1117</v>
      </c>
      <c r="F202" t="s">
        <v>1118</v>
      </c>
      <c r="G202" s="1">
        <v>43831</v>
      </c>
      <c r="H202" s="1">
        <v>43999</v>
      </c>
      <c r="I202" t="s">
        <v>665</v>
      </c>
      <c r="J202" t="s">
        <v>1119</v>
      </c>
      <c r="K202" t="s">
        <v>24</v>
      </c>
      <c r="L202" t="s">
        <v>216</v>
      </c>
      <c r="M202" t="s">
        <v>1120</v>
      </c>
      <c r="N202" t="s">
        <v>1121</v>
      </c>
      <c r="O202" t="s">
        <v>1348</v>
      </c>
      <c r="P202" t="s">
        <v>1349</v>
      </c>
      <c r="Q202" t="s">
        <v>975</v>
      </c>
      <c r="R202" t="s">
        <v>976</v>
      </c>
      <c r="S202" t="s">
        <v>550</v>
      </c>
      <c r="T202" t="s">
        <v>550</v>
      </c>
      <c r="U202" t="s">
        <v>550</v>
      </c>
      <c r="V202" t="s">
        <v>1350</v>
      </c>
      <c r="W202" t="s">
        <v>613</v>
      </c>
      <c r="X202" t="s">
        <v>74</v>
      </c>
      <c r="Y202" t="s">
        <v>786</v>
      </c>
      <c r="Z202" t="s">
        <v>1345</v>
      </c>
    </row>
    <row r="203" spans="1:26" x14ac:dyDescent="0.3">
      <c r="A203" t="s">
        <v>525</v>
      </c>
      <c r="B203" t="s">
        <v>1351</v>
      </c>
      <c r="C203" t="s">
        <v>1352</v>
      </c>
      <c r="D203" t="s">
        <v>550</v>
      </c>
      <c r="E203" t="s">
        <v>1117</v>
      </c>
      <c r="F203" t="s">
        <v>1118</v>
      </c>
      <c r="G203" s="1">
        <v>43467</v>
      </c>
      <c r="H203" s="1">
        <v>43830</v>
      </c>
      <c r="I203" t="s">
        <v>665</v>
      </c>
      <c r="J203" t="s">
        <v>1119</v>
      </c>
      <c r="K203" t="s">
        <v>900</v>
      </c>
      <c r="L203" t="s">
        <v>1045</v>
      </c>
      <c r="M203" t="s">
        <v>1120</v>
      </c>
      <c r="N203" t="s">
        <v>1121</v>
      </c>
      <c r="O203" t="s">
        <v>1348</v>
      </c>
      <c r="P203" t="s">
        <v>1349</v>
      </c>
      <c r="Q203" t="s">
        <v>975</v>
      </c>
      <c r="R203" t="s">
        <v>976</v>
      </c>
      <c r="S203" t="s">
        <v>550</v>
      </c>
      <c r="T203" t="s">
        <v>550</v>
      </c>
      <c r="U203" t="s">
        <v>550</v>
      </c>
      <c r="V203" t="s">
        <v>1353</v>
      </c>
      <c r="W203" t="s">
        <v>613</v>
      </c>
      <c r="X203" t="s">
        <v>74</v>
      </c>
      <c r="Y203" t="s">
        <v>786</v>
      </c>
      <c r="Z203" t="s">
        <v>1351</v>
      </c>
    </row>
    <row r="204" spans="1:26" x14ac:dyDescent="0.3">
      <c r="A204" t="s">
        <v>525</v>
      </c>
      <c r="B204" t="s">
        <v>1354</v>
      </c>
      <c r="C204" t="s">
        <v>1355</v>
      </c>
      <c r="D204" t="s">
        <v>550</v>
      </c>
      <c r="E204" t="s">
        <v>1117</v>
      </c>
      <c r="F204" t="s">
        <v>1118</v>
      </c>
      <c r="G204" s="1">
        <v>43467</v>
      </c>
      <c r="H204" s="1">
        <v>43830</v>
      </c>
      <c r="I204" t="s">
        <v>665</v>
      </c>
      <c r="J204" t="s">
        <v>1119</v>
      </c>
      <c r="K204" t="s">
        <v>900</v>
      </c>
      <c r="L204" t="s">
        <v>216</v>
      </c>
      <c r="M204" t="s">
        <v>1120</v>
      </c>
      <c r="N204" t="s">
        <v>1121</v>
      </c>
      <c r="O204" t="s">
        <v>1348</v>
      </c>
      <c r="P204" t="s">
        <v>1349</v>
      </c>
      <c r="Q204" t="s">
        <v>975</v>
      </c>
      <c r="R204" t="s">
        <v>976</v>
      </c>
      <c r="S204" t="s">
        <v>550</v>
      </c>
      <c r="T204" t="s">
        <v>550</v>
      </c>
      <c r="U204" t="s">
        <v>550</v>
      </c>
      <c r="V204" t="s">
        <v>1356</v>
      </c>
      <c r="W204" t="s">
        <v>613</v>
      </c>
      <c r="X204" t="s">
        <v>74</v>
      </c>
      <c r="Y204" t="s">
        <v>786</v>
      </c>
      <c r="Z204" t="s">
        <v>1354</v>
      </c>
    </row>
    <row r="205" spans="1:26" x14ac:dyDescent="0.3">
      <c r="A205" t="s">
        <v>525</v>
      </c>
      <c r="B205" t="s">
        <v>1357</v>
      </c>
      <c r="C205" t="s">
        <v>1358</v>
      </c>
      <c r="D205" t="s">
        <v>1359</v>
      </c>
      <c r="E205" t="s">
        <v>1117</v>
      </c>
      <c r="F205" t="s">
        <v>1118</v>
      </c>
      <c r="G205" s="1">
        <v>43832</v>
      </c>
      <c r="H205" s="1">
        <v>43837</v>
      </c>
      <c r="I205" t="s">
        <v>665</v>
      </c>
      <c r="J205" t="s">
        <v>1119</v>
      </c>
      <c r="K205" t="s">
        <v>24</v>
      </c>
      <c r="L205" t="s">
        <v>1045</v>
      </c>
      <c r="M205" t="s">
        <v>1120</v>
      </c>
      <c r="N205" t="s">
        <v>1121</v>
      </c>
      <c r="O205" t="s">
        <v>1348</v>
      </c>
      <c r="P205" t="s">
        <v>1349</v>
      </c>
      <c r="Q205" t="s">
        <v>975</v>
      </c>
      <c r="R205" t="s">
        <v>976</v>
      </c>
      <c r="S205" t="s">
        <v>550</v>
      </c>
      <c r="T205" t="s">
        <v>550</v>
      </c>
      <c r="U205" t="s">
        <v>550</v>
      </c>
      <c r="V205" t="s">
        <v>1360</v>
      </c>
      <c r="W205" t="s">
        <v>613</v>
      </c>
      <c r="X205" t="s">
        <v>74</v>
      </c>
      <c r="Y205" t="s">
        <v>786</v>
      </c>
      <c r="Z205" t="s">
        <v>1357</v>
      </c>
    </row>
    <row r="206" spans="1:26" x14ac:dyDescent="0.3">
      <c r="A206" t="s">
        <v>525</v>
      </c>
      <c r="B206" t="s">
        <v>1361</v>
      </c>
      <c r="C206" t="s">
        <v>1362</v>
      </c>
      <c r="D206" t="s">
        <v>550</v>
      </c>
      <c r="E206" t="s">
        <v>1117</v>
      </c>
      <c r="F206" t="s">
        <v>1118</v>
      </c>
      <c r="G206" s="1">
        <v>43467</v>
      </c>
      <c r="H206" s="1">
        <v>43830</v>
      </c>
      <c r="I206" t="s">
        <v>665</v>
      </c>
      <c r="J206" t="s">
        <v>1119</v>
      </c>
      <c r="K206" t="s">
        <v>900</v>
      </c>
      <c r="L206" t="s">
        <v>216</v>
      </c>
      <c r="M206" t="s">
        <v>1120</v>
      </c>
      <c r="N206" t="s">
        <v>1121</v>
      </c>
      <c r="O206" t="s">
        <v>1348</v>
      </c>
      <c r="P206" t="s">
        <v>1349</v>
      </c>
      <c r="Q206" t="s">
        <v>975</v>
      </c>
      <c r="R206" t="s">
        <v>976</v>
      </c>
      <c r="S206" t="s">
        <v>550</v>
      </c>
      <c r="T206" t="s">
        <v>550</v>
      </c>
      <c r="U206" t="s">
        <v>550</v>
      </c>
      <c r="V206" t="s">
        <v>1363</v>
      </c>
      <c r="W206" t="s">
        <v>613</v>
      </c>
      <c r="X206" t="s">
        <v>74</v>
      </c>
      <c r="Y206" t="s">
        <v>786</v>
      </c>
      <c r="Z206" t="s">
        <v>1361</v>
      </c>
    </row>
    <row r="207" spans="1:26" x14ac:dyDescent="0.3">
      <c r="A207" t="s">
        <v>525</v>
      </c>
      <c r="B207" t="s">
        <v>1364</v>
      </c>
      <c r="C207" t="s">
        <v>1365</v>
      </c>
      <c r="D207" t="s">
        <v>1354</v>
      </c>
      <c r="E207" t="s">
        <v>1117</v>
      </c>
      <c r="F207" t="s">
        <v>1118</v>
      </c>
      <c r="G207" s="1">
        <v>43831</v>
      </c>
      <c r="H207" s="1">
        <v>43882</v>
      </c>
      <c r="I207" t="s">
        <v>665</v>
      </c>
      <c r="J207" t="s">
        <v>1119</v>
      </c>
      <c r="K207" t="s">
        <v>900</v>
      </c>
      <c r="L207" t="s">
        <v>1045</v>
      </c>
      <c r="M207" t="s">
        <v>1120</v>
      </c>
      <c r="N207" t="s">
        <v>1121</v>
      </c>
      <c r="O207" t="s">
        <v>1348</v>
      </c>
      <c r="P207" t="s">
        <v>1349</v>
      </c>
      <c r="Q207" t="s">
        <v>975</v>
      </c>
      <c r="R207" t="s">
        <v>976</v>
      </c>
      <c r="S207" t="s">
        <v>550</v>
      </c>
      <c r="T207" t="s">
        <v>550</v>
      </c>
      <c r="U207" t="s">
        <v>550</v>
      </c>
      <c r="V207" t="s">
        <v>1366</v>
      </c>
      <c r="W207" t="s">
        <v>613</v>
      </c>
      <c r="X207" t="s">
        <v>74</v>
      </c>
      <c r="Y207" t="s">
        <v>786</v>
      </c>
      <c r="Z207" t="s">
        <v>1364</v>
      </c>
    </row>
    <row r="208" spans="1:26" x14ac:dyDescent="0.3">
      <c r="A208" t="s">
        <v>525</v>
      </c>
      <c r="B208" t="s">
        <v>1367</v>
      </c>
      <c r="C208" t="s">
        <v>1368</v>
      </c>
      <c r="D208" t="s">
        <v>550</v>
      </c>
      <c r="E208" t="s">
        <v>859</v>
      </c>
      <c r="F208" t="s">
        <v>860</v>
      </c>
      <c r="G208" s="1">
        <v>43831</v>
      </c>
      <c r="H208" s="1">
        <v>43853</v>
      </c>
      <c r="I208" t="s">
        <v>665</v>
      </c>
      <c r="J208" t="s">
        <v>861</v>
      </c>
      <c r="K208" t="s">
        <v>862</v>
      </c>
      <c r="L208" t="s">
        <v>863</v>
      </c>
      <c r="M208" t="s">
        <v>864</v>
      </c>
      <c r="N208" t="s">
        <v>865</v>
      </c>
      <c r="O208" t="s">
        <v>1369</v>
      </c>
      <c r="P208" t="s">
        <v>1370</v>
      </c>
      <c r="Q208" t="s">
        <v>975</v>
      </c>
      <c r="R208" t="s">
        <v>976</v>
      </c>
      <c r="S208" t="s">
        <v>550</v>
      </c>
      <c r="T208" t="s">
        <v>550</v>
      </c>
      <c r="U208" t="s">
        <v>550</v>
      </c>
      <c r="V208" t="s">
        <v>1371</v>
      </c>
      <c r="W208" t="s">
        <v>869</v>
      </c>
      <c r="X208" t="s">
        <v>870</v>
      </c>
      <c r="Y208" t="s">
        <v>847</v>
      </c>
      <c r="Z208" t="s">
        <v>1367</v>
      </c>
    </row>
    <row r="209" spans="1:26" x14ac:dyDescent="0.3">
      <c r="A209" t="s">
        <v>525</v>
      </c>
      <c r="B209" t="s">
        <v>1372</v>
      </c>
      <c r="C209" t="s">
        <v>1373</v>
      </c>
      <c r="D209" t="s">
        <v>550</v>
      </c>
      <c r="E209" t="s">
        <v>1374</v>
      </c>
      <c r="F209" t="s">
        <v>1375</v>
      </c>
      <c r="G209" s="1">
        <v>43831</v>
      </c>
      <c r="H209" s="1">
        <v>43851</v>
      </c>
      <c r="I209" t="s">
        <v>665</v>
      </c>
      <c r="J209" t="s">
        <v>1376</v>
      </c>
      <c r="K209" t="s">
        <v>862</v>
      </c>
      <c r="L209" t="s">
        <v>863</v>
      </c>
      <c r="M209" t="s">
        <v>1377</v>
      </c>
      <c r="N209" t="s">
        <v>1378</v>
      </c>
      <c r="O209" t="s">
        <v>1369</v>
      </c>
      <c r="P209" t="s">
        <v>1370</v>
      </c>
      <c r="Q209" t="s">
        <v>975</v>
      </c>
      <c r="R209" t="s">
        <v>976</v>
      </c>
      <c r="S209" t="s">
        <v>550</v>
      </c>
      <c r="T209" t="s">
        <v>550</v>
      </c>
      <c r="U209" t="s">
        <v>550</v>
      </c>
      <c r="V209" t="s">
        <v>1379</v>
      </c>
      <c r="W209" t="s">
        <v>869</v>
      </c>
      <c r="X209" t="s">
        <v>870</v>
      </c>
      <c r="Y209" t="s">
        <v>847</v>
      </c>
      <c r="Z209" t="s">
        <v>1372</v>
      </c>
    </row>
    <row r="210" spans="1:26" x14ac:dyDescent="0.3">
      <c r="A210" t="s">
        <v>525</v>
      </c>
      <c r="B210" t="s">
        <v>1380</v>
      </c>
      <c r="C210" t="s">
        <v>1381</v>
      </c>
      <c r="D210" t="s">
        <v>550</v>
      </c>
      <c r="E210" t="s">
        <v>664</v>
      </c>
      <c r="F210" t="s">
        <v>27</v>
      </c>
      <c r="G210" s="1">
        <v>43983</v>
      </c>
      <c r="H210" s="1">
        <v>43999</v>
      </c>
      <c r="I210" t="s">
        <v>665</v>
      </c>
      <c r="J210" t="s">
        <v>666</v>
      </c>
      <c r="K210" t="s">
        <v>24</v>
      </c>
      <c r="L210" t="s">
        <v>667</v>
      </c>
      <c r="M210" t="s">
        <v>797</v>
      </c>
      <c r="N210" t="s">
        <v>313</v>
      </c>
      <c r="O210" t="s">
        <v>891</v>
      </c>
      <c r="P210" t="s">
        <v>892</v>
      </c>
      <c r="Q210" t="s">
        <v>975</v>
      </c>
      <c r="R210" t="s">
        <v>976</v>
      </c>
      <c r="S210" t="s">
        <v>550</v>
      </c>
      <c r="T210" t="s">
        <v>893</v>
      </c>
      <c r="U210" t="s">
        <v>550</v>
      </c>
      <c r="V210" t="s">
        <v>1382</v>
      </c>
      <c r="W210" t="s">
        <v>554</v>
      </c>
      <c r="X210" t="s">
        <v>669</v>
      </c>
      <c r="Y210" t="s">
        <v>799</v>
      </c>
      <c r="Z210" t="s">
        <v>1380</v>
      </c>
    </row>
    <row r="211" spans="1:26" x14ac:dyDescent="0.3">
      <c r="A211" t="s">
        <v>525</v>
      </c>
      <c r="B211" t="s">
        <v>1383</v>
      </c>
      <c r="C211" t="s">
        <v>1384</v>
      </c>
      <c r="D211" t="s">
        <v>550</v>
      </c>
      <c r="E211" t="s">
        <v>664</v>
      </c>
      <c r="F211" t="s">
        <v>27</v>
      </c>
      <c r="G211" s="1">
        <v>43983</v>
      </c>
      <c r="H211" s="1">
        <v>44173</v>
      </c>
      <c r="I211" t="s">
        <v>665</v>
      </c>
      <c r="J211" t="s">
        <v>666</v>
      </c>
      <c r="K211" t="s">
        <v>24</v>
      </c>
      <c r="L211" t="s">
        <v>667</v>
      </c>
      <c r="M211" t="s">
        <v>797</v>
      </c>
      <c r="N211" t="s">
        <v>313</v>
      </c>
      <c r="O211" t="s">
        <v>891</v>
      </c>
      <c r="P211" t="s">
        <v>892</v>
      </c>
      <c r="Q211" t="s">
        <v>975</v>
      </c>
      <c r="R211" t="s">
        <v>976</v>
      </c>
      <c r="S211" t="s">
        <v>550</v>
      </c>
      <c r="T211" t="s">
        <v>893</v>
      </c>
      <c r="U211" t="s">
        <v>550</v>
      </c>
      <c r="V211" t="s">
        <v>1385</v>
      </c>
      <c r="W211" t="s">
        <v>565</v>
      </c>
      <c r="X211" t="s">
        <v>669</v>
      </c>
      <c r="Y211" t="s">
        <v>856</v>
      </c>
      <c r="Z211" t="s">
        <v>1383</v>
      </c>
    </row>
    <row r="212" spans="1:26" x14ac:dyDescent="0.3">
      <c r="A212" t="s">
        <v>525</v>
      </c>
      <c r="B212" t="s">
        <v>1386</v>
      </c>
      <c r="C212" t="s">
        <v>1387</v>
      </c>
      <c r="D212" t="s">
        <v>1388</v>
      </c>
      <c r="E212" t="s">
        <v>1306</v>
      </c>
      <c r="F212" t="s">
        <v>1307</v>
      </c>
      <c r="G212" s="1">
        <v>44197</v>
      </c>
      <c r="H212" s="1">
        <v>44262</v>
      </c>
      <c r="I212" t="s">
        <v>665</v>
      </c>
      <c r="J212" t="s">
        <v>1308</v>
      </c>
      <c r="K212" t="s">
        <v>24</v>
      </c>
      <c r="L212" t="s">
        <v>1045</v>
      </c>
      <c r="M212" t="s">
        <v>1128</v>
      </c>
      <c r="N212" t="s">
        <v>1129</v>
      </c>
      <c r="O212" t="s">
        <v>1128</v>
      </c>
      <c r="P212" t="s">
        <v>1129</v>
      </c>
      <c r="Q212" t="s">
        <v>975</v>
      </c>
      <c r="R212" t="s">
        <v>976</v>
      </c>
      <c r="S212" t="s">
        <v>550</v>
      </c>
      <c r="T212" t="s">
        <v>550</v>
      </c>
      <c r="U212" t="s">
        <v>550</v>
      </c>
      <c r="V212" t="s">
        <v>1389</v>
      </c>
      <c r="W212" t="s">
        <v>1021</v>
      </c>
      <c r="X212" t="s">
        <v>74</v>
      </c>
      <c r="Y212" t="s">
        <v>1033</v>
      </c>
      <c r="Z212" t="s">
        <v>1386</v>
      </c>
    </row>
    <row r="213" spans="1:26" x14ac:dyDescent="0.3">
      <c r="A213" t="s">
        <v>525</v>
      </c>
      <c r="B213" t="s">
        <v>1390</v>
      </c>
      <c r="C213" t="s">
        <v>1391</v>
      </c>
      <c r="D213" t="s">
        <v>550</v>
      </c>
      <c r="E213" t="s">
        <v>664</v>
      </c>
      <c r="F213" t="s">
        <v>27</v>
      </c>
      <c r="G213" s="1">
        <v>44197</v>
      </c>
      <c r="H213" s="1">
        <v>44197</v>
      </c>
      <c r="I213" t="s">
        <v>665</v>
      </c>
      <c r="J213" t="s">
        <v>666</v>
      </c>
      <c r="K213" t="s">
        <v>24</v>
      </c>
      <c r="L213" t="s">
        <v>1045</v>
      </c>
      <c r="M213" t="s">
        <v>1030</v>
      </c>
      <c r="N213" t="s">
        <v>255</v>
      </c>
      <c r="O213" t="s">
        <v>1128</v>
      </c>
      <c r="P213" t="s">
        <v>1129</v>
      </c>
      <c r="Q213" t="s">
        <v>975</v>
      </c>
      <c r="R213" t="s">
        <v>976</v>
      </c>
      <c r="S213" t="s">
        <v>550</v>
      </c>
      <c r="T213" t="s">
        <v>550</v>
      </c>
      <c r="U213" t="s">
        <v>550</v>
      </c>
      <c r="V213" t="s">
        <v>1392</v>
      </c>
      <c r="W213" t="s">
        <v>1021</v>
      </c>
      <c r="X213" t="s">
        <v>74</v>
      </c>
      <c r="Y213" t="s">
        <v>1033</v>
      </c>
      <c r="Z213" t="s">
        <v>1390</v>
      </c>
    </row>
    <row r="214" spans="1:26" x14ac:dyDescent="0.3">
      <c r="A214" t="s">
        <v>525</v>
      </c>
      <c r="B214" t="s">
        <v>1393</v>
      </c>
      <c r="C214" t="s">
        <v>1394</v>
      </c>
      <c r="D214" t="s">
        <v>1390</v>
      </c>
      <c r="E214" t="s">
        <v>664</v>
      </c>
      <c r="F214" t="s">
        <v>27</v>
      </c>
      <c r="G214" s="1">
        <v>44197</v>
      </c>
      <c r="H214" s="1">
        <v>44253</v>
      </c>
      <c r="I214" t="s">
        <v>665</v>
      </c>
      <c r="J214" t="s">
        <v>666</v>
      </c>
      <c r="K214" t="s">
        <v>24</v>
      </c>
      <c r="L214" t="s">
        <v>1045</v>
      </c>
      <c r="M214" t="s">
        <v>1030</v>
      </c>
      <c r="N214" t="s">
        <v>255</v>
      </c>
      <c r="O214" t="s">
        <v>1128</v>
      </c>
      <c r="P214" t="s">
        <v>1129</v>
      </c>
      <c r="Q214" t="s">
        <v>975</v>
      </c>
      <c r="R214" t="s">
        <v>976</v>
      </c>
      <c r="S214" t="s">
        <v>550</v>
      </c>
      <c r="T214" t="s">
        <v>550</v>
      </c>
      <c r="U214" t="s">
        <v>550</v>
      </c>
      <c r="V214" t="s">
        <v>1395</v>
      </c>
      <c r="W214" t="s">
        <v>1021</v>
      </c>
      <c r="X214" t="s">
        <v>74</v>
      </c>
      <c r="Y214" t="s">
        <v>1033</v>
      </c>
      <c r="Z214" t="s">
        <v>1393</v>
      </c>
    </row>
    <row r="215" spans="1:26" x14ac:dyDescent="0.3">
      <c r="A215" t="s">
        <v>525</v>
      </c>
      <c r="B215" t="s">
        <v>1388</v>
      </c>
      <c r="C215" t="s">
        <v>1396</v>
      </c>
      <c r="D215" t="s">
        <v>550</v>
      </c>
      <c r="E215" t="s">
        <v>1306</v>
      </c>
      <c r="F215" t="s">
        <v>1307</v>
      </c>
      <c r="G215" s="1">
        <v>44197</v>
      </c>
      <c r="H215" s="1">
        <v>44197</v>
      </c>
      <c r="I215" t="s">
        <v>665</v>
      </c>
      <c r="J215" t="s">
        <v>1308</v>
      </c>
      <c r="K215" t="s">
        <v>24</v>
      </c>
      <c r="L215" t="s">
        <v>1045</v>
      </c>
      <c r="M215" t="s">
        <v>1293</v>
      </c>
      <c r="N215" t="s">
        <v>256</v>
      </c>
      <c r="O215" t="s">
        <v>1128</v>
      </c>
      <c r="P215" t="s">
        <v>1129</v>
      </c>
      <c r="Q215" t="s">
        <v>975</v>
      </c>
      <c r="R215" t="s">
        <v>976</v>
      </c>
      <c r="S215" t="s">
        <v>550</v>
      </c>
      <c r="T215" t="s">
        <v>550</v>
      </c>
      <c r="U215" t="s">
        <v>550</v>
      </c>
      <c r="V215" t="s">
        <v>1397</v>
      </c>
      <c r="W215" t="s">
        <v>1021</v>
      </c>
      <c r="X215" t="s">
        <v>74</v>
      </c>
      <c r="Y215" t="s">
        <v>1033</v>
      </c>
      <c r="Z215" t="s">
        <v>1388</v>
      </c>
    </row>
    <row r="216" spans="1:26" x14ac:dyDescent="0.3">
      <c r="A216" t="s">
        <v>525</v>
      </c>
      <c r="B216" t="s">
        <v>1398</v>
      </c>
      <c r="C216" t="s">
        <v>1399</v>
      </c>
      <c r="D216" t="s">
        <v>550</v>
      </c>
      <c r="E216" t="s">
        <v>664</v>
      </c>
      <c r="F216" t="s">
        <v>27</v>
      </c>
      <c r="G216" s="1">
        <v>44197</v>
      </c>
      <c r="H216" s="1">
        <v>44197</v>
      </c>
      <c r="I216" t="s">
        <v>665</v>
      </c>
      <c r="J216" t="s">
        <v>666</v>
      </c>
      <c r="K216" t="s">
        <v>24</v>
      </c>
      <c r="L216" t="s">
        <v>1045</v>
      </c>
      <c r="M216" t="s">
        <v>1095</v>
      </c>
      <c r="N216" t="s">
        <v>298</v>
      </c>
      <c r="O216" t="s">
        <v>1128</v>
      </c>
      <c r="P216" t="s">
        <v>1129</v>
      </c>
      <c r="Q216" t="s">
        <v>975</v>
      </c>
      <c r="R216" t="s">
        <v>976</v>
      </c>
      <c r="S216" t="s">
        <v>550</v>
      </c>
      <c r="T216" t="s">
        <v>550</v>
      </c>
      <c r="U216" t="s">
        <v>550</v>
      </c>
      <c r="V216" t="s">
        <v>1400</v>
      </c>
      <c r="W216" t="s">
        <v>1021</v>
      </c>
      <c r="X216" t="s">
        <v>74</v>
      </c>
      <c r="Y216" t="s">
        <v>1033</v>
      </c>
      <c r="Z216" t="s">
        <v>1398</v>
      </c>
    </row>
    <row r="217" spans="1:26" x14ac:dyDescent="0.3">
      <c r="A217" t="s">
        <v>525</v>
      </c>
      <c r="B217" t="s">
        <v>1401</v>
      </c>
      <c r="C217" t="s">
        <v>1402</v>
      </c>
      <c r="D217" t="s">
        <v>1398</v>
      </c>
      <c r="E217" t="s">
        <v>664</v>
      </c>
      <c r="F217" t="s">
        <v>27</v>
      </c>
      <c r="G217" s="1">
        <v>44197</v>
      </c>
      <c r="H217" s="1">
        <v>44209</v>
      </c>
      <c r="I217" t="s">
        <v>665</v>
      </c>
      <c r="J217" t="s">
        <v>666</v>
      </c>
      <c r="K217" t="s">
        <v>24</v>
      </c>
      <c r="L217" t="s">
        <v>1045</v>
      </c>
      <c r="M217" t="s">
        <v>1095</v>
      </c>
      <c r="N217" t="s">
        <v>298</v>
      </c>
      <c r="O217" t="s">
        <v>1128</v>
      </c>
      <c r="P217" t="s">
        <v>1129</v>
      </c>
      <c r="Q217" t="s">
        <v>975</v>
      </c>
      <c r="R217" t="s">
        <v>976</v>
      </c>
      <c r="S217" t="s">
        <v>550</v>
      </c>
      <c r="T217" t="s">
        <v>550</v>
      </c>
      <c r="U217" t="s">
        <v>550</v>
      </c>
      <c r="V217" t="s">
        <v>1403</v>
      </c>
      <c r="W217" t="s">
        <v>1021</v>
      </c>
      <c r="X217" t="s">
        <v>74</v>
      </c>
      <c r="Y217" t="s">
        <v>1033</v>
      </c>
      <c r="Z217" t="s">
        <v>1401</v>
      </c>
    </row>
    <row r="218" spans="1:26" x14ac:dyDescent="0.3">
      <c r="A218" t="s">
        <v>525</v>
      </c>
      <c r="B218" t="s">
        <v>1404</v>
      </c>
      <c r="C218" t="s">
        <v>1026</v>
      </c>
      <c r="D218" t="s">
        <v>550</v>
      </c>
      <c r="E218" t="s">
        <v>1027</v>
      </c>
      <c r="F218" t="s">
        <v>1028</v>
      </c>
      <c r="G218" s="1">
        <v>43831</v>
      </c>
      <c r="H218" s="1">
        <v>43831</v>
      </c>
      <c r="I218" t="s">
        <v>665</v>
      </c>
      <c r="J218" t="s">
        <v>1029</v>
      </c>
      <c r="K218" t="s">
        <v>24</v>
      </c>
      <c r="L218" t="s">
        <v>216</v>
      </c>
      <c r="M218" t="s">
        <v>1030</v>
      </c>
      <c r="N218" t="s">
        <v>255</v>
      </c>
      <c r="O218" t="s">
        <v>1405</v>
      </c>
      <c r="P218" t="s">
        <v>1406</v>
      </c>
      <c r="Q218" t="s">
        <v>975</v>
      </c>
      <c r="R218" t="s">
        <v>976</v>
      </c>
      <c r="S218" t="s">
        <v>550</v>
      </c>
      <c r="T218" t="s">
        <v>550</v>
      </c>
      <c r="U218" t="s">
        <v>550</v>
      </c>
      <c r="V218" t="s">
        <v>1407</v>
      </c>
      <c r="W218" t="s">
        <v>1021</v>
      </c>
      <c r="X218" t="s">
        <v>74</v>
      </c>
      <c r="Y218" t="s">
        <v>1033</v>
      </c>
      <c r="Z218" t="s">
        <v>1404</v>
      </c>
    </row>
    <row r="219" spans="1:26" x14ac:dyDescent="0.3">
      <c r="A219" t="s">
        <v>525</v>
      </c>
      <c r="B219" t="s">
        <v>1408</v>
      </c>
      <c r="C219" t="s">
        <v>1409</v>
      </c>
      <c r="D219" t="s">
        <v>550</v>
      </c>
      <c r="E219" t="s">
        <v>1410</v>
      </c>
      <c r="F219" t="s">
        <v>1411</v>
      </c>
      <c r="G219" s="1">
        <v>43831</v>
      </c>
      <c r="H219" s="1">
        <v>43843</v>
      </c>
      <c r="I219" t="s">
        <v>665</v>
      </c>
      <c r="J219" t="s">
        <v>1412</v>
      </c>
      <c r="K219" t="s">
        <v>24</v>
      </c>
      <c r="L219" t="s">
        <v>216</v>
      </c>
      <c r="M219" t="s">
        <v>1030</v>
      </c>
      <c r="N219" t="s">
        <v>255</v>
      </c>
      <c r="O219" t="s">
        <v>1405</v>
      </c>
      <c r="P219" t="s">
        <v>1406</v>
      </c>
      <c r="Q219" t="s">
        <v>975</v>
      </c>
      <c r="R219" t="s">
        <v>976</v>
      </c>
      <c r="S219" t="s">
        <v>550</v>
      </c>
      <c r="T219" t="s">
        <v>550</v>
      </c>
      <c r="U219" t="s">
        <v>550</v>
      </c>
      <c r="V219" t="s">
        <v>1413</v>
      </c>
      <c r="W219" t="s">
        <v>1021</v>
      </c>
      <c r="X219" t="s">
        <v>74</v>
      </c>
      <c r="Y219" t="s">
        <v>1033</v>
      </c>
      <c r="Z219" t="s">
        <v>1408</v>
      </c>
    </row>
    <row r="220" spans="1:26" x14ac:dyDescent="0.3">
      <c r="A220" t="s">
        <v>525</v>
      </c>
      <c r="B220" t="s">
        <v>1414</v>
      </c>
      <c r="C220" t="s">
        <v>1415</v>
      </c>
      <c r="D220" t="s">
        <v>550</v>
      </c>
      <c r="E220" t="s">
        <v>664</v>
      </c>
      <c r="F220" t="s">
        <v>27</v>
      </c>
      <c r="G220" s="1">
        <v>43831</v>
      </c>
      <c r="H220" s="1">
        <v>43882</v>
      </c>
      <c r="I220" t="s">
        <v>665</v>
      </c>
      <c r="J220" t="s">
        <v>666</v>
      </c>
      <c r="K220" t="s">
        <v>24</v>
      </c>
      <c r="L220" t="s">
        <v>863</v>
      </c>
      <c r="M220" t="s">
        <v>1030</v>
      </c>
      <c r="N220" t="s">
        <v>255</v>
      </c>
      <c r="O220" t="s">
        <v>1405</v>
      </c>
      <c r="P220" t="s">
        <v>1406</v>
      </c>
      <c r="Q220" t="s">
        <v>975</v>
      </c>
      <c r="R220" t="s">
        <v>976</v>
      </c>
      <c r="S220" t="s">
        <v>550</v>
      </c>
      <c r="T220" t="s">
        <v>550</v>
      </c>
      <c r="U220" t="s">
        <v>550</v>
      </c>
      <c r="V220" t="s">
        <v>1416</v>
      </c>
      <c r="W220" t="s">
        <v>1021</v>
      </c>
      <c r="X220" t="s">
        <v>74</v>
      </c>
      <c r="Y220" t="s">
        <v>1075</v>
      </c>
      <c r="Z220" t="s">
        <v>1414</v>
      </c>
    </row>
    <row r="221" spans="1:26" x14ac:dyDescent="0.3">
      <c r="A221" t="s">
        <v>525</v>
      </c>
      <c r="B221" t="s">
        <v>1417</v>
      </c>
      <c r="C221" t="s">
        <v>1418</v>
      </c>
      <c r="D221" t="s">
        <v>550</v>
      </c>
      <c r="E221" t="s">
        <v>664</v>
      </c>
      <c r="F221" t="s">
        <v>27</v>
      </c>
      <c r="G221" s="1">
        <v>43831</v>
      </c>
      <c r="H221" s="1">
        <v>43837</v>
      </c>
      <c r="I221" t="s">
        <v>665</v>
      </c>
      <c r="J221" t="s">
        <v>666</v>
      </c>
      <c r="K221" t="s">
        <v>958</v>
      </c>
      <c r="L221" t="s">
        <v>863</v>
      </c>
      <c r="M221" t="s">
        <v>1030</v>
      </c>
      <c r="N221" t="s">
        <v>255</v>
      </c>
      <c r="O221" t="s">
        <v>1405</v>
      </c>
      <c r="P221" t="s">
        <v>1406</v>
      </c>
      <c r="Q221" t="s">
        <v>975</v>
      </c>
      <c r="R221" t="s">
        <v>976</v>
      </c>
      <c r="S221" t="s">
        <v>550</v>
      </c>
      <c r="T221" t="s">
        <v>550</v>
      </c>
      <c r="U221" t="s">
        <v>550</v>
      </c>
      <c r="V221" t="s">
        <v>1419</v>
      </c>
      <c r="W221" t="s">
        <v>1021</v>
      </c>
      <c r="X221" t="s">
        <v>74</v>
      </c>
      <c r="Y221" t="s">
        <v>1075</v>
      </c>
      <c r="Z221" t="s">
        <v>1417</v>
      </c>
    </row>
    <row r="222" spans="1:26" x14ac:dyDescent="0.3">
      <c r="A222" t="s">
        <v>525</v>
      </c>
      <c r="B222" t="s">
        <v>1420</v>
      </c>
      <c r="C222" t="s">
        <v>1421</v>
      </c>
      <c r="D222" t="s">
        <v>550</v>
      </c>
      <c r="E222" t="s">
        <v>1065</v>
      </c>
      <c r="F222" t="s">
        <v>1066</v>
      </c>
      <c r="G222" s="1">
        <v>43831</v>
      </c>
      <c r="H222" s="1">
        <v>43847</v>
      </c>
      <c r="I222" t="s">
        <v>665</v>
      </c>
      <c r="J222" t="s">
        <v>1067</v>
      </c>
      <c r="K222" t="s">
        <v>24</v>
      </c>
      <c r="L222" t="s">
        <v>667</v>
      </c>
      <c r="M222" t="s">
        <v>1030</v>
      </c>
      <c r="N222" t="s">
        <v>255</v>
      </c>
      <c r="O222" t="s">
        <v>1405</v>
      </c>
      <c r="P222" t="s">
        <v>1406</v>
      </c>
      <c r="Q222" t="s">
        <v>975</v>
      </c>
      <c r="R222" t="s">
        <v>976</v>
      </c>
      <c r="S222" t="s">
        <v>550</v>
      </c>
      <c r="T222" t="s">
        <v>550</v>
      </c>
      <c r="U222" t="s">
        <v>550</v>
      </c>
      <c r="V222" t="s">
        <v>1422</v>
      </c>
      <c r="W222" t="s">
        <v>613</v>
      </c>
      <c r="X222" t="s">
        <v>74</v>
      </c>
      <c r="Y222" t="s">
        <v>786</v>
      </c>
      <c r="Z222" t="s">
        <v>1420</v>
      </c>
    </row>
    <row r="223" spans="1:26" x14ac:dyDescent="0.3">
      <c r="A223" t="s">
        <v>525</v>
      </c>
      <c r="B223" t="s">
        <v>1423</v>
      </c>
      <c r="C223" t="s">
        <v>1086</v>
      </c>
      <c r="D223" t="s">
        <v>550</v>
      </c>
      <c r="E223" t="s">
        <v>664</v>
      </c>
      <c r="F223" t="s">
        <v>27</v>
      </c>
      <c r="G223" s="1">
        <v>43831</v>
      </c>
      <c r="H223" s="1">
        <v>43962</v>
      </c>
      <c r="I223" t="s">
        <v>665</v>
      </c>
      <c r="J223" t="s">
        <v>666</v>
      </c>
      <c r="K223" t="s">
        <v>24</v>
      </c>
      <c r="L223" t="s">
        <v>1045</v>
      </c>
      <c r="M223" t="s">
        <v>1030</v>
      </c>
      <c r="N223" t="s">
        <v>255</v>
      </c>
      <c r="O223" t="s">
        <v>1405</v>
      </c>
      <c r="P223" t="s">
        <v>1406</v>
      </c>
      <c r="Q223" t="s">
        <v>975</v>
      </c>
      <c r="R223" t="s">
        <v>976</v>
      </c>
      <c r="S223" t="s">
        <v>550</v>
      </c>
      <c r="T223" t="s">
        <v>550</v>
      </c>
      <c r="U223" t="s">
        <v>550</v>
      </c>
      <c r="V223" t="s">
        <v>1424</v>
      </c>
      <c r="W223" t="s">
        <v>613</v>
      </c>
      <c r="X223" t="s">
        <v>74</v>
      </c>
      <c r="Y223" t="s">
        <v>786</v>
      </c>
      <c r="Z223" t="s">
        <v>1423</v>
      </c>
    </row>
    <row r="224" spans="1:26" x14ac:dyDescent="0.3">
      <c r="A224" t="s">
        <v>525</v>
      </c>
      <c r="B224" t="s">
        <v>1425</v>
      </c>
      <c r="C224" t="s">
        <v>1051</v>
      </c>
      <c r="D224" t="s">
        <v>550</v>
      </c>
      <c r="E224" t="s">
        <v>664</v>
      </c>
      <c r="F224" t="s">
        <v>27</v>
      </c>
      <c r="G224" s="1">
        <v>43831</v>
      </c>
      <c r="H224" s="1">
        <v>44106</v>
      </c>
      <c r="I224" t="s">
        <v>665</v>
      </c>
      <c r="J224" t="s">
        <v>666</v>
      </c>
      <c r="K224" t="s">
        <v>24</v>
      </c>
      <c r="L224" t="s">
        <v>1045</v>
      </c>
      <c r="M224" t="s">
        <v>1030</v>
      </c>
      <c r="N224" t="s">
        <v>255</v>
      </c>
      <c r="O224" t="s">
        <v>1405</v>
      </c>
      <c r="P224" t="s">
        <v>1406</v>
      </c>
      <c r="Q224" t="s">
        <v>975</v>
      </c>
      <c r="R224" t="s">
        <v>976</v>
      </c>
      <c r="S224" t="s">
        <v>550</v>
      </c>
      <c r="T224" t="s">
        <v>550</v>
      </c>
      <c r="U224" t="s">
        <v>550</v>
      </c>
      <c r="V224" t="s">
        <v>1426</v>
      </c>
      <c r="W224" t="s">
        <v>613</v>
      </c>
      <c r="X224" t="s">
        <v>74</v>
      </c>
      <c r="Y224" t="s">
        <v>786</v>
      </c>
      <c r="Z224" t="s">
        <v>1425</v>
      </c>
    </row>
    <row r="225" spans="1:26" x14ac:dyDescent="0.3">
      <c r="A225" t="s">
        <v>525</v>
      </c>
      <c r="B225" t="s">
        <v>1427</v>
      </c>
      <c r="C225" t="s">
        <v>1428</v>
      </c>
      <c r="D225" t="s">
        <v>550</v>
      </c>
      <c r="E225" t="s">
        <v>664</v>
      </c>
      <c r="F225" t="s">
        <v>27</v>
      </c>
      <c r="G225" s="1">
        <v>43831</v>
      </c>
      <c r="H225" s="1">
        <v>44092</v>
      </c>
      <c r="I225" t="s">
        <v>665</v>
      </c>
      <c r="J225" t="s">
        <v>666</v>
      </c>
      <c r="K225" t="s">
        <v>24</v>
      </c>
      <c r="L225" t="s">
        <v>667</v>
      </c>
      <c r="M225" t="s">
        <v>1030</v>
      </c>
      <c r="N225" t="s">
        <v>255</v>
      </c>
      <c r="O225" t="s">
        <v>1405</v>
      </c>
      <c r="P225" t="s">
        <v>1406</v>
      </c>
      <c r="Q225" t="s">
        <v>975</v>
      </c>
      <c r="R225" t="s">
        <v>976</v>
      </c>
      <c r="S225" t="s">
        <v>550</v>
      </c>
      <c r="T225" t="s">
        <v>550</v>
      </c>
      <c r="U225" t="s">
        <v>550</v>
      </c>
      <c r="V225" t="s">
        <v>1429</v>
      </c>
      <c r="W225" t="s">
        <v>613</v>
      </c>
      <c r="X225" t="s">
        <v>74</v>
      </c>
      <c r="Y225" t="s">
        <v>786</v>
      </c>
      <c r="Z225" t="s">
        <v>1427</v>
      </c>
    </row>
    <row r="226" spans="1:26" x14ac:dyDescent="0.3">
      <c r="A226" t="s">
        <v>525</v>
      </c>
      <c r="B226" t="s">
        <v>1430</v>
      </c>
      <c r="C226" t="s">
        <v>1431</v>
      </c>
      <c r="D226" t="s">
        <v>550</v>
      </c>
      <c r="E226" t="s">
        <v>1125</v>
      </c>
      <c r="F226" t="s">
        <v>1126</v>
      </c>
      <c r="G226" s="1">
        <v>43831</v>
      </c>
      <c r="H226" s="1">
        <v>43906</v>
      </c>
      <c r="I226" t="s">
        <v>665</v>
      </c>
      <c r="J226" t="s">
        <v>1127</v>
      </c>
      <c r="K226" t="s">
        <v>24</v>
      </c>
      <c r="L226" t="s">
        <v>216</v>
      </c>
      <c r="M226" t="s">
        <v>1128</v>
      </c>
      <c r="N226" t="s">
        <v>1129</v>
      </c>
      <c r="O226" t="s">
        <v>1405</v>
      </c>
      <c r="P226" t="s">
        <v>1406</v>
      </c>
      <c r="Q226" t="s">
        <v>975</v>
      </c>
      <c r="R226" t="s">
        <v>976</v>
      </c>
      <c r="S226" t="s">
        <v>550</v>
      </c>
      <c r="T226" t="s">
        <v>550</v>
      </c>
      <c r="U226" t="s">
        <v>550</v>
      </c>
      <c r="V226" t="s">
        <v>1432</v>
      </c>
      <c r="W226" t="s">
        <v>1021</v>
      </c>
      <c r="X226" t="s">
        <v>74</v>
      </c>
      <c r="Y226" t="s">
        <v>1033</v>
      </c>
      <c r="Z226" t="s">
        <v>1430</v>
      </c>
    </row>
    <row r="227" spans="1:26" x14ac:dyDescent="0.3">
      <c r="A227" t="s">
        <v>525</v>
      </c>
      <c r="B227" t="s">
        <v>1433</v>
      </c>
      <c r="C227" t="s">
        <v>1434</v>
      </c>
      <c r="D227" t="s">
        <v>550</v>
      </c>
      <c r="E227" t="s">
        <v>1102</v>
      </c>
      <c r="F227" t="s">
        <v>1103</v>
      </c>
      <c r="G227" s="1">
        <v>43831</v>
      </c>
      <c r="H227" s="1">
        <v>43892</v>
      </c>
      <c r="I227" t="s">
        <v>665</v>
      </c>
      <c r="J227" t="s">
        <v>1104</v>
      </c>
      <c r="K227" t="s">
        <v>24</v>
      </c>
      <c r="L227" t="s">
        <v>216</v>
      </c>
      <c r="M227" t="s">
        <v>1128</v>
      </c>
      <c r="N227" t="s">
        <v>1129</v>
      </c>
      <c r="O227" t="s">
        <v>1405</v>
      </c>
      <c r="P227" t="s">
        <v>1406</v>
      </c>
      <c r="Q227" t="s">
        <v>975</v>
      </c>
      <c r="R227" t="s">
        <v>976</v>
      </c>
      <c r="S227" t="s">
        <v>550</v>
      </c>
      <c r="T227" t="s">
        <v>550</v>
      </c>
      <c r="U227" t="s">
        <v>550</v>
      </c>
      <c r="V227" t="s">
        <v>1435</v>
      </c>
      <c r="W227" t="s">
        <v>1021</v>
      </c>
      <c r="X227" t="s">
        <v>74</v>
      </c>
      <c r="Y227" t="s">
        <v>1033</v>
      </c>
      <c r="Z227" t="s">
        <v>1433</v>
      </c>
    </row>
    <row r="228" spans="1:26" x14ac:dyDescent="0.3">
      <c r="A228" t="s">
        <v>525</v>
      </c>
      <c r="B228" t="s">
        <v>1436</v>
      </c>
      <c r="C228" t="s">
        <v>1437</v>
      </c>
      <c r="D228" t="s">
        <v>550</v>
      </c>
      <c r="E228" t="s">
        <v>1438</v>
      </c>
      <c r="F228" t="s">
        <v>1439</v>
      </c>
      <c r="G228" s="1">
        <v>43831</v>
      </c>
      <c r="H228" s="1">
        <v>43844</v>
      </c>
      <c r="I228" t="s">
        <v>665</v>
      </c>
      <c r="J228" t="s">
        <v>1440</v>
      </c>
      <c r="K228" t="s">
        <v>24</v>
      </c>
      <c r="L228" t="s">
        <v>1045</v>
      </c>
      <c r="M228" t="s">
        <v>1441</v>
      </c>
      <c r="N228" t="s">
        <v>1442</v>
      </c>
      <c r="O228" t="s">
        <v>1405</v>
      </c>
      <c r="P228" t="s">
        <v>1406</v>
      </c>
      <c r="Q228" t="s">
        <v>975</v>
      </c>
      <c r="R228" t="s">
        <v>976</v>
      </c>
      <c r="S228" t="s">
        <v>550</v>
      </c>
      <c r="T228" t="s">
        <v>550</v>
      </c>
      <c r="U228" t="s">
        <v>550</v>
      </c>
      <c r="V228" t="s">
        <v>1443</v>
      </c>
      <c r="W228" t="s">
        <v>1021</v>
      </c>
      <c r="X228" t="s">
        <v>74</v>
      </c>
      <c r="Y228" t="s">
        <v>1075</v>
      </c>
      <c r="Z228" t="s">
        <v>1436</v>
      </c>
    </row>
    <row r="229" spans="1:26" x14ac:dyDescent="0.3">
      <c r="A229" t="s">
        <v>525</v>
      </c>
      <c r="B229" t="s">
        <v>1359</v>
      </c>
      <c r="C229" t="s">
        <v>1444</v>
      </c>
      <c r="D229" t="s">
        <v>550</v>
      </c>
      <c r="E229" t="s">
        <v>1117</v>
      </c>
      <c r="F229" t="s">
        <v>1118</v>
      </c>
      <c r="G229" s="1">
        <v>43467</v>
      </c>
      <c r="H229" s="1">
        <v>43830</v>
      </c>
      <c r="I229" t="s">
        <v>665</v>
      </c>
      <c r="J229" t="s">
        <v>1119</v>
      </c>
      <c r="K229" t="s">
        <v>900</v>
      </c>
      <c r="L229" t="s">
        <v>216</v>
      </c>
      <c r="M229" t="s">
        <v>1120</v>
      </c>
      <c r="N229" t="s">
        <v>1121</v>
      </c>
      <c r="O229" t="s">
        <v>1405</v>
      </c>
      <c r="P229" t="s">
        <v>1406</v>
      </c>
      <c r="Q229" t="s">
        <v>975</v>
      </c>
      <c r="R229" t="s">
        <v>976</v>
      </c>
      <c r="S229" t="s">
        <v>550</v>
      </c>
      <c r="T229" t="s">
        <v>550</v>
      </c>
      <c r="U229" t="s">
        <v>550</v>
      </c>
      <c r="V229" t="s">
        <v>1445</v>
      </c>
      <c r="W229" t="s">
        <v>613</v>
      </c>
      <c r="X229" t="s">
        <v>74</v>
      </c>
      <c r="Y229" t="s">
        <v>786</v>
      </c>
      <c r="Z229" t="s">
        <v>1359</v>
      </c>
    </row>
    <row r="230" spans="1:26" x14ac:dyDescent="0.3">
      <c r="A230" t="s">
        <v>525</v>
      </c>
      <c r="B230" t="s">
        <v>1347</v>
      </c>
      <c r="C230" t="s">
        <v>1446</v>
      </c>
      <c r="D230" t="s">
        <v>550</v>
      </c>
      <c r="E230" t="s">
        <v>1117</v>
      </c>
      <c r="F230" t="s">
        <v>1118</v>
      </c>
      <c r="G230" s="1">
        <v>43467</v>
      </c>
      <c r="H230" s="1">
        <v>43749</v>
      </c>
      <c r="I230" t="s">
        <v>665</v>
      </c>
      <c r="J230" t="s">
        <v>1119</v>
      </c>
      <c r="K230" t="s">
        <v>24</v>
      </c>
      <c r="L230" t="s">
        <v>216</v>
      </c>
      <c r="M230" t="s">
        <v>1120</v>
      </c>
      <c r="N230" t="s">
        <v>1121</v>
      </c>
      <c r="O230" t="s">
        <v>1405</v>
      </c>
      <c r="P230" t="s">
        <v>1406</v>
      </c>
      <c r="Q230" t="s">
        <v>975</v>
      </c>
      <c r="R230" t="s">
        <v>976</v>
      </c>
      <c r="S230" t="s">
        <v>550</v>
      </c>
      <c r="T230" t="s">
        <v>550</v>
      </c>
      <c r="U230" t="s">
        <v>550</v>
      </c>
      <c r="V230" t="s">
        <v>1447</v>
      </c>
      <c r="W230" t="s">
        <v>613</v>
      </c>
      <c r="X230" t="s">
        <v>74</v>
      </c>
      <c r="Y230" t="s">
        <v>786</v>
      </c>
      <c r="Z230" t="s">
        <v>1347</v>
      </c>
    </row>
    <row r="231" spans="1:26" x14ac:dyDescent="0.3">
      <c r="A231" t="s">
        <v>525</v>
      </c>
      <c r="B231" t="s">
        <v>1448</v>
      </c>
      <c r="C231" t="s">
        <v>1449</v>
      </c>
      <c r="D231" t="s">
        <v>550</v>
      </c>
      <c r="E231" t="s">
        <v>778</v>
      </c>
      <c r="F231" t="s">
        <v>779</v>
      </c>
      <c r="G231" s="1">
        <v>43831</v>
      </c>
      <c r="H231" s="1">
        <v>43885</v>
      </c>
      <c r="I231" t="s">
        <v>665</v>
      </c>
      <c r="J231" t="s">
        <v>781</v>
      </c>
      <c r="K231" t="s">
        <v>24</v>
      </c>
      <c r="L231" t="s">
        <v>1045</v>
      </c>
      <c r="M231" t="s">
        <v>1120</v>
      </c>
      <c r="N231" t="s">
        <v>1121</v>
      </c>
      <c r="O231" t="s">
        <v>1405</v>
      </c>
      <c r="P231" t="s">
        <v>1406</v>
      </c>
      <c r="Q231" t="s">
        <v>975</v>
      </c>
      <c r="R231" t="s">
        <v>976</v>
      </c>
      <c r="S231" t="s">
        <v>550</v>
      </c>
      <c r="T231" t="s">
        <v>550</v>
      </c>
      <c r="U231" t="s">
        <v>550</v>
      </c>
      <c r="V231" t="s">
        <v>1450</v>
      </c>
      <c r="W231" t="s">
        <v>613</v>
      </c>
      <c r="X231" t="s">
        <v>74</v>
      </c>
      <c r="Y231" t="s">
        <v>786</v>
      </c>
      <c r="Z231" t="s">
        <v>1448</v>
      </c>
    </row>
    <row r="232" spans="1:26" x14ac:dyDescent="0.3">
      <c r="A232" t="s">
        <v>525</v>
      </c>
      <c r="B232" t="s">
        <v>1451</v>
      </c>
      <c r="C232" t="s">
        <v>1452</v>
      </c>
      <c r="D232" t="s">
        <v>1115</v>
      </c>
      <c r="E232" t="s">
        <v>1117</v>
      </c>
      <c r="F232" t="s">
        <v>1118</v>
      </c>
      <c r="G232" s="1">
        <v>43831</v>
      </c>
      <c r="H232" s="1">
        <v>43861</v>
      </c>
      <c r="I232" t="s">
        <v>665</v>
      </c>
      <c r="J232" t="s">
        <v>1119</v>
      </c>
      <c r="K232" t="s">
        <v>24</v>
      </c>
      <c r="L232" t="s">
        <v>216</v>
      </c>
      <c r="M232" t="s">
        <v>1120</v>
      </c>
      <c r="N232" t="s">
        <v>1121</v>
      </c>
      <c r="O232" t="s">
        <v>1405</v>
      </c>
      <c r="P232" t="s">
        <v>1406</v>
      </c>
      <c r="Q232" t="s">
        <v>975</v>
      </c>
      <c r="R232" t="s">
        <v>976</v>
      </c>
      <c r="S232" t="s">
        <v>550</v>
      </c>
      <c r="T232" t="s">
        <v>550</v>
      </c>
      <c r="U232" t="s">
        <v>550</v>
      </c>
      <c r="V232" t="s">
        <v>1453</v>
      </c>
      <c r="W232" t="s">
        <v>613</v>
      </c>
      <c r="X232" t="s">
        <v>74</v>
      </c>
      <c r="Y232" t="s">
        <v>786</v>
      </c>
      <c r="Z232" t="s">
        <v>1451</v>
      </c>
    </row>
    <row r="233" spans="1:26" x14ac:dyDescent="0.3">
      <c r="A233" t="s">
        <v>525</v>
      </c>
      <c r="B233" t="s">
        <v>1454</v>
      </c>
      <c r="C233" t="s">
        <v>1455</v>
      </c>
      <c r="D233" t="s">
        <v>1159</v>
      </c>
      <c r="E233" t="s">
        <v>1117</v>
      </c>
      <c r="F233" t="s">
        <v>1118</v>
      </c>
      <c r="G233" s="1">
        <v>43831</v>
      </c>
      <c r="H233" s="1">
        <v>43853</v>
      </c>
      <c r="I233" t="s">
        <v>665</v>
      </c>
      <c r="J233" t="s">
        <v>1119</v>
      </c>
      <c r="K233" t="s">
        <v>24</v>
      </c>
      <c r="L233" t="s">
        <v>216</v>
      </c>
      <c r="M233" t="s">
        <v>1120</v>
      </c>
      <c r="N233" t="s">
        <v>1121</v>
      </c>
      <c r="O233" t="s">
        <v>1405</v>
      </c>
      <c r="P233" t="s">
        <v>1406</v>
      </c>
      <c r="Q233" t="s">
        <v>975</v>
      </c>
      <c r="R233" t="s">
        <v>976</v>
      </c>
      <c r="S233" t="s">
        <v>550</v>
      </c>
      <c r="T233" t="s">
        <v>550</v>
      </c>
      <c r="U233" t="s">
        <v>550</v>
      </c>
      <c r="V233" t="s">
        <v>1456</v>
      </c>
      <c r="W233" t="s">
        <v>613</v>
      </c>
      <c r="X233" t="s">
        <v>74</v>
      </c>
      <c r="Y233" t="s">
        <v>786</v>
      </c>
      <c r="Z233" t="s">
        <v>1454</v>
      </c>
    </row>
    <row r="234" spans="1:26" x14ac:dyDescent="0.3">
      <c r="A234" t="s">
        <v>525</v>
      </c>
      <c r="B234" t="s">
        <v>1457</v>
      </c>
      <c r="C234" t="s">
        <v>1458</v>
      </c>
      <c r="D234" t="s">
        <v>550</v>
      </c>
      <c r="E234" t="s">
        <v>664</v>
      </c>
      <c r="F234" t="s">
        <v>27</v>
      </c>
      <c r="G234" s="1">
        <v>43831</v>
      </c>
      <c r="H234" s="1">
        <v>43857</v>
      </c>
      <c r="I234" t="s">
        <v>665</v>
      </c>
      <c r="J234" t="s">
        <v>666</v>
      </c>
      <c r="K234" t="s">
        <v>24</v>
      </c>
      <c r="L234" t="s">
        <v>667</v>
      </c>
      <c r="M234" t="s">
        <v>1459</v>
      </c>
      <c r="N234" t="s">
        <v>1460</v>
      </c>
      <c r="O234" t="s">
        <v>1405</v>
      </c>
      <c r="P234" t="s">
        <v>1406</v>
      </c>
      <c r="Q234" t="s">
        <v>975</v>
      </c>
      <c r="R234" t="s">
        <v>976</v>
      </c>
      <c r="S234" t="s">
        <v>550</v>
      </c>
      <c r="T234" t="s">
        <v>550</v>
      </c>
      <c r="U234" t="s">
        <v>550</v>
      </c>
      <c r="V234" t="s">
        <v>1461</v>
      </c>
      <c r="W234" t="s">
        <v>613</v>
      </c>
      <c r="X234" t="s">
        <v>74</v>
      </c>
      <c r="Y234" t="s">
        <v>1462</v>
      </c>
      <c r="Z234" t="s">
        <v>1457</v>
      </c>
    </row>
    <row r="235" spans="1:26" x14ac:dyDescent="0.3">
      <c r="A235" t="s">
        <v>525</v>
      </c>
      <c r="B235" t="s">
        <v>1463</v>
      </c>
      <c r="C235" t="s">
        <v>1464</v>
      </c>
      <c r="D235" t="s">
        <v>550</v>
      </c>
      <c r="E235" t="s">
        <v>664</v>
      </c>
      <c r="F235" t="s">
        <v>27</v>
      </c>
      <c r="G235" s="1">
        <v>44197</v>
      </c>
      <c r="H235" s="1">
        <v>44197</v>
      </c>
      <c r="I235" t="s">
        <v>665</v>
      </c>
      <c r="J235" t="s">
        <v>666</v>
      </c>
      <c r="K235" t="s">
        <v>841</v>
      </c>
      <c r="L235" t="s">
        <v>216</v>
      </c>
      <c r="M235" t="s">
        <v>985</v>
      </c>
      <c r="N235" t="s">
        <v>986</v>
      </c>
      <c r="O235" t="s">
        <v>1168</v>
      </c>
      <c r="P235" t="s">
        <v>1169</v>
      </c>
      <c r="Q235" t="s">
        <v>975</v>
      </c>
      <c r="R235" t="s">
        <v>976</v>
      </c>
      <c r="S235" t="s">
        <v>550</v>
      </c>
      <c r="T235" t="s">
        <v>550</v>
      </c>
      <c r="U235" t="s">
        <v>550</v>
      </c>
      <c r="V235" t="s">
        <v>1465</v>
      </c>
      <c r="W235" t="s">
        <v>554</v>
      </c>
      <c r="X235" t="s">
        <v>669</v>
      </c>
      <c r="Y235" t="s">
        <v>799</v>
      </c>
      <c r="Z235" t="s">
        <v>1463</v>
      </c>
    </row>
    <row r="236" spans="1:26" x14ac:dyDescent="0.3">
      <c r="A236" t="s">
        <v>525</v>
      </c>
      <c r="B236" t="s">
        <v>1466</v>
      </c>
      <c r="C236" t="s">
        <v>1467</v>
      </c>
      <c r="D236" t="s">
        <v>1463</v>
      </c>
      <c r="E236" t="s">
        <v>664</v>
      </c>
      <c r="F236" t="s">
        <v>27</v>
      </c>
      <c r="G236" s="1">
        <v>44197</v>
      </c>
      <c r="H236" s="1">
        <v>44197</v>
      </c>
      <c r="I236" t="s">
        <v>665</v>
      </c>
      <c r="J236" t="s">
        <v>666</v>
      </c>
      <c r="K236" t="s">
        <v>841</v>
      </c>
      <c r="L236" t="s">
        <v>216</v>
      </c>
      <c r="M236" t="s">
        <v>985</v>
      </c>
      <c r="N236" t="s">
        <v>986</v>
      </c>
      <c r="O236" t="s">
        <v>1168</v>
      </c>
      <c r="P236" t="s">
        <v>1169</v>
      </c>
      <c r="Q236" t="s">
        <v>975</v>
      </c>
      <c r="R236" t="s">
        <v>976</v>
      </c>
      <c r="S236" t="s">
        <v>550</v>
      </c>
      <c r="T236" t="s">
        <v>550</v>
      </c>
      <c r="U236" t="s">
        <v>550</v>
      </c>
      <c r="V236" t="s">
        <v>1468</v>
      </c>
      <c r="W236" t="s">
        <v>554</v>
      </c>
      <c r="X236" t="s">
        <v>669</v>
      </c>
      <c r="Y236" t="s">
        <v>799</v>
      </c>
      <c r="Z236" t="s">
        <v>1466</v>
      </c>
    </row>
    <row r="237" spans="1:26" x14ac:dyDescent="0.3">
      <c r="A237" t="s">
        <v>525</v>
      </c>
      <c r="B237" t="s">
        <v>1469</v>
      </c>
      <c r="C237" t="s">
        <v>1470</v>
      </c>
      <c r="D237" t="s">
        <v>1463</v>
      </c>
      <c r="E237" t="s">
        <v>664</v>
      </c>
      <c r="F237" t="s">
        <v>27</v>
      </c>
      <c r="G237" s="1">
        <v>44927</v>
      </c>
      <c r="H237" s="1">
        <v>44927</v>
      </c>
      <c r="I237" t="s">
        <v>665</v>
      </c>
      <c r="J237" t="s">
        <v>666</v>
      </c>
      <c r="K237" t="s">
        <v>808</v>
      </c>
      <c r="L237" t="s">
        <v>216</v>
      </c>
      <c r="M237" t="s">
        <v>985</v>
      </c>
      <c r="N237" t="s">
        <v>986</v>
      </c>
      <c r="O237" t="s">
        <v>1168</v>
      </c>
      <c r="P237" t="s">
        <v>1169</v>
      </c>
      <c r="Q237" t="s">
        <v>975</v>
      </c>
      <c r="R237" t="s">
        <v>976</v>
      </c>
      <c r="S237" t="s">
        <v>1471</v>
      </c>
      <c r="T237" t="s">
        <v>550</v>
      </c>
      <c r="U237" t="s">
        <v>1472</v>
      </c>
      <c r="V237" t="s">
        <v>1473</v>
      </c>
      <c r="W237" t="s">
        <v>554</v>
      </c>
      <c r="X237" t="s">
        <v>669</v>
      </c>
      <c r="Y237" t="s">
        <v>799</v>
      </c>
      <c r="Z237" t="s">
        <v>1469</v>
      </c>
    </row>
    <row r="238" spans="1:26" x14ac:dyDescent="0.3">
      <c r="A238" t="s">
        <v>525</v>
      </c>
      <c r="B238" t="s">
        <v>1474</v>
      </c>
      <c r="C238" t="s">
        <v>1475</v>
      </c>
      <c r="D238" t="s">
        <v>550</v>
      </c>
      <c r="E238" t="s">
        <v>664</v>
      </c>
      <c r="F238" t="s">
        <v>27</v>
      </c>
      <c r="G238" s="1">
        <v>44197</v>
      </c>
      <c r="H238" s="1">
        <v>44197</v>
      </c>
      <c r="I238" t="s">
        <v>665</v>
      </c>
      <c r="J238" t="s">
        <v>666</v>
      </c>
      <c r="K238" t="s">
        <v>24</v>
      </c>
      <c r="L238" t="s">
        <v>667</v>
      </c>
      <c r="M238" t="s">
        <v>873</v>
      </c>
      <c r="N238" t="s">
        <v>244</v>
      </c>
      <c r="O238" t="s">
        <v>1168</v>
      </c>
      <c r="P238" t="s">
        <v>1169</v>
      </c>
      <c r="Q238" t="s">
        <v>975</v>
      </c>
      <c r="R238" t="s">
        <v>976</v>
      </c>
      <c r="S238" t="s">
        <v>550</v>
      </c>
      <c r="T238" t="s">
        <v>550</v>
      </c>
      <c r="U238" t="s">
        <v>550</v>
      </c>
      <c r="V238" t="s">
        <v>1476</v>
      </c>
      <c r="W238" t="s">
        <v>565</v>
      </c>
      <c r="X238" t="s">
        <v>669</v>
      </c>
      <c r="Y238" t="s">
        <v>856</v>
      </c>
      <c r="Z238" t="s">
        <v>1474</v>
      </c>
    </row>
    <row r="239" spans="1:26" x14ac:dyDescent="0.3">
      <c r="A239" t="s">
        <v>525</v>
      </c>
      <c r="B239" t="s">
        <v>1477</v>
      </c>
      <c r="C239" t="s">
        <v>1478</v>
      </c>
      <c r="D239" t="s">
        <v>1474</v>
      </c>
      <c r="E239" t="s">
        <v>664</v>
      </c>
      <c r="F239" t="s">
        <v>27</v>
      </c>
      <c r="G239" s="1">
        <v>44197</v>
      </c>
      <c r="H239" s="1">
        <v>44386</v>
      </c>
      <c r="I239" t="s">
        <v>665</v>
      </c>
      <c r="J239" t="s">
        <v>666</v>
      </c>
      <c r="K239" t="s">
        <v>24</v>
      </c>
      <c r="L239" t="s">
        <v>667</v>
      </c>
      <c r="M239" t="s">
        <v>873</v>
      </c>
      <c r="N239" t="s">
        <v>244</v>
      </c>
      <c r="O239" t="s">
        <v>1168</v>
      </c>
      <c r="P239" t="s">
        <v>1169</v>
      </c>
      <c r="Q239" t="s">
        <v>975</v>
      </c>
      <c r="R239" t="s">
        <v>976</v>
      </c>
      <c r="S239" t="s">
        <v>550</v>
      </c>
      <c r="T239" t="s">
        <v>550</v>
      </c>
      <c r="U239" t="s">
        <v>550</v>
      </c>
      <c r="V239" t="s">
        <v>1479</v>
      </c>
      <c r="W239" t="s">
        <v>565</v>
      </c>
      <c r="X239" t="s">
        <v>669</v>
      </c>
      <c r="Y239" t="s">
        <v>856</v>
      </c>
      <c r="Z239" t="s">
        <v>1477</v>
      </c>
    </row>
    <row r="240" spans="1:26" x14ac:dyDescent="0.3">
      <c r="A240" t="s">
        <v>525</v>
      </c>
      <c r="B240" t="s">
        <v>1480</v>
      </c>
      <c r="C240" t="s">
        <v>1481</v>
      </c>
      <c r="D240" t="s">
        <v>550</v>
      </c>
      <c r="E240" t="s">
        <v>664</v>
      </c>
      <c r="F240" t="s">
        <v>27</v>
      </c>
      <c r="G240" s="1">
        <v>44197</v>
      </c>
      <c r="H240" s="1">
        <v>44197</v>
      </c>
      <c r="I240" t="s">
        <v>665</v>
      </c>
      <c r="J240" t="s">
        <v>666</v>
      </c>
      <c r="K240" t="s">
        <v>24</v>
      </c>
      <c r="L240" t="s">
        <v>1010</v>
      </c>
      <c r="M240" t="s">
        <v>873</v>
      </c>
      <c r="N240" t="s">
        <v>244</v>
      </c>
      <c r="O240" t="s">
        <v>1168</v>
      </c>
      <c r="P240" t="s">
        <v>1169</v>
      </c>
      <c r="Q240" t="s">
        <v>975</v>
      </c>
      <c r="R240" t="s">
        <v>976</v>
      </c>
      <c r="S240" t="s">
        <v>550</v>
      </c>
      <c r="T240" t="s">
        <v>550</v>
      </c>
      <c r="U240" t="s">
        <v>550</v>
      </c>
      <c r="V240" t="s">
        <v>1482</v>
      </c>
      <c r="W240" t="s">
        <v>565</v>
      </c>
      <c r="X240" t="s">
        <v>669</v>
      </c>
      <c r="Y240" t="s">
        <v>856</v>
      </c>
      <c r="Z240" t="s">
        <v>1480</v>
      </c>
    </row>
    <row r="241" spans="1:26" x14ac:dyDescent="0.3">
      <c r="A241" t="s">
        <v>525</v>
      </c>
      <c r="B241" t="s">
        <v>1483</v>
      </c>
      <c r="C241" t="s">
        <v>1484</v>
      </c>
      <c r="D241" t="s">
        <v>1480</v>
      </c>
      <c r="E241" t="s">
        <v>664</v>
      </c>
      <c r="F241" t="s">
        <v>27</v>
      </c>
      <c r="G241" s="1">
        <v>44197</v>
      </c>
      <c r="H241" s="1">
        <v>44265</v>
      </c>
      <c r="I241" t="s">
        <v>665</v>
      </c>
      <c r="J241" t="s">
        <v>666</v>
      </c>
      <c r="K241" t="s">
        <v>24</v>
      </c>
      <c r="L241" t="s">
        <v>1010</v>
      </c>
      <c r="M241" t="s">
        <v>873</v>
      </c>
      <c r="N241" t="s">
        <v>244</v>
      </c>
      <c r="O241" t="s">
        <v>1168</v>
      </c>
      <c r="P241" t="s">
        <v>1169</v>
      </c>
      <c r="Q241" t="s">
        <v>975</v>
      </c>
      <c r="R241" t="s">
        <v>976</v>
      </c>
      <c r="S241" t="s">
        <v>550</v>
      </c>
      <c r="T241" t="s">
        <v>550</v>
      </c>
      <c r="U241" t="s">
        <v>550</v>
      </c>
      <c r="V241" t="s">
        <v>1485</v>
      </c>
      <c r="W241" t="s">
        <v>565</v>
      </c>
      <c r="X241" t="s">
        <v>669</v>
      </c>
      <c r="Y241" t="s">
        <v>856</v>
      </c>
      <c r="Z241" t="s">
        <v>1483</v>
      </c>
    </row>
    <row r="242" spans="1:26" x14ac:dyDescent="0.3">
      <c r="A242" t="s">
        <v>525</v>
      </c>
      <c r="B242" t="s">
        <v>1486</v>
      </c>
      <c r="C242" t="s">
        <v>1487</v>
      </c>
      <c r="D242" t="s">
        <v>550</v>
      </c>
      <c r="E242" t="s">
        <v>664</v>
      </c>
      <c r="F242" t="s">
        <v>27</v>
      </c>
      <c r="G242" s="1">
        <v>44197</v>
      </c>
      <c r="H242" s="1">
        <v>44197</v>
      </c>
      <c r="I242" t="s">
        <v>665</v>
      </c>
      <c r="J242" t="s">
        <v>666</v>
      </c>
      <c r="K242" t="s">
        <v>24</v>
      </c>
      <c r="L242" t="s">
        <v>667</v>
      </c>
      <c r="M242" t="s">
        <v>873</v>
      </c>
      <c r="N242" t="s">
        <v>244</v>
      </c>
      <c r="O242" t="s">
        <v>1168</v>
      </c>
      <c r="P242" t="s">
        <v>1169</v>
      </c>
      <c r="Q242" t="s">
        <v>975</v>
      </c>
      <c r="R242" t="s">
        <v>976</v>
      </c>
      <c r="S242" t="s">
        <v>550</v>
      </c>
      <c r="T242" t="s">
        <v>550</v>
      </c>
      <c r="U242" t="s">
        <v>550</v>
      </c>
      <c r="V242" t="s">
        <v>1488</v>
      </c>
      <c r="W242" t="s">
        <v>875</v>
      </c>
      <c r="X242" t="s">
        <v>669</v>
      </c>
      <c r="Y242" t="s">
        <v>856</v>
      </c>
      <c r="Z242" t="s">
        <v>1486</v>
      </c>
    </row>
    <row r="243" spans="1:26" x14ac:dyDescent="0.3">
      <c r="A243" t="s">
        <v>525</v>
      </c>
      <c r="B243" t="s">
        <v>1489</v>
      </c>
      <c r="C243" t="s">
        <v>1490</v>
      </c>
      <c r="D243" t="s">
        <v>1486</v>
      </c>
      <c r="E243" t="s">
        <v>664</v>
      </c>
      <c r="F243" t="s">
        <v>27</v>
      </c>
      <c r="G243" s="1">
        <v>44197</v>
      </c>
      <c r="H243" s="1">
        <v>44315</v>
      </c>
      <c r="I243" t="s">
        <v>665</v>
      </c>
      <c r="J243" t="s">
        <v>666</v>
      </c>
      <c r="K243" t="s">
        <v>24</v>
      </c>
      <c r="L243" t="s">
        <v>667</v>
      </c>
      <c r="M243" t="s">
        <v>873</v>
      </c>
      <c r="N243" t="s">
        <v>244</v>
      </c>
      <c r="O243" t="s">
        <v>1168</v>
      </c>
      <c r="P243" t="s">
        <v>1169</v>
      </c>
      <c r="Q243" t="s">
        <v>975</v>
      </c>
      <c r="R243" t="s">
        <v>976</v>
      </c>
      <c r="S243" t="s">
        <v>550</v>
      </c>
      <c r="T243" t="s">
        <v>550</v>
      </c>
      <c r="U243" t="s">
        <v>550</v>
      </c>
      <c r="V243" t="s">
        <v>1491</v>
      </c>
      <c r="W243" t="s">
        <v>875</v>
      </c>
      <c r="X243" t="s">
        <v>669</v>
      </c>
      <c r="Y243" t="s">
        <v>856</v>
      </c>
      <c r="Z243" t="s">
        <v>1489</v>
      </c>
    </row>
    <row r="244" spans="1:26" x14ac:dyDescent="0.3">
      <c r="A244" t="s">
        <v>525</v>
      </c>
      <c r="B244" t="s">
        <v>1492</v>
      </c>
      <c r="C244" t="s">
        <v>1493</v>
      </c>
      <c r="D244" t="s">
        <v>550</v>
      </c>
      <c r="E244" t="s">
        <v>664</v>
      </c>
      <c r="F244" t="s">
        <v>27</v>
      </c>
      <c r="G244" s="1">
        <v>44197</v>
      </c>
      <c r="H244" s="1">
        <v>44197</v>
      </c>
      <c r="I244" t="s">
        <v>665</v>
      </c>
      <c r="J244" t="s">
        <v>666</v>
      </c>
      <c r="K244" t="s">
        <v>24</v>
      </c>
      <c r="L244" t="s">
        <v>667</v>
      </c>
      <c r="M244" t="s">
        <v>873</v>
      </c>
      <c r="N244" t="s">
        <v>244</v>
      </c>
      <c r="O244" t="s">
        <v>1168</v>
      </c>
      <c r="P244" t="s">
        <v>1169</v>
      </c>
      <c r="Q244" t="s">
        <v>975</v>
      </c>
      <c r="R244" t="s">
        <v>976</v>
      </c>
      <c r="S244" t="s">
        <v>550</v>
      </c>
      <c r="T244" t="s">
        <v>550</v>
      </c>
      <c r="U244" t="s">
        <v>550</v>
      </c>
      <c r="V244" t="s">
        <v>1494</v>
      </c>
      <c r="W244" t="s">
        <v>875</v>
      </c>
      <c r="X244" t="s">
        <v>669</v>
      </c>
      <c r="Y244" t="s">
        <v>856</v>
      </c>
      <c r="Z244" t="s">
        <v>1492</v>
      </c>
    </row>
    <row r="245" spans="1:26" x14ac:dyDescent="0.3">
      <c r="A245" t="s">
        <v>525</v>
      </c>
      <c r="B245" t="s">
        <v>1495</v>
      </c>
      <c r="C245" t="s">
        <v>1496</v>
      </c>
      <c r="D245" t="s">
        <v>1492</v>
      </c>
      <c r="E245" t="s">
        <v>664</v>
      </c>
      <c r="F245" t="s">
        <v>27</v>
      </c>
      <c r="G245" s="1">
        <v>44197</v>
      </c>
      <c r="H245" s="1">
        <v>44200</v>
      </c>
      <c r="I245" t="s">
        <v>665</v>
      </c>
      <c r="J245" t="s">
        <v>666</v>
      </c>
      <c r="K245" t="s">
        <v>24</v>
      </c>
      <c r="L245" t="s">
        <v>667</v>
      </c>
      <c r="M245" t="s">
        <v>873</v>
      </c>
      <c r="N245" t="s">
        <v>244</v>
      </c>
      <c r="O245" t="s">
        <v>1168</v>
      </c>
      <c r="P245" t="s">
        <v>1169</v>
      </c>
      <c r="Q245" t="s">
        <v>975</v>
      </c>
      <c r="R245" t="s">
        <v>976</v>
      </c>
      <c r="S245" t="s">
        <v>550</v>
      </c>
      <c r="T245" t="s">
        <v>550</v>
      </c>
      <c r="U245" t="s">
        <v>550</v>
      </c>
      <c r="V245" t="s">
        <v>1497</v>
      </c>
      <c r="W245" t="s">
        <v>875</v>
      </c>
      <c r="X245" t="s">
        <v>669</v>
      </c>
      <c r="Y245" t="s">
        <v>856</v>
      </c>
      <c r="Z245" t="s">
        <v>1495</v>
      </c>
    </row>
    <row r="246" spans="1:26" x14ac:dyDescent="0.3">
      <c r="A246" t="s">
        <v>525</v>
      </c>
      <c r="B246" t="s">
        <v>1498</v>
      </c>
      <c r="C246" t="s">
        <v>1499</v>
      </c>
      <c r="D246" t="s">
        <v>550</v>
      </c>
      <c r="E246" t="s">
        <v>664</v>
      </c>
      <c r="F246" t="s">
        <v>27</v>
      </c>
      <c r="G246" s="1">
        <v>44197</v>
      </c>
      <c r="H246" s="1">
        <v>44197</v>
      </c>
      <c r="I246" t="s">
        <v>665</v>
      </c>
      <c r="J246" t="s">
        <v>666</v>
      </c>
      <c r="K246" t="s">
        <v>24</v>
      </c>
      <c r="L246" t="s">
        <v>667</v>
      </c>
      <c r="M246" t="s">
        <v>889</v>
      </c>
      <c r="N246" t="s">
        <v>890</v>
      </c>
      <c r="O246" t="s">
        <v>891</v>
      </c>
      <c r="P246" t="s">
        <v>892</v>
      </c>
      <c r="Q246" t="s">
        <v>975</v>
      </c>
      <c r="R246" t="s">
        <v>976</v>
      </c>
      <c r="S246" t="s">
        <v>550</v>
      </c>
      <c r="T246" t="s">
        <v>550</v>
      </c>
      <c r="U246" t="s">
        <v>550</v>
      </c>
      <c r="V246" t="s">
        <v>1500</v>
      </c>
      <c r="W246" t="s">
        <v>978</v>
      </c>
      <c r="X246" t="s">
        <v>669</v>
      </c>
      <c r="Y246" t="s">
        <v>803</v>
      </c>
      <c r="Z246" t="s">
        <v>1498</v>
      </c>
    </row>
    <row r="247" spans="1:26" x14ac:dyDescent="0.3">
      <c r="A247" t="s">
        <v>525</v>
      </c>
      <c r="B247" t="s">
        <v>1501</v>
      </c>
      <c r="C247" t="s">
        <v>1502</v>
      </c>
      <c r="D247" t="s">
        <v>1498</v>
      </c>
      <c r="E247" t="s">
        <v>664</v>
      </c>
      <c r="F247" t="s">
        <v>27</v>
      </c>
      <c r="G247" s="1">
        <v>44197</v>
      </c>
      <c r="H247" s="1">
        <v>44197</v>
      </c>
      <c r="I247" t="s">
        <v>665</v>
      </c>
      <c r="J247" t="s">
        <v>666</v>
      </c>
      <c r="K247" t="s">
        <v>24</v>
      </c>
      <c r="L247" t="s">
        <v>667</v>
      </c>
      <c r="M247" t="s">
        <v>889</v>
      </c>
      <c r="N247" t="s">
        <v>890</v>
      </c>
      <c r="O247" t="s">
        <v>891</v>
      </c>
      <c r="P247" t="s">
        <v>892</v>
      </c>
      <c r="Q247" t="s">
        <v>975</v>
      </c>
      <c r="R247" t="s">
        <v>976</v>
      </c>
      <c r="S247" t="s">
        <v>550</v>
      </c>
      <c r="T247" t="s">
        <v>550</v>
      </c>
      <c r="U247" t="s">
        <v>550</v>
      </c>
      <c r="V247" t="s">
        <v>1503</v>
      </c>
      <c r="W247" t="s">
        <v>978</v>
      </c>
      <c r="X247" t="s">
        <v>669</v>
      </c>
      <c r="Y247" t="s">
        <v>803</v>
      </c>
      <c r="Z247" t="s">
        <v>1501</v>
      </c>
    </row>
    <row r="248" spans="1:26" x14ac:dyDescent="0.3">
      <c r="A248" t="s">
        <v>525</v>
      </c>
      <c r="B248" t="s">
        <v>1504</v>
      </c>
      <c r="C248" t="s">
        <v>1505</v>
      </c>
      <c r="D248" t="s">
        <v>550</v>
      </c>
      <c r="E248" t="s">
        <v>664</v>
      </c>
      <c r="F248" t="s">
        <v>27</v>
      </c>
      <c r="G248" s="1">
        <v>43831</v>
      </c>
      <c r="H248" s="1">
        <v>44498</v>
      </c>
      <c r="I248" t="s">
        <v>665</v>
      </c>
      <c r="J248" t="s">
        <v>666</v>
      </c>
      <c r="K248" t="s">
        <v>24</v>
      </c>
      <c r="L248" t="s">
        <v>667</v>
      </c>
      <c r="M248" t="s">
        <v>889</v>
      </c>
      <c r="N248" t="s">
        <v>890</v>
      </c>
      <c r="O248" t="s">
        <v>891</v>
      </c>
      <c r="P248" t="s">
        <v>892</v>
      </c>
      <c r="Q248" t="s">
        <v>975</v>
      </c>
      <c r="R248" t="s">
        <v>976</v>
      </c>
      <c r="S248" t="s">
        <v>550</v>
      </c>
      <c r="T248" t="s">
        <v>550</v>
      </c>
      <c r="U248" t="s">
        <v>550</v>
      </c>
      <c r="V248" t="s">
        <v>1506</v>
      </c>
      <c r="W248" t="s">
        <v>978</v>
      </c>
      <c r="X248" t="s">
        <v>979</v>
      </c>
      <c r="Y248" t="s">
        <v>803</v>
      </c>
      <c r="Z248" t="s">
        <v>1504</v>
      </c>
    </row>
    <row r="249" spans="1:26" x14ac:dyDescent="0.3">
      <c r="A249" t="s">
        <v>525</v>
      </c>
      <c r="B249" t="s">
        <v>1507</v>
      </c>
      <c r="C249" t="s">
        <v>1508</v>
      </c>
      <c r="D249" t="s">
        <v>550</v>
      </c>
      <c r="E249" t="s">
        <v>664</v>
      </c>
      <c r="F249" t="s">
        <v>27</v>
      </c>
      <c r="G249" s="1">
        <v>43983</v>
      </c>
      <c r="H249" s="1">
        <v>44250</v>
      </c>
      <c r="I249" t="s">
        <v>665</v>
      </c>
      <c r="J249" t="s">
        <v>666</v>
      </c>
      <c r="K249" t="s">
        <v>24</v>
      </c>
      <c r="L249" t="s">
        <v>667</v>
      </c>
      <c r="M249" t="s">
        <v>889</v>
      </c>
      <c r="N249" t="s">
        <v>890</v>
      </c>
      <c r="O249" t="s">
        <v>891</v>
      </c>
      <c r="P249" t="s">
        <v>892</v>
      </c>
      <c r="Q249" t="s">
        <v>975</v>
      </c>
      <c r="R249" t="s">
        <v>976</v>
      </c>
      <c r="S249" t="s">
        <v>550</v>
      </c>
      <c r="T249" t="s">
        <v>893</v>
      </c>
      <c r="U249" t="s">
        <v>1509</v>
      </c>
      <c r="V249" t="s">
        <v>1510</v>
      </c>
      <c r="W249" t="s">
        <v>565</v>
      </c>
      <c r="X249" t="s">
        <v>669</v>
      </c>
      <c r="Y249" t="s">
        <v>856</v>
      </c>
      <c r="Z249" t="s">
        <v>1507</v>
      </c>
    </row>
    <row r="250" spans="1:26" x14ac:dyDescent="0.3">
      <c r="A250" t="s">
        <v>525</v>
      </c>
      <c r="B250" t="s">
        <v>1511</v>
      </c>
      <c r="C250" t="s">
        <v>1505</v>
      </c>
      <c r="D250" t="s">
        <v>550</v>
      </c>
      <c r="E250" t="s">
        <v>664</v>
      </c>
      <c r="F250" t="s">
        <v>27</v>
      </c>
      <c r="G250" s="1">
        <v>43983</v>
      </c>
      <c r="H250" s="1">
        <v>44606</v>
      </c>
      <c r="I250" t="s">
        <v>665</v>
      </c>
      <c r="J250" t="s">
        <v>666</v>
      </c>
      <c r="K250" t="s">
        <v>24</v>
      </c>
      <c r="L250" t="s">
        <v>667</v>
      </c>
      <c r="M250" t="s">
        <v>889</v>
      </c>
      <c r="N250" t="s">
        <v>890</v>
      </c>
      <c r="O250" t="s">
        <v>891</v>
      </c>
      <c r="P250" t="s">
        <v>892</v>
      </c>
      <c r="Q250" t="s">
        <v>975</v>
      </c>
      <c r="R250" t="s">
        <v>976</v>
      </c>
      <c r="S250" t="s">
        <v>550</v>
      </c>
      <c r="T250" t="s">
        <v>550</v>
      </c>
      <c r="U250" t="s">
        <v>550</v>
      </c>
      <c r="V250" t="s">
        <v>1512</v>
      </c>
      <c r="W250" t="s">
        <v>1513</v>
      </c>
      <c r="X250" t="s">
        <v>979</v>
      </c>
      <c r="Y250" t="s">
        <v>803</v>
      </c>
      <c r="Z250" t="s">
        <v>1511</v>
      </c>
    </row>
    <row r="251" spans="1:26" x14ac:dyDescent="0.3">
      <c r="A251" t="s">
        <v>525</v>
      </c>
      <c r="B251" t="s">
        <v>1514</v>
      </c>
      <c r="C251" t="s">
        <v>1515</v>
      </c>
      <c r="D251" t="s">
        <v>550</v>
      </c>
      <c r="E251" t="s">
        <v>1516</v>
      </c>
      <c r="F251" t="s">
        <v>1517</v>
      </c>
      <c r="G251" s="1">
        <v>44197</v>
      </c>
      <c r="H251" s="1">
        <v>44197</v>
      </c>
      <c r="I251" t="s">
        <v>665</v>
      </c>
      <c r="J251" t="s">
        <v>1518</v>
      </c>
      <c r="K251" t="s">
        <v>24</v>
      </c>
      <c r="L251" t="s">
        <v>216</v>
      </c>
      <c r="M251" t="s">
        <v>891</v>
      </c>
      <c r="N251" t="s">
        <v>892</v>
      </c>
      <c r="O251" t="s">
        <v>891</v>
      </c>
      <c r="P251" t="s">
        <v>892</v>
      </c>
      <c r="Q251" t="s">
        <v>975</v>
      </c>
      <c r="R251" t="s">
        <v>976</v>
      </c>
      <c r="S251" t="s">
        <v>550</v>
      </c>
      <c r="T251" t="s">
        <v>550</v>
      </c>
      <c r="U251" t="s">
        <v>550</v>
      </c>
      <c r="V251" t="s">
        <v>1519</v>
      </c>
      <c r="W251" t="s">
        <v>978</v>
      </c>
      <c r="X251" t="s">
        <v>979</v>
      </c>
      <c r="Y251" t="s">
        <v>803</v>
      </c>
      <c r="Z251" t="s">
        <v>1514</v>
      </c>
    </row>
    <row r="252" spans="1:26" x14ac:dyDescent="0.3">
      <c r="A252" t="s">
        <v>525</v>
      </c>
      <c r="B252" t="s">
        <v>1520</v>
      </c>
      <c r="C252" t="s">
        <v>1521</v>
      </c>
      <c r="D252" t="s">
        <v>1514</v>
      </c>
      <c r="E252" t="s">
        <v>1516</v>
      </c>
      <c r="F252" t="s">
        <v>1517</v>
      </c>
      <c r="G252" s="1">
        <v>44197</v>
      </c>
      <c r="H252" s="1">
        <v>44400</v>
      </c>
      <c r="I252" t="s">
        <v>665</v>
      </c>
      <c r="J252" t="s">
        <v>1518</v>
      </c>
      <c r="K252" t="s">
        <v>24</v>
      </c>
      <c r="L252" t="s">
        <v>216</v>
      </c>
      <c r="M252" t="s">
        <v>891</v>
      </c>
      <c r="N252" t="s">
        <v>892</v>
      </c>
      <c r="O252" t="s">
        <v>891</v>
      </c>
      <c r="P252" t="s">
        <v>892</v>
      </c>
      <c r="Q252" t="s">
        <v>975</v>
      </c>
      <c r="R252" t="s">
        <v>976</v>
      </c>
      <c r="S252" t="s">
        <v>550</v>
      </c>
      <c r="T252" t="s">
        <v>550</v>
      </c>
      <c r="U252" t="s">
        <v>550</v>
      </c>
      <c r="V252" t="s">
        <v>1522</v>
      </c>
      <c r="W252" t="s">
        <v>978</v>
      </c>
      <c r="X252" t="s">
        <v>979</v>
      </c>
      <c r="Y252" t="s">
        <v>803</v>
      </c>
      <c r="Z252" t="s">
        <v>1520</v>
      </c>
    </row>
    <row r="253" spans="1:26" x14ac:dyDescent="0.3">
      <c r="A253" t="s">
        <v>525</v>
      </c>
      <c r="B253" t="s">
        <v>1523</v>
      </c>
      <c r="C253" t="s">
        <v>1524</v>
      </c>
      <c r="D253" t="s">
        <v>550</v>
      </c>
      <c r="E253" t="s">
        <v>664</v>
      </c>
      <c r="F253" t="s">
        <v>27</v>
      </c>
      <c r="G253" s="1">
        <v>44197</v>
      </c>
      <c r="H253" s="1">
        <v>44197</v>
      </c>
      <c r="I253" t="s">
        <v>665</v>
      </c>
      <c r="J253" t="s">
        <v>666</v>
      </c>
      <c r="K253" t="s">
        <v>24</v>
      </c>
      <c r="L253" t="s">
        <v>667</v>
      </c>
      <c r="M253" t="s">
        <v>1525</v>
      </c>
      <c r="N253" t="s">
        <v>1526</v>
      </c>
      <c r="O253" t="s">
        <v>891</v>
      </c>
      <c r="P253" t="s">
        <v>892</v>
      </c>
      <c r="Q253" t="s">
        <v>975</v>
      </c>
      <c r="R253" t="s">
        <v>976</v>
      </c>
      <c r="S253" t="s">
        <v>550</v>
      </c>
      <c r="T253" t="s">
        <v>893</v>
      </c>
      <c r="U253" t="s">
        <v>550</v>
      </c>
      <c r="V253" t="s">
        <v>1527</v>
      </c>
      <c r="W253" t="s">
        <v>613</v>
      </c>
      <c r="X253" t="s">
        <v>74</v>
      </c>
      <c r="Y253" t="s">
        <v>803</v>
      </c>
      <c r="Z253" t="s">
        <v>1523</v>
      </c>
    </row>
    <row r="254" spans="1:26" x14ac:dyDescent="0.3">
      <c r="A254" t="s">
        <v>525</v>
      </c>
      <c r="B254" t="s">
        <v>1528</v>
      </c>
      <c r="C254" t="s">
        <v>1529</v>
      </c>
      <c r="D254" t="s">
        <v>1523</v>
      </c>
      <c r="E254" t="s">
        <v>664</v>
      </c>
      <c r="F254" t="s">
        <v>27</v>
      </c>
      <c r="G254" s="1">
        <v>44197</v>
      </c>
      <c r="H254" s="1">
        <v>44197</v>
      </c>
      <c r="I254" t="s">
        <v>665</v>
      </c>
      <c r="J254" t="s">
        <v>666</v>
      </c>
      <c r="K254" t="s">
        <v>24</v>
      </c>
      <c r="L254" t="s">
        <v>667</v>
      </c>
      <c r="M254" t="s">
        <v>1525</v>
      </c>
      <c r="N254" t="s">
        <v>1526</v>
      </c>
      <c r="O254" t="s">
        <v>891</v>
      </c>
      <c r="P254" t="s">
        <v>892</v>
      </c>
      <c r="Q254" t="s">
        <v>975</v>
      </c>
      <c r="R254" t="s">
        <v>976</v>
      </c>
      <c r="S254" t="s">
        <v>550</v>
      </c>
      <c r="T254" t="s">
        <v>893</v>
      </c>
      <c r="U254" t="s">
        <v>550</v>
      </c>
      <c r="V254" t="s">
        <v>1530</v>
      </c>
      <c r="W254" t="s">
        <v>613</v>
      </c>
      <c r="X254" t="s">
        <v>74</v>
      </c>
      <c r="Y254" t="s">
        <v>803</v>
      </c>
      <c r="Z254" t="s">
        <v>1528</v>
      </c>
    </row>
    <row r="255" spans="1:26" x14ac:dyDescent="0.3">
      <c r="A255" t="s">
        <v>525</v>
      </c>
      <c r="B255" t="s">
        <v>1531</v>
      </c>
      <c r="C255" t="s">
        <v>1532</v>
      </c>
      <c r="D255" t="s">
        <v>550</v>
      </c>
      <c r="E255" t="s">
        <v>664</v>
      </c>
      <c r="F255" t="s">
        <v>27</v>
      </c>
      <c r="G255" s="1">
        <v>44197</v>
      </c>
      <c r="H255" s="1">
        <v>44197</v>
      </c>
      <c r="I255" t="s">
        <v>665</v>
      </c>
      <c r="J255" t="s">
        <v>666</v>
      </c>
      <c r="K255" t="s">
        <v>24</v>
      </c>
      <c r="L255" t="s">
        <v>667</v>
      </c>
      <c r="M255" t="s">
        <v>1525</v>
      </c>
      <c r="N255" t="s">
        <v>1526</v>
      </c>
      <c r="O255" t="s">
        <v>891</v>
      </c>
      <c r="P255" t="s">
        <v>892</v>
      </c>
      <c r="Q255" t="s">
        <v>975</v>
      </c>
      <c r="R255" t="s">
        <v>976</v>
      </c>
      <c r="S255" t="s">
        <v>550</v>
      </c>
      <c r="T255" t="s">
        <v>893</v>
      </c>
      <c r="U255" t="s">
        <v>550</v>
      </c>
      <c r="V255" t="s">
        <v>1533</v>
      </c>
      <c r="W255" t="s">
        <v>565</v>
      </c>
      <c r="X255" t="s">
        <v>669</v>
      </c>
      <c r="Y255" t="s">
        <v>856</v>
      </c>
      <c r="Z255" t="s">
        <v>1531</v>
      </c>
    </row>
    <row r="256" spans="1:26" x14ac:dyDescent="0.3">
      <c r="A256" t="s">
        <v>525</v>
      </c>
      <c r="B256" t="s">
        <v>1534</v>
      </c>
      <c r="C256" t="s">
        <v>1535</v>
      </c>
      <c r="D256" t="s">
        <v>1531</v>
      </c>
      <c r="E256" t="s">
        <v>664</v>
      </c>
      <c r="F256" t="s">
        <v>27</v>
      </c>
      <c r="G256" s="1">
        <v>44197</v>
      </c>
      <c r="H256" s="1">
        <v>44197</v>
      </c>
      <c r="I256" t="s">
        <v>665</v>
      </c>
      <c r="J256" t="s">
        <v>666</v>
      </c>
      <c r="K256" t="s">
        <v>24</v>
      </c>
      <c r="L256" t="s">
        <v>667</v>
      </c>
      <c r="M256" t="s">
        <v>1525</v>
      </c>
      <c r="N256" t="s">
        <v>1526</v>
      </c>
      <c r="O256" t="s">
        <v>891</v>
      </c>
      <c r="P256" t="s">
        <v>892</v>
      </c>
      <c r="Q256" t="s">
        <v>975</v>
      </c>
      <c r="R256" t="s">
        <v>976</v>
      </c>
      <c r="S256" t="s">
        <v>550</v>
      </c>
      <c r="T256" t="s">
        <v>893</v>
      </c>
      <c r="U256" t="s">
        <v>550</v>
      </c>
      <c r="V256" t="s">
        <v>1536</v>
      </c>
      <c r="W256" t="s">
        <v>565</v>
      </c>
      <c r="X256" t="s">
        <v>669</v>
      </c>
      <c r="Y256" t="s">
        <v>856</v>
      </c>
      <c r="Z256" t="s">
        <v>1534</v>
      </c>
    </row>
    <row r="257" spans="1:26" x14ac:dyDescent="0.3">
      <c r="A257" t="s">
        <v>525</v>
      </c>
      <c r="B257" t="s">
        <v>1537</v>
      </c>
      <c r="C257" t="s">
        <v>1538</v>
      </c>
      <c r="D257" t="s">
        <v>550</v>
      </c>
      <c r="E257" t="s">
        <v>664</v>
      </c>
      <c r="F257" t="s">
        <v>27</v>
      </c>
      <c r="G257" s="1">
        <v>44197</v>
      </c>
      <c r="H257" s="1">
        <v>44197</v>
      </c>
      <c r="I257" t="s">
        <v>665</v>
      </c>
      <c r="J257" t="s">
        <v>666</v>
      </c>
      <c r="K257" t="s">
        <v>24</v>
      </c>
      <c r="L257" t="s">
        <v>667</v>
      </c>
      <c r="M257" t="s">
        <v>1525</v>
      </c>
      <c r="N257" t="s">
        <v>1526</v>
      </c>
      <c r="O257" t="s">
        <v>891</v>
      </c>
      <c r="P257" t="s">
        <v>892</v>
      </c>
      <c r="Q257" t="s">
        <v>975</v>
      </c>
      <c r="R257" t="s">
        <v>976</v>
      </c>
      <c r="S257" t="s">
        <v>550</v>
      </c>
      <c r="T257" t="s">
        <v>893</v>
      </c>
      <c r="U257" t="s">
        <v>550</v>
      </c>
      <c r="V257" t="s">
        <v>1539</v>
      </c>
      <c r="W257" t="s">
        <v>554</v>
      </c>
      <c r="X257" t="s">
        <v>669</v>
      </c>
      <c r="Y257" t="s">
        <v>799</v>
      </c>
      <c r="Z257" t="s">
        <v>1537</v>
      </c>
    </row>
    <row r="258" spans="1:26" x14ac:dyDescent="0.3">
      <c r="A258" t="s">
        <v>525</v>
      </c>
      <c r="B258" t="s">
        <v>1540</v>
      </c>
      <c r="C258" t="s">
        <v>1541</v>
      </c>
      <c r="D258" t="s">
        <v>1537</v>
      </c>
      <c r="E258" t="s">
        <v>664</v>
      </c>
      <c r="F258" t="s">
        <v>27</v>
      </c>
      <c r="G258" s="1">
        <v>44197</v>
      </c>
      <c r="H258" s="1">
        <v>44197</v>
      </c>
      <c r="I258" t="s">
        <v>665</v>
      </c>
      <c r="J258" t="s">
        <v>666</v>
      </c>
      <c r="K258" t="s">
        <v>24</v>
      </c>
      <c r="L258" t="s">
        <v>667</v>
      </c>
      <c r="M258" t="s">
        <v>1525</v>
      </c>
      <c r="N258" t="s">
        <v>1526</v>
      </c>
      <c r="O258" t="s">
        <v>891</v>
      </c>
      <c r="P258" t="s">
        <v>892</v>
      </c>
      <c r="Q258" t="s">
        <v>975</v>
      </c>
      <c r="R258" t="s">
        <v>976</v>
      </c>
      <c r="S258" t="s">
        <v>550</v>
      </c>
      <c r="T258" t="s">
        <v>893</v>
      </c>
      <c r="U258" t="s">
        <v>550</v>
      </c>
      <c r="V258" t="s">
        <v>1542</v>
      </c>
      <c r="W258" t="s">
        <v>554</v>
      </c>
      <c r="X258" t="s">
        <v>669</v>
      </c>
      <c r="Y258" t="s">
        <v>799</v>
      </c>
      <c r="Z258" t="s">
        <v>1540</v>
      </c>
    </row>
    <row r="259" spans="1:26" x14ac:dyDescent="0.3">
      <c r="A259" t="s">
        <v>525</v>
      </c>
      <c r="B259" t="s">
        <v>1543</v>
      </c>
      <c r="C259" t="s">
        <v>1544</v>
      </c>
      <c r="D259" t="s">
        <v>550</v>
      </c>
      <c r="E259" t="s">
        <v>664</v>
      </c>
      <c r="F259" t="s">
        <v>27</v>
      </c>
      <c r="G259" s="1">
        <v>43983</v>
      </c>
      <c r="H259" s="1">
        <v>43983</v>
      </c>
      <c r="I259" t="s">
        <v>665</v>
      </c>
      <c r="J259" t="s">
        <v>666</v>
      </c>
      <c r="K259" t="s">
        <v>24</v>
      </c>
      <c r="L259" t="s">
        <v>667</v>
      </c>
      <c r="M259" t="s">
        <v>797</v>
      </c>
      <c r="N259" t="s">
        <v>313</v>
      </c>
      <c r="O259" t="s">
        <v>891</v>
      </c>
      <c r="P259" t="s">
        <v>892</v>
      </c>
      <c r="Q259" t="s">
        <v>975</v>
      </c>
      <c r="R259" t="s">
        <v>976</v>
      </c>
      <c r="S259" t="s">
        <v>550</v>
      </c>
      <c r="T259" t="s">
        <v>893</v>
      </c>
      <c r="U259" t="s">
        <v>1509</v>
      </c>
      <c r="V259" t="s">
        <v>1545</v>
      </c>
      <c r="W259" t="s">
        <v>978</v>
      </c>
      <c r="X259" t="s">
        <v>669</v>
      </c>
      <c r="Y259" t="s">
        <v>799</v>
      </c>
      <c r="Z259" t="s">
        <v>1543</v>
      </c>
    </row>
    <row r="260" spans="1:26" x14ac:dyDescent="0.3">
      <c r="A260" t="s">
        <v>525</v>
      </c>
      <c r="B260" t="s">
        <v>1546</v>
      </c>
      <c r="C260" t="s">
        <v>1547</v>
      </c>
      <c r="D260" t="s">
        <v>1548</v>
      </c>
      <c r="E260" t="s">
        <v>664</v>
      </c>
      <c r="F260" t="s">
        <v>27</v>
      </c>
      <c r="G260" s="1">
        <v>44470</v>
      </c>
      <c r="H260" s="1">
        <v>44470</v>
      </c>
      <c r="I260" t="s">
        <v>665</v>
      </c>
      <c r="J260" t="s">
        <v>666</v>
      </c>
      <c r="K260" t="s">
        <v>24</v>
      </c>
      <c r="L260" t="s">
        <v>667</v>
      </c>
      <c r="M260" t="s">
        <v>797</v>
      </c>
      <c r="N260" t="s">
        <v>313</v>
      </c>
      <c r="O260" t="s">
        <v>891</v>
      </c>
      <c r="P260" t="s">
        <v>892</v>
      </c>
      <c r="Q260" t="s">
        <v>975</v>
      </c>
      <c r="R260" t="s">
        <v>976</v>
      </c>
      <c r="S260" t="s">
        <v>550</v>
      </c>
      <c r="T260" t="s">
        <v>550</v>
      </c>
      <c r="U260" t="s">
        <v>1509</v>
      </c>
      <c r="V260" t="s">
        <v>1549</v>
      </c>
      <c r="W260" t="s">
        <v>978</v>
      </c>
      <c r="X260" t="s">
        <v>669</v>
      </c>
      <c r="Y260" t="s">
        <v>803</v>
      </c>
      <c r="Z260" t="s">
        <v>1546</v>
      </c>
    </row>
    <row r="261" spans="1:26" x14ac:dyDescent="0.3">
      <c r="A261" t="s">
        <v>525</v>
      </c>
      <c r="B261" t="s">
        <v>1550</v>
      </c>
      <c r="C261" t="s">
        <v>1551</v>
      </c>
      <c r="D261" t="s">
        <v>550</v>
      </c>
      <c r="E261" t="s">
        <v>664</v>
      </c>
      <c r="F261" t="s">
        <v>27</v>
      </c>
      <c r="G261" s="1">
        <v>44197</v>
      </c>
      <c r="H261" s="1">
        <v>44197</v>
      </c>
      <c r="I261" t="s">
        <v>665</v>
      </c>
      <c r="J261" t="s">
        <v>666</v>
      </c>
      <c r="K261" t="s">
        <v>24</v>
      </c>
      <c r="L261" t="s">
        <v>667</v>
      </c>
      <c r="M261" t="s">
        <v>797</v>
      </c>
      <c r="N261" t="s">
        <v>313</v>
      </c>
      <c r="O261" t="s">
        <v>891</v>
      </c>
      <c r="P261" t="s">
        <v>892</v>
      </c>
      <c r="Q261" t="s">
        <v>975</v>
      </c>
      <c r="R261" t="s">
        <v>976</v>
      </c>
      <c r="S261" t="s">
        <v>550</v>
      </c>
      <c r="T261" t="s">
        <v>550</v>
      </c>
      <c r="U261" t="s">
        <v>550</v>
      </c>
      <c r="V261" t="s">
        <v>1552</v>
      </c>
      <c r="W261" t="s">
        <v>978</v>
      </c>
      <c r="X261" t="s">
        <v>669</v>
      </c>
      <c r="Y261" t="s">
        <v>803</v>
      </c>
      <c r="Z261" t="s">
        <v>1550</v>
      </c>
    </row>
    <row r="262" spans="1:26" x14ac:dyDescent="0.3">
      <c r="A262" t="s">
        <v>525</v>
      </c>
      <c r="B262" t="s">
        <v>1553</v>
      </c>
      <c r="C262" t="s">
        <v>1554</v>
      </c>
      <c r="D262" t="s">
        <v>1550</v>
      </c>
      <c r="E262" t="s">
        <v>664</v>
      </c>
      <c r="F262" t="s">
        <v>27</v>
      </c>
      <c r="G262" s="1">
        <v>44197</v>
      </c>
      <c r="H262" s="1">
        <v>44197</v>
      </c>
      <c r="I262" t="s">
        <v>665</v>
      </c>
      <c r="J262" t="s">
        <v>666</v>
      </c>
      <c r="K262" t="s">
        <v>24</v>
      </c>
      <c r="L262" t="s">
        <v>667</v>
      </c>
      <c r="M262" t="s">
        <v>797</v>
      </c>
      <c r="N262" t="s">
        <v>313</v>
      </c>
      <c r="O262" t="s">
        <v>891</v>
      </c>
      <c r="P262" t="s">
        <v>892</v>
      </c>
      <c r="Q262" t="s">
        <v>975</v>
      </c>
      <c r="R262" t="s">
        <v>976</v>
      </c>
      <c r="S262" t="s">
        <v>550</v>
      </c>
      <c r="T262" t="s">
        <v>550</v>
      </c>
      <c r="U262" t="s">
        <v>550</v>
      </c>
      <c r="V262" t="s">
        <v>1555</v>
      </c>
      <c r="W262" t="s">
        <v>978</v>
      </c>
      <c r="X262" t="s">
        <v>669</v>
      </c>
      <c r="Y262" t="s">
        <v>803</v>
      </c>
      <c r="Z262" t="s">
        <v>1553</v>
      </c>
    </row>
    <row r="263" spans="1:26" x14ac:dyDescent="0.3">
      <c r="A263" t="s">
        <v>525</v>
      </c>
      <c r="B263" t="s">
        <v>1556</v>
      </c>
      <c r="C263" t="s">
        <v>1557</v>
      </c>
      <c r="D263" t="s">
        <v>550</v>
      </c>
      <c r="E263" t="s">
        <v>664</v>
      </c>
      <c r="F263" t="s">
        <v>27</v>
      </c>
      <c r="G263" s="1">
        <v>44197</v>
      </c>
      <c r="H263" s="1">
        <v>44197</v>
      </c>
      <c r="I263" t="s">
        <v>665</v>
      </c>
      <c r="J263" t="s">
        <v>666</v>
      </c>
      <c r="K263" t="s">
        <v>24</v>
      </c>
      <c r="L263" t="s">
        <v>667</v>
      </c>
      <c r="M263" t="s">
        <v>797</v>
      </c>
      <c r="N263" t="s">
        <v>313</v>
      </c>
      <c r="O263" t="s">
        <v>891</v>
      </c>
      <c r="P263" t="s">
        <v>892</v>
      </c>
      <c r="Q263" t="s">
        <v>975</v>
      </c>
      <c r="R263" t="s">
        <v>976</v>
      </c>
      <c r="S263" t="s">
        <v>550</v>
      </c>
      <c r="T263" t="s">
        <v>550</v>
      </c>
      <c r="U263" t="s">
        <v>550</v>
      </c>
      <c r="V263" t="s">
        <v>1558</v>
      </c>
      <c r="W263" t="s">
        <v>978</v>
      </c>
      <c r="X263" t="s">
        <v>669</v>
      </c>
      <c r="Y263" t="s">
        <v>803</v>
      </c>
      <c r="Z263" t="s">
        <v>1556</v>
      </c>
    </row>
    <row r="264" spans="1:26" x14ac:dyDescent="0.3">
      <c r="A264" t="s">
        <v>525</v>
      </c>
      <c r="B264" t="s">
        <v>1559</v>
      </c>
      <c r="C264" t="s">
        <v>1560</v>
      </c>
      <c r="D264" t="s">
        <v>1556</v>
      </c>
      <c r="E264" t="s">
        <v>664</v>
      </c>
      <c r="F264" t="s">
        <v>27</v>
      </c>
      <c r="G264" s="1">
        <v>44197</v>
      </c>
      <c r="H264" s="1">
        <v>44197</v>
      </c>
      <c r="I264" t="s">
        <v>665</v>
      </c>
      <c r="J264" t="s">
        <v>666</v>
      </c>
      <c r="K264" t="s">
        <v>24</v>
      </c>
      <c r="L264" t="s">
        <v>667</v>
      </c>
      <c r="M264" t="s">
        <v>797</v>
      </c>
      <c r="N264" t="s">
        <v>313</v>
      </c>
      <c r="O264" t="s">
        <v>891</v>
      </c>
      <c r="P264" t="s">
        <v>892</v>
      </c>
      <c r="Q264" t="s">
        <v>975</v>
      </c>
      <c r="R264" t="s">
        <v>976</v>
      </c>
      <c r="S264" t="s">
        <v>550</v>
      </c>
      <c r="T264" t="s">
        <v>550</v>
      </c>
      <c r="U264" t="s">
        <v>550</v>
      </c>
      <c r="V264" t="s">
        <v>1561</v>
      </c>
      <c r="W264" t="s">
        <v>978</v>
      </c>
      <c r="X264" t="s">
        <v>669</v>
      </c>
      <c r="Y264" t="s">
        <v>803</v>
      </c>
      <c r="Z264" t="s">
        <v>1559</v>
      </c>
    </row>
    <row r="265" spans="1:26" x14ac:dyDescent="0.3">
      <c r="A265" t="s">
        <v>525</v>
      </c>
      <c r="B265" t="s">
        <v>1548</v>
      </c>
      <c r="C265" t="s">
        <v>1562</v>
      </c>
      <c r="D265" t="s">
        <v>550</v>
      </c>
      <c r="E265" t="s">
        <v>664</v>
      </c>
      <c r="F265" t="s">
        <v>27</v>
      </c>
      <c r="G265" s="1">
        <v>44197</v>
      </c>
      <c r="H265" s="1">
        <v>44197</v>
      </c>
      <c r="I265" t="s">
        <v>665</v>
      </c>
      <c r="J265" t="s">
        <v>666</v>
      </c>
      <c r="K265" t="s">
        <v>24</v>
      </c>
      <c r="L265" t="s">
        <v>667</v>
      </c>
      <c r="M265" t="s">
        <v>797</v>
      </c>
      <c r="N265" t="s">
        <v>313</v>
      </c>
      <c r="O265" t="s">
        <v>891</v>
      </c>
      <c r="P265" t="s">
        <v>892</v>
      </c>
      <c r="Q265" t="s">
        <v>975</v>
      </c>
      <c r="R265" t="s">
        <v>976</v>
      </c>
      <c r="S265" t="s">
        <v>550</v>
      </c>
      <c r="T265" t="s">
        <v>550</v>
      </c>
      <c r="U265" t="s">
        <v>1509</v>
      </c>
      <c r="V265" t="s">
        <v>1563</v>
      </c>
      <c r="W265" t="s">
        <v>835</v>
      </c>
      <c r="X265" t="s">
        <v>669</v>
      </c>
      <c r="Y265" t="s">
        <v>803</v>
      </c>
      <c r="Z265" t="s">
        <v>1548</v>
      </c>
    </row>
    <row r="266" spans="1:26" x14ac:dyDescent="0.3">
      <c r="A266" t="s">
        <v>525</v>
      </c>
      <c r="B266" t="s">
        <v>1564</v>
      </c>
      <c r="C266" t="s">
        <v>1565</v>
      </c>
      <c r="D266" t="s">
        <v>1548</v>
      </c>
      <c r="E266" t="s">
        <v>664</v>
      </c>
      <c r="F266" t="s">
        <v>27</v>
      </c>
      <c r="G266" s="1">
        <v>44562</v>
      </c>
      <c r="H266" s="1">
        <v>44562</v>
      </c>
      <c r="I266" t="s">
        <v>665</v>
      </c>
      <c r="J266" t="s">
        <v>666</v>
      </c>
      <c r="K266" t="s">
        <v>24</v>
      </c>
      <c r="L266" t="s">
        <v>667</v>
      </c>
      <c r="M266" t="s">
        <v>797</v>
      </c>
      <c r="N266" t="s">
        <v>313</v>
      </c>
      <c r="O266" t="s">
        <v>891</v>
      </c>
      <c r="P266" t="s">
        <v>892</v>
      </c>
      <c r="Q266" t="s">
        <v>975</v>
      </c>
      <c r="R266" t="s">
        <v>976</v>
      </c>
      <c r="S266" t="s">
        <v>783</v>
      </c>
      <c r="T266" t="s">
        <v>893</v>
      </c>
      <c r="U266" t="s">
        <v>550</v>
      </c>
      <c r="V266" t="s">
        <v>1566</v>
      </c>
      <c r="W266" t="s">
        <v>835</v>
      </c>
      <c r="X266" t="s">
        <v>669</v>
      </c>
      <c r="Y266" t="s">
        <v>803</v>
      </c>
      <c r="Z266" t="s">
        <v>1564</v>
      </c>
    </row>
    <row r="267" spans="1:26" x14ac:dyDescent="0.3">
      <c r="A267" t="s">
        <v>525</v>
      </c>
      <c r="B267" t="s">
        <v>1567</v>
      </c>
      <c r="C267" t="s">
        <v>1568</v>
      </c>
      <c r="D267" t="s">
        <v>550</v>
      </c>
      <c r="E267" t="s">
        <v>664</v>
      </c>
      <c r="F267" t="s">
        <v>27</v>
      </c>
      <c r="G267" s="1">
        <v>43831</v>
      </c>
      <c r="H267" s="1">
        <v>43831</v>
      </c>
      <c r="I267" t="s">
        <v>665</v>
      </c>
      <c r="J267" t="s">
        <v>666</v>
      </c>
      <c r="K267" t="s">
        <v>24</v>
      </c>
      <c r="L267" t="s">
        <v>667</v>
      </c>
      <c r="M267" t="s">
        <v>797</v>
      </c>
      <c r="N267" t="s">
        <v>313</v>
      </c>
      <c r="O267" t="s">
        <v>891</v>
      </c>
      <c r="P267" t="s">
        <v>892</v>
      </c>
      <c r="Q267" t="s">
        <v>975</v>
      </c>
      <c r="R267" t="s">
        <v>976</v>
      </c>
      <c r="S267" t="s">
        <v>550</v>
      </c>
      <c r="T267" t="s">
        <v>893</v>
      </c>
      <c r="U267" t="s">
        <v>1509</v>
      </c>
      <c r="V267" t="s">
        <v>1569</v>
      </c>
      <c r="W267" t="s">
        <v>978</v>
      </c>
      <c r="X267" t="s">
        <v>669</v>
      </c>
      <c r="Y267" t="s">
        <v>803</v>
      </c>
      <c r="Z267" t="s">
        <v>1567</v>
      </c>
    </row>
    <row r="268" spans="1:26" x14ac:dyDescent="0.3">
      <c r="A268" t="s">
        <v>525</v>
      </c>
      <c r="B268" t="s">
        <v>1570</v>
      </c>
      <c r="C268" t="s">
        <v>1571</v>
      </c>
      <c r="D268" t="s">
        <v>550</v>
      </c>
      <c r="E268" t="s">
        <v>664</v>
      </c>
      <c r="F268" t="s">
        <v>27</v>
      </c>
      <c r="G268" s="1">
        <v>43831</v>
      </c>
      <c r="H268" s="1">
        <v>43831</v>
      </c>
      <c r="I268" t="s">
        <v>665</v>
      </c>
      <c r="J268" t="s">
        <v>666</v>
      </c>
      <c r="K268" t="s">
        <v>24</v>
      </c>
      <c r="L268" t="s">
        <v>667</v>
      </c>
      <c r="M268" t="s">
        <v>797</v>
      </c>
      <c r="N268" t="s">
        <v>313</v>
      </c>
      <c r="O268" t="s">
        <v>891</v>
      </c>
      <c r="P268" t="s">
        <v>892</v>
      </c>
      <c r="Q268" t="s">
        <v>975</v>
      </c>
      <c r="R268" t="s">
        <v>976</v>
      </c>
      <c r="S268" t="s">
        <v>550</v>
      </c>
      <c r="T268" t="s">
        <v>893</v>
      </c>
      <c r="U268" t="s">
        <v>1509</v>
      </c>
      <c r="V268" t="s">
        <v>1572</v>
      </c>
      <c r="W268" t="s">
        <v>978</v>
      </c>
      <c r="X268" t="s">
        <v>669</v>
      </c>
      <c r="Y268" t="s">
        <v>803</v>
      </c>
      <c r="Z268" t="s">
        <v>1570</v>
      </c>
    </row>
    <row r="269" spans="1:26" x14ac:dyDescent="0.3">
      <c r="A269" t="s">
        <v>525</v>
      </c>
      <c r="B269" t="s">
        <v>1573</v>
      </c>
      <c r="C269" t="s">
        <v>1574</v>
      </c>
      <c r="D269" t="s">
        <v>550</v>
      </c>
      <c r="E269" t="s">
        <v>664</v>
      </c>
      <c r="F269" t="s">
        <v>27</v>
      </c>
      <c r="G269" s="1">
        <v>43831</v>
      </c>
      <c r="H269" s="1">
        <v>43831</v>
      </c>
      <c r="I269" t="s">
        <v>665</v>
      </c>
      <c r="J269" t="s">
        <v>666</v>
      </c>
      <c r="K269" t="s">
        <v>24</v>
      </c>
      <c r="L269" t="s">
        <v>667</v>
      </c>
      <c r="M269" t="s">
        <v>797</v>
      </c>
      <c r="N269" t="s">
        <v>313</v>
      </c>
      <c r="O269" t="s">
        <v>891</v>
      </c>
      <c r="P269" t="s">
        <v>892</v>
      </c>
      <c r="Q269" t="s">
        <v>975</v>
      </c>
      <c r="R269" t="s">
        <v>976</v>
      </c>
      <c r="S269" t="s">
        <v>550</v>
      </c>
      <c r="T269" t="s">
        <v>893</v>
      </c>
      <c r="U269" t="s">
        <v>1509</v>
      </c>
      <c r="V269" t="s">
        <v>1575</v>
      </c>
      <c r="W269" t="s">
        <v>978</v>
      </c>
      <c r="X269" t="s">
        <v>669</v>
      </c>
      <c r="Y269" t="s">
        <v>803</v>
      </c>
      <c r="Z269" t="s">
        <v>1573</v>
      </c>
    </row>
    <row r="270" spans="1:26" x14ac:dyDescent="0.3">
      <c r="A270" t="s">
        <v>525</v>
      </c>
      <c r="B270" t="s">
        <v>1576</v>
      </c>
      <c r="C270" t="s">
        <v>1577</v>
      </c>
      <c r="D270" t="s">
        <v>550</v>
      </c>
      <c r="E270" t="s">
        <v>664</v>
      </c>
      <c r="F270" t="s">
        <v>27</v>
      </c>
      <c r="G270" s="1">
        <v>43831</v>
      </c>
      <c r="H270" s="1">
        <v>43831</v>
      </c>
      <c r="I270" t="s">
        <v>665</v>
      </c>
      <c r="J270" t="s">
        <v>666</v>
      </c>
      <c r="K270" t="s">
        <v>24</v>
      </c>
      <c r="L270" t="s">
        <v>667</v>
      </c>
      <c r="M270" t="s">
        <v>797</v>
      </c>
      <c r="N270" t="s">
        <v>313</v>
      </c>
      <c r="O270" t="s">
        <v>891</v>
      </c>
      <c r="P270" t="s">
        <v>892</v>
      </c>
      <c r="Q270" t="s">
        <v>975</v>
      </c>
      <c r="R270" t="s">
        <v>976</v>
      </c>
      <c r="S270" t="s">
        <v>550</v>
      </c>
      <c r="T270" t="s">
        <v>893</v>
      </c>
      <c r="U270" t="s">
        <v>1509</v>
      </c>
      <c r="V270" t="s">
        <v>1578</v>
      </c>
      <c r="W270" t="s">
        <v>978</v>
      </c>
      <c r="X270" t="s">
        <v>669</v>
      </c>
      <c r="Y270" t="s">
        <v>803</v>
      </c>
      <c r="Z270" t="s">
        <v>1576</v>
      </c>
    </row>
    <row r="271" spans="1:26" x14ac:dyDescent="0.3">
      <c r="A271" t="s">
        <v>525</v>
      </c>
      <c r="B271" t="s">
        <v>1579</v>
      </c>
      <c r="C271" t="s">
        <v>1580</v>
      </c>
      <c r="D271" t="s">
        <v>550</v>
      </c>
      <c r="E271" t="s">
        <v>664</v>
      </c>
      <c r="F271" t="s">
        <v>27</v>
      </c>
      <c r="G271" s="1">
        <v>43831</v>
      </c>
      <c r="H271" s="1">
        <v>43831</v>
      </c>
      <c r="I271" t="s">
        <v>665</v>
      </c>
      <c r="J271" t="s">
        <v>666</v>
      </c>
      <c r="K271" t="s">
        <v>24</v>
      </c>
      <c r="L271" t="s">
        <v>667</v>
      </c>
      <c r="M271" t="s">
        <v>797</v>
      </c>
      <c r="N271" t="s">
        <v>313</v>
      </c>
      <c r="O271" t="s">
        <v>891</v>
      </c>
      <c r="P271" t="s">
        <v>892</v>
      </c>
      <c r="Q271" t="s">
        <v>975</v>
      </c>
      <c r="R271" t="s">
        <v>976</v>
      </c>
      <c r="S271" t="s">
        <v>550</v>
      </c>
      <c r="T271" t="s">
        <v>893</v>
      </c>
      <c r="U271" t="s">
        <v>1509</v>
      </c>
      <c r="V271" t="s">
        <v>1581</v>
      </c>
      <c r="W271" t="s">
        <v>978</v>
      </c>
      <c r="X271" t="s">
        <v>669</v>
      </c>
      <c r="Y271" t="s">
        <v>803</v>
      </c>
      <c r="Z271" t="s">
        <v>1579</v>
      </c>
    </row>
    <row r="272" spans="1:26" x14ac:dyDescent="0.3">
      <c r="A272" t="s">
        <v>525</v>
      </c>
      <c r="B272" t="s">
        <v>1582</v>
      </c>
      <c r="C272" t="s">
        <v>1583</v>
      </c>
      <c r="D272" t="s">
        <v>550</v>
      </c>
      <c r="E272" t="s">
        <v>664</v>
      </c>
      <c r="F272" t="s">
        <v>27</v>
      </c>
      <c r="G272" s="1">
        <v>43831</v>
      </c>
      <c r="H272" s="1">
        <v>43831</v>
      </c>
      <c r="I272" t="s">
        <v>665</v>
      </c>
      <c r="J272" t="s">
        <v>666</v>
      </c>
      <c r="K272" t="s">
        <v>24</v>
      </c>
      <c r="L272" t="s">
        <v>667</v>
      </c>
      <c r="M272" t="s">
        <v>797</v>
      </c>
      <c r="N272" t="s">
        <v>313</v>
      </c>
      <c r="O272" t="s">
        <v>891</v>
      </c>
      <c r="P272" t="s">
        <v>892</v>
      </c>
      <c r="Q272" t="s">
        <v>975</v>
      </c>
      <c r="R272" t="s">
        <v>976</v>
      </c>
      <c r="S272" t="s">
        <v>550</v>
      </c>
      <c r="T272" t="s">
        <v>893</v>
      </c>
      <c r="U272" t="s">
        <v>1509</v>
      </c>
      <c r="V272" t="s">
        <v>1584</v>
      </c>
      <c r="W272" t="s">
        <v>978</v>
      </c>
      <c r="X272" t="s">
        <v>669</v>
      </c>
      <c r="Y272" t="s">
        <v>803</v>
      </c>
      <c r="Z272" t="s">
        <v>1582</v>
      </c>
    </row>
    <row r="273" spans="1:26" x14ac:dyDescent="0.3">
      <c r="A273" t="s">
        <v>525</v>
      </c>
      <c r="B273" t="s">
        <v>1585</v>
      </c>
      <c r="C273" t="s">
        <v>1586</v>
      </c>
      <c r="D273" t="s">
        <v>550</v>
      </c>
      <c r="E273" t="s">
        <v>664</v>
      </c>
      <c r="F273" t="s">
        <v>27</v>
      </c>
      <c r="G273" s="1">
        <v>43831</v>
      </c>
      <c r="H273" s="1">
        <v>43831</v>
      </c>
      <c r="I273" t="s">
        <v>665</v>
      </c>
      <c r="J273" t="s">
        <v>666</v>
      </c>
      <c r="K273" t="s">
        <v>24</v>
      </c>
      <c r="L273" t="s">
        <v>667</v>
      </c>
      <c r="M273" t="s">
        <v>797</v>
      </c>
      <c r="N273" t="s">
        <v>313</v>
      </c>
      <c r="O273" t="s">
        <v>891</v>
      </c>
      <c r="P273" t="s">
        <v>892</v>
      </c>
      <c r="Q273" t="s">
        <v>975</v>
      </c>
      <c r="R273" t="s">
        <v>976</v>
      </c>
      <c r="S273" t="s">
        <v>550</v>
      </c>
      <c r="T273" t="s">
        <v>893</v>
      </c>
      <c r="U273" t="s">
        <v>1509</v>
      </c>
      <c r="V273" t="s">
        <v>1587</v>
      </c>
      <c r="W273" t="s">
        <v>978</v>
      </c>
      <c r="X273" t="s">
        <v>669</v>
      </c>
      <c r="Y273" t="s">
        <v>803</v>
      </c>
      <c r="Z273" t="s">
        <v>1585</v>
      </c>
    </row>
    <row r="274" spans="1:26" x14ac:dyDescent="0.3">
      <c r="A274" t="s">
        <v>525</v>
      </c>
      <c r="B274" t="s">
        <v>1588</v>
      </c>
      <c r="C274" t="s">
        <v>1589</v>
      </c>
      <c r="D274" t="s">
        <v>550</v>
      </c>
      <c r="E274" t="s">
        <v>664</v>
      </c>
      <c r="F274" t="s">
        <v>27</v>
      </c>
      <c r="G274" s="1">
        <v>43831</v>
      </c>
      <c r="H274" s="1">
        <v>43831</v>
      </c>
      <c r="I274" t="s">
        <v>665</v>
      </c>
      <c r="J274" t="s">
        <v>666</v>
      </c>
      <c r="K274" t="s">
        <v>24</v>
      </c>
      <c r="L274" t="s">
        <v>667</v>
      </c>
      <c r="M274" t="s">
        <v>797</v>
      </c>
      <c r="N274" t="s">
        <v>313</v>
      </c>
      <c r="O274" t="s">
        <v>891</v>
      </c>
      <c r="P274" t="s">
        <v>892</v>
      </c>
      <c r="Q274" t="s">
        <v>975</v>
      </c>
      <c r="R274" t="s">
        <v>976</v>
      </c>
      <c r="S274" t="s">
        <v>550</v>
      </c>
      <c r="T274" t="s">
        <v>893</v>
      </c>
      <c r="U274" t="s">
        <v>1509</v>
      </c>
      <c r="V274" t="s">
        <v>1590</v>
      </c>
      <c r="W274" t="s">
        <v>978</v>
      </c>
      <c r="X274" t="s">
        <v>669</v>
      </c>
      <c r="Y274" t="s">
        <v>803</v>
      </c>
      <c r="Z274" t="s">
        <v>1588</v>
      </c>
    </row>
    <row r="275" spans="1:26" x14ac:dyDescent="0.3">
      <c r="A275" t="s">
        <v>525</v>
      </c>
      <c r="B275" t="s">
        <v>1591</v>
      </c>
      <c r="C275" t="s">
        <v>1592</v>
      </c>
      <c r="D275" t="s">
        <v>550</v>
      </c>
      <c r="E275" t="s">
        <v>664</v>
      </c>
      <c r="F275" t="s">
        <v>27</v>
      </c>
      <c r="G275" s="1">
        <v>43831</v>
      </c>
      <c r="H275" s="1">
        <v>43831</v>
      </c>
      <c r="I275" t="s">
        <v>665</v>
      </c>
      <c r="J275" t="s">
        <v>666</v>
      </c>
      <c r="K275" t="s">
        <v>24</v>
      </c>
      <c r="L275" t="s">
        <v>667</v>
      </c>
      <c r="M275" t="s">
        <v>797</v>
      </c>
      <c r="N275" t="s">
        <v>313</v>
      </c>
      <c r="O275" t="s">
        <v>891</v>
      </c>
      <c r="P275" t="s">
        <v>892</v>
      </c>
      <c r="Q275" t="s">
        <v>975</v>
      </c>
      <c r="R275" t="s">
        <v>976</v>
      </c>
      <c r="S275" t="s">
        <v>550</v>
      </c>
      <c r="T275" t="s">
        <v>893</v>
      </c>
      <c r="U275" t="s">
        <v>1509</v>
      </c>
      <c r="V275" t="s">
        <v>1593</v>
      </c>
      <c r="W275" t="s">
        <v>978</v>
      </c>
      <c r="X275" t="s">
        <v>669</v>
      </c>
      <c r="Y275" t="s">
        <v>803</v>
      </c>
      <c r="Z275" t="s">
        <v>1591</v>
      </c>
    </row>
    <row r="276" spans="1:26" x14ac:dyDescent="0.3">
      <c r="A276" t="s">
        <v>525</v>
      </c>
      <c r="B276" t="s">
        <v>1594</v>
      </c>
      <c r="C276" t="s">
        <v>1595</v>
      </c>
      <c r="D276" t="s">
        <v>550</v>
      </c>
      <c r="E276" t="s">
        <v>664</v>
      </c>
      <c r="F276" t="s">
        <v>27</v>
      </c>
      <c r="G276" s="1">
        <v>43831</v>
      </c>
      <c r="H276" s="1">
        <v>43831</v>
      </c>
      <c r="I276" t="s">
        <v>665</v>
      </c>
      <c r="J276" t="s">
        <v>666</v>
      </c>
      <c r="K276" t="s">
        <v>24</v>
      </c>
      <c r="L276" t="s">
        <v>667</v>
      </c>
      <c r="M276" t="s">
        <v>797</v>
      </c>
      <c r="N276" t="s">
        <v>313</v>
      </c>
      <c r="O276" t="s">
        <v>891</v>
      </c>
      <c r="P276" t="s">
        <v>892</v>
      </c>
      <c r="Q276" t="s">
        <v>975</v>
      </c>
      <c r="R276" t="s">
        <v>976</v>
      </c>
      <c r="S276" t="s">
        <v>550</v>
      </c>
      <c r="T276" t="s">
        <v>893</v>
      </c>
      <c r="U276" t="s">
        <v>1509</v>
      </c>
      <c r="V276" t="s">
        <v>1596</v>
      </c>
      <c r="W276" t="s">
        <v>978</v>
      </c>
      <c r="X276" t="s">
        <v>669</v>
      </c>
      <c r="Y276" t="s">
        <v>803</v>
      </c>
      <c r="Z276" t="s">
        <v>1594</v>
      </c>
    </row>
    <row r="277" spans="1:26" x14ac:dyDescent="0.3">
      <c r="A277" t="s">
        <v>525</v>
      </c>
      <c r="B277" t="s">
        <v>1597</v>
      </c>
      <c r="C277" t="s">
        <v>1598</v>
      </c>
      <c r="D277" t="s">
        <v>550</v>
      </c>
      <c r="E277" t="s">
        <v>664</v>
      </c>
      <c r="F277" t="s">
        <v>27</v>
      </c>
      <c r="G277" s="1">
        <v>43831</v>
      </c>
      <c r="H277" s="1">
        <v>43831</v>
      </c>
      <c r="I277" t="s">
        <v>665</v>
      </c>
      <c r="J277" t="s">
        <v>666</v>
      </c>
      <c r="K277" t="s">
        <v>24</v>
      </c>
      <c r="L277" t="s">
        <v>667</v>
      </c>
      <c r="M277" t="s">
        <v>797</v>
      </c>
      <c r="N277" t="s">
        <v>313</v>
      </c>
      <c r="O277" t="s">
        <v>891</v>
      </c>
      <c r="P277" t="s">
        <v>892</v>
      </c>
      <c r="Q277" t="s">
        <v>975</v>
      </c>
      <c r="R277" t="s">
        <v>976</v>
      </c>
      <c r="S277" t="s">
        <v>550</v>
      </c>
      <c r="T277" t="s">
        <v>893</v>
      </c>
      <c r="U277" t="s">
        <v>1509</v>
      </c>
      <c r="V277" t="s">
        <v>1599</v>
      </c>
      <c r="W277" t="s">
        <v>978</v>
      </c>
      <c r="X277" t="s">
        <v>669</v>
      </c>
      <c r="Y277" t="s">
        <v>803</v>
      </c>
      <c r="Z277" t="s">
        <v>1597</v>
      </c>
    </row>
    <row r="278" spans="1:26" x14ac:dyDescent="0.3">
      <c r="A278" t="s">
        <v>525</v>
      </c>
      <c r="B278" t="s">
        <v>1600</v>
      </c>
      <c r="C278" t="s">
        <v>1601</v>
      </c>
      <c r="D278" t="s">
        <v>550</v>
      </c>
      <c r="E278" t="s">
        <v>664</v>
      </c>
      <c r="F278" t="s">
        <v>27</v>
      </c>
      <c r="G278" s="1">
        <v>43831</v>
      </c>
      <c r="H278" s="1">
        <v>43831</v>
      </c>
      <c r="I278" t="s">
        <v>665</v>
      </c>
      <c r="J278" t="s">
        <v>666</v>
      </c>
      <c r="K278" t="s">
        <v>24</v>
      </c>
      <c r="L278" t="s">
        <v>667</v>
      </c>
      <c r="M278" t="s">
        <v>797</v>
      </c>
      <c r="N278" t="s">
        <v>313</v>
      </c>
      <c r="O278" t="s">
        <v>891</v>
      </c>
      <c r="P278" t="s">
        <v>892</v>
      </c>
      <c r="Q278" t="s">
        <v>975</v>
      </c>
      <c r="R278" t="s">
        <v>976</v>
      </c>
      <c r="S278" t="s">
        <v>550</v>
      </c>
      <c r="T278" t="s">
        <v>893</v>
      </c>
      <c r="U278" t="s">
        <v>1509</v>
      </c>
      <c r="V278" t="s">
        <v>1602</v>
      </c>
      <c r="W278" t="s">
        <v>978</v>
      </c>
      <c r="X278" t="s">
        <v>669</v>
      </c>
      <c r="Y278" t="s">
        <v>803</v>
      </c>
      <c r="Z278" t="s">
        <v>1600</v>
      </c>
    </row>
    <row r="279" spans="1:26" x14ac:dyDescent="0.3">
      <c r="A279" t="s">
        <v>525</v>
      </c>
      <c r="B279" t="s">
        <v>1603</v>
      </c>
      <c r="C279" t="s">
        <v>1604</v>
      </c>
      <c r="D279" t="s">
        <v>550</v>
      </c>
      <c r="E279" t="s">
        <v>664</v>
      </c>
      <c r="F279" t="s">
        <v>27</v>
      </c>
      <c r="G279" s="1">
        <v>43831</v>
      </c>
      <c r="H279" s="1">
        <v>43831</v>
      </c>
      <c r="I279" t="s">
        <v>665</v>
      </c>
      <c r="J279" t="s">
        <v>666</v>
      </c>
      <c r="K279" t="s">
        <v>24</v>
      </c>
      <c r="L279" t="s">
        <v>667</v>
      </c>
      <c r="M279" t="s">
        <v>797</v>
      </c>
      <c r="N279" t="s">
        <v>313</v>
      </c>
      <c r="O279" t="s">
        <v>891</v>
      </c>
      <c r="P279" t="s">
        <v>892</v>
      </c>
      <c r="Q279" t="s">
        <v>975</v>
      </c>
      <c r="R279" t="s">
        <v>976</v>
      </c>
      <c r="S279" t="s">
        <v>550</v>
      </c>
      <c r="T279" t="s">
        <v>893</v>
      </c>
      <c r="U279" t="s">
        <v>1509</v>
      </c>
      <c r="V279" t="s">
        <v>1605</v>
      </c>
      <c r="W279" t="s">
        <v>978</v>
      </c>
      <c r="X279" t="s">
        <v>669</v>
      </c>
      <c r="Y279" t="s">
        <v>803</v>
      </c>
      <c r="Z279" t="s">
        <v>1603</v>
      </c>
    </row>
    <row r="280" spans="1:26" x14ac:dyDescent="0.3">
      <c r="A280" t="s">
        <v>525</v>
      </c>
      <c r="B280" t="s">
        <v>1606</v>
      </c>
      <c r="C280" t="s">
        <v>1607</v>
      </c>
      <c r="D280" t="s">
        <v>550</v>
      </c>
      <c r="E280" t="s">
        <v>664</v>
      </c>
      <c r="F280" t="s">
        <v>27</v>
      </c>
      <c r="G280" s="1">
        <v>43831</v>
      </c>
      <c r="H280" s="1">
        <v>43831</v>
      </c>
      <c r="I280" t="s">
        <v>665</v>
      </c>
      <c r="J280" t="s">
        <v>666</v>
      </c>
      <c r="K280" t="s">
        <v>24</v>
      </c>
      <c r="L280" t="s">
        <v>667</v>
      </c>
      <c r="M280" t="s">
        <v>797</v>
      </c>
      <c r="N280" t="s">
        <v>313</v>
      </c>
      <c r="O280" t="s">
        <v>891</v>
      </c>
      <c r="P280" t="s">
        <v>892</v>
      </c>
      <c r="Q280" t="s">
        <v>975</v>
      </c>
      <c r="R280" t="s">
        <v>976</v>
      </c>
      <c r="S280" t="s">
        <v>550</v>
      </c>
      <c r="T280" t="s">
        <v>893</v>
      </c>
      <c r="U280" t="s">
        <v>1509</v>
      </c>
      <c r="V280" t="s">
        <v>1608</v>
      </c>
      <c r="W280" t="s">
        <v>978</v>
      </c>
      <c r="X280" t="s">
        <v>669</v>
      </c>
      <c r="Y280" t="s">
        <v>803</v>
      </c>
      <c r="Z280" t="s">
        <v>1606</v>
      </c>
    </row>
    <row r="281" spans="1:26" x14ac:dyDescent="0.3">
      <c r="A281" t="s">
        <v>525</v>
      </c>
      <c r="B281" t="s">
        <v>1609</v>
      </c>
      <c r="C281" t="s">
        <v>1610</v>
      </c>
      <c r="D281" t="s">
        <v>550</v>
      </c>
      <c r="E281" t="s">
        <v>664</v>
      </c>
      <c r="F281" t="s">
        <v>27</v>
      </c>
      <c r="G281" s="1">
        <v>43831</v>
      </c>
      <c r="H281" s="1">
        <v>43831</v>
      </c>
      <c r="I281" t="s">
        <v>665</v>
      </c>
      <c r="J281" t="s">
        <v>666</v>
      </c>
      <c r="K281" t="s">
        <v>24</v>
      </c>
      <c r="L281" t="s">
        <v>667</v>
      </c>
      <c r="M281" t="s">
        <v>797</v>
      </c>
      <c r="N281" t="s">
        <v>313</v>
      </c>
      <c r="O281" t="s">
        <v>891</v>
      </c>
      <c r="P281" t="s">
        <v>892</v>
      </c>
      <c r="Q281" t="s">
        <v>975</v>
      </c>
      <c r="R281" t="s">
        <v>976</v>
      </c>
      <c r="S281" t="s">
        <v>550</v>
      </c>
      <c r="T281" t="s">
        <v>893</v>
      </c>
      <c r="U281" t="s">
        <v>1509</v>
      </c>
      <c r="V281" t="s">
        <v>1611</v>
      </c>
      <c r="W281" t="s">
        <v>978</v>
      </c>
      <c r="X281" t="s">
        <v>669</v>
      </c>
      <c r="Y281" t="s">
        <v>803</v>
      </c>
      <c r="Z281" t="s">
        <v>1609</v>
      </c>
    </row>
    <row r="282" spans="1:26" x14ac:dyDescent="0.3">
      <c r="A282" t="s">
        <v>525</v>
      </c>
      <c r="B282" t="s">
        <v>1612</v>
      </c>
      <c r="C282" t="s">
        <v>1613</v>
      </c>
      <c r="D282" t="s">
        <v>550</v>
      </c>
      <c r="E282" t="s">
        <v>664</v>
      </c>
      <c r="F282" t="s">
        <v>27</v>
      </c>
      <c r="G282" s="1">
        <v>43831</v>
      </c>
      <c r="H282" s="1">
        <v>43831</v>
      </c>
      <c r="I282" t="s">
        <v>665</v>
      </c>
      <c r="J282" t="s">
        <v>666</v>
      </c>
      <c r="K282" t="s">
        <v>24</v>
      </c>
      <c r="L282" t="s">
        <v>667</v>
      </c>
      <c r="M282" t="s">
        <v>797</v>
      </c>
      <c r="N282" t="s">
        <v>313</v>
      </c>
      <c r="O282" t="s">
        <v>891</v>
      </c>
      <c r="P282" t="s">
        <v>892</v>
      </c>
      <c r="Q282" t="s">
        <v>975</v>
      </c>
      <c r="R282" t="s">
        <v>976</v>
      </c>
      <c r="S282" t="s">
        <v>550</v>
      </c>
      <c r="T282" t="s">
        <v>893</v>
      </c>
      <c r="U282" t="s">
        <v>1509</v>
      </c>
      <c r="V282" t="s">
        <v>1614</v>
      </c>
      <c r="W282" t="s">
        <v>978</v>
      </c>
      <c r="X282" t="s">
        <v>669</v>
      </c>
      <c r="Y282" t="s">
        <v>803</v>
      </c>
      <c r="Z282" t="s">
        <v>1612</v>
      </c>
    </row>
    <row r="283" spans="1:26" x14ac:dyDescent="0.3">
      <c r="A283" t="s">
        <v>525</v>
      </c>
      <c r="B283" t="s">
        <v>1615</v>
      </c>
      <c r="C283" t="s">
        <v>1616</v>
      </c>
      <c r="D283" t="s">
        <v>550</v>
      </c>
      <c r="E283" t="s">
        <v>664</v>
      </c>
      <c r="F283" t="s">
        <v>27</v>
      </c>
      <c r="G283" s="1">
        <v>43831</v>
      </c>
      <c r="H283" s="1">
        <v>43831</v>
      </c>
      <c r="I283" t="s">
        <v>665</v>
      </c>
      <c r="J283" t="s">
        <v>666</v>
      </c>
      <c r="K283" t="s">
        <v>24</v>
      </c>
      <c r="L283" t="s">
        <v>667</v>
      </c>
      <c r="M283" t="s">
        <v>797</v>
      </c>
      <c r="N283" t="s">
        <v>313</v>
      </c>
      <c r="O283" t="s">
        <v>891</v>
      </c>
      <c r="P283" t="s">
        <v>892</v>
      </c>
      <c r="Q283" t="s">
        <v>975</v>
      </c>
      <c r="R283" t="s">
        <v>976</v>
      </c>
      <c r="S283" t="s">
        <v>550</v>
      </c>
      <c r="T283" t="s">
        <v>893</v>
      </c>
      <c r="U283" t="s">
        <v>1509</v>
      </c>
      <c r="V283" t="s">
        <v>1617</v>
      </c>
      <c r="W283" t="s">
        <v>978</v>
      </c>
      <c r="X283" t="s">
        <v>669</v>
      </c>
      <c r="Y283" t="s">
        <v>803</v>
      </c>
      <c r="Z283" t="s">
        <v>1615</v>
      </c>
    </row>
    <row r="284" spans="1:26" x14ac:dyDescent="0.3">
      <c r="A284" t="s">
        <v>525</v>
      </c>
      <c r="B284" t="s">
        <v>1618</v>
      </c>
      <c r="C284" t="s">
        <v>1619</v>
      </c>
      <c r="D284" t="s">
        <v>550</v>
      </c>
      <c r="E284" t="s">
        <v>664</v>
      </c>
      <c r="F284" t="s">
        <v>27</v>
      </c>
      <c r="G284" s="1">
        <v>43831</v>
      </c>
      <c r="H284" s="1">
        <v>43831</v>
      </c>
      <c r="I284" t="s">
        <v>665</v>
      </c>
      <c r="J284" t="s">
        <v>666</v>
      </c>
      <c r="K284" t="s">
        <v>24</v>
      </c>
      <c r="L284" t="s">
        <v>667</v>
      </c>
      <c r="M284" t="s">
        <v>797</v>
      </c>
      <c r="N284" t="s">
        <v>313</v>
      </c>
      <c r="O284" t="s">
        <v>891</v>
      </c>
      <c r="P284" t="s">
        <v>892</v>
      </c>
      <c r="Q284" t="s">
        <v>975</v>
      </c>
      <c r="R284" t="s">
        <v>976</v>
      </c>
      <c r="S284" t="s">
        <v>550</v>
      </c>
      <c r="T284" t="s">
        <v>893</v>
      </c>
      <c r="U284" t="s">
        <v>1509</v>
      </c>
      <c r="V284" t="s">
        <v>1620</v>
      </c>
      <c r="W284" t="s">
        <v>978</v>
      </c>
      <c r="X284" t="s">
        <v>669</v>
      </c>
      <c r="Y284" t="s">
        <v>803</v>
      </c>
      <c r="Z284" t="s">
        <v>1618</v>
      </c>
    </row>
    <row r="285" spans="1:26" x14ac:dyDescent="0.3">
      <c r="A285" t="s">
        <v>525</v>
      </c>
      <c r="B285" t="s">
        <v>1621</v>
      </c>
      <c r="C285" t="s">
        <v>1622</v>
      </c>
      <c r="D285" t="s">
        <v>550</v>
      </c>
      <c r="E285" t="s">
        <v>664</v>
      </c>
      <c r="F285" t="s">
        <v>27</v>
      </c>
      <c r="G285" s="1">
        <v>43831</v>
      </c>
      <c r="H285" s="1">
        <v>43831</v>
      </c>
      <c r="I285" t="s">
        <v>665</v>
      </c>
      <c r="J285" t="s">
        <v>666</v>
      </c>
      <c r="K285" t="s">
        <v>635</v>
      </c>
      <c r="L285" t="s">
        <v>667</v>
      </c>
      <c r="M285" t="s">
        <v>797</v>
      </c>
      <c r="N285" t="s">
        <v>313</v>
      </c>
      <c r="O285" t="s">
        <v>891</v>
      </c>
      <c r="P285" t="s">
        <v>892</v>
      </c>
      <c r="Q285" t="s">
        <v>975</v>
      </c>
      <c r="R285" t="s">
        <v>976</v>
      </c>
      <c r="S285" t="s">
        <v>550</v>
      </c>
      <c r="T285" t="s">
        <v>893</v>
      </c>
      <c r="U285" t="s">
        <v>550</v>
      </c>
      <c r="V285" t="s">
        <v>1623</v>
      </c>
      <c r="W285" t="s">
        <v>978</v>
      </c>
      <c r="X285" t="s">
        <v>669</v>
      </c>
      <c r="Y285" t="s">
        <v>803</v>
      </c>
      <c r="Z285" t="s">
        <v>1621</v>
      </c>
    </row>
    <row r="286" spans="1:26" x14ac:dyDescent="0.3">
      <c r="A286" t="s">
        <v>525</v>
      </c>
      <c r="B286" t="s">
        <v>1624</v>
      </c>
      <c r="C286" t="s">
        <v>1625</v>
      </c>
      <c r="D286" t="s">
        <v>550</v>
      </c>
      <c r="E286" t="s">
        <v>664</v>
      </c>
      <c r="F286" t="s">
        <v>27</v>
      </c>
      <c r="G286" s="1">
        <v>43831</v>
      </c>
      <c r="H286" s="1">
        <v>43831</v>
      </c>
      <c r="I286" t="s">
        <v>665</v>
      </c>
      <c r="J286" t="s">
        <v>666</v>
      </c>
      <c r="K286" t="s">
        <v>635</v>
      </c>
      <c r="L286" t="s">
        <v>667</v>
      </c>
      <c r="M286" t="s">
        <v>797</v>
      </c>
      <c r="N286" t="s">
        <v>313</v>
      </c>
      <c r="O286" t="s">
        <v>891</v>
      </c>
      <c r="P286" t="s">
        <v>892</v>
      </c>
      <c r="Q286" t="s">
        <v>975</v>
      </c>
      <c r="R286" t="s">
        <v>976</v>
      </c>
      <c r="S286" t="s">
        <v>550</v>
      </c>
      <c r="T286" t="s">
        <v>893</v>
      </c>
      <c r="U286" t="s">
        <v>1509</v>
      </c>
      <c r="V286" t="s">
        <v>1626</v>
      </c>
      <c r="W286" t="s">
        <v>978</v>
      </c>
      <c r="X286" t="s">
        <v>669</v>
      </c>
      <c r="Y286" t="s">
        <v>803</v>
      </c>
      <c r="Z286" t="s">
        <v>1624</v>
      </c>
    </row>
    <row r="287" spans="1:26" x14ac:dyDescent="0.3">
      <c r="A287" t="s">
        <v>525</v>
      </c>
      <c r="B287" t="s">
        <v>1627</v>
      </c>
      <c r="C287" t="s">
        <v>1628</v>
      </c>
      <c r="D287" t="s">
        <v>550</v>
      </c>
      <c r="E287" t="s">
        <v>664</v>
      </c>
      <c r="F287" t="s">
        <v>27</v>
      </c>
      <c r="G287" s="1">
        <v>43831</v>
      </c>
      <c r="H287" s="1">
        <v>43831</v>
      </c>
      <c r="I287" t="s">
        <v>665</v>
      </c>
      <c r="J287" t="s">
        <v>666</v>
      </c>
      <c r="K287" t="s">
        <v>635</v>
      </c>
      <c r="L287" t="s">
        <v>667</v>
      </c>
      <c r="M287" t="s">
        <v>797</v>
      </c>
      <c r="N287" t="s">
        <v>313</v>
      </c>
      <c r="O287" t="s">
        <v>891</v>
      </c>
      <c r="P287" t="s">
        <v>892</v>
      </c>
      <c r="Q287" t="s">
        <v>975</v>
      </c>
      <c r="R287" t="s">
        <v>976</v>
      </c>
      <c r="S287" t="s">
        <v>550</v>
      </c>
      <c r="T287" t="s">
        <v>893</v>
      </c>
      <c r="U287" t="s">
        <v>550</v>
      </c>
      <c r="V287" t="s">
        <v>1629</v>
      </c>
      <c r="W287" t="s">
        <v>978</v>
      </c>
      <c r="X287" t="s">
        <v>669</v>
      </c>
      <c r="Y287" t="s">
        <v>803</v>
      </c>
      <c r="Z287" t="s">
        <v>1627</v>
      </c>
    </row>
    <row r="288" spans="1:26" x14ac:dyDescent="0.3">
      <c r="A288" t="s">
        <v>525</v>
      </c>
      <c r="B288" t="s">
        <v>1630</v>
      </c>
      <c r="C288" t="s">
        <v>1631</v>
      </c>
      <c r="D288" t="s">
        <v>1548</v>
      </c>
      <c r="E288" t="s">
        <v>664</v>
      </c>
      <c r="F288" t="s">
        <v>27</v>
      </c>
      <c r="G288" s="1">
        <v>44197</v>
      </c>
      <c r="H288" s="1">
        <v>45800</v>
      </c>
      <c r="I288" t="s">
        <v>665</v>
      </c>
      <c r="J288" t="s">
        <v>666</v>
      </c>
      <c r="K288" t="s">
        <v>24</v>
      </c>
      <c r="L288" t="s">
        <v>667</v>
      </c>
      <c r="M288" t="s">
        <v>797</v>
      </c>
      <c r="N288" t="s">
        <v>313</v>
      </c>
      <c r="O288" t="s">
        <v>891</v>
      </c>
      <c r="P288" t="s">
        <v>892</v>
      </c>
      <c r="Q288" t="s">
        <v>975</v>
      </c>
      <c r="R288" t="s">
        <v>976</v>
      </c>
      <c r="S288" t="s">
        <v>550</v>
      </c>
      <c r="T288" t="s">
        <v>550</v>
      </c>
      <c r="U288" t="s">
        <v>1509</v>
      </c>
      <c r="V288" t="s">
        <v>1632</v>
      </c>
      <c r="W288" t="s">
        <v>978</v>
      </c>
      <c r="X288" t="s">
        <v>669</v>
      </c>
      <c r="Y288" t="s">
        <v>803</v>
      </c>
      <c r="Z288" t="s">
        <v>1630</v>
      </c>
    </row>
    <row r="289" spans="1:26" x14ac:dyDescent="0.3">
      <c r="A289" t="s">
        <v>525</v>
      </c>
      <c r="B289" t="s">
        <v>1633</v>
      </c>
      <c r="C289" t="s">
        <v>1634</v>
      </c>
      <c r="D289" t="s">
        <v>1548</v>
      </c>
      <c r="E289" t="s">
        <v>664</v>
      </c>
      <c r="F289" t="s">
        <v>27</v>
      </c>
      <c r="G289" s="1">
        <v>44197</v>
      </c>
      <c r="H289" s="1">
        <v>44197</v>
      </c>
      <c r="I289" t="s">
        <v>665</v>
      </c>
      <c r="J289" t="s">
        <v>666</v>
      </c>
      <c r="K289" t="s">
        <v>24</v>
      </c>
      <c r="L289" t="s">
        <v>667</v>
      </c>
      <c r="M289" t="s">
        <v>797</v>
      </c>
      <c r="N289" t="s">
        <v>313</v>
      </c>
      <c r="O289" t="s">
        <v>891</v>
      </c>
      <c r="P289" t="s">
        <v>892</v>
      </c>
      <c r="Q289" t="s">
        <v>975</v>
      </c>
      <c r="R289" t="s">
        <v>976</v>
      </c>
      <c r="S289" t="s">
        <v>550</v>
      </c>
      <c r="T289" t="s">
        <v>893</v>
      </c>
      <c r="U289" t="s">
        <v>1509</v>
      </c>
      <c r="V289" t="s">
        <v>1635</v>
      </c>
      <c r="W289" t="s">
        <v>978</v>
      </c>
      <c r="X289" t="s">
        <v>669</v>
      </c>
      <c r="Y289" t="s">
        <v>803</v>
      </c>
      <c r="Z289" t="s">
        <v>1633</v>
      </c>
    </row>
    <row r="290" spans="1:26" x14ac:dyDescent="0.3">
      <c r="A290" t="s">
        <v>525</v>
      </c>
      <c r="B290" t="s">
        <v>1636</v>
      </c>
      <c r="C290" t="s">
        <v>1637</v>
      </c>
      <c r="D290" t="s">
        <v>1548</v>
      </c>
      <c r="E290" t="s">
        <v>664</v>
      </c>
      <c r="F290" t="s">
        <v>27</v>
      </c>
      <c r="G290" s="1">
        <v>44197</v>
      </c>
      <c r="H290" s="1">
        <v>44197</v>
      </c>
      <c r="I290" t="s">
        <v>665</v>
      </c>
      <c r="J290" t="s">
        <v>666</v>
      </c>
      <c r="K290" t="s">
        <v>24</v>
      </c>
      <c r="L290" t="s">
        <v>667</v>
      </c>
      <c r="M290" t="s">
        <v>797</v>
      </c>
      <c r="N290" t="s">
        <v>313</v>
      </c>
      <c r="O290" t="s">
        <v>891</v>
      </c>
      <c r="P290" t="s">
        <v>892</v>
      </c>
      <c r="Q290" t="s">
        <v>975</v>
      </c>
      <c r="R290" t="s">
        <v>976</v>
      </c>
      <c r="S290" t="s">
        <v>550</v>
      </c>
      <c r="T290" t="s">
        <v>893</v>
      </c>
      <c r="U290" t="s">
        <v>1509</v>
      </c>
      <c r="V290" t="s">
        <v>1638</v>
      </c>
      <c r="W290" t="s">
        <v>978</v>
      </c>
      <c r="X290" t="s">
        <v>669</v>
      </c>
      <c r="Y290" t="s">
        <v>803</v>
      </c>
      <c r="Z290" t="s">
        <v>1636</v>
      </c>
    </row>
    <row r="291" spans="1:26" x14ac:dyDescent="0.3">
      <c r="A291" t="s">
        <v>525</v>
      </c>
      <c r="B291" t="s">
        <v>1639</v>
      </c>
      <c r="C291" t="s">
        <v>1640</v>
      </c>
      <c r="D291" t="s">
        <v>1548</v>
      </c>
      <c r="E291" t="s">
        <v>664</v>
      </c>
      <c r="F291" t="s">
        <v>27</v>
      </c>
      <c r="G291" s="1">
        <v>44197</v>
      </c>
      <c r="H291" s="1">
        <v>44197</v>
      </c>
      <c r="I291" t="s">
        <v>665</v>
      </c>
      <c r="J291" t="s">
        <v>666</v>
      </c>
      <c r="K291" t="s">
        <v>24</v>
      </c>
      <c r="L291" t="s">
        <v>667</v>
      </c>
      <c r="M291" t="s">
        <v>797</v>
      </c>
      <c r="N291" t="s">
        <v>313</v>
      </c>
      <c r="O291" t="s">
        <v>891</v>
      </c>
      <c r="P291" t="s">
        <v>892</v>
      </c>
      <c r="Q291" t="s">
        <v>975</v>
      </c>
      <c r="R291" t="s">
        <v>976</v>
      </c>
      <c r="S291" t="s">
        <v>550</v>
      </c>
      <c r="T291" t="s">
        <v>893</v>
      </c>
      <c r="U291" t="s">
        <v>1509</v>
      </c>
      <c r="V291" t="s">
        <v>1641</v>
      </c>
      <c r="W291" t="s">
        <v>978</v>
      </c>
      <c r="X291" t="s">
        <v>669</v>
      </c>
      <c r="Y291" t="s">
        <v>803</v>
      </c>
      <c r="Z291" t="s">
        <v>1639</v>
      </c>
    </row>
    <row r="292" spans="1:26" x14ac:dyDescent="0.3">
      <c r="A292" t="s">
        <v>525</v>
      </c>
      <c r="B292" t="s">
        <v>1642</v>
      </c>
      <c r="C292" t="s">
        <v>1643</v>
      </c>
      <c r="D292" t="s">
        <v>1548</v>
      </c>
      <c r="E292" t="s">
        <v>664</v>
      </c>
      <c r="F292" t="s">
        <v>27</v>
      </c>
      <c r="G292" s="1">
        <v>44197</v>
      </c>
      <c r="H292" s="1">
        <v>44197</v>
      </c>
      <c r="I292" t="s">
        <v>665</v>
      </c>
      <c r="J292" t="s">
        <v>666</v>
      </c>
      <c r="K292" t="s">
        <v>24</v>
      </c>
      <c r="L292" t="s">
        <v>667</v>
      </c>
      <c r="M292" t="s">
        <v>797</v>
      </c>
      <c r="N292" t="s">
        <v>313</v>
      </c>
      <c r="O292" t="s">
        <v>891</v>
      </c>
      <c r="P292" t="s">
        <v>892</v>
      </c>
      <c r="Q292" t="s">
        <v>975</v>
      </c>
      <c r="R292" t="s">
        <v>976</v>
      </c>
      <c r="S292" t="s">
        <v>550</v>
      </c>
      <c r="T292" t="s">
        <v>893</v>
      </c>
      <c r="U292" t="s">
        <v>1509</v>
      </c>
      <c r="V292" t="s">
        <v>1644</v>
      </c>
      <c r="W292" t="s">
        <v>978</v>
      </c>
      <c r="X292" t="s">
        <v>669</v>
      </c>
      <c r="Y292" t="s">
        <v>803</v>
      </c>
      <c r="Z292" t="s">
        <v>1642</v>
      </c>
    </row>
    <row r="293" spans="1:26" x14ac:dyDescent="0.3">
      <c r="A293" t="s">
        <v>525</v>
      </c>
      <c r="B293" t="s">
        <v>1645</v>
      </c>
      <c r="C293" t="s">
        <v>1646</v>
      </c>
      <c r="D293" t="s">
        <v>1548</v>
      </c>
      <c r="E293" t="s">
        <v>664</v>
      </c>
      <c r="F293" t="s">
        <v>27</v>
      </c>
      <c r="G293" s="1">
        <v>44197</v>
      </c>
      <c r="H293" s="1">
        <v>44197</v>
      </c>
      <c r="I293" t="s">
        <v>665</v>
      </c>
      <c r="J293" t="s">
        <v>666</v>
      </c>
      <c r="K293" t="s">
        <v>24</v>
      </c>
      <c r="L293" t="s">
        <v>667</v>
      </c>
      <c r="M293" t="s">
        <v>797</v>
      </c>
      <c r="N293" t="s">
        <v>313</v>
      </c>
      <c r="O293" t="s">
        <v>891</v>
      </c>
      <c r="P293" t="s">
        <v>892</v>
      </c>
      <c r="Q293" t="s">
        <v>975</v>
      </c>
      <c r="R293" t="s">
        <v>976</v>
      </c>
      <c r="S293" t="s">
        <v>550</v>
      </c>
      <c r="T293" t="s">
        <v>893</v>
      </c>
      <c r="U293" t="s">
        <v>1509</v>
      </c>
      <c r="V293" t="s">
        <v>1647</v>
      </c>
      <c r="W293" t="s">
        <v>978</v>
      </c>
      <c r="X293" t="s">
        <v>669</v>
      </c>
      <c r="Y293" t="s">
        <v>803</v>
      </c>
      <c r="Z293" t="s">
        <v>1645</v>
      </c>
    </row>
    <row r="294" spans="1:26" x14ac:dyDescent="0.3">
      <c r="A294" t="s">
        <v>525</v>
      </c>
      <c r="B294" t="s">
        <v>1648</v>
      </c>
      <c r="C294" t="s">
        <v>1649</v>
      </c>
      <c r="D294" t="s">
        <v>1548</v>
      </c>
      <c r="E294" t="s">
        <v>664</v>
      </c>
      <c r="F294" t="s">
        <v>27</v>
      </c>
      <c r="G294" s="1">
        <v>44207</v>
      </c>
      <c r="H294" s="1">
        <v>44207</v>
      </c>
      <c r="I294" t="s">
        <v>665</v>
      </c>
      <c r="J294" t="s">
        <v>666</v>
      </c>
      <c r="K294" t="s">
        <v>24</v>
      </c>
      <c r="L294" t="s">
        <v>667</v>
      </c>
      <c r="M294" t="s">
        <v>797</v>
      </c>
      <c r="N294" t="s">
        <v>313</v>
      </c>
      <c r="O294" t="s">
        <v>891</v>
      </c>
      <c r="P294" t="s">
        <v>892</v>
      </c>
      <c r="Q294" t="s">
        <v>975</v>
      </c>
      <c r="R294" t="s">
        <v>976</v>
      </c>
      <c r="S294" t="s">
        <v>550</v>
      </c>
      <c r="T294" t="s">
        <v>893</v>
      </c>
      <c r="U294" t="s">
        <v>1509</v>
      </c>
      <c r="V294" t="s">
        <v>1650</v>
      </c>
      <c r="W294" t="s">
        <v>978</v>
      </c>
      <c r="X294" t="s">
        <v>669</v>
      </c>
      <c r="Y294" t="s">
        <v>803</v>
      </c>
      <c r="Z294" t="s">
        <v>1648</v>
      </c>
    </row>
    <row r="295" spans="1:26" x14ac:dyDescent="0.3">
      <c r="A295" t="s">
        <v>525</v>
      </c>
      <c r="B295" t="s">
        <v>1651</v>
      </c>
      <c r="C295" t="s">
        <v>1652</v>
      </c>
      <c r="D295" t="s">
        <v>1548</v>
      </c>
      <c r="E295" t="s">
        <v>664</v>
      </c>
      <c r="F295" t="s">
        <v>27</v>
      </c>
      <c r="G295" s="1">
        <v>44197</v>
      </c>
      <c r="H295" s="1">
        <v>44197</v>
      </c>
      <c r="I295" t="s">
        <v>665</v>
      </c>
      <c r="J295" t="s">
        <v>666</v>
      </c>
      <c r="K295" t="s">
        <v>24</v>
      </c>
      <c r="L295" t="s">
        <v>667</v>
      </c>
      <c r="M295" t="s">
        <v>797</v>
      </c>
      <c r="N295" t="s">
        <v>313</v>
      </c>
      <c r="O295" t="s">
        <v>891</v>
      </c>
      <c r="P295" t="s">
        <v>892</v>
      </c>
      <c r="Q295" t="s">
        <v>975</v>
      </c>
      <c r="R295" t="s">
        <v>976</v>
      </c>
      <c r="S295" t="s">
        <v>550</v>
      </c>
      <c r="T295" t="s">
        <v>893</v>
      </c>
      <c r="U295" t="s">
        <v>1509</v>
      </c>
      <c r="V295" t="s">
        <v>1653</v>
      </c>
      <c r="W295" t="s">
        <v>978</v>
      </c>
      <c r="X295" t="s">
        <v>669</v>
      </c>
      <c r="Y295" t="s">
        <v>803</v>
      </c>
      <c r="Z295" t="s">
        <v>1651</v>
      </c>
    </row>
    <row r="296" spans="1:26" x14ac:dyDescent="0.3">
      <c r="A296" t="s">
        <v>525</v>
      </c>
      <c r="B296" t="s">
        <v>1654</v>
      </c>
      <c r="C296" t="s">
        <v>1655</v>
      </c>
      <c r="D296" t="s">
        <v>1548</v>
      </c>
      <c r="E296" t="s">
        <v>664</v>
      </c>
      <c r="F296" t="s">
        <v>27</v>
      </c>
      <c r="G296" s="1">
        <v>44197</v>
      </c>
      <c r="H296" s="1">
        <v>44197</v>
      </c>
      <c r="I296" t="s">
        <v>665</v>
      </c>
      <c r="J296" t="s">
        <v>666</v>
      </c>
      <c r="K296" t="s">
        <v>24</v>
      </c>
      <c r="L296" t="s">
        <v>667</v>
      </c>
      <c r="M296" t="s">
        <v>797</v>
      </c>
      <c r="N296" t="s">
        <v>313</v>
      </c>
      <c r="O296" t="s">
        <v>891</v>
      </c>
      <c r="P296" t="s">
        <v>892</v>
      </c>
      <c r="Q296" t="s">
        <v>975</v>
      </c>
      <c r="R296" t="s">
        <v>976</v>
      </c>
      <c r="S296" t="s">
        <v>550</v>
      </c>
      <c r="T296" t="s">
        <v>893</v>
      </c>
      <c r="U296" t="s">
        <v>1509</v>
      </c>
      <c r="V296" t="s">
        <v>1656</v>
      </c>
      <c r="W296" t="s">
        <v>978</v>
      </c>
      <c r="X296" t="s">
        <v>669</v>
      </c>
      <c r="Y296" t="s">
        <v>803</v>
      </c>
      <c r="Z296" t="s">
        <v>1654</v>
      </c>
    </row>
    <row r="297" spans="1:26" x14ac:dyDescent="0.3">
      <c r="A297" t="s">
        <v>525</v>
      </c>
      <c r="B297" t="s">
        <v>1657</v>
      </c>
      <c r="C297" t="s">
        <v>1658</v>
      </c>
      <c r="D297" t="s">
        <v>1548</v>
      </c>
      <c r="E297" t="s">
        <v>664</v>
      </c>
      <c r="F297" t="s">
        <v>27</v>
      </c>
      <c r="G297" s="1">
        <v>44197</v>
      </c>
      <c r="H297" s="1">
        <v>44197</v>
      </c>
      <c r="I297" t="s">
        <v>665</v>
      </c>
      <c r="J297" t="s">
        <v>666</v>
      </c>
      <c r="K297" t="s">
        <v>24</v>
      </c>
      <c r="L297" t="s">
        <v>667</v>
      </c>
      <c r="M297" t="s">
        <v>797</v>
      </c>
      <c r="N297" t="s">
        <v>313</v>
      </c>
      <c r="O297" t="s">
        <v>891</v>
      </c>
      <c r="P297" t="s">
        <v>892</v>
      </c>
      <c r="Q297" t="s">
        <v>975</v>
      </c>
      <c r="R297" t="s">
        <v>976</v>
      </c>
      <c r="S297" t="s">
        <v>550</v>
      </c>
      <c r="T297" t="s">
        <v>893</v>
      </c>
      <c r="U297" t="s">
        <v>1509</v>
      </c>
      <c r="V297" t="s">
        <v>1659</v>
      </c>
      <c r="W297" t="s">
        <v>978</v>
      </c>
      <c r="X297" t="s">
        <v>669</v>
      </c>
      <c r="Y297" t="s">
        <v>803</v>
      </c>
      <c r="Z297" t="s">
        <v>1657</v>
      </c>
    </row>
    <row r="298" spans="1:26" x14ac:dyDescent="0.3">
      <c r="A298" t="s">
        <v>525</v>
      </c>
      <c r="B298" t="s">
        <v>1660</v>
      </c>
      <c r="C298" t="s">
        <v>1661</v>
      </c>
      <c r="D298" t="s">
        <v>1548</v>
      </c>
      <c r="E298" t="s">
        <v>664</v>
      </c>
      <c r="F298" t="s">
        <v>27</v>
      </c>
      <c r="G298" s="1">
        <v>44197</v>
      </c>
      <c r="H298" s="1">
        <v>44197</v>
      </c>
      <c r="I298" t="s">
        <v>665</v>
      </c>
      <c r="J298" t="s">
        <v>666</v>
      </c>
      <c r="K298" t="s">
        <v>24</v>
      </c>
      <c r="L298" t="s">
        <v>667</v>
      </c>
      <c r="M298" t="s">
        <v>797</v>
      </c>
      <c r="N298" t="s">
        <v>313</v>
      </c>
      <c r="O298" t="s">
        <v>891</v>
      </c>
      <c r="P298" t="s">
        <v>892</v>
      </c>
      <c r="Q298" t="s">
        <v>975</v>
      </c>
      <c r="R298" t="s">
        <v>976</v>
      </c>
      <c r="S298" t="s">
        <v>550</v>
      </c>
      <c r="T298" t="s">
        <v>893</v>
      </c>
      <c r="U298" t="s">
        <v>1509</v>
      </c>
      <c r="V298" t="s">
        <v>1662</v>
      </c>
      <c r="W298" t="s">
        <v>978</v>
      </c>
      <c r="X298" t="s">
        <v>669</v>
      </c>
      <c r="Y298" t="s">
        <v>803</v>
      </c>
      <c r="Z298" t="s">
        <v>1660</v>
      </c>
    </row>
    <row r="299" spans="1:26" x14ac:dyDescent="0.3">
      <c r="A299" t="s">
        <v>525</v>
      </c>
      <c r="B299" t="s">
        <v>1663</v>
      </c>
      <c r="C299" t="s">
        <v>1664</v>
      </c>
      <c r="D299" t="s">
        <v>1548</v>
      </c>
      <c r="E299" t="s">
        <v>664</v>
      </c>
      <c r="F299" t="s">
        <v>27</v>
      </c>
      <c r="G299" s="1">
        <v>44197</v>
      </c>
      <c r="H299" s="1">
        <v>44197</v>
      </c>
      <c r="I299" t="s">
        <v>665</v>
      </c>
      <c r="J299" t="s">
        <v>666</v>
      </c>
      <c r="K299" t="s">
        <v>24</v>
      </c>
      <c r="L299" t="s">
        <v>667</v>
      </c>
      <c r="M299" t="s">
        <v>797</v>
      </c>
      <c r="N299" t="s">
        <v>313</v>
      </c>
      <c r="O299" t="s">
        <v>891</v>
      </c>
      <c r="P299" t="s">
        <v>892</v>
      </c>
      <c r="Q299" t="s">
        <v>975</v>
      </c>
      <c r="R299" t="s">
        <v>976</v>
      </c>
      <c r="S299" t="s">
        <v>550</v>
      </c>
      <c r="T299" t="s">
        <v>893</v>
      </c>
      <c r="U299" t="s">
        <v>1509</v>
      </c>
      <c r="V299" t="s">
        <v>1665</v>
      </c>
      <c r="W299" t="s">
        <v>978</v>
      </c>
      <c r="X299" t="s">
        <v>669</v>
      </c>
      <c r="Y299" t="s">
        <v>803</v>
      </c>
      <c r="Z299" t="s">
        <v>1663</v>
      </c>
    </row>
    <row r="300" spans="1:26" x14ac:dyDescent="0.3">
      <c r="A300" t="s">
        <v>525</v>
      </c>
      <c r="B300" t="s">
        <v>1666</v>
      </c>
      <c r="C300" t="s">
        <v>1667</v>
      </c>
      <c r="D300" t="s">
        <v>1548</v>
      </c>
      <c r="E300" t="s">
        <v>664</v>
      </c>
      <c r="F300" t="s">
        <v>27</v>
      </c>
      <c r="G300" s="1">
        <v>44197</v>
      </c>
      <c r="H300" s="1">
        <v>44197</v>
      </c>
      <c r="I300" t="s">
        <v>665</v>
      </c>
      <c r="J300" t="s">
        <v>666</v>
      </c>
      <c r="K300" t="s">
        <v>24</v>
      </c>
      <c r="L300" t="s">
        <v>667</v>
      </c>
      <c r="M300" t="s">
        <v>797</v>
      </c>
      <c r="N300" t="s">
        <v>313</v>
      </c>
      <c r="O300" t="s">
        <v>891</v>
      </c>
      <c r="P300" t="s">
        <v>892</v>
      </c>
      <c r="Q300" t="s">
        <v>975</v>
      </c>
      <c r="R300" t="s">
        <v>976</v>
      </c>
      <c r="S300" t="s">
        <v>550</v>
      </c>
      <c r="T300" t="s">
        <v>893</v>
      </c>
      <c r="U300" t="s">
        <v>1509</v>
      </c>
      <c r="V300" t="s">
        <v>1668</v>
      </c>
      <c r="W300" t="s">
        <v>978</v>
      </c>
      <c r="X300" t="s">
        <v>669</v>
      </c>
      <c r="Y300" t="s">
        <v>803</v>
      </c>
      <c r="Z300" t="s">
        <v>1666</v>
      </c>
    </row>
    <row r="301" spans="1:26" x14ac:dyDescent="0.3">
      <c r="A301" t="s">
        <v>525</v>
      </c>
      <c r="B301" t="s">
        <v>1669</v>
      </c>
      <c r="C301" t="s">
        <v>1670</v>
      </c>
      <c r="D301" t="s">
        <v>1548</v>
      </c>
      <c r="E301" t="s">
        <v>664</v>
      </c>
      <c r="F301" t="s">
        <v>27</v>
      </c>
      <c r="G301" s="1">
        <v>44197</v>
      </c>
      <c r="H301" s="1">
        <v>44197</v>
      </c>
      <c r="I301" t="s">
        <v>665</v>
      </c>
      <c r="J301" t="s">
        <v>666</v>
      </c>
      <c r="K301" t="s">
        <v>24</v>
      </c>
      <c r="L301" t="s">
        <v>667</v>
      </c>
      <c r="M301" t="s">
        <v>797</v>
      </c>
      <c r="N301" t="s">
        <v>313</v>
      </c>
      <c r="O301" t="s">
        <v>891</v>
      </c>
      <c r="P301" t="s">
        <v>892</v>
      </c>
      <c r="Q301" t="s">
        <v>975</v>
      </c>
      <c r="R301" t="s">
        <v>976</v>
      </c>
      <c r="S301" t="s">
        <v>550</v>
      </c>
      <c r="T301" t="s">
        <v>893</v>
      </c>
      <c r="U301" t="s">
        <v>1509</v>
      </c>
      <c r="V301" t="s">
        <v>1671</v>
      </c>
      <c r="W301" t="s">
        <v>978</v>
      </c>
      <c r="X301" t="s">
        <v>669</v>
      </c>
      <c r="Y301" t="s">
        <v>803</v>
      </c>
      <c r="Z301" t="s">
        <v>1669</v>
      </c>
    </row>
    <row r="302" spans="1:26" x14ac:dyDescent="0.3">
      <c r="A302" t="s">
        <v>525</v>
      </c>
      <c r="B302" t="s">
        <v>1672</v>
      </c>
      <c r="C302" t="s">
        <v>1673</v>
      </c>
      <c r="D302" t="s">
        <v>1548</v>
      </c>
      <c r="E302" t="s">
        <v>664</v>
      </c>
      <c r="F302" t="s">
        <v>27</v>
      </c>
      <c r="G302" s="1">
        <v>44197</v>
      </c>
      <c r="H302" s="1">
        <v>44197</v>
      </c>
      <c r="I302" t="s">
        <v>665</v>
      </c>
      <c r="J302" t="s">
        <v>666</v>
      </c>
      <c r="K302" t="s">
        <v>24</v>
      </c>
      <c r="L302" t="s">
        <v>667</v>
      </c>
      <c r="M302" t="s">
        <v>797</v>
      </c>
      <c r="N302" t="s">
        <v>313</v>
      </c>
      <c r="O302" t="s">
        <v>891</v>
      </c>
      <c r="P302" t="s">
        <v>892</v>
      </c>
      <c r="Q302" t="s">
        <v>975</v>
      </c>
      <c r="R302" t="s">
        <v>976</v>
      </c>
      <c r="S302" t="s">
        <v>550</v>
      </c>
      <c r="T302" t="s">
        <v>893</v>
      </c>
      <c r="U302" t="s">
        <v>1509</v>
      </c>
      <c r="V302" t="s">
        <v>1674</v>
      </c>
      <c r="W302" t="s">
        <v>978</v>
      </c>
      <c r="X302" t="s">
        <v>669</v>
      </c>
      <c r="Y302" t="s">
        <v>803</v>
      </c>
      <c r="Z302" t="s">
        <v>1672</v>
      </c>
    </row>
    <row r="303" spans="1:26" x14ac:dyDescent="0.3">
      <c r="A303" t="s">
        <v>525</v>
      </c>
      <c r="B303" t="s">
        <v>1675</v>
      </c>
      <c r="C303" t="s">
        <v>1676</v>
      </c>
      <c r="D303" t="s">
        <v>1548</v>
      </c>
      <c r="E303" t="s">
        <v>664</v>
      </c>
      <c r="F303" t="s">
        <v>27</v>
      </c>
      <c r="G303" s="1">
        <v>44197</v>
      </c>
      <c r="H303" s="1">
        <v>44197</v>
      </c>
      <c r="I303" t="s">
        <v>665</v>
      </c>
      <c r="J303" t="s">
        <v>666</v>
      </c>
      <c r="K303" t="s">
        <v>24</v>
      </c>
      <c r="L303" t="s">
        <v>667</v>
      </c>
      <c r="M303" t="s">
        <v>797</v>
      </c>
      <c r="N303" t="s">
        <v>313</v>
      </c>
      <c r="O303" t="s">
        <v>891</v>
      </c>
      <c r="P303" t="s">
        <v>892</v>
      </c>
      <c r="Q303" t="s">
        <v>975</v>
      </c>
      <c r="R303" t="s">
        <v>976</v>
      </c>
      <c r="S303" t="s">
        <v>550</v>
      </c>
      <c r="T303" t="s">
        <v>893</v>
      </c>
      <c r="U303" t="s">
        <v>1509</v>
      </c>
      <c r="V303" t="s">
        <v>1677</v>
      </c>
      <c r="W303" t="s">
        <v>978</v>
      </c>
      <c r="X303" t="s">
        <v>669</v>
      </c>
      <c r="Y303" t="s">
        <v>803</v>
      </c>
      <c r="Z303" t="s">
        <v>1675</v>
      </c>
    </row>
    <row r="304" spans="1:26" x14ac:dyDescent="0.3">
      <c r="A304" t="s">
        <v>525</v>
      </c>
      <c r="B304" t="s">
        <v>1678</v>
      </c>
      <c r="C304" t="s">
        <v>1679</v>
      </c>
      <c r="D304" t="s">
        <v>1548</v>
      </c>
      <c r="E304" t="s">
        <v>664</v>
      </c>
      <c r="F304" t="s">
        <v>27</v>
      </c>
      <c r="G304" s="1">
        <v>44197</v>
      </c>
      <c r="H304" s="1">
        <v>44197</v>
      </c>
      <c r="I304" t="s">
        <v>665</v>
      </c>
      <c r="J304" t="s">
        <v>666</v>
      </c>
      <c r="K304" t="s">
        <v>24</v>
      </c>
      <c r="L304" t="s">
        <v>667</v>
      </c>
      <c r="M304" t="s">
        <v>797</v>
      </c>
      <c r="N304" t="s">
        <v>313</v>
      </c>
      <c r="O304" t="s">
        <v>891</v>
      </c>
      <c r="P304" t="s">
        <v>892</v>
      </c>
      <c r="Q304" t="s">
        <v>975</v>
      </c>
      <c r="R304" t="s">
        <v>976</v>
      </c>
      <c r="S304" t="s">
        <v>550</v>
      </c>
      <c r="T304" t="s">
        <v>893</v>
      </c>
      <c r="U304" t="s">
        <v>1509</v>
      </c>
      <c r="V304" t="s">
        <v>1680</v>
      </c>
      <c r="W304" t="s">
        <v>978</v>
      </c>
      <c r="X304" t="s">
        <v>669</v>
      </c>
      <c r="Y304" t="s">
        <v>803</v>
      </c>
      <c r="Z304" t="s">
        <v>1678</v>
      </c>
    </row>
    <row r="305" spans="1:26" x14ac:dyDescent="0.3">
      <c r="A305" t="s">
        <v>525</v>
      </c>
      <c r="B305" t="s">
        <v>1681</v>
      </c>
      <c r="C305" t="s">
        <v>1682</v>
      </c>
      <c r="D305" t="s">
        <v>1548</v>
      </c>
      <c r="E305" t="s">
        <v>664</v>
      </c>
      <c r="F305" t="s">
        <v>27</v>
      </c>
      <c r="G305" s="1">
        <v>44197</v>
      </c>
      <c r="H305" s="1">
        <v>44197</v>
      </c>
      <c r="I305" t="s">
        <v>665</v>
      </c>
      <c r="J305" t="s">
        <v>666</v>
      </c>
      <c r="K305" t="s">
        <v>24</v>
      </c>
      <c r="L305" t="s">
        <v>667</v>
      </c>
      <c r="M305" t="s">
        <v>797</v>
      </c>
      <c r="N305" t="s">
        <v>313</v>
      </c>
      <c r="O305" t="s">
        <v>891</v>
      </c>
      <c r="P305" t="s">
        <v>892</v>
      </c>
      <c r="Q305" t="s">
        <v>975</v>
      </c>
      <c r="R305" t="s">
        <v>976</v>
      </c>
      <c r="S305" t="s">
        <v>550</v>
      </c>
      <c r="T305" t="s">
        <v>893</v>
      </c>
      <c r="U305" t="s">
        <v>1509</v>
      </c>
      <c r="V305" t="s">
        <v>1683</v>
      </c>
      <c r="W305" t="s">
        <v>978</v>
      </c>
      <c r="X305" t="s">
        <v>669</v>
      </c>
      <c r="Y305" t="s">
        <v>803</v>
      </c>
      <c r="Z305" t="s">
        <v>1681</v>
      </c>
    </row>
    <row r="306" spans="1:26" x14ac:dyDescent="0.3">
      <c r="A306" t="s">
        <v>525</v>
      </c>
      <c r="B306" t="s">
        <v>1684</v>
      </c>
      <c r="C306" t="s">
        <v>1685</v>
      </c>
      <c r="D306" t="s">
        <v>1548</v>
      </c>
      <c r="E306" t="s">
        <v>664</v>
      </c>
      <c r="F306" t="s">
        <v>27</v>
      </c>
      <c r="G306" s="1">
        <v>44197</v>
      </c>
      <c r="H306" s="1">
        <v>44197</v>
      </c>
      <c r="I306" t="s">
        <v>665</v>
      </c>
      <c r="J306" t="s">
        <v>666</v>
      </c>
      <c r="K306" t="s">
        <v>24</v>
      </c>
      <c r="L306" t="s">
        <v>667</v>
      </c>
      <c r="M306" t="s">
        <v>797</v>
      </c>
      <c r="N306" t="s">
        <v>313</v>
      </c>
      <c r="O306" t="s">
        <v>891</v>
      </c>
      <c r="P306" t="s">
        <v>892</v>
      </c>
      <c r="Q306" t="s">
        <v>975</v>
      </c>
      <c r="R306" t="s">
        <v>976</v>
      </c>
      <c r="S306" t="s">
        <v>550</v>
      </c>
      <c r="T306" t="s">
        <v>893</v>
      </c>
      <c r="U306" t="s">
        <v>1509</v>
      </c>
      <c r="V306" t="s">
        <v>1686</v>
      </c>
      <c r="W306" t="s">
        <v>978</v>
      </c>
      <c r="X306" t="s">
        <v>669</v>
      </c>
      <c r="Y306" t="s">
        <v>803</v>
      </c>
      <c r="Z306" t="s">
        <v>1684</v>
      </c>
    </row>
    <row r="307" spans="1:26" x14ac:dyDescent="0.3">
      <c r="A307" t="s">
        <v>525</v>
      </c>
      <c r="B307" t="s">
        <v>1687</v>
      </c>
      <c r="C307" t="s">
        <v>1688</v>
      </c>
      <c r="D307" t="s">
        <v>1548</v>
      </c>
      <c r="E307" t="s">
        <v>664</v>
      </c>
      <c r="F307" t="s">
        <v>27</v>
      </c>
      <c r="G307" s="1">
        <v>44197</v>
      </c>
      <c r="H307" s="1">
        <v>44197</v>
      </c>
      <c r="I307" t="s">
        <v>665</v>
      </c>
      <c r="J307" t="s">
        <v>666</v>
      </c>
      <c r="K307" t="s">
        <v>24</v>
      </c>
      <c r="L307" t="s">
        <v>667</v>
      </c>
      <c r="M307" t="s">
        <v>797</v>
      </c>
      <c r="N307" t="s">
        <v>313</v>
      </c>
      <c r="O307" t="s">
        <v>891</v>
      </c>
      <c r="P307" t="s">
        <v>892</v>
      </c>
      <c r="Q307" t="s">
        <v>975</v>
      </c>
      <c r="R307" t="s">
        <v>976</v>
      </c>
      <c r="S307" t="s">
        <v>550</v>
      </c>
      <c r="T307" t="s">
        <v>893</v>
      </c>
      <c r="U307" t="s">
        <v>1509</v>
      </c>
      <c r="V307" t="s">
        <v>1689</v>
      </c>
      <c r="W307" t="s">
        <v>978</v>
      </c>
      <c r="X307" t="s">
        <v>669</v>
      </c>
      <c r="Y307" t="s">
        <v>803</v>
      </c>
      <c r="Z307" t="s">
        <v>1687</v>
      </c>
    </row>
    <row r="308" spans="1:26" x14ac:dyDescent="0.3">
      <c r="A308" t="s">
        <v>525</v>
      </c>
      <c r="B308" t="s">
        <v>1690</v>
      </c>
      <c r="C308" t="s">
        <v>1691</v>
      </c>
      <c r="D308" t="s">
        <v>1548</v>
      </c>
      <c r="E308" t="s">
        <v>664</v>
      </c>
      <c r="F308" t="s">
        <v>27</v>
      </c>
      <c r="G308" s="1">
        <v>44197</v>
      </c>
      <c r="H308" s="1">
        <v>44197</v>
      </c>
      <c r="I308" t="s">
        <v>665</v>
      </c>
      <c r="J308" t="s">
        <v>666</v>
      </c>
      <c r="K308" t="s">
        <v>24</v>
      </c>
      <c r="L308" t="s">
        <v>667</v>
      </c>
      <c r="M308" t="s">
        <v>797</v>
      </c>
      <c r="N308" t="s">
        <v>313</v>
      </c>
      <c r="O308" t="s">
        <v>891</v>
      </c>
      <c r="P308" t="s">
        <v>892</v>
      </c>
      <c r="Q308" t="s">
        <v>975</v>
      </c>
      <c r="R308" t="s">
        <v>976</v>
      </c>
      <c r="S308" t="s">
        <v>550</v>
      </c>
      <c r="T308" t="s">
        <v>893</v>
      </c>
      <c r="U308" t="s">
        <v>1509</v>
      </c>
      <c r="V308" t="s">
        <v>1692</v>
      </c>
      <c r="W308" t="s">
        <v>978</v>
      </c>
      <c r="X308" t="s">
        <v>669</v>
      </c>
      <c r="Y308" t="s">
        <v>803</v>
      </c>
      <c r="Z308" t="s">
        <v>1690</v>
      </c>
    </row>
    <row r="309" spans="1:26" x14ac:dyDescent="0.3">
      <c r="A309" t="s">
        <v>525</v>
      </c>
      <c r="B309" t="s">
        <v>1693</v>
      </c>
      <c r="C309" t="s">
        <v>1694</v>
      </c>
      <c r="D309" t="s">
        <v>1548</v>
      </c>
      <c r="E309" t="s">
        <v>664</v>
      </c>
      <c r="F309" t="s">
        <v>27</v>
      </c>
      <c r="G309" s="1">
        <v>44197</v>
      </c>
      <c r="H309" s="1">
        <v>44197</v>
      </c>
      <c r="I309" t="s">
        <v>665</v>
      </c>
      <c r="J309" t="s">
        <v>666</v>
      </c>
      <c r="K309" t="s">
        <v>24</v>
      </c>
      <c r="L309" t="s">
        <v>667</v>
      </c>
      <c r="M309" t="s">
        <v>797</v>
      </c>
      <c r="N309" t="s">
        <v>313</v>
      </c>
      <c r="O309" t="s">
        <v>891</v>
      </c>
      <c r="P309" t="s">
        <v>892</v>
      </c>
      <c r="Q309" t="s">
        <v>975</v>
      </c>
      <c r="R309" t="s">
        <v>976</v>
      </c>
      <c r="S309" t="s">
        <v>550</v>
      </c>
      <c r="T309" t="s">
        <v>893</v>
      </c>
      <c r="U309" t="s">
        <v>1509</v>
      </c>
      <c r="V309" t="s">
        <v>1695</v>
      </c>
      <c r="W309" t="s">
        <v>978</v>
      </c>
      <c r="X309" t="s">
        <v>669</v>
      </c>
      <c r="Y309" t="s">
        <v>803</v>
      </c>
      <c r="Z309" t="s">
        <v>1693</v>
      </c>
    </row>
    <row r="310" spans="1:26" x14ac:dyDescent="0.3">
      <c r="A310" t="s">
        <v>525</v>
      </c>
      <c r="B310" t="s">
        <v>1696</v>
      </c>
      <c r="C310" t="s">
        <v>1697</v>
      </c>
      <c r="D310" t="s">
        <v>1548</v>
      </c>
      <c r="E310" t="s">
        <v>664</v>
      </c>
      <c r="F310" t="s">
        <v>27</v>
      </c>
      <c r="G310" s="1">
        <v>44197</v>
      </c>
      <c r="H310" s="1">
        <v>44197</v>
      </c>
      <c r="I310" t="s">
        <v>665</v>
      </c>
      <c r="J310" t="s">
        <v>666</v>
      </c>
      <c r="K310" t="s">
        <v>24</v>
      </c>
      <c r="L310" t="s">
        <v>667</v>
      </c>
      <c r="M310" t="s">
        <v>797</v>
      </c>
      <c r="N310" t="s">
        <v>313</v>
      </c>
      <c r="O310" t="s">
        <v>891</v>
      </c>
      <c r="P310" t="s">
        <v>892</v>
      </c>
      <c r="Q310" t="s">
        <v>975</v>
      </c>
      <c r="R310" t="s">
        <v>976</v>
      </c>
      <c r="S310" t="s">
        <v>550</v>
      </c>
      <c r="T310" t="s">
        <v>893</v>
      </c>
      <c r="U310" t="s">
        <v>1509</v>
      </c>
      <c r="V310" t="s">
        <v>1698</v>
      </c>
      <c r="W310" t="s">
        <v>978</v>
      </c>
      <c r="X310" t="s">
        <v>669</v>
      </c>
      <c r="Y310" t="s">
        <v>803</v>
      </c>
      <c r="Z310" t="s">
        <v>1696</v>
      </c>
    </row>
    <row r="311" spans="1:26" x14ac:dyDescent="0.3">
      <c r="A311" t="s">
        <v>525</v>
      </c>
      <c r="B311" t="s">
        <v>1699</v>
      </c>
      <c r="C311" t="s">
        <v>1700</v>
      </c>
      <c r="D311" t="s">
        <v>1548</v>
      </c>
      <c r="E311" t="s">
        <v>664</v>
      </c>
      <c r="F311" t="s">
        <v>27</v>
      </c>
      <c r="G311" s="1">
        <v>44197</v>
      </c>
      <c r="H311" s="1">
        <v>44197</v>
      </c>
      <c r="I311" t="s">
        <v>665</v>
      </c>
      <c r="J311" t="s">
        <v>666</v>
      </c>
      <c r="K311" t="s">
        <v>24</v>
      </c>
      <c r="L311" t="s">
        <v>667</v>
      </c>
      <c r="M311" t="s">
        <v>797</v>
      </c>
      <c r="N311" t="s">
        <v>313</v>
      </c>
      <c r="O311" t="s">
        <v>891</v>
      </c>
      <c r="P311" t="s">
        <v>892</v>
      </c>
      <c r="Q311" t="s">
        <v>975</v>
      </c>
      <c r="R311" t="s">
        <v>976</v>
      </c>
      <c r="S311" t="s">
        <v>550</v>
      </c>
      <c r="T311" t="s">
        <v>893</v>
      </c>
      <c r="U311" t="s">
        <v>1509</v>
      </c>
      <c r="V311" t="s">
        <v>1701</v>
      </c>
      <c r="W311" t="s">
        <v>978</v>
      </c>
      <c r="X311" t="s">
        <v>669</v>
      </c>
      <c r="Y311" t="s">
        <v>803</v>
      </c>
      <c r="Z311" t="s">
        <v>1699</v>
      </c>
    </row>
    <row r="312" spans="1:26" x14ac:dyDescent="0.3">
      <c r="A312" t="s">
        <v>525</v>
      </c>
      <c r="B312" t="s">
        <v>1702</v>
      </c>
      <c r="C312" t="s">
        <v>1703</v>
      </c>
      <c r="D312" t="s">
        <v>1548</v>
      </c>
      <c r="E312" t="s">
        <v>664</v>
      </c>
      <c r="F312" t="s">
        <v>27</v>
      </c>
      <c r="G312" s="1">
        <v>44197</v>
      </c>
      <c r="H312" s="1">
        <v>44197</v>
      </c>
      <c r="I312" t="s">
        <v>665</v>
      </c>
      <c r="J312" t="s">
        <v>666</v>
      </c>
      <c r="K312" t="s">
        <v>24</v>
      </c>
      <c r="L312" t="s">
        <v>667</v>
      </c>
      <c r="M312" t="s">
        <v>797</v>
      </c>
      <c r="N312" t="s">
        <v>313</v>
      </c>
      <c r="O312" t="s">
        <v>891</v>
      </c>
      <c r="P312" t="s">
        <v>892</v>
      </c>
      <c r="Q312" t="s">
        <v>975</v>
      </c>
      <c r="R312" t="s">
        <v>976</v>
      </c>
      <c r="S312" t="s">
        <v>550</v>
      </c>
      <c r="T312" t="s">
        <v>893</v>
      </c>
      <c r="U312" t="s">
        <v>1509</v>
      </c>
      <c r="V312" t="s">
        <v>1704</v>
      </c>
      <c r="W312" t="s">
        <v>978</v>
      </c>
      <c r="X312" t="s">
        <v>669</v>
      </c>
      <c r="Y312" t="s">
        <v>803</v>
      </c>
      <c r="Z312" t="s">
        <v>1702</v>
      </c>
    </row>
    <row r="313" spans="1:26" x14ac:dyDescent="0.3">
      <c r="A313" t="s">
        <v>525</v>
      </c>
      <c r="B313" t="s">
        <v>1705</v>
      </c>
      <c r="C313" t="s">
        <v>1706</v>
      </c>
      <c r="D313" t="s">
        <v>1548</v>
      </c>
      <c r="E313" t="s">
        <v>664</v>
      </c>
      <c r="F313" t="s">
        <v>27</v>
      </c>
      <c r="G313" s="1">
        <v>44197</v>
      </c>
      <c r="H313" s="1">
        <v>44197</v>
      </c>
      <c r="I313" t="s">
        <v>665</v>
      </c>
      <c r="J313" t="s">
        <v>666</v>
      </c>
      <c r="K313" t="s">
        <v>24</v>
      </c>
      <c r="L313" t="s">
        <v>667</v>
      </c>
      <c r="M313" t="s">
        <v>797</v>
      </c>
      <c r="N313" t="s">
        <v>313</v>
      </c>
      <c r="O313" t="s">
        <v>891</v>
      </c>
      <c r="P313" t="s">
        <v>892</v>
      </c>
      <c r="Q313" t="s">
        <v>975</v>
      </c>
      <c r="R313" t="s">
        <v>976</v>
      </c>
      <c r="S313" t="s">
        <v>550</v>
      </c>
      <c r="T313" t="s">
        <v>893</v>
      </c>
      <c r="U313" t="s">
        <v>1509</v>
      </c>
      <c r="V313" t="s">
        <v>1707</v>
      </c>
      <c r="W313" t="s">
        <v>978</v>
      </c>
      <c r="X313" t="s">
        <v>669</v>
      </c>
      <c r="Y313" t="s">
        <v>803</v>
      </c>
      <c r="Z313" t="s">
        <v>1705</v>
      </c>
    </row>
    <row r="314" spans="1:26" x14ac:dyDescent="0.3">
      <c r="A314" t="s">
        <v>525</v>
      </c>
      <c r="B314" t="s">
        <v>1708</v>
      </c>
      <c r="C314" t="s">
        <v>1709</v>
      </c>
      <c r="D314" t="s">
        <v>1548</v>
      </c>
      <c r="E314" t="s">
        <v>664</v>
      </c>
      <c r="F314" t="s">
        <v>27</v>
      </c>
      <c r="G314" s="1">
        <v>44197</v>
      </c>
      <c r="H314" s="1">
        <v>44197</v>
      </c>
      <c r="I314" t="s">
        <v>665</v>
      </c>
      <c r="J314" t="s">
        <v>666</v>
      </c>
      <c r="K314" t="s">
        <v>24</v>
      </c>
      <c r="L314" t="s">
        <v>667</v>
      </c>
      <c r="M314" t="s">
        <v>797</v>
      </c>
      <c r="N314" t="s">
        <v>313</v>
      </c>
      <c r="O314" t="s">
        <v>891</v>
      </c>
      <c r="P314" t="s">
        <v>892</v>
      </c>
      <c r="Q314" t="s">
        <v>975</v>
      </c>
      <c r="R314" t="s">
        <v>976</v>
      </c>
      <c r="S314" t="s">
        <v>550</v>
      </c>
      <c r="T314" t="s">
        <v>893</v>
      </c>
      <c r="U314" t="s">
        <v>1509</v>
      </c>
      <c r="V314" t="s">
        <v>1710</v>
      </c>
      <c r="W314" t="s">
        <v>978</v>
      </c>
      <c r="X314" t="s">
        <v>669</v>
      </c>
      <c r="Y314" t="s">
        <v>803</v>
      </c>
      <c r="Z314" t="s">
        <v>1708</v>
      </c>
    </row>
    <row r="315" spans="1:26" x14ac:dyDescent="0.3">
      <c r="A315" t="s">
        <v>525</v>
      </c>
      <c r="B315" t="s">
        <v>1711</v>
      </c>
      <c r="C315" t="s">
        <v>1712</v>
      </c>
      <c r="D315" t="s">
        <v>1548</v>
      </c>
      <c r="E315" t="s">
        <v>664</v>
      </c>
      <c r="F315" t="s">
        <v>27</v>
      </c>
      <c r="G315" s="1">
        <v>44197</v>
      </c>
      <c r="H315" s="1">
        <v>44197</v>
      </c>
      <c r="I315" t="s">
        <v>665</v>
      </c>
      <c r="J315" t="s">
        <v>666</v>
      </c>
      <c r="K315" t="s">
        <v>24</v>
      </c>
      <c r="L315" t="s">
        <v>667</v>
      </c>
      <c r="M315" t="s">
        <v>797</v>
      </c>
      <c r="N315" t="s">
        <v>313</v>
      </c>
      <c r="O315" t="s">
        <v>891</v>
      </c>
      <c r="P315" t="s">
        <v>892</v>
      </c>
      <c r="Q315" t="s">
        <v>975</v>
      </c>
      <c r="R315" t="s">
        <v>976</v>
      </c>
      <c r="S315" t="s">
        <v>550</v>
      </c>
      <c r="T315" t="s">
        <v>893</v>
      </c>
      <c r="U315" t="s">
        <v>1509</v>
      </c>
      <c r="V315" t="s">
        <v>1713</v>
      </c>
      <c r="W315" t="s">
        <v>978</v>
      </c>
      <c r="X315" t="s">
        <v>669</v>
      </c>
      <c r="Y315" t="s">
        <v>803</v>
      </c>
      <c r="Z315" t="s">
        <v>1711</v>
      </c>
    </row>
    <row r="316" spans="1:26" x14ac:dyDescent="0.3">
      <c r="A316" t="s">
        <v>525</v>
      </c>
      <c r="B316" t="s">
        <v>1714</v>
      </c>
      <c r="C316" t="s">
        <v>1715</v>
      </c>
      <c r="D316" t="s">
        <v>1548</v>
      </c>
      <c r="E316" t="s">
        <v>664</v>
      </c>
      <c r="F316" t="s">
        <v>27</v>
      </c>
      <c r="G316" s="1">
        <v>44197</v>
      </c>
      <c r="H316" s="1">
        <v>44197</v>
      </c>
      <c r="I316" t="s">
        <v>665</v>
      </c>
      <c r="J316" t="s">
        <v>666</v>
      </c>
      <c r="K316" t="s">
        <v>24</v>
      </c>
      <c r="L316" t="s">
        <v>667</v>
      </c>
      <c r="M316" t="s">
        <v>797</v>
      </c>
      <c r="N316" t="s">
        <v>313</v>
      </c>
      <c r="O316" t="s">
        <v>891</v>
      </c>
      <c r="P316" t="s">
        <v>892</v>
      </c>
      <c r="Q316" t="s">
        <v>975</v>
      </c>
      <c r="R316" t="s">
        <v>976</v>
      </c>
      <c r="S316" t="s">
        <v>550</v>
      </c>
      <c r="T316" t="s">
        <v>893</v>
      </c>
      <c r="U316" t="s">
        <v>1509</v>
      </c>
      <c r="V316" t="s">
        <v>1716</v>
      </c>
      <c r="W316" t="s">
        <v>978</v>
      </c>
      <c r="X316" t="s">
        <v>669</v>
      </c>
      <c r="Y316" t="s">
        <v>803</v>
      </c>
      <c r="Z316" t="s">
        <v>1714</v>
      </c>
    </row>
    <row r="317" spans="1:26" x14ac:dyDescent="0.3">
      <c r="A317" t="s">
        <v>525</v>
      </c>
      <c r="B317" t="s">
        <v>1717</v>
      </c>
      <c r="C317" t="s">
        <v>1718</v>
      </c>
      <c r="D317" t="s">
        <v>1548</v>
      </c>
      <c r="E317" t="s">
        <v>664</v>
      </c>
      <c r="F317" t="s">
        <v>27</v>
      </c>
      <c r="G317" s="1">
        <v>44197</v>
      </c>
      <c r="H317" s="1">
        <v>44197</v>
      </c>
      <c r="I317" t="s">
        <v>665</v>
      </c>
      <c r="J317" t="s">
        <v>666</v>
      </c>
      <c r="K317" t="s">
        <v>24</v>
      </c>
      <c r="L317" t="s">
        <v>667</v>
      </c>
      <c r="M317" t="s">
        <v>797</v>
      </c>
      <c r="N317" t="s">
        <v>313</v>
      </c>
      <c r="O317" t="s">
        <v>891</v>
      </c>
      <c r="P317" t="s">
        <v>892</v>
      </c>
      <c r="Q317" t="s">
        <v>975</v>
      </c>
      <c r="R317" t="s">
        <v>976</v>
      </c>
      <c r="S317" t="s">
        <v>550</v>
      </c>
      <c r="T317" t="s">
        <v>893</v>
      </c>
      <c r="U317" t="s">
        <v>1509</v>
      </c>
      <c r="V317" t="s">
        <v>1719</v>
      </c>
      <c r="W317" t="s">
        <v>978</v>
      </c>
      <c r="X317" t="s">
        <v>669</v>
      </c>
      <c r="Y317" t="s">
        <v>803</v>
      </c>
      <c r="Z317" t="s">
        <v>1717</v>
      </c>
    </row>
    <row r="318" spans="1:26" x14ac:dyDescent="0.3">
      <c r="A318" t="s">
        <v>525</v>
      </c>
      <c r="B318" t="s">
        <v>1720</v>
      </c>
      <c r="C318" t="s">
        <v>1721</v>
      </c>
      <c r="D318" t="s">
        <v>1548</v>
      </c>
      <c r="E318" t="s">
        <v>664</v>
      </c>
      <c r="F318" t="s">
        <v>27</v>
      </c>
      <c r="G318" s="1">
        <v>44197</v>
      </c>
      <c r="H318" s="1">
        <v>44197</v>
      </c>
      <c r="I318" t="s">
        <v>665</v>
      </c>
      <c r="J318" t="s">
        <v>666</v>
      </c>
      <c r="K318" t="s">
        <v>24</v>
      </c>
      <c r="L318" t="s">
        <v>667</v>
      </c>
      <c r="M318" t="s">
        <v>797</v>
      </c>
      <c r="N318" t="s">
        <v>313</v>
      </c>
      <c r="O318" t="s">
        <v>891</v>
      </c>
      <c r="P318" t="s">
        <v>892</v>
      </c>
      <c r="Q318" t="s">
        <v>975</v>
      </c>
      <c r="R318" t="s">
        <v>976</v>
      </c>
      <c r="S318" t="s">
        <v>550</v>
      </c>
      <c r="T318" t="s">
        <v>893</v>
      </c>
      <c r="U318" t="s">
        <v>1509</v>
      </c>
      <c r="V318" t="s">
        <v>1722</v>
      </c>
      <c r="W318" t="s">
        <v>978</v>
      </c>
      <c r="X318" t="s">
        <v>669</v>
      </c>
      <c r="Y318" t="s">
        <v>803</v>
      </c>
      <c r="Z318" t="s">
        <v>1720</v>
      </c>
    </row>
    <row r="319" spans="1:26" x14ac:dyDescent="0.3">
      <c r="A319" t="s">
        <v>525</v>
      </c>
      <c r="B319" t="s">
        <v>1723</v>
      </c>
      <c r="C319" t="s">
        <v>1724</v>
      </c>
      <c r="D319" t="s">
        <v>1548</v>
      </c>
      <c r="E319" t="s">
        <v>664</v>
      </c>
      <c r="F319" t="s">
        <v>27</v>
      </c>
      <c r="G319" s="1">
        <v>44197</v>
      </c>
      <c r="H319" s="1">
        <v>44197</v>
      </c>
      <c r="I319" t="s">
        <v>665</v>
      </c>
      <c r="J319" t="s">
        <v>666</v>
      </c>
      <c r="K319" t="s">
        <v>24</v>
      </c>
      <c r="L319" t="s">
        <v>667</v>
      </c>
      <c r="M319" t="s">
        <v>797</v>
      </c>
      <c r="N319" t="s">
        <v>313</v>
      </c>
      <c r="O319" t="s">
        <v>891</v>
      </c>
      <c r="P319" t="s">
        <v>892</v>
      </c>
      <c r="Q319" t="s">
        <v>975</v>
      </c>
      <c r="R319" t="s">
        <v>976</v>
      </c>
      <c r="S319" t="s">
        <v>550</v>
      </c>
      <c r="T319" t="s">
        <v>893</v>
      </c>
      <c r="U319" t="s">
        <v>1509</v>
      </c>
      <c r="V319" t="s">
        <v>1725</v>
      </c>
      <c r="W319" t="s">
        <v>978</v>
      </c>
      <c r="X319" t="s">
        <v>669</v>
      </c>
      <c r="Y319" t="s">
        <v>803</v>
      </c>
      <c r="Z319" t="s">
        <v>1723</v>
      </c>
    </row>
    <row r="320" spans="1:26" x14ac:dyDescent="0.3">
      <c r="A320" t="s">
        <v>525</v>
      </c>
      <c r="B320" t="s">
        <v>1726</v>
      </c>
      <c r="C320" t="s">
        <v>1727</v>
      </c>
      <c r="D320" t="s">
        <v>1548</v>
      </c>
      <c r="E320" t="s">
        <v>664</v>
      </c>
      <c r="F320" t="s">
        <v>27</v>
      </c>
      <c r="G320" s="1">
        <v>44197</v>
      </c>
      <c r="H320" s="1">
        <v>44197</v>
      </c>
      <c r="I320" t="s">
        <v>665</v>
      </c>
      <c r="J320" t="s">
        <v>666</v>
      </c>
      <c r="K320" t="s">
        <v>24</v>
      </c>
      <c r="L320" t="s">
        <v>667</v>
      </c>
      <c r="M320" t="s">
        <v>797</v>
      </c>
      <c r="N320" t="s">
        <v>313</v>
      </c>
      <c r="O320" t="s">
        <v>891</v>
      </c>
      <c r="P320" t="s">
        <v>892</v>
      </c>
      <c r="Q320" t="s">
        <v>975</v>
      </c>
      <c r="R320" t="s">
        <v>976</v>
      </c>
      <c r="S320" t="s">
        <v>550</v>
      </c>
      <c r="T320" t="s">
        <v>893</v>
      </c>
      <c r="U320" t="s">
        <v>1509</v>
      </c>
      <c r="V320" t="s">
        <v>1728</v>
      </c>
      <c r="W320" t="s">
        <v>978</v>
      </c>
      <c r="X320" t="s">
        <v>669</v>
      </c>
      <c r="Y320" t="s">
        <v>803</v>
      </c>
      <c r="Z320" t="s">
        <v>1726</v>
      </c>
    </row>
    <row r="321" spans="1:26" x14ac:dyDescent="0.3">
      <c r="A321" t="s">
        <v>525</v>
      </c>
      <c r="B321" t="s">
        <v>1729</v>
      </c>
      <c r="C321" t="s">
        <v>1730</v>
      </c>
      <c r="D321" t="s">
        <v>1548</v>
      </c>
      <c r="E321" t="s">
        <v>664</v>
      </c>
      <c r="F321" t="s">
        <v>27</v>
      </c>
      <c r="G321" s="1">
        <v>44197</v>
      </c>
      <c r="H321" s="1">
        <v>44197</v>
      </c>
      <c r="I321" t="s">
        <v>665</v>
      </c>
      <c r="J321" t="s">
        <v>666</v>
      </c>
      <c r="K321" t="s">
        <v>24</v>
      </c>
      <c r="L321" t="s">
        <v>667</v>
      </c>
      <c r="M321" t="s">
        <v>797</v>
      </c>
      <c r="N321" t="s">
        <v>313</v>
      </c>
      <c r="O321" t="s">
        <v>891</v>
      </c>
      <c r="P321" t="s">
        <v>892</v>
      </c>
      <c r="Q321" t="s">
        <v>975</v>
      </c>
      <c r="R321" t="s">
        <v>976</v>
      </c>
      <c r="S321" t="s">
        <v>550</v>
      </c>
      <c r="T321" t="s">
        <v>893</v>
      </c>
      <c r="U321" t="s">
        <v>1509</v>
      </c>
      <c r="V321" t="s">
        <v>1731</v>
      </c>
      <c r="W321" t="s">
        <v>978</v>
      </c>
      <c r="X321" t="s">
        <v>669</v>
      </c>
      <c r="Y321" t="s">
        <v>803</v>
      </c>
      <c r="Z321" t="s">
        <v>1729</v>
      </c>
    </row>
    <row r="322" spans="1:26" x14ac:dyDescent="0.3">
      <c r="A322" t="s">
        <v>525</v>
      </c>
      <c r="B322" t="s">
        <v>1732</v>
      </c>
      <c r="C322" t="s">
        <v>1733</v>
      </c>
      <c r="D322" t="s">
        <v>1548</v>
      </c>
      <c r="E322" t="s">
        <v>664</v>
      </c>
      <c r="F322" t="s">
        <v>27</v>
      </c>
      <c r="G322" s="1">
        <v>44197</v>
      </c>
      <c r="H322" s="1">
        <v>44197</v>
      </c>
      <c r="I322" t="s">
        <v>665</v>
      </c>
      <c r="J322" t="s">
        <v>666</v>
      </c>
      <c r="K322" t="s">
        <v>24</v>
      </c>
      <c r="L322" t="s">
        <v>667</v>
      </c>
      <c r="M322" t="s">
        <v>797</v>
      </c>
      <c r="N322" t="s">
        <v>313</v>
      </c>
      <c r="O322" t="s">
        <v>891</v>
      </c>
      <c r="P322" t="s">
        <v>892</v>
      </c>
      <c r="Q322" t="s">
        <v>975</v>
      </c>
      <c r="R322" t="s">
        <v>976</v>
      </c>
      <c r="S322" t="s">
        <v>550</v>
      </c>
      <c r="T322" t="s">
        <v>893</v>
      </c>
      <c r="U322" t="s">
        <v>1509</v>
      </c>
      <c r="V322" t="s">
        <v>1734</v>
      </c>
      <c r="W322" t="s">
        <v>978</v>
      </c>
      <c r="X322" t="s">
        <v>669</v>
      </c>
      <c r="Y322" t="s">
        <v>803</v>
      </c>
      <c r="Z322" t="s">
        <v>1732</v>
      </c>
    </row>
    <row r="323" spans="1:26" x14ac:dyDescent="0.3">
      <c r="A323" t="s">
        <v>525</v>
      </c>
      <c r="B323" t="s">
        <v>1735</v>
      </c>
      <c r="C323" t="s">
        <v>1736</v>
      </c>
      <c r="D323" t="s">
        <v>1548</v>
      </c>
      <c r="E323" t="s">
        <v>664</v>
      </c>
      <c r="F323" t="s">
        <v>27</v>
      </c>
      <c r="G323" s="1">
        <v>44197</v>
      </c>
      <c r="H323" s="1">
        <v>44197</v>
      </c>
      <c r="I323" t="s">
        <v>665</v>
      </c>
      <c r="J323" t="s">
        <v>666</v>
      </c>
      <c r="K323" t="s">
        <v>24</v>
      </c>
      <c r="L323" t="s">
        <v>667</v>
      </c>
      <c r="M323" t="s">
        <v>797</v>
      </c>
      <c r="N323" t="s">
        <v>313</v>
      </c>
      <c r="O323" t="s">
        <v>891</v>
      </c>
      <c r="P323" t="s">
        <v>892</v>
      </c>
      <c r="Q323" t="s">
        <v>975</v>
      </c>
      <c r="R323" t="s">
        <v>976</v>
      </c>
      <c r="S323" t="s">
        <v>550</v>
      </c>
      <c r="T323" t="s">
        <v>893</v>
      </c>
      <c r="U323" t="s">
        <v>1509</v>
      </c>
      <c r="V323" t="s">
        <v>1737</v>
      </c>
      <c r="W323" t="s">
        <v>978</v>
      </c>
      <c r="X323" t="s">
        <v>669</v>
      </c>
      <c r="Y323" t="s">
        <v>803</v>
      </c>
      <c r="Z323" t="s">
        <v>1735</v>
      </c>
    </row>
    <row r="324" spans="1:26" x14ac:dyDescent="0.3">
      <c r="A324" t="s">
        <v>525</v>
      </c>
      <c r="B324" t="s">
        <v>1738</v>
      </c>
      <c r="C324" t="s">
        <v>1739</v>
      </c>
      <c r="D324" t="s">
        <v>1548</v>
      </c>
      <c r="E324" t="s">
        <v>664</v>
      </c>
      <c r="F324" t="s">
        <v>27</v>
      </c>
      <c r="G324" s="1">
        <v>44197</v>
      </c>
      <c r="H324" s="1">
        <v>44197</v>
      </c>
      <c r="I324" t="s">
        <v>665</v>
      </c>
      <c r="J324" t="s">
        <v>666</v>
      </c>
      <c r="K324" t="s">
        <v>24</v>
      </c>
      <c r="L324" t="s">
        <v>667</v>
      </c>
      <c r="M324" t="s">
        <v>797</v>
      </c>
      <c r="N324" t="s">
        <v>313</v>
      </c>
      <c r="O324" t="s">
        <v>891</v>
      </c>
      <c r="P324" t="s">
        <v>892</v>
      </c>
      <c r="Q324" t="s">
        <v>975</v>
      </c>
      <c r="R324" t="s">
        <v>976</v>
      </c>
      <c r="S324" t="s">
        <v>550</v>
      </c>
      <c r="T324" t="s">
        <v>893</v>
      </c>
      <c r="U324" t="s">
        <v>1509</v>
      </c>
      <c r="V324" t="s">
        <v>1740</v>
      </c>
      <c r="W324" t="s">
        <v>978</v>
      </c>
      <c r="X324" t="s">
        <v>669</v>
      </c>
      <c r="Y324" t="s">
        <v>803</v>
      </c>
      <c r="Z324" t="s">
        <v>1738</v>
      </c>
    </row>
    <row r="325" spans="1:26" x14ac:dyDescent="0.3">
      <c r="A325" t="s">
        <v>525</v>
      </c>
      <c r="B325" t="s">
        <v>1741</v>
      </c>
      <c r="C325" t="s">
        <v>1742</v>
      </c>
      <c r="D325" t="s">
        <v>1548</v>
      </c>
      <c r="E325" t="s">
        <v>664</v>
      </c>
      <c r="F325" t="s">
        <v>27</v>
      </c>
      <c r="G325" s="1">
        <v>44197</v>
      </c>
      <c r="H325" s="1">
        <v>44197</v>
      </c>
      <c r="I325" t="s">
        <v>665</v>
      </c>
      <c r="J325" t="s">
        <v>666</v>
      </c>
      <c r="K325" t="s">
        <v>24</v>
      </c>
      <c r="L325" t="s">
        <v>667</v>
      </c>
      <c r="M325" t="s">
        <v>797</v>
      </c>
      <c r="N325" t="s">
        <v>313</v>
      </c>
      <c r="O325" t="s">
        <v>891</v>
      </c>
      <c r="P325" t="s">
        <v>892</v>
      </c>
      <c r="Q325" t="s">
        <v>975</v>
      </c>
      <c r="R325" t="s">
        <v>976</v>
      </c>
      <c r="S325" t="s">
        <v>550</v>
      </c>
      <c r="T325" t="s">
        <v>893</v>
      </c>
      <c r="U325" t="s">
        <v>1509</v>
      </c>
      <c r="V325" t="s">
        <v>1743</v>
      </c>
      <c r="W325" t="s">
        <v>978</v>
      </c>
      <c r="X325" t="s">
        <v>669</v>
      </c>
      <c r="Y325" t="s">
        <v>803</v>
      </c>
      <c r="Z325" t="s">
        <v>1741</v>
      </c>
    </row>
    <row r="326" spans="1:26" x14ac:dyDescent="0.3">
      <c r="A326" t="s">
        <v>525</v>
      </c>
      <c r="B326" t="s">
        <v>1744</v>
      </c>
      <c r="C326" t="s">
        <v>1745</v>
      </c>
      <c r="D326" t="s">
        <v>1548</v>
      </c>
      <c r="E326" t="s">
        <v>664</v>
      </c>
      <c r="F326" t="s">
        <v>27</v>
      </c>
      <c r="G326" s="1">
        <v>44197</v>
      </c>
      <c r="H326" s="1">
        <v>44197</v>
      </c>
      <c r="I326" t="s">
        <v>665</v>
      </c>
      <c r="J326" t="s">
        <v>666</v>
      </c>
      <c r="K326" t="s">
        <v>24</v>
      </c>
      <c r="L326" t="s">
        <v>667</v>
      </c>
      <c r="M326" t="s">
        <v>797</v>
      </c>
      <c r="N326" t="s">
        <v>313</v>
      </c>
      <c r="O326" t="s">
        <v>891</v>
      </c>
      <c r="P326" t="s">
        <v>892</v>
      </c>
      <c r="Q326" t="s">
        <v>975</v>
      </c>
      <c r="R326" t="s">
        <v>976</v>
      </c>
      <c r="S326" t="s">
        <v>550</v>
      </c>
      <c r="T326" t="s">
        <v>893</v>
      </c>
      <c r="U326" t="s">
        <v>1509</v>
      </c>
      <c r="V326" t="s">
        <v>1746</v>
      </c>
      <c r="W326" t="s">
        <v>978</v>
      </c>
      <c r="X326" t="s">
        <v>669</v>
      </c>
      <c r="Y326" t="s">
        <v>803</v>
      </c>
      <c r="Z326" t="s">
        <v>1744</v>
      </c>
    </row>
    <row r="327" spans="1:26" x14ac:dyDescent="0.3">
      <c r="A327" t="s">
        <v>525</v>
      </c>
      <c r="B327" t="s">
        <v>1747</v>
      </c>
      <c r="C327" t="s">
        <v>1748</v>
      </c>
      <c r="D327" t="s">
        <v>1548</v>
      </c>
      <c r="E327" t="s">
        <v>664</v>
      </c>
      <c r="F327" t="s">
        <v>27</v>
      </c>
      <c r="G327" s="1">
        <v>44197</v>
      </c>
      <c r="H327" s="1">
        <v>44197</v>
      </c>
      <c r="I327" t="s">
        <v>665</v>
      </c>
      <c r="J327" t="s">
        <v>666</v>
      </c>
      <c r="K327" t="s">
        <v>24</v>
      </c>
      <c r="L327" t="s">
        <v>667</v>
      </c>
      <c r="M327" t="s">
        <v>797</v>
      </c>
      <c r="N327" t="s">
        <v>313</v>
      </c>
      <c r="O327" t="s">
        <v>891</v>
      </c>
      <c r="P327" t="s">
        <v>892</v>
      </c>
      <c r="Q327" t="s">
        <v>975</v>
      </c>
      <c r="R327" t="s">
        <v>976</v>
      </c>
      <c r="S327" t="s">
        <v>550</v>
      </c>
      <c r="T327" t="s">
        <v>893</v>
      </c>
      <c r="U327" t="s">
        <v>1509</v>
      </c>
      <c r="V327" t="s">
        <v>1749</v>
      </c>
      <c r="W327" t="s">
        <v>978</v>
      </c>
      <c r="X327" t="s">
        <v>669</v>
      </c>
      <c r="Y327" t="s">
        <v>803</v>
      </c>
      <c r="Z327" t="s">
        <v>1747</v>
      </c>
    </row>
    <row r="328" spans="1:26" x14ac:dyDescent="0.3">
      <c r="A328" t="s">
        <v>525</v>
      </c>
      <c r="B328" t="s">
        <v>1750</v>
      </c>
      <c r="C328" t="s">
        <v>1751</v>
      </c>
      <c r="D328" t="s">
        <v>1548</v>
      </c>
      <c r="E328" t="s">
        <v>664</v>
      </c>
      <c r="F328" t="s">
        <v>27</v>
      </c>
      <c r="G328" s="1">
        <v>44197</v>
      </c>
      <c r="H328" s="1">
        <v>44197</v>
      </c>
      <c r="I328" t="s">
        <v>665</v>
      </c>
      <c r="J328" t="s">
        <v>666</v>
      </c>
      <c r="K328" t="s">
        <v>24</v>
      </c>
      <c r="L328" t="s">
        <v>667</v>
      </c>
      <c r="M328" t="s">
        <v>797</v>
      </c>
      <c r="N328" t="s">
        <v>313</v>
      </c>
      <c r="O328" t="s">
        <v>891</v>
      </c>
      <c r="P328" t="s">
        <v>892</v>
      </c>
      <c r="Q328" t="s">
        <v>975</v>
      </c>
      <c r="R328" t="s">
        <v>976</v>
      </c>
      <c r="S328" t="s">
        <v>550</v>
      </c>
      <c r="T328" t="s">
        <v>893</v>
      </c>
      <c r="U328" t="s">
        <v>1509</v>
      </c>
      <c r="V328" t="s">
        <v>1752</v>
      </c>
      <c r="W328" t="s">
        <v>978</v>
      </c>
      <c r="X328" t="s">
        <v>669</v>
      </c>
      <c r="Y328" t="s">
        <v>803</v>
      </c>
      <c r="Z328" t="s">
        <v>1750</v>
      </c>
    </row>
    <row r="329" spans="1:26" x14ac:dyDescent="0.3">
      <c r="A329" t="s">
        <v>525</v>
      </c>
      <c r="B329" t="s">
        <v>1753</v>
      </c>
      <c r="C329" t="s">
        <v>1754</v>
      </c>
      <c r="D329" t="s">
        <v>1548</v>
      </c>
      <c r="E329" t="s">
        <v>664</v>
      </c>
      <c r="F329" t="s">
        <v>27</v>
      </c>
      <c r="G329" s="1">
        <v>44197</v>
      </c>
      <c r="H329" s="1">
        <v>44197</v>
      </c>
      <c r="I329" t="s">
        <v>665</v>
      </c>
      <c r="J329" t="s">
        <v>666</v>
      </c>
      <c r="K329" t="s">
        <v>24</v>
      </c>
      <c r="L329" t="s">
        <v>667</v>
      </c>
      <c r="M329" t="s">
        <v>797</v>
      </c>
      <c r="N329" t="s">
        <v>313</v>
      </c>
      <c r="O329" t="s">
        <v>891</v>
      </c>
      <c r="P329" t="s">
        <v>892</v>
      </c>
      <c r="Q329" t="s">
        <v>975</v>
      </c>
      <c r="R329" t="s">
        <v>976</v>
      </c>
      <c r="S329" t="s">
        <v>550</v>
      </c>
      <c r="T329" t="s">
        <v>893</v>
      </c>
      <c r="U329" t="s">
        <v>1509</v>
      </c>
      <c r="V329" t="s">
        <v>1755</v>
      </c>
      <c r="W329" t="s">
        <v>978</v>
      </c>
      <c r="X329" t="s">
        <v>669</v>
      </c>
      <c r="Y329" t="s">
        <v>803</v>
      </c>
      <c r="Z329" t="s">
        <v>1753</v>
      </c>
    </row>
    <row r="330" spans="1:26" x14ac:dyDescent="0.3">
      <c r="A330" t="s">
        <v>525</v>
      </c>
      <c r="B330" t="s">
        <v>1756</v>
      </c>
      <c r="C330" t="s">
        <v>1757</v>
      </c>
      <c r="D330" t="s">
        <v>1548</v>
      </c>
      <c r="E330" t="s">
        <v>664</v>
      </c>
      <c r="F330" t="s">
        <v>27</v>
      </c>
      <c r="G330" s="1">
        <v>44439</v>
      </c>
      <c r="H330" s="1">
        <v>44439</v>
      </c>
      <c r="I330" t="s">
        <v>665</v>
      </c>
      <c r="J330" t="s">
        <v>666</v>
      </c>
      <c r="K330" t="s">
        <v>24</v>
      </c>
      <c r="L330" t="s">
        <v>667</v>
      </c>
      <c r="M330" t="s">
        <v>797</v>
      </c>
      <c r="N330" t="s">
        <v>313</v>
      </c>
      <c r="O330" t="s">
        <v>891</v>
      </c>
      <c r="P330" t="s">
        <v>892</v>
      </c>
      <c r="Q330" t="s">
        <v>975</v>
      </c>
      <c r="R330" t="s">
        <v>976</v>
      </c>
      <c r="S330" t="s">
        <v>550</v>
      </c>
      <c r="T330" t="s">
        <v>893</v>
      </c>
      <c r="U330" t="s">
        <v>1509</v>
      </c>
      <c r="V330" t="s">
        <v>1758</v>
      </c>
      <c r="W330" t="s">
        <v>978</v>
      </c>
      <c r="X330" t="s">
        <v>669</v>
      </c>
      <c r="Y330" t="s">
        <v>803</v>
      </c>
      <c r="Z330" t="s">
        <v>1756</v>
      </c>
    </row>
    <row r="331" spans="1:26" x14ac:dyDescent="0.3">
      <c r="A331" t="s">
        <v>525</v>
      </c>
      <c r="B331" t="s">
        <v>1759</v>
      </c>
      <c r="C331" t="s">
        <v>1760</v>
      </c>
      <c r="D331" t="s">
        <v>550</v>
      </c>
      <c r="E331" t="s">
        <v>664</v>
      </c>
      <c r="F331" t="s">
        <v>27</v>
      </c>
      <c r="G331" s="1">
        <v>44197</v>
      </c>
      <c r="H331" s="1">
        <v>44197</v>
      </c>
      <c r="I331" t="s">
        <v>665</v>
      </c>
      <c r="J331" t="s">
        <v>666</v>
      </c>
      <c r="K331" t="s">
        <v>24</v>
      </c>
      <c r="L331" t="s">
        <v>216</v>
      </c>
      <c r="M331" t="s">
        <v>985</v>
      </c>
      <c r="N331" t="s">
        <v>986</v>
      </c>
      <c r="O331" t="s">
        <v>891</v>
      </c>
      <c r="P331" t="s">
        <v>892</v>
      </c>
      <c r="Q331" t="s">
        <v>975</v>
      </c>
      <c r="R331" t="s">
        <v>976</v>
      </c>
      <c r="S331" t="s">
        <v>550</v>
      </c>
      <c r="T331" t="s">
        <v>550</v>
      </c>
      <c r="U331" t="s">
        <v>550</v>
      </c>
      <c r="V331" t="s">
        <v>1761</v>
      </c>
      <c r="W331" t="s">
        <v>554</v>
      </c>
      <c r="X331" t="s">
        <v>669</v>
      </c>
      <c r="Y331" t="s">
        <v>799</v>
      </c>
      <c r="Z331" t="s">
        <v>1759</v>
      </c>
    </row>
    <row r="332" spans="1:26" x14ac:dyDescent="0.3">
      <c r="A332" t="s">
        <v>525</v>
      </c>
      <c r="B332" t="s">
        <v>1762</v>
      </c>
      <c r="C332" t="s">
        <v>1763</v>
      </c>
      <c r="D332" t="s">
        <v>1759</v>
      </c>
      <c r="E332" t="s">
        <v>664</v>
      </c>
      <c r="F332" t="s">
        <v>27</v>
      </c>
      <c r="G332" s="1">
        <v>44197</v>
      </c>
      <c r="H332" s="1">
        <v>44197</v>
      </c>
      <c r="I332" t="s">
        <v>665</v>
      </c>
      <c r="J332" t="s">
        <v>666</v>
      </c>
      <c r="K332" t="s">
        <v>24</v>
      </c>
      <c r="L332" t="s">
        <v>216</v>
      </c>
      <c r="M332" t="s">
        <v>985</v>
      </c>
      <c r="N332" t="s">
        <v>986</v>
      </c>
      <c r="O332" t="s">
        <v>891</v>
      </c>
      <c r="P332" t="s">
        <v>892</v>
      </c>
      <c r="Q332" t="s">
        <v>975</v>
      </c>
      <c r="R332" t="s">
        <v>976</v>
      </c>
      <c r="S332" t="s">
        <v>550</v>
      </c>
      <c r="T332" t="s">
        <v>550</v>
      </c>
      <c r="U332" t="s">
        <v>550</v>
      </c>
      <c r="V332" t="s">
        <v>1764</v>
      </c>
      <c r="W332" t="s">
        <v>554</v>
      </c>
      <c r="X332" t="s">
        <v>669</v>
      </c>
      <c r="Y332" t="s">
        <v>799</v>
      </c>
      <c r="Z332" t="s">
        <v>1762</v>
      </c>
    </row>
    <row r="333" spans="1:26" x14ac:dyDescent="0.3">
      <c r="A333" t="s">
        <v>525</v>
      </c>
      <c r="B333" t="s">
        <v>1765</v>
      </c>
      <c r="C333" t="s">
        <v>1766</v>
      </c>
      <c r="D333" t="s">
        <v>1767</v>
      </c>
      <c r="E333" t="s">
        <v>664</v>
      </c>
      <c r="F333" t="s">
        <v>27</v>
      </c>
      <c r="G333" s="1">
        <v>44197</v>
      </c>
      <c r="H333" s="1">
        <v>44197</v>
      </c>
      <c r="I333" t="s">
        <v>665</v>
      </c>
      <c r="J333" t="s">
        <v>666</v>
      </c>
      <c r="K333" t="s">
        <v>900</v>
      </c>
      <c r="L333" t="s">
        <v>1010</v>
      </c>
      <c r="M333" t="s">
        <v>985</v>
      </c>
      <c r="N333" t="s">
        <v>986</v>
      </c>
      <c r="O333" t="s">
        <v>891</v>
      </c>
      <c r="P333" t="s">
        <v>892</v>
      </c>
      <c r="Q333" t="s">
        <v>975</v>
      </c>
      <c r="R333" t="s">
        <v>976</v>
      </c>
      <c r="S333" t="s">
        <v>550</v>
      </c>
      <c r="T333" t="s">
        <v>550</v>
      </c>
      <c r="U333" t="s">
        <v>550</v>
      </c>
      <c r="V333" t="s">
        <v>1768</v>
      </c>
      <c r="W333" t="s">
        <v>988</v>
      </c>
      <c r="X333" t="s">
        <v>669</v>
      </c>
      <c r="Y333" t="s">
        <v>856</v>
      </c>
      <c r="Z333" t="s">
        <v>1765</v>
      </c>
    </row>
    <row r="334" spans="1:26" x14ac:dyDescent="0.3">
      <c r="A334" t="s">
        <v>525</v>
      </c>
      <c r="B334" t="s">
        <v>1767</v>
      </c>
      <c r="C334" t="s">
        <v>1769</v>
      </c>
      <c r="D334" t="s">
        <v>550</v>
      </c>
      <c r="E334" t="s">
        <v>664</v>
      </c>
      <c r="F334" t="s">
        <v>27</v>
      </c>
      <c r="G334" s="1">
        <v>44197</v>
      </c>
      <c r="H334" s="1">
        <v>44197</v>
      </c>
      <c r="I334" t="s">
        <v>665</v>
      </c>
      <c r="J334" t="s">
        <v>666</v>
      </c>
      <c r="K334" t="s">
        <v>900</v>
      </c>
      <c r="L334" t="s">
        <v>1010</v>
      </c>
      <c r="M334" t="s">
        <v>1770</v>
      </c>
      <c r="N334" t="s">
        <v>283</v>
      </c>
      <c r="O334" t="s">
        <v>891</v>
      </c>
      <c r="P334" t="s">
        <v>892</v>
      </c>
      <c r="Q334" t="s">
        <v>975</v>
      </c>
      <c r="R334" t="s">
        <v>976</v>
      </c>
      <c r="S334" t="s">
        <v>550</v>
      </c>
      <c r="T334" t="s">
        <v>550</v>
      </c>
      <c r="U334" t="s">
        <v>550</v>
      </c>
      <c r="V334" t="s">
        <v>1771</v>
      </c>
      <c r="W334" t="s">
        <v>988</v>
      </c>
      <c r="X334" t="s">
        <v>669</v>
      </c>
      <c r="Y334" t="s">
        <v>856</v>
      </c>
      <c r="Z334" t="s">
        <v>1767</v>
      </c>
    </row>
    <row r="335" spans="1:26" x14ac:dyDescent="0.3">
      <c r="A335" t="s">
        <v>525</v>
      </c>
      <c r="B335" t="s">
        <v>1772</v>
      </c>
      <c r="C335" t="s">
        <v>1773</v>
      </c>
      <c r="D335" t="s">
        <v>550</v>
      </c>
      <c r="E335" t="s">
        <v>664</v>
      </c>
      <c r="F335" t="s">
        <v>27</v>
      </c>
      <c r="G335" s="1">
        <v>44197</v>
      </c>
      <c r="H335" s="1">
        <v>44197</v>
      </c>
      <c r="I335" t="s">
        <v>780</v>
      </c>
      <c r="J335" t="s">
        <v>666</v>
      </c>
      <c r="K335" t="s">
        <v>24</v>
      </c>
      <c r="L335" t="s">
        <v>1010</v>
      </c>
      <c r="M335" t="s">
        <v>1770</v>
      </c>
      <c r="N335" t="s">
        <v>283</v>
      </c>
      <c r="O335" t="s">
        <v>891</v>
      </c>
      <c r="P335" t="s">
        <v>892</v>
      </c>
      <c r="Q335" t="s">
        <v>975</v>
      </c>
      <c r="R335" t="s">
        <v>976</v>
      </c>
      <c r="S335" t="s">
        <v>550</v>
      </c>
      <c r="T335" t="s">
        <v>550</v>
      </c>
      <c r="U335" t="s">
        <v>550</v>
      </c>
      <c r="V335" t="s">
        <v>1774</v>
      </c>
      <c r="W335" t="s">
        <v>565</v>
      </c>
      <c r="X335" t="s">
        <v>669</v>
      </c>
      <c r="Y335" t="s">
        <v>856</v>
      </c>
      <c r="Z335" t="s">
        <v>1772</v>
      </c>
    </row>
    <row r="336" spans="1:26" x14ac:dyDescent="0.3">
      <c r="A336" t="s">
        <v>525</v>
      </c>
      <c r="B336" t="s">
        <v>1775</v>
      </c>
      <c r="C336" t="s">
        <v>1776</v>
      </c>
      <c r="D336" t="s">
        <v>1772</v>
      </c>
      <c r="E336" t="s">
        <v>664</v>
      </c>
      <c r="F336" t="s">
        <v>27</v>
      </c>
      <c r="G336" s="1">
        <v>44197</v>
      </c>
      <c r="H336" s="1">
        <v>44259</v>
      </c>
      <c r="I336" t="s">
        <v>665</v>
      </c>
      <c r="J336" t="s">
        <v>666</v>
      </c>
      <c r="K336" t="s">
        <v>24</v>
      </c>
      <c r="L336" t="s">
        <v>1010</v>
      </c>
      <c r="M336" t="s">
        <v>1770</v>
      </c>
      <c r="N336" t="s">
        <v>283</v>
      </c>
      <c r="O336" t="s">
        <v>891</v>
      </c>
      <c r="P336" t="s">
        <v>892</v>
      </c>
      <c r="Q336" t="s">
        <v>975</v>
      </c>
      <c r="R336" t="s">
        <v>976</v>
      </c>
      <c r="S336" t="s">
        <v>550</v>
      </c>
      <c r="T336" t="s">
        <v>550</v>
      </c>
      <c r="U336" t="s">
        <v>550</v>
      </c>
      <c r="V336" t="s">
        <v>1777</v>
      </c>
      <c r="W336" t="s">
        <v>565</v>
      </c>
      <c r="X336" t="s">
        <v>669</v>
      </c>
      <c r="Y336" t="s">
        <v>856</v>
      </c>
      <c r="Z336" t="s">
        <v>1775</v>
      </c>
    </row>
    <row r="337" spans="1:26" x14ac:dyDescent="0.3">
      <c r="A337" t="s">
        <v>525</v>
      </c>
      <c r="B337" t="s">
        <v>1778</v>
      </c>
      <c r="C337" t="s">
        <v>1779</v>
      </c>
      <c r="D337" t="s">
        <v>550</v>
      </c>
      <c r="E337" t="s">
        <v>664</v>
      </c>
      <c r="F337" t="s">
        <v>27</v>
      </c>
      <c r="G337" s="1">
        <v>44197</v>
      </c>
      <c r="H337" s="1">
        <v>44197</v>
      </c>
      <c r="I337" t="s">
        <v>780</v>
      </c>
      <c r="J337" t="s">
        <v>666</v>
      </c>
      <c r="K337" t="s">
        <v>24</v>
      </c>
      <c r="L337" t="s">
        <v>1010</v>
      </c>
      <c r="M337" t="s">
        <v>1780</v>
      </c>
      <c r="N337" t="s">
        <v>1781</v>
      </c>
      <c r="O337" t="s">
        <v>891</v>
      </c>
      <c r="P337" t="s">
        <v>892</v>
      </c>
      <c r="Q337" t="s">
        <v>975</v>
      </c>
      <c r="R337" t="s">
        <v>976</v>
      </c>
      <c r="S337" t="s">
        <v>550</v>
      </c>
      <c r="T337" t="s">
        <v>550</v>
      </c>
      <c r="U337" t="s">
        <v>550</v>
      </c>
      <c r="V337" t="s">
        <v>1782</v>
      </c>
      <c r="W337" t="s">
        <v>554</v>
      </c>
      <c r="X337" t="s">
        <v>669</v>
      </c>
      <c r="Y337" t="s">
        <v>799</v>
      </c>
      <c r="Z337" t="s">
        <v>1778</v>
      </c>
    </row>
    <row r="338" spans="1:26" x14ac:dyDescent="0.3">
      <c r="A338" t="s">
        <v>525</v>
      </c>
      <c r="B338" t="s">
        <v>1783</v>
      </c>
      <c r="C338" t="s">
        <v>1784</v>
      </c>
      <c r="D338" t="s">
        <v>1778</v>
      </c>
      <c r="E338" t="s">
        <v>664</v>
      </c>
      <c r="F338" t="s">
        <v>27</v>
      </c>
      <c r="G338" s="1">
        <v>44197</v>
      </c>
      <c r="H338" s="1">
        <v>44253</v>
      </c>
      <c r="I338" t="s">
        <v>665</v>
      </c>
      <c r="J338" t="s">
        <v>666</v>
      </c>
      <c r="K338" t="s">
        <v>24</v>
      </c>
      <c r="L338" t="s">
        <v>1010</v>
      </c>
      <c r="M338" t="s">
        <v>1780</v>
      </c>
      <c r="N338" t="s">
        <v>1781</v>
      </c>
      <c r="O338" t="s">
        <v>891</v>
      </c>
      <c r="P338" t="s">
        <v>892</v>
      </c>
      <c r="Q338" t="s">
        <v>975</v>
      </c>
      <c r="R338" t="s">
        <v>976</v>
      </c>
      <c r="S338" t="s">
        <v>550</v>
      </c>
      <c r="T338" t="s">
        <v>550</v>
      </c>
      <c r="U338" t="s">
        <v>550</v>
      </c>
      <c r="V338" t="s">
        <v>1785</v>
      </c>
      <c r="W338" t="s">
        <v>554</v>
      </c>
      <c r="X338" t="s">
        <v>669</v>
      </c>
      <c r="Y338" t="s">
        <v>799</v>
      </c>
      <c r="Z338" t="s">
        <v>1783</v>
      </c>
    </row>
    <row r="339" spans="1:26" x14ac:dyDescent="0.3">
      <c r="A339" t="s">
        <v>525</v>
      </c>
      <c r="B339" t="s">
        <v>1786</v>
      </c>
      <c r="C339" t="s">
        <v>1787</v>
      </c>
      <c r="D339" t="s">
        <v>1788</v>
      </c>
      <c r="E339" t="s">
        <v>664</v>
      </c>
      <c r="F339" t="s">
        <v>27</v>
      </c>
      <c r="G339" s="1">
        <v>44197</v>
      </c>
      <c r="H339" s="1">
        <v>44197</v>
      </c>
      <c r="I339" t="s">
        <v>665</v>
      </c>
      <c r="J339" t="s">
        <v>666</v>
      </c>
      <c r="K339" t="s">
        <v>24</v>
      </c>
      <c r="L339" t="s">
        <v>667</v>
      </c>
      <c r="M339" t="s">
        <v>1789</v>
      </c>
      <c r="N339" t="s">
        <v>1790</v>
      </c>
      <c r="O339" t="s">
        <v>891</v>
      </c>
      <c r="P339" t="s">
        <v>892</v>
      </c>
      <c r="Q339" t="s">
        <v>975</v>
      </c>
      <c r="R339" t="s">
        <v>976</v>
      </c>
      <c r="S339" t="s">
        <v>550</v>
      </c>
      <c r="T339" t="s">
        <v>550</v>
      </c>
      <c r="U339" t="s">
        <v>550</v>
      </c>
      <c r="V339" t="s">
        <v>1791</v>
      </c>
      <c r="W339" t="s">
        <v>1792</v>
      </c>
      <c r="X339" t="s">
        <v>669</v>
      </c>
      <c r="Y339" t="s">
        <v>803</v>
      </c>
      <c r="Z339" t="s">
        <v>1786</v>
      </c>
    </row>
    <row r="340" spans="1:26" x14ac:dyDescent="0.3">
      <c r="A340" t="s">
        <v>525</v>
      </c>
      <c r="B340" t="s">
        <v>1793</v>
      </c>
      <c r="C340" t="s">
        <v>1794</v>
      </c>
      <c r="D340" t="s">
        <v>1788</v>
      </c>
      <c r="E340" t="s">
        <v>664</v>
      </c>
      <c r="F340" t="s">
        <v>27</v>
      </c>
      <c r="G340" s="1">
        <v>44197</v>
      </c>
      <c r="H340" s="1">
        <v>44197</v>
      </c>
      <c r="I340" t="s">
        <v>665</v>
      </c>
      <c r="J340" t="s">
        <v>666</v>
      </c>
      <c r="K340" t="s">
        <v>24</v>
      </c>
      <c r="L340" t="s">
        <v>667</v>
      </c>
      <c r="M340" t="s">
        <v>1789</v>
      </c>
      <c r="N340" t="s">
        <v>1790</v>
      </c>
      <c r="O340" t="s">
        <v>891</v>
      </c>
      <c r="P340" t="s">
        <v>892</v>
      </c>
      <c r="Q340" t="s">
        <v>975</v>
      </c>
      <c r="R340" t="s">
        <v>976</v>
      </c>
      <c r="S340" t="s">
        <v>550</v>
      </c>
      <c r="T340" t="s">
        <v>550</v>
      </c>
      <c r="U340" t="s">
        <v>550</v>
      </c>
      <c r="V340" t="s">
        <v>1795</v>
      </c>
      <c r="W340" t="s">
        <v>1796</v>
      </c>
      <c r="X340" t="s">
        <v>669</v>
      </c>
      <c r="Y340" t="s">
        <v>803</v>
      </c>
      <c r="Z340" t="s">
        <v>1793</v>
      </c>
    </row>
    <row r="341" spans="1:26" x14ac:dyDescent="0.3">
      <c r="A341" t="s">
        <v>525</v>
      </c>
      <c r="B341" t="s">
        <v>1788</v>
      </c>
      <c r="C341" t="s">
        <v>1797</v>
      </c>
      <c r="D341" t="s">
        <v>550</v>
      </c>
      <c r="E341" t="s">
        <v>664</v>
      </c>
      <c r="F341" t="s">
        <v>27</v>
      </c>
      <c r="G341" s="1">
        <v>44197</v>
      </c>
      <c r="H341" s="1">
        <v>44197</v>
      </c>
      <c r="I341" t="s">
        <v>665</v>
      </c>
      <c r="J341" t="s">
        <v>666</v>
      </c>
      <c r="K341" t="s">
        <v>24</v>
      </c>
      <c r="L341" t="s">
        <v>667</v>
      </c>
      <c r="M341" t="s">
        <v>1789</v>
      </c>
      <c r="N341" t="s">
        <v>1790</v>
      </c>
      <c r="O341" t="s">
        <v>891</v>
      </c>
      <c r="P341" t="s">
        <v>892</v>
      </c>
      <c r="Q341" t="s">
        <v>975</v>
      </c>
      <c r="R341" t="s">
        <v>976</v>
      </c>
      <c r="S341" t="s">
        <v>550</v>
      </c>
      <c r="T341" t="s">
        <v>550</v>
      </c>
      <c r="U341" t="s">
        <v>550</v>
      </c>
      <c r="V341" t="s">
        <v>1798</v>
      </c>
      <c r="W341" t="s">
        <v>1792</v>
      </c>
      <c r="X341" t="s">
        <v>979</v>
      </c>
      <c r="Y341" t="s">
        <v>803</v>
      </c>
      <c r="Z341" t="s">
        <v>1788</v>
      </c>
    </row>
    <row r="342" spans="1:26" x14ac:dyDescent="0.3">
      <c r="A342" t="s">
        <v>525</v>
      </c>
      <c r="B342" t="s">
        <v>1799</v>
      </c>
      <c r="C342" t="s">
        <v>1800</v>
      </c>
      <c r="D342" t="s">
        <v>550</v>
      </c>
      <c r="E342" t="s">
        <v>664</v>
      </c>
      <c r="F342" t="s">
        <v>27</v>
      </c>
      <c r="G342" s="1">
        <v>43831</v>
      </c>
      <c r="H342" s="1">
        <v>43930</v>
      </c>
      <c r="I342" t="s">
        <v>665</v>
      </c>
      <c r="J342" t="s">
        <v>666</v>
      </c>
      <c r="K342" t="s">
        <v>24</v>
      </c>
      <c r="L342" t="s">
        <v>667</v>
      </c>
      <c r="M342" t="s">
        <v>889</v>
      </c>
      <c r="N342" t="s">
        <v>890</v>
      </c>
      <c r="O342" t="s">
        <v>891</v>
      </c>
      <c r="P342" t="s">
        <v>892</v>
      </c>
      <c r="Q342" t="s">
        <v>975</v>
      </c>
      <c r="R342" t="s">
        <v>976</v>
      </c>
      <c r="S342" t="s">
        <v>550</v>
      </c>
      <c r="T342" t="s">
        <v>893</v>
      </c>
      <c r="U342" t="s">
        <v>550</v>
      </c>
      <c r="V342" t="s">
        <v>1801</v>
      </c>
      <c r="W342" t="s">
        <v>875</v>
      </c>
      <c r="X342" t="s">
        <v>669</v>
      </c>
      <c r="Y342" t="s">
        <v>856</v>
      </c>
      <c r="Z342" t="s">
        <v>1799</v>
      </c>
    </row>
    <row r="343" spans="1:26" x14ac:dyDescent="0.3">
      <c r="A343" t="s">
        <v>525</v>
      </c>
      <c r="B343" t="s">
        <v>1802</v>
      </c>
      <c r="C343" t="s">
        <v>1803</v>
      </c>
      <c r="D343" t="s">
        <v>1316</v>
      </c>
      <c r="E343" t="s">
        <v>1318</v>
      </c>
      <c r="F343" t="s">
        <v>1319</v>
      </c>
      <c r="G343" s="1">
        <v>44927</v>
      </c>
      <c r="H343" s="1">
        <v>44927</v>
      </c>
      <c r="I343" t="s">
        <v>665</v>
      </c>
      <c r="J343" t="s">
        <v>1320</v>
      </c>
      <c r="K343" t="s">
        <v>958</v>
      </c>
      <c r="L343" t="s">
        <v>216</v>
      </c>
      <c r="M343" t="s">
        <v>1804</v>
      </c>
      <c r="N343" t="s">
        <v>315</v>
      </c>
      <c r="O343" t="s">
        <v>1805</v>
      </c>
      <c r="P343" t="s">
        <v>1806</v>
      </c>
      <c r="Q343" t="s">
        <v>975</v>
      </c>
      <c r="R343" t="s">
        <v>976</v>
      </c>
      <c r="S343" t="s">
        <v>783</v>
      </c>
      <c r="T343" t="s">
        <v>550</v>
      </c>
      <c r="U343" t="s">
        <v>1807</v>
      </c>
      <c r="V343" t="s">
        <v>1808</v>
      </c>
      <c r="W343" t="s">
        <v>1809</v>
      </c>
      <c r="X343" t="s">
        <v>74</v>
      </c>
      <c r="Y343" t="s">
        <v>786</v>
      </c>
      <c r="Z343" t="s">
        <v>1802</v>
      </c>
    </row>
    <row r="344" spans="1:26" x14ac:dyDescent="0.3">
      <c r="A344" t="s">
        <v>525</v>
      </c>
      <c r="B344" t="s">
        <v>1810</v>
      </c>
      <c r="C344" t="s">
        <v>1811</v>
      </c>
      <c r="D344" t="s">
        <v>1812</v>
      </c>
      <c r="E344" t="s">
        <v>1813</v>
      </c>
      <c r="F344" t="s">
        <v>1339</v>
      </c>
      <c r="G344" s="1">
        <v>44197</v>
      </c>
      <c r="H344" s="1">
        <v>44199</v>
      </c>
      <c r="I344" t="s">
        <v>665</v>
      </c>
      <c r="J344" t="s">
        <v>1814</v>
      </c>
      <c r="K344" t="s">
        <v>958</v>
      </c>
      <c r="L344" t="s">
        <v>216</v>
      </c>
      <c r="M344" t="s">
        <v>1293</v>
      </c>
      <c r="N344" t="s">
        <v>256</v>
      </c>
      <c r="O344" t="s">
        <v>1805</v>
      </c>
      <c r="P344" t="s">
        <v>1806</v>
      </c>
      <c r="Q344" t="s">
        <v>975</v>
      </c>
      <c r="R344" t="s">
        <v>976</v>
      </c>
      <c r="S344" t="s">
        <v>550</v>
      </c>
      <c r="T344" t="s">
        <v>550</v>
      </c>
      <c r="U344" t="s">
        <v>162</v>
      </c>
      <c r="V344" t="s">
        <v>1815</v>
      </c>
      <c r="W344" t="s">
        <v>613</v>
      </c>
      <c r="X344" t="s">
        <v>74</v>
      </c>
      <c r="Y344" t="s">
        <v>803</v>
      </c>
      <c r="Z344" t="s">
        <v>1810</v>
      </c>
    </row>
    <row r="345" spans="1:26" x14ac:dyDescent="0.3">
      <c r="A345" t="s">
        <v>525</v>
      </c>
      <c r="B345" t="s">
        <v>1816</v>
      </c>
      <c r="C345" t="s">
        <v>1817</v>
      </c>
      <c r="D345" t="s">
        <v>550</v>
      </c>
      <c r="E345" t="s">
        <v>664</v>
      </c>
      <c r="F345" t="s">
        <v>27</v>
      </c>
      <c r="G345" s="1">
        <v>43831</v>
      </c>
      <c r="H345" s="1">
        <v>43865</v>
      </c>
      <c r="I345" t="s">
        <v>665</v>
      </c>
      <c r="J345" t="s">
        <v>666</v>
      </c>
      <c r="K345" t="s">
        <v>24</v>
      </c>
      <c r="L345" t="s">
        <v>667</v>
      </c>
      <c r="M345" t="s">
        <v>873</v>
      </c>
      <c r="N345" t="s">
        <v>244</v>
      </c>
      <c r="O345" t="s">
        <v>1818</v>
      </c>
      <c r="Q345" t="s">
        <v>975</v>
      </c>
      <c r="R345" t="s">
        <v>976</v>
      </c>
      <c r="S345" t="s">
        <v>550</v>
      </c>
      <c r="T345" t="s">
        <v>550</v>
      </c>
      <c r="U345" t="s">
        <v>550</v>
      </c>
      <c r="V345" t="s">
        <v>1819</v>
      </c>
      <c r="W345" t="s">
        <v>565</v>
      </c>
      <c r="X345" t="s">
        <v>669</v>
      </c>
      <c r="Y345" t="s">
        <v>856</v>
      </c>
      <c r="Z345" t="s">
        <v>1816</v>
      </c>
    </row>
    <row r="346" spans="1:26" x14ac:dyDescent="0.3">
      <c r="A346" t="s">
        <v>525</v>
      </c>
      <c r="B346" t="s">
        <v>1820</v>
      </c>
      <c r="C346" t="s">
        <v>1821</v>
      </c>
      <c r="D346" t="s">
        <v>1822</v>
      </c>
      <c r="E346" t="s">
        <v>1813</v>
      </c>
      <c r="F346" t="s">
        <v>1339</v>
      </c>
      <c r="G346" s="1">
        <v>44197</v>
      </c>
      <c r="H346" s="1">
        <v>44215</v>
      </c>
      <c r="I346" t="s">
        <v>665</v>
      </c>
      <c r="J346" t="s">
        <v>1814</v>
      </c>
      <c r="K346" t="s">
        <v>958</v>
      </c>
      <c r="L346" t="s">
        <v>216</v>
      </c>
      <c r="M346" t="s">
        <v>1293</v>
      </c>
      <c r="N346" t="s">
        <v>256</v>
      </c>
      <c r="O346" t="s">
        <v>1805</v>
      </c>
      <c r="P346" t="s">
        <v>1806</v>
      </c>
      <c r="Q346" t="s">
        <v>975</v>
      </c>
      <c r="R346" t="s">
        <v>976</v>
      </c>
      <c r="S346" t="s">
        <v>550</v>
      </c>
      <c r="T346" t="s">
        <v>550</v>
      </c>
      <c r="U346" t="s">
        <v>162</v>
      </c>
      <c r="V346" t="s">
        <v>1823</v>
      </c>
      <c r="W346" t="s">
        <v>1021</v>
      </c>
      <c r="X346" t="s">
        <v>74</v>
      </c>
      <c r="Y346" t="s">
        <v>803</v>
      </c>
      <c r="Z346" t="s">
        <v>1820</v>
      </c>
    </row>
    <row r="347" spans="1:26" x14ac:dyDescent="0.3">
      <c r="A347" t="s">
        <v>525</v>
      </c>
      <c r="B347" t="s">
        <v>1824</v>
      </c>
      <c r="C347" t="s">
        <v>1825</v>
      </c>
      <c r="D347" t="s">
        <v>1316</v>
      </c>
      <c r="E347" t="s">
        <v>1318</v>
      </c>
      <c r="F347" t="s">
        <v>1319</v>
      </c>
      <c r="G347" s="1">
        <v>44197</v>
      </c>
      <c r="H347" s="1">
        <v>44230</v>
      </c>
      <c r="I347" t="s">
        <v>665</v>
      </c>
      <c r="J347" t="s">
        <v>1320</v>
      </c>
      <c r="K347" t="s">
        <v>958</v>
      </c>
      <c r="L347" t="s">
        <v>216</v>
      </c>
      <c r="M347" t="s">
        <v>1293</v>
      </c>
      <c r="N347" t="s">
        <v>256</v>
      </c>
      <c r="O347" t="s">
        <v>1805</v>
      </c>
      <c r="P347" t="s">
        <v>1806</v>
      </c>
      <c r="Q347" t="s">
        <v>975</v>
      </c>
      <c r="R347" t="s">
        <v>976</v>
      </c>
      <c r="S347" t="s">
        <v>550</v>
      </c>
      <c r="T347" t="s">
        <v>550</v>
      </c>
      <c r="U347" t="s">
        <v>550</v>
      </c>
      <c r="V347" t="s">
        <v>1826</v>
      </c>
      <c r="W347" t="s">
        <v>613</v>
      </c>
      <c r="X347" t="s">
        <v>74</v>
      </c>
      <c r="Y347" t="s">
        <v>786</v>
      </c>
      <c r="Z347" t="s">
        <v>1824</v>
      </c>
    </row>
    <row r="348" spans="1:26" x14ac:dyDescent="0.3">
      <c r="A348" t="s">
        <v>525</v>
      </c>
      <c r="B348" t="s">
        <v>1827</v>
      </c>
      <c r="C348" t="s">
        <v>1828</v>
      </c>
      <c r="D348" t="s">
        <v>1336</v>
      </c>
      <c r="E348" t="s">
        <v>1338</v>
      </c>
      <c r="F348" t="s">
        <v>1339</v>
      </c>
      <c r="G348" s="1">
        <v>44197</v>
      </c>
      <c r="H348" s="1">
        <v>44216</v>
      </c>
      <c r="I348" t="s">
        <v>665</v>
      </c>
      <c r="J348" t="s">
        <v>1340</v>
      </c>
      <c r="K348" t="s">
        <v>958</v>
      </c>
      <c r="L348" t="s">
        <v>216</v>
      </c>
      <c r="M348" t="s">
        <v>1293</v>
      </c>
      <c r="N348" t="s">
        <v>256</v>
      </c>
      <c r="O348" t="s">
        <v>1805</v>
      </c>
      <c r="P348" t="s">
        <v>1806</v>
      </c>
      <c r="Q348" t="s">
        <v>975</v>
      </c>
      <c r="R348" t="s">
        <v>976</v>
      </c>
      <c r="S348" t="s">
        <v>550</v>
      </c>
      <c r="T348" t="s">
        <v>550</v>
      </c>
      <c r="U348" t="s">
        <v>162</v>
      </c>
      <c r="V348" t="s">
        <v>1829</v>
      </c>
      <c r="W348" t="s">
        <v>613</v>
      </c>
      <c r="X348" t="s">
        <v>74</v>
      </c>
      <c r="Y348" t="s">
        <v>1281</v>
      </c>
      <c r="Z348" t="s">
        <v>1827</v>
      </c>
    </row>
    <row r="349" spans="1:26" x14ac:dyDescent="0.3">
      <c r="A349" t="s">
        <v>525</v>
      </c>
      <c r="B349" t="s">
        <v>1830</v>
      </c>
      <c r="C349" t="s">
        <v>1831</v>
      </c>
      <c r="D349" t="s">
        <v>1832</v>
      </c>
      <c r="E349" t="s">
        <v>1833</v>
      </c>
      <c r="F349" t="s">
        <v>1834</v>
      </c>
      <c r="G349" s="1">
        <v>44317</v>
      </c>
      <c r="H349" s="1">
        <v>44325</v>
      </c>
      <c r="I349" t="s">
        <v>665</v>
      </c>
      <c r="J349" t="s">
        <v>1835</v>
      </c>
      <c r="K349" t="s">
        <v>862</v>
      </c>
      <c r="L349" t="s">
        <v>863</v>
      </c>
      <c r="M349" t="s">
        <v>1459</v>
      </c>
      <c r="N349" t="s">
        <v>1460</v>
      </c>
      <c r="O349" t="s">
        <v>1377</v>
      </c>
      <c r="P349" t="s">
        <v>1378</v>
      </c>
      <c r="Q349" t="s">
        <v>975</v>
      </c>
      <c r="R349" t="s">
        <v>976</v>
      </c>
      <c r="S349" t="s">
        <v>550</v>
      </c>
      <c r="T349" t="s">
        <v>550</v>
      </c>
      <c r="U349" t="s">
        <v>550</v>
      </c>
      <c r="V349" t="s">
        <v>1836</v>
      </c>
      <c r="W349" t="s">
        <v>869</v>
      </c>
      <c r="X349" t="s">
        <v>870</v>
      </c>
      <c r="Y349" t="s">
        <v>847</v>
      </c>
      <c r="Z349" t="s">
        <v>1830</v>
      </c>
    </row>
    <row r="350" spans="1:26" x14ac:dyDescent="0.3">
      <c r="A350" t="s">
        <v>525</v>
      </c>
      <c r="B350" t="s">
        <v>1837</v>
      </c>
      <c r="C350" t="s">
        <v>1838</v>
      </c>
      <c r="D350" t="s">
        <v>550</v>
      </c>
      <c r="E350" t="s">
        <v>1039</v>
      </c>
      <c r="F350" t="s">
        <v>1040</v>
      </c>
      <c r="G350" s="1">
        <v>44197</v>
      </c>
      <c r="H350" s="1">
        <v>44197</v>
      </c>
      <c r="I350" t="s">
        <v>665</v>
      </c>
      <c r="J350" t="s">
        <v>1041</v>
      </c>
      <c r="K350" t="s">
        <v>24</v>
      </c>
      <c r="L350" t="s">
        <v>216</v>
      </c>
      <c r="M350" t="s">
        <v>1030</v>
      </c>
      <c r="N350" t="s">
        <v>255</v>
      </c>
      <c r="O350" t="s">
        <v>1839</v>
      </c>
      <c r="P350" t="s">
        <v>222</v>
      </c>
      <c r="Q350" t="s">
        <v>975</v>
      </c>
      <c r="R350" t="s">
        <v>976</v>
      </c>
      <c r="S350" t="s">
        <v>550</v>
      </c>
      <c r="T350" t="s">
        <v>550</v>
      </c>
      <c r="U350" t="s">
        <v>550</v>
      </c>
      <c r="V350" t="s">
        <v>1840</v>
      </c>
      <c r="W350" t="s">
        <v>613</v>
      </c>
      <c r="X350" t="s">
        <v>74</v>
      </c>
      <c r="Y350" t="s">
        <v>786</v>
      </c>
      <c r="Z350" t="s">
        <v>1837</v>
      </c>
    </row>
    <row r="351" spans="1:26" x14ac:dyDescent="0.3">
      <c r="A351" t="s">
        <v>525</v>
      </c>
      <c r="B351" t="s">
        <v>1841</v>
      </c>
      <c r="C351" t="s">
        <v>1842</v>
      </c>
      <c r="D351" t="s">
        <v>1837</v>
      </c>
      <c r="E351" t="s">
        <v>1039</v>
      </c>
      <c r="F351" t="s">
        <v>1040</v>
      </c>
      <c r="G351" s="1">
        <v>44197</v>
      </c>
      <c r="H351" s="1">
        <v>44197</v>
      </c>
      <c r="I351" t="s">
        <v>665</v>
      </c>
      <c r="J351" t="s">
        <v>1041</v>
      </c>
      <c r="K351" t="s">
        <v>24</v>
      </c>
      <c r="L351" t="s">
        <v>216</v>
      </c>
      <c r="M351" t="s">
        <v>1030</v>
      </c>
      <c r="N351" t="s">
        <v>255</v>
      </c>
      <c r="O351" t="s">
        <v>1839</v>
      </c>
      <c r="P351" t="s">
        <v>222</v>
      </c>
      <c r="Q351" t="s">
        <v>975</v>
      </c>
      <c r="R351" t="s">
        <v>976</v>
      </c>
      <c r="S351" t="s">
        <v>550</v>
      </c>
      <c r="T351" t="s">
        <v>550</v>
      </c>
      <c r="U351" t="s">
        <v>550</v>
      </c>
      <c r="V351" t="s">
        <v>1843</v>
      </c>
      <c r="W351" t="s">
        <v>613</v>
      </c>
      <c r="X351" t="s">
        <v>74</v>
      </c>
      <c r="Y351" t="s">
        <v>786</v>
      </c>
      <c r="Z351" t="s">
        <v>1841</v>
      </c>
    </row>
    <row r="352" spans="1:26" x14ac:dyDescent="0.3">
      <c r="A352" t="s">
        <v>525</v>
      </c>
      <c r="B352" t="s">
        <v>1844</v>
      </c>
      <c r="C352" t="s">
        <v>1845</v>
      </c>
      <c r="D352" t="s">
        <v>550</v>
      </c>
      <c r="E352" t="s">
        <v>1039</v>
      </c>
      <c r="F352" t="s">
        <v>1040</v>
      </c>
      <c r="G352" s="1">
        <v>44256</v>
      </c>
      <c r="H352" s="1">
        <v>44256</v>
      </c>
      <c r="I352" t="s">
        <v>665</v>
      </c>
      <c r="J352" t="s">
        <v>1041</v>
      </c>
      <c r="K352" t="s">
        <v>24</v>
      </c>
      <c r="L352" t="s">
        <v>216</v>
      </c>
      <c r="M352" t="s">
        <v>1030</v>
      </c>
      <c r="N352" t="s">
        <v>255</v>
      </c>
      <c r="O352" t="s">
        <v>1839</v>
      </c>
      <c r="P352" t="s">
        <v>222</v>
      </c>
      <c r="Q352" t="s">
        <v>975</v>
      </c>
      <c r="R352" t="s">
        <v>976</v>
      </c>
      <c r="S352" t="s">
        <v>550</v>
      </c>
      <c r="T352" t="s">
        <v>550</v>
      </c>
      <c r="U352" t="s">
        <v>550</v>
      </c>
      <c r="V352" t="s">
        <v>1846</v>
      </c>
      <c r="W352" t="s">
        <v>613</v>
      </c>
      <c r="X352" t="s">
        <v>74</v>
      </c>
      <c r="Y352" t="s">
        <v>786</v>
      </c>
      <c r="Z352" t="s">
        <v>1844</v>
      </c>
    </row>
    <row r="353" spans="1:26" x14ac:dyDescent="0.3">
      <c r="A353" t="s">
        <v>525</v>
      </c>
      <c r="B353" t="s">
        <v>1847</v>
      </c>
      <c r="C353" t="s">
        <v>1848</v>
      </c>
      <c r="D353" t="s">
        <v>1844</v>
      </c>
      <c r="E353" t="s">
        <v>1039</v>
      </c>
      <c r="F353" t="s">
        <v>1040</v>
      </c>
      <c r="G353" s="1">
        <v>44256</v>
      </c>
      <c r="H353" s="1">
        <v>44351</v>
      </c>
      <c r="I353" t="s">
        <v>665</v>
      </c>
      <c r="J353" t="s">
        <v>1041</v>
      </c>
      <c r="K353" t="s">
        <v>24</v>
      </c>
      <c r="L353" t="s">
        <v>216</v>
      </c>
      <c r="M353" t="s">
        <v>1030</v>
      </c>
      <c r="N353" t="s">
        <v>255</v>
      </c>
      <c r="O353" t="s">
        <v>1839</v>
      </c>
      <c r="P353" t="s">
        <v>222</v>
      </c>
      <c r="Q353" t="s">
        <v>975</v>
      </c>
      <c r="R353" t="s">
        <v>976</v>
      </c>
      <c r="S353" t="s">
        <v>550</v>
      </c>
      <c r="T353" t="s">
        <v>550</v>
      </c>
      <c r="U353" t="s">
        <v>550</v>
      </c>
      <c r="V353" t="s">
        <v>1849</v>
      </c>
      <c r="W353" t="s">
        <v>613</v>
      </c>
      <c r="X353" t="s">
        <v>74</v>
      </c>
      <c r="Y353" t="s">
        <v>786</v>
      </c>
      <c r="Z353" t="s">
        <v>1847</v>
      </c>
    </row>
    <row r="354" spans="1:26" x14ac:dyDescent="0.3">
      <c r="A354" t="s">
        <v>525</v>
      </c>
      <c r="B354" t="s">
        <v>1850</v>
      </c>
      <c r="C354" t="s">
        <v>1851</v>
      </c>
      <c r="D354" t="s">
        <v>550</v>
      </c>
      <c r="E354" t="s">
        <v>1039</v>
      </c>
      <c r="F354" t="s">
        <v>1040</v>
      </c>
      <c r="G354" s="1">
        <v>44197</v>
      </c>
      <c r="H354" s="1">
        <v>44197</v>
      </c>
      <c r="I354" t="s">
        <v>780</v>
      </c>
      <c r="J354" t="s">
        <v>1041</v>
      </c>
      <c r="K354" t="s">
        <v>24</v>
      </c>
      <c r="L354" t="s">
        <v>216</v>
      </c>
      <c r="M354" t="s">
        <v>1030</v>
      </c>
      <c r="N354" t="s">
        <v>255</v>
      </c>
      <c r="O354" t="s">
        <v>1839</v>
      </c>
      <c r="P354" t="s">
        <v>222</v>
      </c>
      <c r="Q354" t="s">
        <v>975</v>
      </c>
      <c r="R354" t="s">
        <v>976</v>
      </c>
      <c r="S354" t="s">
        <v>550</v>
      </c>
      <c r="T354" t="s">
        <v>550</v>
      </c>
      <c r="U354" t="s">
        <v>550</v>
      </c>
      <c r="V354" t="s">
        <v>1852</v>
      </c>
      <c r="W354" t="s">
        <v>613</v>
      </c>
      <c r="X354" t="s">
        <v>74</v>
      </c>
      <c r="Y354" t="s">
        <v>786</v>
      </c>
      <c r="Z354" t="s">
        <v>1850</v>
      </c>
    </row>
    <row r="355" spans="1:26" x14ac:dyDescent="0.3">
      <c r="A355" t="s">
        <v>525</v>
      </c>
      <c r="B355" t="s">
        <v>1853</v>
      </c>
      <c r="C355" t="s">
        <v>1854</v>
      </c>
      <c r="D355" t="s">
        <v>1850</v>
      </c>
      <c r="E355" t="s">
        <v>1039</v>
      </c>
      <c r="F355" t="s">
        <v>1040</v>
      </c>
      <c r="G355" s="1">
        <v>44197</v>
      </c>
      <c r="H355" s="1">
        <v>44295</v>
      </c>
      <c r="I355" t="s">
        <v>665</v>
      </c>
      <c r="J355" t="s">
        <v>1041</v>
      </c>
      <c r="K355" t="s">
        <v>24</v>
      </c>
      <c r="L355" t="s">
        <v>216</v>
      </c>
      <c r="M355" t="s">
        <v>1030</v>
      </c>
      <c r="N355" t="s">
        <v>255</v>
      </c>
      <c r="O355" t="s">
        <v>1839</v>
      </c>
      <c r="P355" t="s">
        <v>222</v>
      </c>
      <c r="Q355" t="s">
        <v>975</v>
      </c>
      <c r="R355" t="s">
        <v>976</v>
      </c>
      <c r="S355" t="s">
        <v>550</v>
      </c>
      <c r="T355" t="s">
        <v>550</v>
      </c>
      <c r="U355" t="s">
        <v>550</v>
      </c>
      <c r="V355" t="s">
        <v>1855</v>
      </c>
      <c r="W355" t="s">
        <v>613</v>
      </c>
      <c r="X355" t="s">
        <v>74</v>
      </c>
      <c r="Y355" t="s">
        <v>786</v>
      </c>
      <c r="Z355" t="s">
        <v>1853</v>
      </c>
    </row>
    <row r="356" spans="1:26" x14ac:dyDescent="0.3">
      <c r="A356" t="s">
        <v>525</v>
      </c>
      <c r="B356" t="s">
        <v>1856</v>
      </c>
      <c r="C356" t="s">
        <v>1838</v>
      </c>
      <c r="D356" t="s">
        <v>550</v>
      </c>
      <c r="E356" t="s">
        <v>1039</v>
      </c>
      <c r="F356" t="s">
        <v>1040</v>
      </c>
      <c r="G356" s="1">
        <v>43831</v>
      </c>
      <c r="H356" s="1">
        <v>43900</v>
      </c>
      <c r="I356" t="s">
        <v>665</v>
      </c>
      <c r="J356" t="s">
        <v>1041</v>
      </c>
      <c r="K356" t="s">
        <v>24</v>
      </c>
      <c r="L356" t="s">
        <v>216</v>
      </c>
      <c r="M356" t="s">
        <v>1030</v>
      </c>
      <c r="N356" t="s">
        <v>255</v>
      </c>
      <c r="O356" t="s">
        <v>1839</v>
      </c>
      <c r="P356" t="s">
        <v>222</v>
      </c>
      <c r="Q356" t="s">
        <v>975</v>
      </c>
      <c r="R356" t="s">
        <v>976</v>
      </c>
      <c r="S356" t="s">
        <v>550</v>
      </c>
      <c r="T356" t="s">
        <v>550</v>
      </c>
      <c r="U356" t="s">
        <v>550</v>
      </c>
      <c r="V356" t="s">
        <v>1857</v>
      </c>
      <c r="W356" t="s">
        <v>613</v>
      </c>
      <c r="X356" t="s">
        <v>74</v>
      </c>
      <c r="Y356" t="s">
        <v>786</v>
      </c>
      <c r="Z356" t="s">
        <v>1856</v>
      </c>
    </row>
    <row r="357" spans="1:26" x14ac:dyDescent="0.3">
      <c r="A357" t="s">
        <v>525</v>
      </c>
      <c r="B357" t="s">
        <v>1858</v>
      </c>
      <c r="C357" t="s">
        <v>1859</v>
      </c>
      <c r="D357" t="s">
        <v>550</v>
      </c>
      <c r="E357" t="s">
        <v>1039</v>
      </c>
      <c r="F357" t="s">
        <v>1040</v>
      </c>
      <c r="G357" s="1">
        <v>44197</v>
      </c>
      <c r="H357" s="1">
        <v>44197</v>
      </c>
      <c r="I357" t="s">
        <v>780</v>
      </c>
      <c r="J357" t="s">
        <v>1041</v>
      </c>
      <c r="K357" t="s">
        <v>24</v>
      </c>
      <c r="L357" t="s">
        <v>216</v>
      </c>
      <c r="M357" t="s">
        <v>1030</v>
      </c>
      <c r="N357" t="s">
        <v>255</v>
      </c>
      <c r="O357" t="s">
        <v>1839</v>
      </c>
      <c r="P357" t="s">
        <v>222</v>
      </c>
      <c r="Q357" t="s">
        <v>975</v>
      </c>
      <c r="R357" t="s">
        <v>976</v>
      </c>
      <c r="S357" t="s">
        <v>550</v>
      </c>
      <c r="T357" t="s">
        <v>550</v>
      </c>
      <c r="U357" t="s">
        <v>550</v>
      </c>
      <c r="V357" t="s">
        <v>1860</v>
      </c>
      <c r="W357" t="s">
        <v>613</v>
      </c>
      <c r="X357" t="s">
        <v>74</v>
      </c>
      <c r="Y357" t="s">
        <v>786</v>
      </c>
      <c r="Z357" t="s">
        <v>1858</v>
      </c>
    </row>
    <row r="358" spans="1:26" x14ac:dyDescent="0.3">
      <c r="A358" t="s">
        <v>525</v>
      </c>
      <c r="B358" t="s">
        <v>1861</v>
      </c>
      <c r="C358" t="s">
        <v>1862</v>
      </c>
      <c r="D358" t="s">
        <v>1858</v>
      </c>
      <c r="E358" t="s">
        <v>1039</v>
      </c>
      <c r="F358" t="s">
        <v>1040</v>
      </c>
      <c r="G358" s="1">
        <v>44197</v>
      </c>
      <c r="H358" s="1">
        <v>44696</v>
      </c>
      <c r="I358" t="s">
        <v>665</v>
      </c>
      <c r="J358" t="s">
        <v>1041</v>
      </c>
      <c r="K358" t="s">
        <v>24</v>
      </c>
      <c r="L358" t="s">
        <v>216</v>
      </c>
      <c r="M358" t="s">
        <v>1030</v>
      </c>
      <c r="N358" t="s">
        <v>255</v>
      </c>
      <c r="O358" t="s">
        <v>1839</v>
      </c>
      <c r="P358" t="s">
        <v>222</v>
      </c>
      <c r="Q358" t="s">
        <v>975</v>
      </c>
      <c r="R358" t="s">
        <v>976</v>
      </c>
      <c r="S358" t="s">
        <v>550</v>
      </c>
      <c r="T358" t="s">
        <v>550</v>
      </c>
      <c r="U358" t="s">
        <v>550</v>
      </c>
      <c r="V358" t="s">
        <v>1863</v>
      </c>
      <c r="W358" t="s">
        <v>613</v>
      </c>
      <c r="X358" t="s">
        <v>74</v>
      </c>
      <c r="Y358" t="s">
        <v>786</v>
      </c>
      <c r="Z358" t="s">
        <v>1861</v>
      </c>
    </row>
    <row r="359" spans="1:26" x14ac:dyDescent="0.3">
      <c r="A359" t="s">
        <v>525</v>
      </c>
      <c r="B359" t="s">
        <v>1864</v>
      </c>
      <c r="C359" t="s">
        <v>1865</v>
      </c>
      <c r="D359" t="s">
        <v>550</v>
      </c>
      <c r="E359" t="s">
        <v>1039</v>
      </c>
      <c r="F359" t="s">
        <v>1040</v>
      </c>
      <c r="G359" s="1">
        <v>44197</v>
      </c>
      <c r="H359" s="1">
        <v>44197</v>
      </c>
      <c r="I359" t="s">
        <v>780</v>
      </c>
      <c r="J359" t="s">
        <v>1041</v>
      </c>
      <c r="K359" t="s">
        <v>24</v>
      </c>
      <c r="L359" t="s">
        <v>1045</v>
      </c>
      <c r="M359" t="s">
        <v>1030</v>
      </c>
      <c r="N359" t="s">
        <v>255</v>
      </c>
      <c r="O359" t="s">
        <v>1839</v>
      </c>
      <c r="P359" t="s">
        <v>222</v>
      </c>
      <c r="Q359" t="s">
        <v>975</v>
      </c>
      <c r="R359" t="s">
        <v>976</v>
      </c>
      <c r="S359" t="s">
        <v>550</v>
      </c>
      <c r="T359" t="s">
        <v>550</v>
      </c>
      <c r="U359" t="s">
        <v>550</v>
      </c>
      <c r="V359" t="s">
        <v>1866</v>
      </c>
      <c r="W359" t="s">
        <v>613</v>
      </c>
      <c r="X359" t="s">
        <v>74</v>
      </c>
      <c r="Y359" t="s">
        <v>786</v>
      </c>
      <c r="Z359" t="s">
        <v>1864</v>
      </c>
    </row>
    <row r="360" spans="1:26" x14ac:dyDescent="0.3">
      <c r="A360" t="s">
        <v>525</v>
      </c>
      <c r="B360" t="s">
        <v>1867</v>
      </c>
      <c r="C360" t="s">
        <v>1868</v>
      </c>
      <c r="D360" t="s">
        <v>1864</v>
      </c>
      <c r="E360" t="s">
        <v>1039</v>
      </c>
      <c r="F360" t="s">
        <v>1040</v>
      </c>
      <c r="G360" s="1">
        <v>44197</v>
      </c>
      <c r="H360" s="1">
        <v>44197</v>
      </c>
      <c r="I360" t="s">
        <v>665</v>
      </c>
      <c r="J360" t="s">
        <v>1041</v>
      </c>
      <c r="K360" t="s">
        <v>24</v>
      </c>
      <c r="L360" t="s">
        <v>1045</v>
      </c>
      <c r="M360" t="s">
        <v>1030</v>
      </c>
      <c r="N360" t="s">
        <v>255</v>
      </c>
      <c r="O360" t="s">
        <v>1839</v>
      </c>
      <c r="P360" t="s">
        <v>222</v>
      </c>
      <c r="Q360" t="s">
        <v>975</v>
      </c>
      <c r="R360" t="s">
        <v>976</v>
      </c>
      <c r="S360" t="s">
        <v>550</v>
      </c>
      <c r="T360" t="s">
        <v>550</v>
      </c>
      <c r="U360" t="s">
        <v>550</v>
      </c>
      <c r="V360" t="s">
        <v>1869</v>
      </c>
      <c r="W360" t="s">
        <v>613</v>
      </c>
      <c r="X360" t="s">
        <v>74</v>
      </c>
      <c r="Y360" t="s">
        <v>786</v>
      </c>
      <c r="Z360" t="s">
        <v>1867</v>
      </c>
    </row>
    <row r="361" spans="1:26" x14ac:dyDescent="0.3">
      <c r="A361" t="s">
        <v>525</v>
      </c>
      <c r="B361" t="s">
        <v>1870</v>
      </c>
      <c r="C361" t="s">
        <v>1871</v>
      </c>
      <c r="D361" t="s">
        <v>550</v>
      </c>
      <c r="E361" t="s">
        <v>1039</v>
      </c>
      <c r="F361" t="s">
        <v>1040</v>
      </c>
      <c r="G361" s="1">
        <v>44197</v>
      </c>
      <c r="H361" s="1">
        <v>44197</v>
      </c>
      <c r="I361" t="s">
        <v>780</v>
      </c>
      <c r="J361" t="s">
        <v>1041</v>
      </c>
      <c r="K361" t="s">
        <v>24</v>
      </c>
      <c r="L361" t="s">
        <v>216</v>
      </c>
      <c r="M361" t="s">
        <v>1030</v>
      </c>
      <c r="N361" t="s">
        <v>255</v>
      </c>
      <c r="O361" t="s">
        <v>1839</v>
      </c>
      <c r="P361" t="s">
        <v>222</v>
      </c>
      <c r="Q361" t="s">
        <v>975</v>
      </c>
      <c r="R361" t="s">
        <v>976</v>
      </c>
      <c r="S361" t="s">
        <v>550</v>
      </c>
      <c r="T361" t="s">
        <v>550</v>
      </c>
      <c r="U361" t="s">
        <v>550</v>
      </c>
      <c r="V361" t="s">
        <v>1872</v>
      </c>
      <c r="W361" t="s">
        <v>613</v>
      </c>
      <c r="X361" t="s">
        <v>74</v>
      </c>
      <c r="Y361" t="s">
        <v>786</v>
      </c>
      <c r="Z361" t="s">
        <v>1870</v>
      </c>
    </row>
    <row r="362" spans="1:26" x14ac:dyDescent="0.3">
      <c r="A362" t="s">
        <v>525</v>
      </c>
      <c r="B362" t="s">
        <v>1873</v>
      </c>
      <c r="C362" t="s">
        <v>1874</v>
      </c>
      <c r="D362" t="s">
        <v>1870</v>
      </c>
      <c r="E362" t="s">
        <v>1039</v>
      </c>
      <c r="F362" t="s">
        <v>1040</v>
      </c>
      <c r="G362" s="1">
        <v>44197</v>
      </c>
      <c r="H362" s="1">
        <v>44208</v>
      </c>
      <c r="I362" t="s">
        <v>665</v>
      </c>
      <c r="J362" t="s">
        <v>1041</v>
      </c>
      <c r="K362" t="s">
        <v>24</v>
      </c>
      <c r="L362" t="s">
        <v>216</v>
      </c>
      <c r="M362" t="s">
        <v>1030</v>
      </c>
      <c r="N362" t="s">
        <v>255</v>
      </c>
      <c r="O362" t="s">
        <v>1839</v>
      </c>
      <c r="P362" t="s">
        <v>222</v>
      </c>
      <c r="Q362" t="s">
        <v>975</v>
      </c>
      <c r="R362" t="s">
        <v>976</v>
      </c>
      <c r="S362" t="s">
        <v>550</v>
      </c>
      <c r="T362" t="s">
        <v>550</v>
      </c>
      <c r="U362" t="s">
        <v>550</v>
      </c>
      <c r="V362" t="s">
        <v>1875</v>
      </c>
      <c r="W362" t="s">
        <v>613</v>
      </c>
      <c r="X362" t="s">
        <v>74</v>
      </c>
      <c r="Y362" t="s">
        <v>786</v>
      </c>
      <c r="Z362" t="s">
        <v>1873</v>
      </c>
    </row>
    <row r="363" spans="1:26" x14ac:dyDescent="0.3">
      <c r="A363" t="s">
        <v>525</v>
      </c>
      <c r="B363" t="s">
        <v>1876</v>
      </c>
      <c r="C363" t="s">
        <v>1877</v>
      </c>
      <c r="D363" t="s">
        <v>550</v>
      </c>
      <c r="E363" t="s">
        <v>1878</v>
      </c>
      <c r="F363" t="s">
        <v>1879</v>
      </c>
      <c r="G363" s="1">
        <v>43831</v>
      </c>
      <c r="H363" s="1">
        <v>43836</v>
      </c>
      <c r="I363" t="s">
        <v>665</v>
      </c>
      <c r="J363" t="s">
        <v>1880</v>
      </c>
      <c r="K363" t="s">
        <v>862</v>
      </c>
      <c r="L363" t="s">
        <v>863</v>
      </c>
      <c r="M363" t="s">
        <v>1459</v>
      </c>
      <c r="N363" t="s">
        <v>1460</v>
      </c>
      <c r="O363" t="s">
        <v>550</v>
      </c>
      <c r="Q363" t="s">
        <v>975</v>
      </c>
      <c r="R363" t="s">
        <v>976</v>
      </c>
      <c r="S363" t="s">
        <v>550</v>
      </c>
      <c r="T363" t="s">
        <v>550</v>
      </c>
      <c r="U363" t="s">
        <v>550</v>
      </c>
      <c r="V363" t="s">
        <v>1881</v>
      </c>
      <c r="W363" t="s">
        <v>869</v>
      </c>
      <c r="X363" t="s">
        <v>870</v>
      </c>
      <c r="Y363" t="s">
        <v>847</v>
      </c>
      <c r="Z363" t="s">
        <v>1876</v>
      </c>
    </row>
    <row r="364" spans="1:26" x14ac:dyDescent="0.3">
      <c r="A364" t="s">
        <v>525</v>
      </c>
      <c r="B364" t="s">
        <v>1882</v>
      </c>
      <c r="C364" t="s">
        <v>1883</v>
      </c>
      <c r="D364" t="s">
        <v>550</v>
      </c>
      <c r="E364" t="s">
        <v>664</v>
      </c>
      <c r="F364" t="s">
        <v>27</v>
      </c>
      <c r="G364" s="1">
        <v>43831</v>
      </c>
      <c r="H364" s="1">
        <v>44247</v>
      </c>
      <c r="I364" t="s">
        <v>665</v>
      </c>
      <c r="J364" t="s">
        <v>666</v>
      </c>
      <c r="K364" t="s">
        <v>24</v>
      </c>
      <c r="L364" t="s">
        <v>667</v>
      </c>
      <c r="M364" t="s">
        <v>873</v>
      </c>
      <c r="N364" t="s">
        <v>244</v>
      </c>
      <c r="O364" t="s">
        <v>1884</v>
      </c>
      <c r="P364" t="s">
        <v>223</v>
      </c>
      <c r="Q364" t="s">
        <v>975</v>
      </c>
      <c r="R364" t="s">
        <v>976</v>
      </c>
      <c r="S364" t="s">
        <v>550</v>
      </c>
      <c r="T364" t="s">
        <v>550</v>
      </c>
      <c r="U364" t="s">
        <v>550</v>
      </c>
      <c r="V364" t="s">
        <v>1885</v>
      </c>
      <c r="W364" t="s">
        <v>565</v>
      </c>
      <c r="X364" t="s">
        <v>669</v>
      </c>
      <c r="Y364" t="s">
        <v>856</v>
      </c>
      <c r="Z364" t="s">
        <v>1882</v>
      </c>
    </row>
    <row r="365" spans="1:26" x14ac:dyDescent="0.3">
      <c r="A365" t="s">
        <v>525</v>
      </c>
      <c r="B365" t="s">
        <v>1886</v>
      </c>
      <c r="C365" t="s">
        <v>252</v>
      </c>
      <c r="D365" t="s">
        <v>550</v>
      </c>
      <c r="E365" t="s">
        <v>664</v>
      </c>
      <c r="F365" t="s">
        <v>27</v>
      </c>
      <c r="G365" s="1">
        <v>44197</v>
      </c>
      <c r="H365" s="1">
        <v>44197</v>
      </c>
      <c r="I365" t="s">
        <v>665</v>
      </c>
      <c r="J365" t="s">
        <v>666</v>
      </c>
      <c r="K365" t="s">
        <v>24</v>
      </c>
      <c r="L365" t="s">
        <v>667</v>
      </c>
      <c r="M365" t="s">
        <v>873</v>
      </c>
      <c r="N365" t="s">
        <v>244</v>
      </c>
      <c r="O365" t="s">
        <v>1884</v>
      </c>
      <c r="P365" t="s">
        <v>223</v>
      </c>
      <c r="Q365" t="s">
        <v>975</v>
      </c>
      <c r="R365" t="s">
        <v>976</v>
      </c>
      <c r="S365" t="s">
        <v>550</v>
      </c>
      <c r="T365" t="s">
        <v>550</v>
      </c>
      <c r="U365" t="s">
        <v>550</v>
      </c>
      <c r="V365" t="s">
        <v>1887</v>
      </c>
      <c r="W365" t="s">
        <v>565</v>
      </c>
      <c r="X365" t="s">
        <v>669</v>
      </c>
      <c r="Y365" t="s">
        <v>856</v>
      </c>
      <c r="Z365" t="s">
        <v>1886</v>
      </c>
    </row>
    <row r="366" spans="1:26" x14ac:dyDescent="0.3">
      <c r="A366" t="s">
        <v>525</v>
      </c>
      <c r="B366" t="s">
        <v>1888</v>
      </c>
      <c r="C366" t="s">
        <v>1889</v>
      </c>
      <c r="D366" t="s">
        <v>1886</v>
      </c>
      <c r="E366" t="s">
        <v>664</v>
      </c>
      <c r="F366" t="s">
        <v>27</v>
      </c>
      <c r="G366" s="1">
        <v>44197</v>
      </c>
      <c r="H366" s="1">
        <v>44453</v>
      </c>
      <c r="I366" t="s">
        <v>665</v>
      </c>
      <c r="J366" t="s">
        <v>666</v>
      </c>
      <c r="K366" t="s">
        <v>24</v>
      </c>
      <c r="L366" t="s">
        <v>667</v>
      </c>
      <c r="M366" t="s">
        <v>873</v>
      </c>
      <c r="N366" t="s">
        <v>244</v>
      </c>
      <c r="O366" t="s">
        <v>1884</v>
      </c>
      <c r="P366" t="s">
        <v>223</v>
      </c>
      <c r="Q366" t="s">
        <v>975</v>
      </c>
      <c r="R366" t="s">
        <v>976</v>
      </c>
      <c r="S366" t="s">
        <v>550</v>
      </c>
      <c r="T366" t="s">
        <v>550</v>
      </c>
      <c r="U366" t="s">
        <v>550</v>
      </c>
      <c r="V366" t="s">
        <v>1890</v>
      </c>
      <c r="W366" t="s">
        <v>565</v>
      </c>
      <c r="X366" t="s">
        <v>669</v>
      </c>
      <c r="Y366" t="s">
        <v>856</v>
      </c>
      <c r="Z366" t="s">
        <v>1888</v>
      </c>
    </row>
    <row r="367" spans="1:26" x14ac:dyDescent="0.3">
      <c r="A367" t="s">
        <v>525</v>
      </c>
      <c r="B367" t="s">
        <v>1006</v>
      </c>
      <c r="C367" t="s">
        <v>1891</v>
      </c>
      <c r="D367" t="s">
        <v>550</v>
      </c>
      <c r="E367" t="s">
        <v>982</v>
      </c>
      <c r="F367" t="s">
        <v>983</v>
      </c>
      <c r="G367" s="1">
        <v>44197</v>
      </c>
      <c r="H367" s="1">
        <v>44197</v>
      </c>
      <c r="I367" t="s">
        <v>665</v>
      </c>
      <c r="J367" t="s">
        <v>984</v>
      </c>
      <c r="K367" t="s">
        <v>24</v>
      </c>
      <c r="L367" t="s">
        <v>901</v>
      </c>
      <c r="M367" t="s">
        <v>1770</v>
      </c>
      <c r="N367" t="s">
        <v>283</v>
      </c>
      <c r="O367" t="s">
        <v>985</v>
      </c>
      <c r="P367" t="s">
        <v>986</v>
      </c>
      <c r="Q367" t="s">
        <v>975</v>
      </c>
      <c r="R367" t="s">
        <v>976</v>
      </c>
      <c r="S367" t="s">
        <v>550</v>
      </c>
      <c r="T367" t="s">
        <v>893</v>
      </c>
      <c r="U367" t="s">
        <v>550</v>
      </c>
      <c r="V367" t="s">
        <v>1892</v>
      </c>
      <c r="W367" t="s">
        <v>988</v>
      </c>
      <c r="X367" t="s">
        <v>979</v>
      </c>
      <c r="Y367" t="s">
        <v>803</v>
      </c>
      <c r="Z367" t="s">
        <v>1006</v>
      </c>
    </row>
    <row r="368" spans="1:26" x14ac:dyDescent="0.3">
      <c r="A368" t="s">
        <v>525</v>
      </c>
      <c r="B368" t="s">
        <v>1893</v>
      </c>
      <c r="C368" t="s">
        <v>1894</v>
      </c>
      <c r="D368" t="s">
        <v>1895</v>
      </c>
      <c r="E368" t="s">
        <v>1896</v>
      </c>
      <c r="F368" t="s">
        <v>1897</v>
      </c>
      <c r="G368" s="1">
        <v>44927</v>
      </c>
      <c r="H368" s="1">
        <v>44950</v>
      </c>
      <c r="I368" t="s">
        <v>665</v>
      </c>
      <c r="J368" t="s">
        <v>1898</v>
      </c>
      <c r="K368" t="s">
        <v>862</v>
      </c>
      <c r="L368" t="s">
        <v>216</v>
      </c>
      <c r="M368" t="s">
        <v>1899</v>
      </c>
      <c r="N368" t="s">
        <v>245</v>
      </c>
      <c r="O368" t="s">
        <v>1459</v>
      </c>
      <c r="P368" t="s">
        <v>1460</v>
      </c>
      <c r="Q368" t="s">
        <v>975</v>
      </c>
      <c r="R368" t="s">
        <v>976</v>
      </c>
      <c r="S368" t="s">
        <v>783</v>
      </c>
      <c r="T368" t="s">
        <v>550</v>
      </c>
      <c r="U368" t="s">
        <v>1900</v>
      </c>
      <c r="V368" t="s">
        <v>1901</v>
      </c>
      <c r="W368" t="s">
        <v>869</v>
      </c>
      <c r="X368" t="s">
        <v>870</v>
      </c>
      <c r="Y368" t="s">
        <v>847</v>
      </c>
      <c r="Z368" t="s">
        <v>1893</v>
      </c>
    </row>
    <row r="369" spans="1:26" x14ac:dyDescent="0.3">
      <c r="A369" t="s">
        <v>525</v>
      </c>
      <c r="B369" t="s">
        <v>1902</v>
      </c>
      <c r="C369" t="s">
        <v>1903</v>
      </c>
      <c r="D369" t="s">
        <v>550</v>
      </c>
      <c r="E369" t="s">
        <v>1374</v>
      </c>
      <c r="F369" t="s">
        <v>1375</v>
      </c>
      <c r="G369" s="1">
        <v>44197</v>
      </c>
      <c r="H369" s="1">
        <v>44197</v>
      </c>
      <c r="I369" t="s">
        <v>780</v>
      </c>
      <c r="J369" t="s">
        <v>1376</v>
      </c>
      <c r="K369" t="s">
        <v>862</v>
      </c>
      <c r="L369" t="s">
        <v>863</v>
      </c>
      <c r="M369" t="s">
        <v>1904</v>
      </c>
      <c r="N369" t="s">
        <v>1905</v>
      </c>
      <c r="O369" t="s">
        <v>1459</v>
      </c>
      <c r="P369" t="s">
        <v>1460</v>
      </c>
      <c r="Q369" t="s">
        <v>975</v>
      </c>
      <c r="R369" t="s">
        <v>976</v>
      </c>
      <c r="S369" t="s">
        <v>550</v>
      </c>
      <c r="T369" t="s">
        <v>550</v>
      </c>
      <c r="U369" t="s">
        <v>550</v>
      </c>
      <c r="V369" t="s">
        <v>1906</v>
      </c>
      <c r="W369" t="s">
        <v>869</v>
      </c>
      <c r="X369" t="s">
        <v>870</v>
      </c>
      <c r="Y369" t="s">
        <v>847</v>
      </c>
      <c r="Z369" t="s">
        <v>1902</v>
      </c>
    </row>
    <row r="370" spans="1:26" x14ac:dyDescent="0.3">
      <c r="A370" t="s">
        <v>525</v>
      </c>
      <c r="B370" t="s">
        <v>1907</v>
      </c>
      <c r="C370" t="s">
        <v>1908</v>
      </c>
      <c r="D370" t="s">
        <v>1902</v>
      </c>
      <c r="E370" t="s">
        <v>1374</v>
      </c>
      <c r="F370" t="s">
        <v>1375</v>
      </c>
      <c r="G370" s="1">
        <v>44197</v>
      </c>
      <c r="H370" s="1">
        <v>44250</v>
      </c>
      <c r="I370" t="s">
        <v>665</v>
      </c>
      <c r="J370" t="s">
        <v>1376</v>
      </c>
      <c r="K370" t="s">
        <v>862</v>
      </c>
      <c r="L370" t="s">
        <v>863</v>
      </c>
      <c r="M370" t="s">
        <v>1904</v>
      </c>
      <c r="N370" t="s">
        <v>1905</v>
      </c>
      <c r="O370" t="s">
        <v>1459</v>
      </c>
      <c r="P370" t="s">
        <v>1460</v>
      </c>
      <c r="Q370" t="s">
        <v>975</v>
      </c>
      <c r="R370" t="s">
        <v>976</v>
      </c>
      <c r="S370" t="s">
        <v>550</v>
      </c>
      <c r="T370" t="s">
        <v>550</v>
      </c>
      <c r="U370" t="s">
        <v>550</v>
      </c>
      <c r="V370" t="s">
        <v>1909</v>
      </c>
      <c r="W370" t="s">
        <v>869</v>
      </c>
      <c r="X370" t="s">
        <v>870</v>
      </c>
      <c r="Y370" t="s">
        <v>847</v>
      </c>
      <c r="Z370" t="s">
        <v>1907</v>
      </c>
    </row>
    <row r="371" spans="1:26" x14ac:dyDescent="0.3">
      <c r="A371" t="s">
        <v>525</v>
      </c>
      <c r="B371" t="s">
        <v>1910</v>
      </c>
      <c r="C371" t="s">
        <v>1911</v>
      </c>
      <c r="D371" t="s">
        <v>1902</v>
      </c>
      <c r="E371" t="s">
        <v>1374</v>
      </c>
      <c r="F371" t="s">
        <v>1375</v>
      </c>
      <c r="G371" s="1">
        <v>44495</v>
      </c>
      <c r="H371" s="1">
        <v>44499</v>
      </c>
      <c r="I371" t="s">
        <v>665</v>
      </c>
      <c r="J371" t="s">
        <v>1376</v>
      </c>
      <c r="K371" t="s">
        <v>862</v>
      </c>
      <c r="L371" t="s">
        <v>863</v>
      </c>
      <c r="M371" t="s">
        <v>1904</v>
      </c>
      <c r="N371" t="s">
        <v>1905</v>
      </c>
      <c r="O371" t="s">
        <v>1459</v>
      </c>
      <c r="P371" t="s">
        <v>1460</v>
      </c>
      <c r="Q371" t="s">
        <v>975</v>
      </c>
      <c r="R371" t="s">
        <v>976</v>
      </c>
      <c r="S371" t="s">
        <v>550</v>
      </c>
      <c r="T371" t="s">
        <v>550</v>
      </c>
      <c r="U371" t="s">
        <v>550</v>
      </c>
      <c r="V371" t="s">
        <v>1912</v>
      </c>
      <c r="W371" t="s">
        <v>869</v>
      </c>
      <c r="X371" t="s">
        <v>870</v>
      </c>
      <c r="Y371" t="s">
        <v>847</v>
      </c>
      <c r="Z371" t="s">
        <v>1910</v>
      </c>
    </row>
    <row r="372" spans="1:26" x14ac:dyDescent="0.3">
      <c r="A372" t="s">
        <v>525</v>
      </c>
      <c r="B372" t="s">
        <v>1913</v>
      </c>
      <c r="C372" t="s">
        <v>1914</v>
      </c>
      <c r="D372" t="s">
        <v>550</v>
      </c>
      <c r="E372" t="s">
        <v>664</v>
      </c>
      <c r="F372" t="s">
        <v>27</v>
      </c>
      <c r="G372" s="1">
        <v>44197</v>
      </c>
      <c r="H372" s="1">
        <v>44197</v>
      </c>
      <c r="I372" t="s">
        <v>665</v>
      </c>
      <c r="J372" t="s">
        <v>666</v>
      </c>
      <c r="K372" t="s">
        <v>900</v>
      </c>
      <c r="L372" t="s">
        <v>863</v>
      </c>
      <c r="M372" t="s">
        <v>1904</v>
      </c>
      <c r="N372" t="s">
        <v>1905</v>
      </c>
      <c r="O372" t="s">
        <v>1459</v>
      </c>
      <c r="P372" t="s">
        <v>1460</v>
      </c>
      <c r="Q372" t="s">
        <v>975</v>
      </c>
      <c r="R372" t="s">
        <v>976</v>
      </c>
      <c r="S372" t="s">
        <v>550</v>
      </c>
      <c r="T372" t="s">
        <v>550</v>
      </c>
      <c r="U372" t="s">
        <v>550</v>
      </c>
      <c r="V372" t="s">
        <v>1915</v>
      </c>
      <c r="W372" t="s">
        <v>869</v>
      </c>
      <c r="X372" t="s">
        <v>870</v>
      </c>
      <c r="Y372" t="s">
        <v>847</v>
      </c>
      <c r="Z372" t="s">
        <v>1913</v>
      </c>
    </row>
    <row r="373" spans="1:26" x14ac:dyDescent="0.3">
      <c r="A373" t="s">
        <v>525</v>
      </c>
      <c r="B373" t="s">
        <v>1916</v>
      </c>
      <c r="C373" t="s">
        <v>1917</v>
      </c>
      <c r="D373" t="s">
        <v>1913</v>
      </c>
      <c r="E373" t="s">
        <v>664</v>
      </c>
      <c r="F373" t="s">
        <v>27</v>
      </c>
      <c r="G373" s="1">
        <v>44197</v>
      </c>
      <c r="H373" s="1">
        <v>44204</v>
      </c>
      <c r="I373" t="s">
        <v>665</v>
      </c>
      <c r="J373" t="s">
        <v>666</v>
      </c>
      <c r="K373" t="s">
        <v>900</v>
      </c>
      <c r="L373" t="s">
        <v>863</v>
      </c>
      <c r="M373" t="s">
        <v>1904</v>
      </c>
      <c r="N373" t="s">
        <v>1905</v>
      </c>
      <c r="O373" t="s">
        <v>1459</v>
      </c>
      <c r="P373" t="s">
        <v>1460</v>
      </c>
      <c r="Q373" t="s">
        <v>975</v>
      </c>
      <c r="R373" t="s">
        <v>976</v>
      </c>
      <c r="S373" t="s">
        <v>550</v>
      </c>
      <c r="T373" t="s">
        <v>550</v>
      </c>
      <c r="U373" t="s">
        <v>550</v>
      </c>
      <c r="V373" t="s">
        <v>1918</v>
      </c>
      <c r="W373" t="s">
        <v>869</v>
      </c>
      <c r="X373" t="s">
        <v>870</v>
      </c>
      <c r="Y373" t="s">
        <v>847</v>
      </c>
      <c r="Z373" t="s">
        <v>1916</v>
      </c>
    </row>
    <row r="374" spans="1:26" x14ac:dyDescent="0.3">
      <c r="A374" t="s">
        <v>525</v>
      </c>
      <c r="B374" t="s">
        <v>1919</v>
      </c>
      <c r="C374" t="s">
        <v>1920</v>
      </c>
      <c r="D374" t="s">
        <v>550</v>
      </c>
      <c r="E374" t="s">
        <v>1921</v>
      </c>
      <c r="F374" t="s">
        <v>1922</v>
      </c>
      <c r="G374" s="1">
        <v>44197</v>
      </c>
      <c r="H374" s="1">
        <v>44197</v>
      </c>
      <c r="I374" t="s">
        <v>665</v>
      </c>
      <c r="J374" t="s">
        <v>1923</v>
      </c>
      <c r="K374" t="s">
        <v>862</v>
      </c>
      <c r="L374" t="s">
        <v>863</v>
      </c>
      <c r="M374" t="s">
        <v>1904</v>
      </c>
      <c r="N374" t="s">
        <v>1905</v>
      </c>
      <c r="O374" t="s">
        <v>1459</v>
      </c>
      <c r="P374" t="s">
        <v>1460</v>
      </c>
      <c r="Q374" t="s">
        <v>975</v>
      </c>
      <c r="R374" t="s">
        <v>976</v>
      </c>
      <c r="S374" t="s">
        <v>550</v>
      </c>
      <c r="T374" t="s">
        <v>550</v>
      </c>
      <c r="U374" t="s">
        <v>550</v>
      </c>
      <c r="V374" t="s">
        <v>1924</v>
      </c>
      <c r="W374" t="s">
        <v>869</v>
      </c>
      <c r="X374" t="s">
        <v>870</v>
      </c>
      <c r="Y374" t="s">
        <v>847</v>
      </c>
      <c r="Z374" t="s">
        <v>1919</v>
      </c>
    </row>
    <row r="375" spans="1:26" x14ac:dyDescent="0.3">
      <c r="A375" t="s">
        <v>525</v>
      </c>
      <c r="B375" t="s">
        <v>1925</v>
      </c>
      <c r="C375" t="s">
        <v>1926</v>
      </c>
      <c r="D375" t="s">
        <v>1919</v>
      </c>
      <c r="E375" t="s">
        <v>1921</v>
      </c>
      <c r="F375" t="s">
        <v>1922</v>
      </c>
      <c r="G375" s="1">
        <v>44197</v>
      </c>
      <c r="H375" s="1">
        <v>44212</v>
      </c>
      <c r="I375" t="s">
        <v>665</v>
      </c>
      <c r="J375" t="s">
        <v>1923</v>
      </c>
      <c r="K375" t="s">
        <v>862</v>
      </c>
      <c r="L375" t="s">
        <v>863</v>
      </c>
      <c r="M375" t="s">
        <v>1904</v>
      </c>
      <c r="N375" t="s">
        <v>1905</v>
      </c>
      <c r="O375" t="s">
        <v>1459</v>
      </c>
      <c r="P375" t="s">
        <v>1460</v>
      </c>
      <c r="Q375" t="s">
        <v>975</v>
      </c>
      <c r="R375" t="s">
        <v>976</v>
      </c>
      <c r="S375" t="s">
        <v>550</v>
      </c>
      <c r="T375" t="s">
        <v>550</v>
      </c>
      <c r="U375" t="s">
        <v>550</v>
      </c>
      <c r="V375" t="s">
        <v>1927</v>
      </c>
      <c r="W375" t="s">
        <v>869</v>
      </c>
      <c r="X375" t="s">
        <v>870</v>
      </c>
      <c r="Y375" t="s">
        <v>847</v>
      </c>
      <c r="Z375" t="s">
        <v>1925</v>
      </c>
    </row>
    <row r="376" spans="1:26" x14ac:dyDescent="0.3">
      <c r="A376" t="s">
        <v>525</v>
      </c>
      <c r="B376" t="s">
        <v>1928</v>
      </c>
      <c r="C376" t="s">
        <v>1929</v>
      </c>
      <c r="D376" t="s">
        <v>550</v>
      </c>
      <c r="E376" t="s">
        <v>1930</v>
      </c>
      <c r="F376" t="s">
        <v>1931</v>
      </c>
      <c r="G376" s="1">
        <v>44197</v>
      </c>
      <c r="H376" s="1">
        <v>44197</v>
      </c>
      <c r="I376" t="s">
        <v>665</v>
      </c>
      <c r="J376" t="s">
        <v>1932</v>
      </c>
      <c r="K376" t="s">
        <v>862</v>
      </c>
      <c r="L376" t="s">
        <v>863</v>
      </c>
      <c r="M376" t="s">
        <v>1904</v>
      </c>
      <c r="N376" t="s">
        <v>1905</v>
      </c>
      <c r="O376" t="s">
        <v>1459</v>
      </c>
      <c r="P376" t="s">
        <v>1460</v>
      </c>
      <c r="Q376" t="s">
        <v>975</v>
      </c>
      <c r="R376" t="s">
        <v>976</v>
      </c>
      <c r="S376" t="s">
        <v>550</v>
      </c>
      <c r="T376" t="s">
        <v>550</v>
      </c>
      <c r="U376" t="s">
        <v>550</v>
      </c>
      <c r="V376" t="s">
        <v>1933</v>
      </c>
      <c r="W376" t="s">
        <v>869</v>
      </c>
      <c r="X376" t="s">
        <v>870</v>
      </c>
      <c r="Y376" t="s">
        <v>847</v>
      </c>
      <c r="Z376" t="s">
        <v>1928</v>
      </c>
    </row>
    <row r="377" spans="1:26" x14ac:dyDescent="0.3">
      <c r="A377" t="s">
        <v>525</v>
      </c>
      <c r="B377" t="s">
        <v>1934</v>
      </c>
      <c r="C377" t="s">
        <v>1935</v>
      </c>
      <c r="D377" t="s">
        <v>1928</v>
      </c>
      <c r="E377" t="s">
        <v>1930</v>
      </c>
      <c r="F377" t="s">
        <v>1931</v>
      </c>
      <c r="G377" s="1">
        <v>44197</v>
      </c>
      <c r="H377" s="1">
        <v>44197</v>
      </c>
      <c r="I377" t="s">
        <v>665</v>
      </c>
      <c r="J377" t="s">
        <v>1932</v>
      </c>
      <c r="K377" t="s">
        <v>862</v>
      </c>
      <c r="L377" t="s">
        <v>863</v>
      </c>
      <c r="M377" t="s">
        <v>1904</v>
      </c>
      <c r="N377" t="s">
        <v>1905</v>
      </c>
      <c r="O377" t="s">
        <v>1459</v>
      </c>
      <c r="P377" t="s">
        <v>1460</v>
      </c>
      <c r="Q377" t="s">
        <v>975</v>
      </c>
      <c r="R377" t="s">
        <v>976</v>
      </c>
      <c r="S377" t="s">
        <v>550</v>
      </c>
      <c r="T377" t="s">
        <v>550</v>
      </c>
      <c r="U377" t="s">
        <v>550</v>
      </c>
      <c r="V377" t="s">
        <v>1936</v>
      </c>
      <c r="W377" t="s">
        <v>869</v>
      </c>
      <c r="X377" t="s">
        <v>870</v>
      </c>
      <c r="Y377" t="s">
        <v>847</v>
      </c>
      <c r="Z377" t="s">
        <v>1934</v>
      </c>
    </row>
    <row r="378" spans="1:26" x14ac:dyDescent="0.3">
      <c r="A378" t="s">
        <v>525</v>
      </c>
      <c r="B378" t="s">
        <v>1937</v>
      </c>
      <c r="C378" t="s">
        <v>1938</v>
      </c>
      <c r="D378" t="s">
        <v>550</v>
      </c>
      <c r="E378" t="s">
        <v>664</v>
      </c>
      <c r="F378" t="s">
        <v>27</v>
      </c>
      <c r="G378" s="1">
        <v>44197</v>
      </c>
      <c r="H378" s="1">
        <v>44197</v>
      </c>
      <c r="I378" t="s">
        <v>780</v>
      </c>
      <c r="J378" t="s">
        <v>666</v>
      </c>
      <c r="K378" t="s">
        <v>862</v>
      </c>
      <c r="L378" t="s">
        <v>863</v>
      </c>
      <c r="M378" t="s">
        <v>1904</v>
      </c>
      <c r="N378" t="s">
        <v>1905</v>
      </c>
      <c r="O378" t="s">
        <v>1459</v>
      </c>
      <c r="P378" t="s">
        <v>1460</v>
      </c>
      <c r="Q378" t="s">
        <v>975</v>
      </c>
      <c r="R378" t="s">
        <v>976</v>
      </c>
      <c r="S378" t="s">
        <v>550</v>
      </c>
      <c r="T378" t="s">
        <v>550</v>
      </c>
      <c r="U378" t="s">
        <v>550</v>
      </c>
      <c r="V378" t="s">
        <v>1939</v>
      </c>
      <c r="W378" t="s">
        <v>869</v>
      </c>
      <c r="X378" t="s">
        <v>870</v>
      </c>
      <c r="Y378" t="s">
        <v>847</v>
      </c>
      <c r="Z378" t="s">
        <v>1937</v>
      </c>
    </row>
    <row r="379" spans="1:26" x14ac:dyDescent="0.3">
      <c r="A379" t="s">
        <v>525</v>
      </c>
      <c r="B379" t="s">
        <v>1940</v>
      </c>
      <c r="C379" t="s">
        <v>1941</v>
      </c>
      <c r="D379" t="s">
        <v>1937</v>
      </c>
      <c r="E379" t="s">
        <v>664</v>
      </c>
      <c r="F379" t="s">
        <v>27</v>
      </c>
      <c r="G379" s="1">
        <v>44197</v>
      </c>
      <c r="H379" s="1">
        <v>44622</v>
      </c>
      <c r="I379" t="s">
        <v>665</v>
      </c>
      <c r="J379" t="s">
        <v>666</v>
      </c>
      <c r="K379" t="s">
        <v>862</v>
      </c>
      <c r="L379" t="s">
        <v>863</v>
      </c>
      <c r="M379" t="s">
        <v>1904</v>
      </c>
      <c r="N379" t="s">
        <v>1905</v>
      </c>
      <c r="O379" t="s">
        <v>1459</v>
      </c>
      <c r="P379" t="s">
        <v>1460</v>
      </c>
      <c r="Q379" t="s">
        <v>975</v>
      </c>
      <c r="R379" t="s">
        <v>976</v>
      </c>
      <c r="S379" t="s">
        <v>550</v>
      </c>
      <c r="T379" t="s">
        <v>550</v>
      </c>
      <c r="U379" t="s">
        <v>550</v>
      </c>
      <c r="V379" t="s">
        <v>1942</v>
      </c>
      <c r="W379" t="s">
        <v>869</v>
      </c>
      <c r="X379" t="s">
        <v>870</v>
      </c>
      <c r="Y379" t="s">
        <v>847</v>
      </c>
      <c r="Z379" t="s">
        <v>1940</v>
      </c>
    </row>
    <row r="380" spans="1:26" x14ac:dyDescent="0.3">
      <c r="A380" t="s">
        <v>525</v>
      </c>
      <c r="B380" t="s">
        <v>1943</v>
      </c>
      <c r="C380" t="s">
        <v>1944</v>
      </c>
      <c r="D380" t="s">
        <v>1945</v>
      </c>
      <c r="E380" t="s">
        <v>859</v>
      </c>
      <c r="F380" t="s">
        <v>860</v>
      </c>
      <c r="G380" s="1">
        <v>44562</v>
      </c>
      <c r="H380" s="1">
        <v>44571</v>
      </c>
      <c r="I380" t="s">
        <v>665</v>
      </c>
      <c r="J380" t="s">
        <v>861</v>
      </c>
      <c r="K380" t="s">
        <v>862</v>
      </c>
      <c r="L380" t="s">
        <v>863</v>
      </c>
      <c r="M380" t="s">
        <v>1946</v>
      </c>
      <c r="N380" t="s">
        <v>1947</v>
      </c>
      <c r="O380" t="s">
        <v>1459</v>
      </c>
      <c r="P380" t="s">
        <v>1460</v>
      </c>
      <c r="Q380" t="s">
        <v>975</v>
      </c>
      <c r="R380" t="s">
        <v>976</v>
      </c>
      <c r="S380" t="s">
        <v>783</v>
      </c>
      <c r="T380" t="s">
        <v>550</v>
      </c>
      <c r="U380" t="s">
        <v>162</v>
      </c>
      <c r="V380" t="s">
        <v>1948</v>
      </c>
      <c r="W380" t="s">
        <v>869</v>
      </c>
      <c r="X380" t="s">
        <v>870</v>
      </c>
      <c r="Y380" t="s">
        <v>847</v>
      </c>
      <c r="Z380" t="s">
        <v>1943</v>
      </c>
    </row>
    <row r="381" spans="1:26" x14ac:dyDescent="0.3">
      <c r="A381" t="s">
        <v>525</v>
      </c>
      <c r="B381" t="s">
        <v>1949</v>
      </c>
      <c r="C381" t="s">
        <v>1950</v>
      </c>
      <c r="D381" t="s">
        <v>1945</v>
      </c>
      <c r="E381" t="s">
        <v>1896</v>
      </c>
      <c r="F381" t="s">
        <v>1897</v>
      </c>
      <c r="G381" s="1">
        <v>44562</v>
      </c>
      <c r="H381" s="1">
        <v>44583</v>
      </c>
      <c r="I381" t="s">
        <v>665</v>
      </c>
      <c r="J381" t="s">
        <v>1898</v>
      </c>
      <c r="K381" t="s">
        <v>862</v>
      </c>
      <c r="L381" t="s">
        <v>863</v>
      </c>
      <c r="M381" t="s">
        <v>1946</v>
      </c>
      <c r="N381" t="s">
        <v>1947</v>
      </c>
      <c r="O381" t="s">
        <v>1459</v>
      </c>
      <c r="P381" t="s">
        <v>1460</v>
      </c>
      <c r="Q381" t="s">
        <v>975</v>
      </c>
      <c r="R381" t="s">
        <v>976</v>
      </c>
      <c r="S381" t="s">
        <v>1471</v>
      </c>
      <c r="T381" t="s">
        <v>550</v>
      </c>
      <c r="U381" t="s">
        <v>162</v>
      </c>
      <c r="V381" t="s">
        <v>1951</v>
      </c>
      <c r="W381" t="s">
        <v>869</v>
      </c>
      <c r="X381" t="s">
        <v>870</v>
      </c>
      <c r="Y381" t="s">
        <v>847</v>
      </c>
      <c r="Z381" t="s">
        <v>1949</v>
      </c>
    </row>
    <row r="382" spans="1:26" x14ac:dyDescent="0.3">
      <c r="A382" t="s">
        <v>525</v>
      </c>
      <c r="B382" t="s">
        <v>1952</v>
      </c>
      <c r="C382" t="s">
        <v>1953</v>
      </c>
      <c r="D382" t="s">
        <v>1954</v>
      </c>
      <c r="E382" t="s">
        <v>859</v>
      </c>
      <c r="F382" t="s">
        <v>860</v>
      </c>
      <c r="G382" s="1">
        <v>44562</v>
      </c>
      <c r="H382" s="1">
        <v>44587</v>
      </c>
      <c r="I382" t="s">
        <v>665</v>
      </c>
      <c r="J382" t="s">
        <v>861</v>
      </c>
      <c r="K382" t="s">
        <v>862</v>
      </c>
      <c r="L382" t="s">
        <v>863</v>
      </c>
      <c r="M382" t="s">
        <v>1946</v>
      </c>
      <c r="N382" t="s">
        <v>1947</v>
      </c>
      <c r="O382" t="s">
        <v>1459</v>
      </c>
      <c r="P382" t="s">
        <v>1460</v>
      </c>
      <c r="Q382" t="s">
        <v>975</v>
      </c>
      <c r="R382" t="s">
        <v>976</v>
      </c>
      <c r="S382" t="s">
        <v>783</v>
      </c>
      <c r="T382" t="s">
        <v>550</v>
      </c>
      <c r="U382" t="s">
        <v>550</v>
      </c>
      <c r="V382" t="s">
        <v>1955</v>
      </c>
      <c r="W382" t="s">
        <v>869</v>
      </c>
      <c r="X382" t="s">
        <v>870</v>
      </c>
      <c r="Y382" t="s">
        <v>847</v>
      </c>
      <c r="Z382" t="s">
        <v>1952</v>
      </c>
    </row>
    <row r="383" spans="1:26" x14ac:dyDescent="0.3">
      <c r="A383" t="s">
        <v>525</v>
      </c>
      <c r="B383" t="s">
        <v>1956</v>
      </c>
      <c r="C383" t="s">
        <v>1957</v>
      </c>
      <c r="D383" t="s">
        <v>1531</v>
      </c>
      <c r="E383" t="s">
        <v>664</v>
      </c>
      <c r="F383" t="s">
        <v>27</v>
      </c>
      <c r="G383" s="1">
        <v>44927</v>
      </c>
      <c r="H383" s="1">
        <v>45364</v>
      </c>
      <c r="I383" t="s">
        <v>665</v>
      </c>
      <c r="J383" t="s">
        <v>666</v>
      </c>
      <c r="K383" t="s">
        <v>862</v>
      </c>
      <c r="L383" t="s">
        <v>216</v>
      </c>
      <c r="M383" t="s">
        <v>1946</v>
      </c>
      <c r="N383" t="s">
        <v>1947</v>
      </c>
      <c r="O383" t="s">
        <v>1459</v>
      </c>
      <c r="P383" t="s">
        <v>1460</v>
      </c>
      <c r="Q383" t="s">
        <v>975</v>
      </c>
      <c r="R383" t="s">
        <v>976</v>
      </c>
      <c r="S383" t="s">
        <v>783</v>
      </c>
      <c r="T383" t="s">
        <v>550</v>
      </c>
      <c r="U383" t="s">
        <v>550</v>
      </c>
      <c r="V383" t="s">
        <v>1958</v>
      </c>
      <c r="W383" t="s">
        <v>869</v>
      </c>
      <c r="X383" t="s">
        <v>870</v>
      </c>
      <c r="Y383" t="s">
        <v>847</v>
      </c>
      <c r="Z383" t="s">
        <v>1956</v>
      </c>
    </row>
    <row r="384" spans="1:26" x14ac:dyDescent="0.3">
      <c r="A384" t="s">
        <v>525</v>
      </c>
      <c r="B384" t="s">
        <v>1959</v>
      </c>
      <c r="C384" t="s">
        <v>1960</v>
      </c>
      <c r="D384" t="s">
        <v>550</v>
      </c>
      <c r="E384" t="s">
        <v>859</v>
      </c>
      <c r="F384" t="s">
        <v>860</v>
      </c>
      <c r="G384" s="1">
        <v>44287</v>
      </c>
      <c r="H384" s="1">
        <v>44287</v>
      </c>
      <c r="I384" t="s">
        <v>665</v>
      </c>
      <c r="J384" t="s">
        <v>861</v>
      </c>
      <c r="K384" t="s">
        <v>862</v>
      </c>
      <c r="L384" t="s">
        <v>216</v>
      </c>
      <c r="M384" t="s">
        <v>1946</v>
      </c>
      <c r="N384" t="s">
        <v>1947</v>
      </c>
      <c r="O384" t="s">
        <v>1459</v>
      </c>
      <c r="P384" t="s">
        <v>1460</v>
      </c>
      <c r="Q384" t="s">
        <v>975</v>
      </c>
      <c r="R384" t="s">
        <v>976</v>
      </c>
      <c r="S384" t="s">
        <v>550</v>
      </c>
      <c r="T384" t="s">
        <v>550</v>
      </c>
      <c r="U384" t="s">
        <v>550</v>
      </c>
      <c r="V384" t="s">
        <v>1961</v>
      </c>
      <c r="W384" t="s">
        <v>869</v>
      </c>
      <c r="X384" t="s">
        <v>870</v>
      </c>
      <c r="Y384" t="s">
        <v>847</v>
      </c>
      <c r="Z384" t="s">
        <v>1959</v>
      </c>
    </row>
    <row r="385" spans="1:26" x14ac:dyDescent="0.3">
      <c r="A385" t="s">
        <v>525</v>
      </c>
      <c r="B385" t="s">
        <v>1962</v>
      </c>
      <c r="C385" t="s">
        <v>1963</v>
      </c>
      <c r="D385" t="s">
        <v>1959</v>
      </c>
      <c r="E385" t="s">
        <v>859</v>
      </c>
      <c r="F385" t="s">
        <v>860</v>
      </c>
      <c r="G385" s="1">
        <v>44287</v>
      </c>
      <c r="H385" s="1">
        <v>44298</v>
      </c>
      <c r="I385" t="s">
        <v>665</v>
      </c>
      <c r="J385" t="s">
        <v>861</v>
      </c>
      <c r="K385" t="s">
        <v>862</v>
      </c>
      <c r="L385" t="s">
        <v>216</v>
      </c>
      <c r="M385" t="s">
        <v>1946</v>
      </c>
      <c r="N385" t="s">
        <v>1947</v>
      </c>
      <c r="O385" t="s">
        <v>1459</v>
      </c>
      <c r="P385" t="s">
        <v>1460</v>
      </c>
      <c r="Q385" t="s">
        <v>975</v>
      </c>
      <c r="R385" t="s">
        <v>976</v>
      </c>
      <c r="S385" t="s">
        <v>550</v>
      </c>
      <c r="T385" t="s">
        <v>550</v>
      </c>
      <c r="U385" t="s">
        <v>550</v>
      </c>
      <c r="V385" t="s">
        <v>1964</v>
      </c>
      <c r="W385" t="s">
        <v>869</v>
      </c>
      <c r="X385" t="s">
        <v>870</v>
      </c>
      <c r="Y385" t="s">
        <v>847</v>
      </c>
      <c r="Z385" t="s">
        <v>1962</v>
      </c>
    </row>
    <row r="386" spans="1:26" x14ac:dyDescent="0.3">
      <c r="A386" t="s">
        <v>525</v>
      </c>
      <c r="B386" t="s">
        <v>1895</v>
      </c>
      <c r="C386" t="s">
        <v>1965</v>
      </c>
      <c r="D386" t="s">
        <v>550</v>
      </c>
      <c r="E386" t="s">
        <v>859</v>
      </c>
      <c r="F386" t="s">
        <v>860</v>
      </c>
      <c r="G386" s="1">
        <v>44287</v>
      </c>
      <c r="H386" s="1">
        <v>44287</v>
      </c>
      <c r="I386" t="s">
        <v>665</v>
      </c>
      <c r="J386" t="s">
        <v>861</v>
      </c>
      <c r="K386" t="s">
        <v>862</v>
      </c>
      <c r="L386" t="s">
        <v>216</v>
      </c>
      <c r="M386" t="s">
        <v>1946</v>
      </c>
      <c r="N386" t="s">
        <v>1947</v>
      </c>
      <c r="O386" t="s">
        <v>1459</v>
      </c>
      <c r="P386" t="s">
        <v>1460</v>
      </c>
      <c r="Q386" t="s">
        <v>975</v>
      </c>
      <c r="R386" t="s">
        <v>976</v>
      </c>
      <c r="S386" t="s">
        <v>550</v>
      </c>
      <c r="T386" t="s">
        <v>550</v>
      </c>
      <c r="U386" t="s">
        <v>550</v>
      </c>
      <c r="V386" t="s">
        <v>1966</v>
      </c>
      <c r="W386" t="s">
        <v>869</v>
      </c>
      <c r="X386" t="s">
        <v>870</v>
      </c>
      <c r="Y386" t="s">
        <v>847</v>
      </c>
      <c r="Z386" t="s">
        <v>1895</v>
      </c>
    </row>
    <row r="387" spans="1:26" x14ac:dyDescent="0.3">
      <c r="A387" t="s">
        <v>525</v>
      </c>
      <c r="B387" t="s">
        <v>1967</v>
      </c>
      <c r="C387" t="s">
        <v>1968</v>
      </c>
      <c r="D387" t="s">
        <v>1895</v>
      </c>
      <c r="E387" t="s">
        <v>1896</v>
      </c>
      <c r="F387" t="s">
        <v>1897</v>
      </c>
      <c r="G387" s="1">
        <v>44562</v>
      </c>
      <c r="H387" s="1">
        <v>44585</v>
      </c>
      <c r="I387" t="s">
        <v>665</v>
      </c>
      <c r="J387" t="s">
        <v>1898</v>
      </c>
      <c r="K387" t="s">
        <v>862</v>
      </c>
      <c r="L387" t="s">
        <v>216</v>
      </c>
      <c r="M387" t="s">
        <v>1946</v>
      </c>
      <c r="N387" t="s">
        <v>1947</v>
      </c>
      <c r="O387" t="s">
        <v>1459</v>
      </c>
      <c r="P387" t="s">
        <v>1460</v>
      </c>
      <c r="Q387" t="s">
        <v>975</v>
      </c>
      <c r="R387" t="s">
        <v>976</v>
      </c>
      <c r="S387" t="s">
        <v>783</v>
      </c>
      <c r="T387" t="s">
        <v>550</v>
      </c>
      <c r="U387" t="s">
        <v>550</v>
      </c>
      <c r="V387" t="s">
        <v>1966</v>
      </c>
      <c r="W387" t="s">
        <v>869</v>
      </c>
      <c r="X387" t="s">
        <v>870</v>
      </c>
      <c r="Y387" t="s">
        <v>847</v>
      </c>
      <c r="Z387" t="s">
        <v>1895</v>
      </c>
    </row>
    <row r="388" spans="1:26" x14ac:dyDescent="0.3">
      <c r="A388" t="s">
        <v>525</v>
      </c>
      <c r="B388" t="s">
        <v>1969</v>
      </c>
      <c r="C388" t="s">
        <v>1970</v>
      </c>
      <c r="D388" t="s">
        <v>1895</v>
      </c>
      <c r="E388" t="s">
        <v>859</v>
      </c>
      <c r="F388" t="s">
        <v>860</v>
      </c>
      <c r="G388" s="1">
        <v>44287</v>
      </c>
      <c r="H388" s="1">
        <v>44303</v>
      </c>
      <c r="I388" t="s">
        <v>665</v>
      </c>
      <c r="J388" t="s">
        <v>861</v>
      </c>
      <c r="K388" t="s">
        <v>862</v>
      </c>
      <c r="L388" t="s">
        <v>216</v>
      </c>
      <c r="M388" t="s">
        <v>1946</v>
      </c>
      <c r="N388" t="s">
        <v>1947</v>
      </c>
      <c r="O388" t="s">
        <v>1459</v>
      </c>
      <c r="P388" t="s">
        <v>1460</v>
      </c>
      <c r="Q388" t="s">
        <v>975</v>
      </c>
      <c r="R388" t="s">
        <v>976</v>
      </c>
      <c r="S388" t="s">
        <v>550</v>
      </c>
      <c r="T388" t="s">
        <v>550</v>
      </c>
      <c r="U388" t="s">
        <v>550</v>
      </c>
      <c r="V388" t="s">
        <v>1971</v>
      </c>
      <c r="W388" t="s">
        <v>869</v>
      </c>
      <c r="X388" t="s">
        <v>870</v>
      </c>
      <c r="Y388" t="s">
        <v>847</v>
      </c>
      <c r="Z388" t="s">
        <v>1969</v>
      </c>
    </row>
    <row r="389" spans="1:26" x14ac:dyDescent="0.3">
      <c r="A389" t="s">
        <v>525</v>
      </c>
      <c r="B389" t="s">
        <v>1972</v>
      </c>
      <c r="C389" t="s">
        <v>1973</v>
      </c>
      <c r="D389" t="s">
        <v>550</v>
      </c>
      <c r="E389" t="s">
        <v>859</v>
      </c>
      <c r="F389" t="s">
        <v>860</v>
      </c>
      <c r="G389" s="1">
        <v>44287</v>
      </c>
      <c r="H389" s="1">
        <v>44287</v>
      </c>
      <c r="I389" t="s">
        <v>665</v>
      </c>
      <c r="J389" t="s">
        <v>861</v>
      </c>
      <c r="K389" t="s">
        <v>862</v>
      </c>
      <c r="L389" t="s">
        <v>216</v>
      </c>
      <c r="M389" t="s">
        <v>1946</v>
      </c>
      <c r="N389" t="s">
        <v>1947</v>
      </c>
      <c r="O389" t="s">
        <v>1459</v>
      </c>
      <c r="P389" t="s">
        <v>1460</v>
      </c>
      <c r="Q389" t="s">
        <v>975</v>
      </c>
      <c r="R389" t="s">
        <v>976</v>
      </c>
      <c r="S389" t="s">
        <v>550</v>
      </c>
      <c r="T389" t="s">
        <v>550</v>
      </c>
      <c r="U389" t="s">
        <v>550</v>
      </c>
      <c r="V389" t="s">
        <v>1974</v>
      </c>
      <c r="W389" t="s">
        <v>869</v>
      </c>
      <c r="X389" t="s">
        <v>870</v>
      </c>
      <c r="Y389" t="s">
        <v>847</v>
      </c>
      <c r="Z389" t="s">
        <v>1972</v>
      </c>
    </row>
    <row r="390" spans="1:26" x14ac:dyDescent="0.3">
      <c r="A390" t="s">
        <v>525</v>
      </c>
      <c r="B390" t="s">
        <v>1975</v>
      </c>
      <c r="C390" t="s">
        <v>1976</v>
      </c>
      <c r="D390" t="s">
        <v>1972</v>
      </c>
      <c r="E390" t="s">
        <v>859</v>
      </c>
      <c r="F390" t="s">
        <v>860</v>
      </c>
      <c r="G390" s="1">
        <v>44287</v>
      </c>
      <c r="H390" s="1">
        <v>44308</v>
      </c>
      <c r="I390" t="s">
        <v>665</v>
      </c>
      <c r="J390" t="s">
        <v>861</v>
      </c>
      <c r="K390" t="s">
        <v>862</v>
      </c>
      <c r="L390" t="s">
        <v>216</v>
      </c>
      <c r="M390" t="s">
        <v>1946</v>
      </c>
      <c r="N390" t="s">
        <v>1947</v>
      </c>
      <c r="O390" t="s">
        <v>1459</v>
      </c>
      <c r="P390" t="s">
        <v>1460</v>
      </c>
      <c r="Q390" t="s">
        <v>975</v>
      </c>
      <c r="R390" t="s">
        <v>976</v>
      </c>
      <c r="S390" t="s">
        <v>550</v>
      </c>
      <c r="T390" t="s">
        <v>550</v>
      </c>
      <c r="U390" t="s">
        <v>550</v>
      </c>
      <c r="V390" t="s">
        <v>1977</v>
      </c>
      <c r="W390" t="s">
        <v>869</v>
      </c>
      <c r="X390" t="s">
        <v>870</v>
      </c>
      <c r="Y390" t="s">
        <v>847</v>
      </c>
      <c r="Z390" t="s">
        <v>1975</v>
      </c>
    </row>
    <row r="391" spans="1:26" x14ac:dyDescent="0.3">
      <c r="A391" t="s">
        <v>525</v>
      </c>
      <c r="B391" t="s">
        <v>1978</v>
      </c>
      <c r="C391" t="s">
        <v>1979</v>
      </c>
      <c r="D391" t="s">
        <v>550</v>
      </c>
      <c r="E391" t="s">
        <v>664</v>
      </c>
      <c r="F391" t="s">
        <v>27</v>
      </c>
      <c r="G391" s="1">
        <v>44197</v>
      </c>
      <c r="H391" s="1">
        <v>44197</v>
      </c>
      <c r="I391" t="s">
        <v>665</v>
      </c>
      <c r="J391" t="s">
        <v>666</v>
      </c>
      <c r="K391" t="s">
        <v>958</v>
      </c>
      <c r="L391" t="s">
        <v>863</v>
      </c>
      <c r="M391" t="s">
        <v>1980</v>
      </c>
      <c r="N391" t="s">
        <v>1981</v>
      </c>
      <c r="O391" t="s">
        <v>1459</v>
      </c>
      <c r="P391" t="s">
        <v>1460</v>
      </c>
      <c r="Q391" t="s">
        <v>975</v>
      </c>
      <c r="R391" t="s">
        <v>976</v>
      </c>
      <c r="S391" t="s">
        <v>550</v>
      </c>
      <c r="T391" t="s">
        <v>550</v>
      </c>
      <c r="U391" t="s">
        <v>550</v>
      </c>
      <c r="V391" t="s">
        <v>1982</v>
      </c>
      <c r="W391" t="s">
        <v>1014</v>
      </c>
      <c r="X391" t="s">
        <v>870</v>
      </c>
      <c r="Y391" t="s">
        <v>799</v>
      </c>
      <c r="Z391" t="s">
        <v>1978</v>
      </c>
    </row>
    <row r="392" spans="1:26" x14ac:dyDescent="0.3">
      <c r="A392" t="s">
        <v>525</v>
      </c>
      <c r="B392" t="s">
        <v>1983</v>
      </c>
      <c r="C392" t="s">
        <v>1984</v>
      </c>
      <c r="D392" t="s">
        <v>550</v>
      </c>
      <c r="E392" t="s">
        <v>1374</v>
      </c>
      <c r="F392" t="s">
        <v>1375</v>
      </c>
      <c r="G392" s="1">
        <v>43831</v>
      </c>
      <c r="H392" s="1">
        <v>43880</v>
      </c>
      <c r="I392" t="s">
        <v>665</v>
      </c>
      <c r="J392" t="s">
        <v>1376</v>
      </c>
      <c r="K392" t="s">
        <v>862</v>
      </c>
      <c r="L392" t="s">
        <v>863</v>
      </c>
      <c r="M392" t="s">
        <v>1377</v>
      </c>
      <c r="N392" t="s">
        <v>1378</v>
      </c>
      <c r="O392" t="s">
        <v>1459</v>
      </c>
      <c r="P392" t="s">
        <v>1460</v>
      </c>
      <c r="Q392" t="s">
        <v>975</v>
      </c>
      <c r="R392" t="s">
        <v>976</v>
      </c>
      <c r="S392" t="s">
        <v>550</v>
      </c>
      <c r="T392" t="s">
        <v>550</v>
      </c>
      <c r="U392" t="s">
        <v>550</v>
      </c>
      <c r="V392" t="s">
        <v>1985</v>
      </c>
      <c r="W392" t="s">
        <v>869</v>
      </c>
      <c r="X392" t="s">
        <v>870</v>
      </c>
      <c r="Y392" t="s">
        <v>847</v>
      </c>
      <c r="Z392" t="s">
        <v>1983</v>
      </c>
    </row>
    <row r="393" spans="1:26" x14ac:dyDescent="0.3">
      <c r="A393" t="s">
        <v>525</v>
      </c>
      <c r="B393" t="s">
        <v>1986</v>
      </c>
      <c r="C393" t="s">
        <v>1987</v>
      </c>
      <c r="D393" t="s">
        <v>550</v>
      </c>
      <c r="E393" t="s">
        <v>1374</v>
      </c>
      <c r="F393" t="s">
        <v>1375</v>
      </c>
      <c r="G393" s="1">
        <v>44287</v>
      </c>
      <c r="H393" s="1">
        <v>44287</v>
      </c>
      <c r="I393" t="s">
        <v>665</v>
      </c>
      <c r="J393" t="s">
        <v>1376</v>
      </c>
      <c r="K393" t="s">
        <v>862</v>
      </c>
      <c r="L393" t="s">
        <v>216</v>
      </c>
      <c r="M393" t="s">
        <v>1988</v>
      </c>
      <c r="N393" t="s">
        <v>1989</v>
      </c>
      <c r="O393" t="s">
        <v>1459</v>
      </c>
      <c r="P393" t="s">
        <v>1460</v>
      </c>
      <c r="Q393" t="s">
        <v>975</v>
      </c>
      <c r="R393" t="s">
        <v>976</v>
      </c>
      <c r="S393" t="s">
        <v>550</v>
      </c>
      <c r="T393" t="s">
        <v>550</v>
      </c>
      <c r="U393" t="s">
        <v>550</v>
      </c>
      <c r="V393" t="s">
        <v>1990</v>
      </c>
      <c r="W393" t="s">
        <v>869</v>
      </c>
      <c r="X393" t="s">
        <v>870</v>
      </c>
      <c r="Y393" t="s">
        <v>847</v>
      </c>
      <c r="Z393" t="s">
        <v>1986</v>
      </c>
    </row>
    <row r="394" spans="1:26" x14ac:dyDescent="0.3">
      <c r="A394" t="s">
        <v>525</v>
      </c>
      <c r="B394" t="s">
        <v>1991</v>
      </c>
      <c r="C394" t="s">
        <v>1992</v>
      </c>
      <c r="D394" t="s">
        <v>1986</v>
      </c>
      <c r="E394" t="s">
        <v>1374</v>
      </c>
      <c r="F394" t="s">
        <v>1375</v>
      </c>
      <c r="G394" s="1">
        <v>44287</v>
      </c>
      <c r="H394" s="1">
        <v>44301</v>
      </c>
      <c r="I394" t="s">
        <v>665</v>
      </c>
      <c r="J394" t="s">
        <v>1376</v>
      </c>
      <c r="K394" t="s">
        <v>862</v>
      </c>
      <c r="L394" t="s">
        <v>216</v>
      </c>
      <c r="M394" t="s">
        <v>1988</v>
      </c>
      <c r="N394" t="s">
        <v>1989</v>
      </c>
      <c r="O394" t="s">
        <v>1459</v>
      </c>
      <c r="P394" t="s">
        <v>1460</v>
      </c>
      <c r="Q394" t="s">
        <v>975</v>
      </c>
      <c r="R394" t="s">
        <v>976</v>
      </c>
      <c r="S394" t="s">
        <v>550</v>
      </c>
      <c r="T394" t="s">
        <v>550</v>
      </c>
      <c r="U394" t="s">
        <v>550</v>
      </c>
      <c r="V394" t="s">
        <v>1993</v>
      </c>
      <c r="W394" t="s">
        <v>869</v>
      </c>
      <c r="X394" t="s">
        <v>870</v>
      </c>
      <c r="Y394" t="s">
        <v>847</v>
      </c>
      <c r="Z394" t="s">
        <v>1991</v>
      </c>
    </row>
    <row r="395" spans="1:26" x14ac:dyDescent="0.3">
      <c r="A395" t="s">
        <v>525</v>
      </c>
      <c r="B395" t="s">
        <v>1994</v>
      </c>
      <c r="C395" t="s">
        <v>1995</v>
      </c>
      <c r="D395" t="s">
        <v>550</v>
      </c>
      <c r="E395" t="s">
        <v>1996</v>
      </c>
      <c r="F395" t="s">
        <v>1997</v>
      </c>
      <c r="G395" s="1">
        <v>44317</v>
      </c>
      <c r="H395" s="1">
        <v>44317</v>
      </c>
      <c r="I395" t="s">
        <v>665</v>
      </c>
      <c r="J395" t="s">
        <v>1998</v>
      </c>
      <c r="K395" t="s">
        <v>862</v>
      </c>
      <c r="L395" t="s">
        <v>863</v>
      </c>
      <c r="M395" t="s">
        <v>1988</v>
      </c>
      <c r="N395" t="s">
        <v>1989</v>
      </c>
      <c r="O395" t="s">
        <v>1459</v>
      </c>
      <c r="P395" t="s">
        <v>1460</v>
      </c>
      <c r="Q395" t="s">
        <v>975</v>
      </c>
      <c r="R395" t="s">
        <v>976</v>
      </c>
      <c r="S395" t="s">
        <v>550</v>
      </c>
      <c r="T395" t="s">
        <v>550</v>
      </c>
      <c r="U395" t="s">
        <v>550</v>
      </c>
      <c r="V395" t="s">
        <v>1999</v>
      </c>
      <c r="W395" t="s">
        <v>869</v>
      </c>
      <c r="X395" t="s">
        <v>870</v>
      </c>
      <c r="Y395" t="s">
        <v>847</v>
      </c>
      <c r="Z395" t="s">
        <v>1994</v>
      </c>
    </row>
    <row r="396" spans="1:26" x14ac:dyDescent="0.3">
      <c r="A396" t="s">
        <v>525</v>
      </c>
      <c r="B396" t="s">
        <v>2000</v>
      </c>
      <c r="C396" t="s">
        <v>2001</v>
      </c>
      <c r="D396" t="s">
        <v>1994</v>
      </c>
      <c r="E396" t="s">
        <v>1996</v>
      </c>
      <c r="F396" t="s">
        <v>1997</v>
      </c>
      <c r="G396" s="1">
        <v>44317</v>
      </c>
      <c r="H396" s="1">
        <v>44352</v>
      </c>
      <c r="I396" t="s">
        <v>665</v>
      </c>
      <c r="J396" t="s">
        <v>1998</v>
      </c>
      <c r="K396" t="s">
        <v>862</v>
      </c>
      <c r="L396" t="s">
        <v>863</v>
      </c>
      <c r="M396" t="s">
        <v>1988</v>
      </c>
      <c r="N396" t="s">
        <v>1989</v>
      </c>
      <c r="O396" t="s">
        <v>1459</v>
      </c>
      <c r="P396" t="s">
        <v>1460</v>
      </c>
      <c r="Q396" t="s">
        <v>975</v>
      </c>
      <c r="R396" t="s">
        <v>976</v>
      </c>
      <c r="S396" t="s">
        <v>550</v>
      </c>
      <c r="T396" t="s">
        <v>550</v>
      </c>
      <c r="U396" t="s">
        <v>550</v>
      </c>
      <c r="V396" t="s">
        <v>1999</v>
      </c>
      <c r="W396" t="s">
        <v>869</v>
      </c>
      <c r="X396" t="s">
        <v>870</v>
      </c>
      <c r="Y396" t="s">
        <v>847</v>
      </c>
      <c r="Z396" t="s">
        <v>1994</v>
      </c>
    </row>
    <row r="397" spans="1:26" x14ac:dyDescent="0.3">
      <c r="A397" t="s">
        <v>525</v>
      </c>
      <c r="B397" t="s">
        <v>2002</v>
      </c>
      <c r="C397" t="s">
        <v>2003</v>
      </c>
      <c r="D397" t="s">
        <v>1994</v>
      </c>
      <c r="E397" t="s">
        <v>1996</v>
      </c>
      <c r="F397" t="s">
        <v>1997</v>
      </c>
      <c r="G397" s="1">
        <v>44562</v>
      </c>
      <c r="H397" s="1">
        <v>44562</v>
      </c>
      <c r="I397" t="s">
        <v>665</v>
      </c>
      <c r="J397" t="s">
        <v>1998</v>
      </c>
      <c r="K397" t="s">
        <v>862</v>
      </c>
      <c r="L397" t="s">
        <v>863</v>
      </c>
      <c r="M397" t="s">
        <v>1988</v>
      </c>
      <c r="N397" t="s">
        <v>1989</v>
      </c>
      <c r="O397" t="s">
        <v>1459</v>
      </c>
      <c r="P397" t="s">
        <v>1460</v>
      </c>
      <c r="Q397" t="s">
        <v>975</v>
      </c>
      <c r="R397" t="s">
        <v>976</v>
      </c>
      <c r="S397" t="s">
        <v>783</v>
      </c>
      <c r="T397" t="s">
        <v>550</v>
      </c>
      <c r="U397" t="s">
        <v>550</v>
      </c>
      <c r="V397" t="s">
        <v>2004</v>
      </c>
      <c r="W397" t="s">
        <v>869</v>
      </c>
      <c r="X397" t="s">
        <v>870</v>
      </c>
      <c r="Y397" t="s">
        <v>847</v>
      </c>
      <c r="Z397" t="s">
        <v>2002</v>
      </c>
    </row>
    <row r="398" spans="1:26" x14ac:dyDescent="0.3">
      <c r="A398" t="s">
        <v>525</v>
      </c>
      <c r="B398" t="s">
        <v>2005</v>
      </c>
      <c r="C398" t="s">
        <v>2006</v>
      </c>
      <c r="D398" t="s">
        <v>2007</v>
      </c>
      <c r="E398" t="s">
        <v>859</v>
      </c>
      <c r="F398" t="s">
        <v>860</v>
      </c>
      <c r="G398" s="1">
        <v>44197</v>
      </c>
      <c r="H398" s="1">
        <v>44197</v>
      </c>
      <c r="I398" t="s">
        <v>665</v>
      </c>
      <c r="J398" t="s">
        <v>861</v>
      </c>
      <c r="K398" t="s">
        <v>862</v>
      </c>
      <c r="L398" t="s">
        <v>863</v>
      </c>
      <c r="M398" t="s">
        <v>1459</v>
      </c>
      <c r="N398" t="s">
        <v>1460</v>
      </c>
      <c r="O398" t="s">
        <v>1459</v>
      </c>
      <c r="P398" t="s">
        <v>1460</v>
      </c>
      <c r="Q398" t="s">
        <v>975</v>
      </c>
      <c r="R398" t="s">
        <v>976</v>
      </c>
      <c r="S398" t="s">
        <v>550</v>
      </c>
      <c r="T398" t="s">
        <v>550</v>
      </c>
      <c r="U398" t="s">
        <v>550</v>
      </c>
      <c r="V398" t="s">
        <v>2008</v>
      </c>
      <c r="W398" t="s">
        <v>869</v>
      </c>
      <c r="X398" t="s">
        <v>870</v>
      </c>
      <c r="Y398" t="s">
        <v>847</v>
      </c>
      <c r="Z398" t="s">
        <v>2009</v>
      </c>
    </row>
    <row r="399" spans="1:26" x14ac:dyDescent="0.3">
      <c r="A399" t="s">
        <v>525</v>
      </c>
      <c r="B399" t="s">
        <v>2010</v>
      </c>
      <c r="C399" t="s">
        <v>2011</v>
      </c>
      <c r="D399" t="s">
        <v>550</v>
      </c>
      <c r="E399" t="s">
        <v>2012</v>
      </c>
      <c r="F399" t="s">
        <v>2013</v>
      </c>
      <c r="G399" s="1">
        <v>43831</v>
      </c>
      <c r="H399" s="1">
        <v>43831</v>
      </c>
      <c r="I399" t="s">
        <v>665</v>
      </c>
      <c r="J399" t="s">
        <v>2014</v>
      </c>
      <c r="K399" t="s">
        <v>862</v>
      </c>
      <c r="L399" t="s">
        <v>216</v>
      </c>
      <c r="M399" t="s">
        <v>1459</v>
      </c>
      <c r="N399" t="s">
        <v>1460</v>
      </c>
      <c r="O399" t="s">
        <v>1459</v>
      </c>
      <c r="P399" t="s">
        <v>1460</v>
      </c>
      <c r="Q399" t="s">
        <v>975</v>
      </c>
      <c r="R399" t="s">
        <v>976</v>
      </c>
      <c r="S399" t="s">
        <v>550</v>
      </c>
      <c r="T399" t="s">
        <v>550</v>
      </c>
      <c r="U399" t="s">
        <v>550</v>
      </c>
      <c r="V399" t="s">
        <v>2015</v>
      </c>
      <c r="W399" t="s">
        <v>869</v>
      </c>
      <c r="X399" t="s">
        <v>870</v>
      </c>
      <c r="Y399" t="s">
        <v>847</v>
      </c>
      <c r="Z399" t="s">
        <v>2010</v>
      </c>
    </row>
    <row r="400" spans="1:26" x14ac:dyDescent="0.3">
      <c r="A400" t="s">
        <v>525</v>
      </c>
      <c r="B400" t="s">
        <v>2016</v>
      </c>
      <c r="C400" t="s">
        <v>2017</v>
      </c>
      <c r="D400" t="s">
        <v>2010</v>
      </c>
      <c r="E400" t="s">
        <v>2012</v>
      </c>
      <c r="F400" t="s">
        <v>2013</v>
      </c>
      <c r="G400" s="1">
        <v>43831</v>
      </c>
      <c r="H400" s="1">
        <v>43840</v>
      </c>
      <c r="I400" t="s">
        <v>665</v>
      </c>
      <c r="J400" t="s">
        <v>2014</v>
      </c>
      <c r="K400" t="s">
        <v>862</v>
      </c>
      <c r="L400" t="s">
        <v>216</v>
      </c>
      <c r="M400" t="s">
        <v>1459</v>
      </c>
      <c r="N400" t="s">
        <v>1460</v>
      </c>
      <c r="O400" t="s">
        <v>1459</v>
      </c>
      <c r="P400" t="s">
        <v>1460</v>
      </c>
      <c r="Q400" t="s">
        <v>975</v>
      </c>
      <c r="R400" t="s">
        <v>976</v>
      </c>
      <c r="S400" t="s">
        <v>550</v>
      </c>
      <c r="T400" t="s">
        <v>550</v>
      </c>
      <c r="U400" t="s">
        <v>162</v>
      </c>
      <c r="V400" t="s">
        <v>2015</v>
      </c>
      <c r="W400" t="s">
        <v>869</v>
      </c>
      <c r="X400" t="s">
        <v>870</v>
      </c>
      <c r="Y400" t="s">
        <v>847</v>
      </c>
      <c r="Z400" t="s">
        <v>2010</v>
      </c>
    </row>
    <row r="401" spans="1:26" x14ac:dyDescent="0.3">
      <c r="A401" t="s">
        <v>525</v>
      </c>
      <c r="B401" t="s">
        <v>2018</v>
      </c>
      <c r="C401" t="s">
        <v>2019</v>
      </c>
      <c r="D401" t="s">
        <v>2010</v>
      </c>
      <c r="E401" t="s">
        <v>2012</v>
      </c>
      <c r="F401" t="s">
        <v>2013</v>
      </c>
      <c r="G401" s="1">
        <v>44197</v>
      </c>
      <c r="H401" s="1">
        <v>44253</v>
      </c>
      <c r="I401" t="s">
        <v>665</v>
      </c>
      <c r="J401" t="s">
        <v>2014</v>
      </c>
      <c r="K401" t="s">
        <v>862</v>
      </c>
      <c r="L401" t="s">
        <v>216</v>
      </c>
      <c r="M401" t="s">
        <v>1459</v>
      </c>
      <c r="N401" t="s">
        <v>1460</v>
      </c>
      <c r="O401" t="s">
        <v>1459</v>
      </c>
      <c r="P401" t="s">
        <v>1460</v>
      </c>
      <c r="Q401" t="s">
        <v>975</v>
      </c>
      <c r="R401" t="s">
        <v>976</v>
      </c>
      <c r="S401" t="s">
        <v>550</v>
      </c>
      <c r="T401" t="s">
        <v>550</v>
      </c>
      <c r="U401" t="s">
        <v>162</v>
      </c>
      <c r="V401" t="s">
        <v>2020</v>
      </c>
      <c r="W401" t="s">
        <v>869</v>
      </c>
      <c r="X401" t="s">
        <v>870</v>
      </c>
      <c r="Y401" t="s">
        <v>847</v>
      </c>
      <c r="Z401" t="s">
        <v>2018</v>
      </c>
    </row>
    <row r="402" spans="1:26" x14ac:dyDescent="0.3">
      <c r="A402" t="s">
        <v>525</v>
      </c>
      <c r="B402" t="s">
        <v>2021</v>
      </c>
      <c r="C402" t="s">
        <v>2022</v>
      </c>
      <c r="D402" t="s">
        <v>2010</v>
      </c>
      <c r="E402" t="s">
        <v>2012</v>
      </c>
      <c r="F402" t="s">
        <v>2013</v>
      </c>
      <c r="G402" s="1">
        <v>44562</v>
      </c>
      <c r="H402" s="1">
        <v>44571</v>
      </c>
      <c r="I402" t="s">
        <v>665</v>
      </c>
      <c r="J402" t="s">
        <v>2014</v>
      </c>
      <c r="K402" t="s">
        <v>862</v>
      </c>
      <c r="L402" t="s">
        <v>216</v>
      </c>
      <c r="M402" t="s">
        <v>1459</v>
      </c>
      <c r="N402" t="s">
        <v>1460</v>
      </c>
      <c r="O402" t="s">
        <v>1459</v>
      </c>
      <c r="P402" t="s">
        <v>1460</v>
      </c>
      <c r="Q402" t="s">
        <v>975</v>
      </c>
      <c r="R402" t="s">
        <v>976</v>
      </c>
      <c r="S402" t="s">
        <v>783</v>
      </c>
      <c r="T402" t="s">
        <v>550</v>
      </c>
      <c r="U402" t="s">
        <v>162</v>
      </c>
      <c r="V402" t="s">
        <v>2023</v>
      </c>
      <c r="W402" t="s">
        <v>869</v>
      </c>
      <c r="X402" t="s">
        <v>870</v>
      </c>
      <c r="Y402" t="s">
        <v>847</v>
      </c>
      <c r="Z402" t="s">
        <v>2021</v>
      </c>
    </row>
    <row r="403" spans="1:26" x14ac:dyDescent="0.3">
      <c r="A403" t="s">
        <v>525</v>
      </c>
      <c r="B403" t="s">
        <v>1945</v>
      </c>
      <c r="C403" t="s">
        <v>2024</v>
      </c>
      <c r="D403" t="s">
        <v>550</v>
      </c>
      <c r="E403" t="s">
        <v>859</v>
      </c>
      <c r="F403" t="s">
        <v>860</v>
      </c>
      <c r="G403" s="1">
        <v>44197</v>
      </c>
      <c r="H403" s="1">
        <v>44197</v>
      </c>
      <c r="I403" t="s">
        <v>780</v>
      </c>
      <c r="J403" t="s">
        <v>861</v>
      </c>
      <c r="K403" t="s">
        <v>862</v>
      </c>
      <c r="L403" t="s">
        <v>863</v>
      </c>
      <c r="M403" t="s">
        <v>1459</v>
      </c>
      <c r="N403" t="s">
        <v>1460</v>
      </c>
      <c r="O403" t="s">
        <v>1459</v>
      </c>
      <c r="P403" t="s">
        <v>1460</v>
      </c>
      <c r="Q403" t="s">
        <v>975</v>
      </c>
      <c r="R403" t="s">
        <v>976</v>
      </c>
      <c r="S403" t="s">
        <v>550</v>
      </c>
      <c r="T403" t="s">
        <v>550</v>
      </c>
      <c r="U403" t="s">
        <v>162</v>
      </c>
      <c r="V403" t="s">
        <v>2025</v>
      </c>
      <c r="W403" t="s">
        <v>869</v>
      </c>
      <c r="X403" t="s">
        <v>870</v>
      </c>
      <c r="Y403" t="s">
        <v>847</v>
      </c>
      <c r="Z403" t="s">
        <v>1945</v>
      </c>
    </row>
    <row r="404" spans="1:26" x14ac:dyDescent="0.3">
      <c r="A404" t="s">
        <v>525</v>
      </c>
      <c r="B404" t="s">
        <v>2026</v>
      </c>
      <c r="C404" t="s">
        <v>2027</v>
      </c>
      <c r="D404" t="s">
        <v>1945</v>
      </c>
      <c r="E404" t="s">
        <v>859</v>
      </c>
      <c r="F404" t="s">
        <v>860</v>
      </c>
      <c r="G404" s="1">
        <v>44197</v>
      </c>
      <c r="H404" s="1">
        <v>44204</v>
      </c>
      <c r="I404" t="s">
        <v>665</v>
      </c>
      <c r="J404" t="s">
        <v>861</v>
      </c>
      <c r="K404" t="s">
        <v>862</v>
      </c>
      <c r="L404" t="s">
        <v>863</v>
      </c>
      <c r="M404" t="s">
        <v>1459</v>
      </c>
      <c r="N404" t="s">
        <v>1460</v>
      </c>
      <c r="O404" t="s">
        <v>1459</v>
      </c>
      <c r="P404" t="s">
        <v>1460</v>
      </c>
      <c r="Q404" t="s">
        <v>975</v>
      </c>
      <c r="R404" t="s">
        <v>976</v>
      </c>
      <c r="S404" t="s">
        <v>550</v>
      </c>
      <c r="T404" t="s">
        <v>550</v>
      </c>
      <c r="U404" t="s">
        <v>162</v>
      </c>
      <c r="V404" t="s">
        <v>2028</v>
      </c>
      <c r="W404" t="s">
        <v>869</v>
      </c>
      <c r="X404" t="s">
        <v>870</v>
      </c>
      <c r="Y404" t="s">
        <v>847</v>
      </c>
      <c r="Z404" t="s">
        <v>2026</v>
      </c>
    </row>
    <row r="405" spans="1:26" x14ac:dyDescent="0.3">
      <c r="A405" t="s">
        <v>525</v>
      </c>
      <c r="B405" t="s">
        <v>2029</v>
      </c>
      <c r="C405" t="s">
        <v>2030</v>
      </c>
      <c r="D405" t="s">
        <v>550</v>
      </c>
      <c r="E405" t="s">
        <v>859</v>
      </c>
      <c r="F405" t="s">
        <v>860</v>
      </c>
      <c r="G405" s="1">
        <v>44197</v>
      </c>
      <c r="H405" s="1">
        <v>44197</v>
      </c>
      <c r="I405" t="s">
        <v>665</v>
      </c>
      <c r="J405" t="s">
        <v>861</v>
      </c>
      <c r="K405" t="s">
        <v>862</v>
      </c>
      <c r="L405" t="s">
        <v>863</v>
      </c>
      <c r="M405" t="s">
        <v>1459</v>
      </c>
      <c r="N405" t="s">
        <v>1460</v>
      </c>
      <c r="O405" t="s">
        <v>1459</v>
      </c>
      <c r="P405" t="s">
        <v>1460</v>
      </c>
      <c r="Q405" t="s">
        <v>975</v>
      </c>
      <c r="R405" t="s">
        <v>976</v>
      </c>
      <c r="S405" t="s">
        <v>550</v>
      </c>
      <c r="T405" t="s">
        <v>550</v>
      </c>
      <c r="U405" t="s">
        <v>550</v>
      </c>
      <c r="V405" t="s">
        <v>2031</v>
      </c>
      <c r="W405" t="s">
        <v>869</v>
      </c>
      <c r="X405" t="s">
        <v>870</v>
      </c>
      <c r="Y405" t="s">
        <v>847</v>
      </c>
      <c r="Z405" t="s">
        <v>2029</v>
      </c>
    </row>
    <row r="406" spans="1:26" x14ac:dyDescent="0.3">
      <c r="A406" t="s">
        <v>525</v>
      </c>
      <c r="B406" t="s">
        <v>2032</v>
      </c>
      <c r="C406" t="s">
        <v>2033</v>
      </c>
      <c r="D406" t="s">
        <v>2029</v>
      </c>
      <c r="E406" t="s">
        <v>859</v>
      </c>
      <c r="F406" t="s">
        <v>860</v>
      </c>
      <c r="G406" s="1">
        <v>44197</v>
      </c>
      <c r="H406" s="1">
        <v>44197</v>
      </c>
      <c r="I406" t="s">
        <v>665</v>
      </c>
      <c r="J406" t="s">
        <v>861</v>
      </c>
      <c r="K406" t="s">
        <v>862</v>
      </c>
      <c r="L406" t="s">
        <v>863</v>
      </c>
      <c r="M406" t="s">
        <v>1459</v>
      </c>
      <c r="N406" t="s">
        <v>1460</v>
      </c>
      <c r="O406" t="s">
        <v>1459</v>
      </c>
      <c r="P406" t="s">
        <v>1460</v>
      </c>
      <c r="Q406" t="s">
        <v>975</v>
      </c>
      <c r="R406" t="s">
        <v>976</v>
      </c>
      <c r="S406" t="s">
        <v>550</v>
      </c>
      <c r="T406" t="s">
        <v>550</v>
      </c>
      <c r="U406" t="s">
        <v>550</v>
      </c>
      <c r="V406" t="s">
        <v>2034</v>
      </c>
      <c r="W406" t="s">
        <v>869</v>
      </c>
      <c r="X406" t="s">
        <v>870</v>
      </c>
      <c r="Y406" t="s">
        <v>847</v>
      </c>
      <c r="Z406" t="s">
        <v>2032</v>
      </c>
    </row>
    <row r="407" spans="1:26" x14ac:dyDescent="0.3">
      <c r="A407" t="s">
        <v>525</v>
      </c>
      <c r="B407" t="s">
        <v>2007</v>
      </c>
      <c r="C407" t="s">
        <v>2035</v>
      </c>
      <c r="D407" t="s">
        <v>550</v>
      </c>
      <c r="E407" t="s">
        <v>859</v>
      </c>
      <c r="F407" t="s">
        <v>860</v>
      </c>
      <c r="G407" s="1">
        <v>44197</v>
      </c>
      <c r="H407" s="1">
        <v>44197</v>
      </c>
      <c r="I407" t="s">
        <v>665</v>
      </c>
      <c r="J407" t="s">
        <v>861</v>
      </c>
      <c r="K407" t="s">
        <v>862</v>
      </c>
      <c r="L407" t="s">
        <v>863</v>
      </c>
      <c r="M407" t="s">
        <v>1459</v>
      </c>
      <c r="N407" t="s">
        <v>1460</v>
      </c>
      <c r="O407" t="s">
        <v>1459</v>
      </c>
      <c r="P407" t="s">
        <v>1460</v>
      </c>
      <c r="Q407" t="s">
        <v>975</v>
      </c>
      <c r="R407" t="s">
        <v>976</v>
      </c>
      <c r="S407" t="s">
        <v>550</v>
      </c>
      <c r="T407" t="s">
        <v>550</v>
      </c>
      <c r="U407" t="s">
        <v>550</v>
      </c>
      <c r="V407" t="s">
        <v>2036</v>
      </c>
      <c r="W407" t="s">
        <v>869</v>
      </c>
      <c r="X407" t="s">
        <v>870</v>
      </c>
      <c r="Y407" t="s">
        <v>847</v>
      </c>
      <c r="Z407" t="s">
        <v>2007</v>
      </c>
    </row>
    <row r="408" spans="1:26" x14ac:dyDescent="0.3">
      <c r="A408" t="s">
        <v>525</v>
      </c>
      <c r="B408" t="s">
        <v>2037</v>
      </c>
      <c r="C408" t="s">
        <v>2038</v>
      </c>
      <c r="D408" t="s">
        <v>550</v>
      </c>
      <c r="E408" t="s">
        <v>859</v>
      </c>
      <c r="F408" t="s">
        <v>860</v>
      </c>
      <c r="G408" s="1">
        <v>44197</v>
      </c>
      <c r="H408" s="1">
        <v>44197</v>
      </c>
      <c r="I408" t="s">
        <v>665</v>
      </c>
      <c r="J408" t="s">
        <v>861</v>
      </c>
      <c r="K408" t="s">
        <v>862</v>
      </c>
      <c r="L408" t="s">
        <v>863</v>
      </c>
      <c r="M408" t="s">
        <v>1459</v>
      </c>
      <c r="N408" t="s">
        <v>1460</v>
      </c>
      <c r="O408" t="s">
        <v>1459</v>
      </c>
      <c r="P408" t="s">
        <v>1460</v>
      </c>
      <c r="Q408" t="s">
        <v>975</v>
      </c>
      <c r="R408" t="s">
        <v>976</v>
      </c>
      <c r="S408" t="s">
        <v>550</v>
      </c>
      <c r="T408" t="s">
        <v>550</v>
      </c>
      <c r="U408" t="s">
        <v>550</v>
      </c>
      <c r="V408" t="s">
        <v>2039</v>
      </c>
      <c r="W408" t="s">
        <v>869</v>
      </c>
      <c r="X408" t="s">
        <v>870</v>
      </c>
      <c r="Y408" t="s">
        <v>847</v>
      </c>
      <c r="Z408" t="s">
        <v>2037</v>
      </c>
    </row>
    <row r="409" spans="1:26" x14ac:dyDescent="0.3">
      <c r="A409" t="s">
        <v>525</v>
      </c>
      <c r="B409" t="s">
        <v>2040</v>
      </c>
      <c r="C409" t="s">
        <v>2041</v>
      </c>
      <c r="D409" t="s">
        <v>2037</v>
      </c>
      <c r="E409" t="s">
        <v>859</v>
      </c>
      <c r="F409" t="s">
        <v>860</v>
      </c>
      <c r="G409" s="1">
        <v>44197</v>
      </c>
      <c r="H409" s="1">
        <v>44197</v>
      </c>
      <c r="I409" t="s">
        <v>665</v>
      </c>
      <c r="J409" t="s">
        <v>861</v>
      </c>
      <c r="K409" t="s">
        <v>862</v>
      </c>
      <c r="L409" t="s">
        <v>863</v>
      </c>
      <c r="M409" t="s">
        <v>1459</v>
      </c>
      <c r="N409" t="s">
        <v>1460</v>
      </c>
      <c r="O409" t="s">
        <v>1459</v>
      </c>
      <c r="P409" t="s">
        <v>1460</v>
      </c>
      <c r="Q409" t="s">
        <v>975</v>
      </c>
      <c r="R409" t="s">
        <v>976</v>
      </c>
      <c r="S409" t="s">
        <v>550</v>
      </c>
      <c r="T409" t="s">
        <v>550</v>
      </c>
      <c r="U409" t="s">
        <v>550</v>
      </c>
      <c r="V409" t="s">
        <v>2042</v>
      </c>
      <c r="W409" t="s">
        <v>869</v>
      </c>
      <c r="X409" t="s">
        <v>870</v>
      </c>
      <c r="Y409" t="s">
        <v>847</v>
      </c>
      <c r="Z409" t="s">
        <v>2040</v>
      </c>
    </row>
    <row r="410" spans="1:26" x14ac:dyDescent="0.3">
      <c r="A410" t="s">
        <v>525</v>
      </c>
      <c r="B410" t="s">
        <v>1954</v>
      </c>
      <c r="C410" t="s">
        <v>2043</v>
      </c>
      <c r="D410" t="s">
        <v>550</v>
      </c>
      <c r="E410" t="s">
        <v>859</v>
      </c>
      <c r="F410" t="s">
        <v>860</v>
      </c>
      <c r="G410" s="1">
        <v>44197</v>
      </c>
      <c r="H410" s="1">
        <v>44197</v>
      </c>
      <c r="I410" t="s">
        <v>665</v>
      </c>
      <c r="J410" t="s">
        <v>861</v>
      </c>
      <c r="K410" t="s">
        <v>862</v>
      </c>
      <c r="L410" t="s">
        <v>863</v>
      </c>
      <c r="M410" t="s">
        <v>1459</v>
      </c>
      <c r="N410" t="s">
        <v>1460</v>
      </c>
      <c r="O410" t="s">
        <v>1459</v>
      </c>
      <c r="P410" t="s">
        <v>1460</v>
      </c>
      <c r="Q410" t="s">
        <v>975</v>
      </c>
      <c r="R410" t="s">
        <v>976</v>
      </c>
      <c r="S410" t="s">
        <v>550</v>
      </c>
      <c r="T410" t="s">
        <v>550</v>
      </c>
      <c r="U410" t="s">
        <v>550</v>
      </c>
      <c r="V410" t="s">
        <v>2044</v>
      </c>
      <c r="W410" t="s">
        <v>869</v>
      </c>
      <c r="X410" t="s">
        <v>870</v>
      </c>
      <c r="Y410" t="s">
        <v>847</v>
      </c>
      <c r="Z410" t="s">
        <v>1954</v>
      </c>
    </row>
    <row r="411" spans="1:26" x14ac:dyDescent="0.3">
      <c r="A411" t="s">
        <v>525</v>
      </c>
      <c r="B411" t="s">
        <v>2045</v>
      </c>
      <c r="C411" t="s">
        <v>2046</v>
      </c>
      <c r="D411" t="s">
        <v>1954</v>
      </c>
      <c r="E411" t="s">
        <v>859</v>
      </c>
      <c r="F411" t="s">
        <v>860</v>
      </c>
      <c r="G411" s="1">
        <v>44197</v>
      </c>
      <c r="H411" s="1">
        <v>44197</v>
      </c>
      <c r="I411" t="s">
        <v>665</v>
      </c>
      <c r="J411" t="s">
        <v>861</v>
      </c>
      <c r="K411" t="s">
        <v>862</v>
      </c>
      <c r="L411" t="s">
        <v>863</v>
      </c>
      <c r="M411" t="s">
        <v>1459</v>
      </c>
      <c r="N411" t="s">
        <v>1460</v>
      </c>
      <c r="O411" t="s">
        <v>1459</v>
      </c>
      <c r="P411" t="s">
        <v>1460</v>
      </c>
      <c r="Q411" t="s">
        <v>975</v>
      </c>
      <c r="R411" t="s">
        <v>976</v>
      </c>
      <c r="S411" t="s">
        <v>550</v>
      </c>
      <c r="T411" t="s">
        <v>550</v>
      </c>
      <c r="U411" t="s">
        <v>550</v>
      </c>
      <c r="V411" t="s">
        <v>2047</v>
      </c>
      <c r="W411" t="s">
        <v>869</v>
      </c>
      <c r="X411" t="s">
        <v>870</v>
      </c>
      <c r="Y411" t="s">
        <v>847</v>
      </c>
      <c r="Z411" t="s">
        <v>2045</v>
      </c>
    </row>
    <row r="412" spans="1:26" x14ac:dyDescent="0.3">
      <c r="A412" t="s">
        <v>525</v>
      </c>
      <c r="B412" t="s">
        <v>2048</v>
      </c>
      <c r="C412" t="s">
        <v>2049</v>
      </c>
      <c r="D412" t="s">
        <v>550</v>
      </c>
      <c r="E412" t="s">
        <v>2050</v>
      </c>
      <c r="F412" t="s">
        <v>2051</v>
      </c>
      <c r="G412" s="1">
        <v>44197</v>
      </c>
      <c r="H412" s="1">
        <v>44197</v>
      </c>
      <c r="I412" t="s">
        <v>780</v>
      </c>
      <c r="J412" t="s">
        <v>2052</v>
      </c>
      <c r="K412" t="s">
        <v>862</v>
      </c>
      <c r="L412" t="s">
        <v>863</v>
      </c>
      <c r="M412" t="s">
        <v>1459</v>
      </c>
      <c r="N412" t="s">
        <v>1460</v>
      </c>
      <c r="O412" t="s">
        <v>1459</v>
      </c>
      <c r="P412" t="s">
        <v>1460</v>
      </c>
      <c r="Q412" t="s">
        <v>975</v>
      </c>
      <c r="R412" t="s">
        <v>976</v>
      </c>
      <c r="S412" t="s">
        <v>550</v>
      </c>
      <c r="T412" t="s">
        <v>550</v>
      </c>
      <c r="U412" t="s">
        <v>550</v>
      </c>
      <c r="V412" t="s">
        <v>2053</v>
      </c>
      <c r="W412" t="s">
        <v>869</v>
      </c>
      <c r="X412" t="s">
        <v>870</v>
      </c>
      <c r="Y412" t="s">
        <v>847</v>
      </c>
      <c r="Z412" t="s">
        <v>2048</v>
      </c>
    </row>
    <row r="413" spans="1:26" x14ac:dyDescent="0.3">
      <c r="A413" t="s">
        <v>525</v>
      </c>
      <c r="B413" t="s">
        <v>2054</v>
      </c>
      <c r="C413" t="s">
        <v>2055</v>
      </c>
      <c r="D413" t="s">
        <v>2048</v>
      </c>
      <c r="E413" t="s">
        <v>2050</v>
      </c>
      <c r="F413" t="s">
        <v>2051</v>
      </c>
      <c r="G413" s="1">
        <v>44197</v>
      </c>
      <c r="H413" s="1">
        <v>44378</v>
      </c>
      <c r="I413" t="s">
        <v>665</v>
      </c>
      <c r="J413" t="s">
        <v>2052</v>
      </c>
      <c r="K413" t="s">
        <v>862</v>
      </c>
      <c r="L413" t="s">
        <v>863</v>
      </c>
      <c r="M413" t="s">
        <v>1459</v>
      </c>
      <c r="N413" t="s">
        <v>1460</v>
      </c>
      <c r="O413" t="s">
        <v>1459</v>
      </c>
      <c r="P413" t="s">
        <v>1460</v>
      </c>
      <c r="Q413" t="s">
        <v>975</v>
      </c>
      <c r="R413" t="s">
        <v>976</v>
      </c>
      <c r="S413" t="s">
        <v>550</v>
      </c>
      <c r="T413" t="s">
        <v>550</v>
      </c>
      <c r="U413" t="s">
        <v>550</v>
      </c>
      <c r="V413" t="s">
        <v>2056</v>
      </c>
      <c r="W413" t="s">
        <v>869</v>
      </c>
      <c r="X413" t="s">
        <v>870</v>
      </c>
      <c r="Y413" t="s">
        <v>847</v>
      </c>
      <c r="Z413" t="s">
        <v>2054</v>
      </c>
    </row>
    <row r="414" spans="1:26" x14ac:dyDescent="0.3">
      <c r="A414" t="s">
        <v>525</v>
      </c>
      <c r="B414" t="s">
        <v>2057</v>
      </c>
      <c r="C414" t="s">
        <v>2058</v>
      </c>
      <c r="D414" t="s">
        <v>550</v>
      </c>
      <c r="E414" t="s">
        <v>2059</v>
      </c>
      <c r="F414" t="s">
        <v>2060</v>
      </c>
      <c r="G414" s="1">
        <v>44197</v>
      </c>
      <c r="H414" s="1">
        <v>44197</v>
      </c>
      <c r="I414" t="s">
        <v>665</v>
      </c>
      <c r="J414" t="s">
        <v>2061</v>
      </c>
      <c r="K414" t="s">
        <v>808</v>
      </c>
      <c r="L414" t="s">
        <v>863</v>
      </c>
      <c r="M414" t="s">
        <v>1946</v>
      </c>
      <c r="N414" t="s">
        <v>1947</v>
      </c>
      <c r="O414" t="s">
        <v>1459</v>
      </c>
      <c r="P414" t="s">
        <v>1460</v>
      </c>
      <c r="Q414" t="s">
        <v>975</v>
      </c>
      <c r="R414" t="s">
        <v>976</v>
      </c>
      <c r="S414" t="s">
        <v>550</v>
      </c>
      <c r="T414" t="s">
        <v>550</v>
      </c>
      <c r="U414" t="s">
        <v>550</v>
      </c>
      <c r="V414" t="s">
        <v>2062</v>
      </c>
      <c r="W414" t="s">
        <v>869</v>
      </c>
      <c r="X414" t="s">
        <v>870</v>
      </c>
      <c r="Y414" t="s">
        <v>847</v>
      </c>
      <c r="Z414" t="s">
        <v>2057</v>
      </c>
    </row>
    <row r="415" spans="1:26" x14ac:dyDescent="0.3">
      <c r="A415" t="s">
        <v>525</v>
      </c>
      <c r="B415" t="s">
        <v>2063</v>
      </c>
      <c r="C415" t="s">
        <v>2064</v>
      </c>
      <c r="D415" t="s">
        <v>2057</v>
      </c>
      <c r="E415" t="s">
        <v>2059</v>
      </c>
      <c r="F415" t="s">
        <v>2060</v>
      </c>
      <c r="G415" s="1">
        <v>44197</v>
      </c>
      <c r="H415" s="1">
        <v>44271</v>
      </c>
      <c r="I415" t="s">
        <v>665</v>
      </c>
      <c r="J415" t="s">
        <v>2061</v>
      </c>
      <c r="K415" t="s">
        <v>808</v>
      </c>
      <c r="L415" t="s">
        <v>863</v>
      </c>
      <c r="M415" t="s">
        <v>1946</v>
      </c>
      <c r="N415" t="s">
        <v>1947</v>
      </c>
      <c r="O415" t="s">
        <v>1459</v>
      </c>
      <c r="P415" t="s">
        <v>1460</v>
      </c>
      <c r="Q415" t="s">
        <v>975</v>
      </c>
      <c r="R415" t="s">
        <v>976</v>
      </c>
      <c r="S415" t="s">
        <v>550</v>
      </c>
      <c r="T415" t="s">
        <v>550</v>
      </c>
      <c r="U415" t="s">
        <v>550</v>
      </c>
      <c r="V415" t="s">
        <v>2065</v>
      </c>
      <c r="W415" t="s">
        <v>869</v>
      </c>
      <c r="X415" t="s">
        <v>870</v>
      </c>
      <c r="Y415" t="s">
        <v>847</v>
      </c>
      <c r="Z415" t="s">
        <v>2063</v>
      </c>
    </row>
    <row r="416" spans="1:26" x14ac:dyDescent="0.3">
      <c r="A416" t="s">
        <v>525</v>
      </c>
      <c r="B416" t="s">
        <v>1832</v>
      </c>
      <c r="C416" t="s">
        <v>2066</v>
      </c>
      <c r="D416" t="s">
        <v>550</v>
      </c>
      <c r="E416" t="s">
        <v>1833</v>
      </c>
      <c r="F416" t="s">
        <v>1834</v>
      </c>
      <c r="G416" s="1">
        <v>44317</v>
      </c>
      <c r="H416" s="1">
        <v>44317</v>
      </c>
      <c r="I416" t="s">
        <v>665</v>
      </c>
      <c r="J416" t="s">
        <v>1835</v>
      </c>
      <c r="K416" t="s">
        <v>862</v>
      </c>
      <c r="L416" t="s">
        <v>863</v>
      </c>
      <c r="M416" t="s">
        <v>1377</v>
      </c>
      <c r="N416" t="s">
        <v>1378</v>
      </c>
      <c r="O416" t="s">
        <v>1459</v>
      </c>
      <c r="P416" t="s">
        <v>1460</v>
      </c>
      <c r="Q416" t="s">
        <v>975</v>
      </c>
      <c r="R416" t="s">
        <v>976</v>
      </c>
      <c r="S416" t="s">
        <v>550</v>
      </c>
      <c r="T416" t="s">
        <v>550</v>
      </c>
      <c r="U416" t="s">
        <v>550</v>
      </c>
      <c r="V416" t="s">
        <v>2067</v>
      </c>
      <c r="W416" t="s">
        <v>869</v>
      </c>
      <c r="X416" t="s">
        <v>870</v>
      </c>
      <c r="Y416" t="s">
        <v>847</v>
      </c>
      <c r="Z416" t="s">
        <v>1832</v>
      </c>
    </row>
    <row r="417" spans="1:26" x14ac:dyDescent="0.3">
      <c r="A417" t="s">
        <v>525</v>
      </c>
      <c r="B417" t="s">
        <v>2068</v>
      </c>
      <c r="C417" t="s">
        <v>2069</v>
      </c>
      <c r="D417" t="s">
        <v>550</v>
      </c>
      <c r="E417" t="s">
        <v>664</v>
      </c>
      <c r="F417" t="s">
        <v>27</v>
      </c>
      <c r="G417" s="1">
        <v>44197</v>
      </c>
      <c r="H417" s="1">
        <v>44197</v>
      </c>
      <c r="I417" t="s">
        <v>665</v>
      </c>
      <c r="J417" t="s">
        <v>666</v>
      </c>
      <c r="K417" t="s">
        <v>24</v>
      </c>
      <c r="L417" t="s">
        <v>863</v>
      </c>
      <c r="M417" t="s">
        <v>1459</v>
      </c>
      <c r="N417" t="s">
        <v>1460</v>
      </c>
      <c r="O417" t="s">
        <v>1459</v>
      </c>
      <c r="P417" t="s">
        <v>1460</v>
      </c>
      <c r="Q417" t="s">
        <v>975</v>
      </c>
      <c r="R417" t="s">
        <v>976</v>
      </c>
      <c r="S417" t="s">
        <v>550</v>
      </c>
      <c r="T417" t="s">
        <v>550</v>
      </c>
      <c r="U417" t="s">
        <v>550</v>
      </c>
      <c r="V417" t="s">
        <v>2070</v>
      </c>
      <c r="W417" t="s">
        <v>869</v>
      </c>
      <c r="X417" t="s">
        <v>870</v>
      </c>
      <c r="Y417" t="s">
        <v>847</v>
      </c>
      <c r="Z417" t="s">
        <v>2068</v>
      </c>
    </row>
    <row r="418" spans="1:26" x14ac:dyDescent="0.3">
      <c r="A418" t="s">
        <v>525</v>
      </c>
      <c r="B418" t="s">
        <v>2071</v>
      </c>
      <c r="C418" t="s">
        <v>2069</v>
      </c>
      <c r="D418" t="s">
        <v>2068</v>
      </c>
      <c r="E418" t="s">
        <v>664</v>
      </c>
      <c r="F418" t="s">
        <v>27</v>
      </c>
      <c r="G418" s="1">
        <v>44197</v>
      </c>
      <c r="H418" s="1">
        <v>44209</v>
      </c>
      <c r="I418" t="s">
        <v>665</v>
      </c>
      <c r="J418" t="s">
        <v>666</v>
      </c>
      <c r="K418" t="s">
        <v>24</v>
      </c>
      <c r="L418" t="s">
        <v>863</v>
      </c>
      <c r="M418" t="s">
        <v>1459</v>
      </c>
      <c r="N418" t="s">
        <v>1460</v>
      </c>
      <c r="O418" t="s">
        <v>1459</v>
      </c>
      <c r="P418" t="s">
        <v>1460</v>
      </c>
      <c r="Q418" t="s">
        <v>975</v>
      </c>
      <c r="R418" t="s">
        <v>976</v>
      </c>
      <c r="S418" t="s">
        <v>550</v>
      </c>
      <c r="T418" t="s">
        <v>550</v>
      </c>
      <c r="U418" t="s">
        <v>550</v>
      </c>
      <c r="V418" t="s">
        <v>2072</v>
      </c>
      <c r="W418" t="s">
        <v>869</v>
      </c>
      <c r="X418" t="s">
        <v>870</v>
      </c>
      <c r="Y418" t="s">
        <v>847</v>
      </c>
      <c r="Z418" t="s">
        <v>2071</v>
      </c>
    </row>
    <row r="419" spans="1:26" x14ac:dyDescent="0.3">
      <c r="A419" t="s">
        <v>525</v>
      </c>
      <c r="B419" t="s">
        <v>2073</v>
      </c>
      <c r="C419" t="s">
        <v>2074</v>
      </c>
      <c r="D419" t="s">
        <v>550</v>
      </c>
      <c r="E419" t="s">
        <v>664</v>
      </c>
      <c r="F419" t="s">
        <v>27</v>
      </c>
      <c r="G419" s="1">
        <v>44197</v>
      </c>
      <c r="H419" s="1">
        <v>44197</v>
      </c>
      <c r="I419" t="s">
        <v>665</v>
      </c>
      <c r="J419" t="s">
        <v>666</v>
      </c>
      <c r="K419" t="s">
        <v>24</v>
      </c>
      <c r="L419" t="s">
        <v>863</v>
      </c>
      <c r="M419" t="s">
        <v>1459</v>
      </c>
      <c r="N419" t="s">
        <v>1460</v>
      </c>
      <c r="O419" t="s">
        <v>1459</v>
      </c>
      <c r="P419" t="s">
        <v>1460</v>
      </c>
      <c r="Q419" t="s">
        <v>975</v>
      </c>
      <c r="R419" t="s">
        <v>976</v>
      </c>
      <c r="S419" t="s">
        <v>550</v>
      </c>
      <c r="T419" t="s">
        <v>550</v>
      </c>
      <c r="U419" t="s">
        <v>550</v>
      </c>
      <c r="V419" t="s">
        <v>2075</v>
      </c>
      <c r="W419" t="s">
        <v>1014</v>
      </c>
      <c r="X419" t="s">
        <v>870</v>
      </c>
      <c r="Y419" t="s">
        <v>1462</v>
      </c>
      <c r="Z419" t="s">
        <v>2073</v>
      </c>
    </row>
    <row r="420" spans="1:26" x14ac:dyDescent="0.3">
      <c r="A420" t="s">
        <v>525</v>
      </c>
      <c r="B420" t="s">
        <v>2076</v>
      </c>
      <c r="C420" t="s">
        <v>2077</v>
      </c>
      <c r="D420" t="s">
        <v>2073</v>
      </c>
      <c r="E420" t="s">
        <v>664</v>
      </c>
      <c r="F420" t="s">
        <v>27</v>
      </c>
      <c r="G420" s="1">
        <v>44197</v>
      </c>
      <c r="H420" s="1">
        <v>44636</v>
      </c>
      <c r="I420" t="s">
        <v>665</v>
      </c>
      <c r="J420" t="s">
        <v>666</v>
      </c>
      <c r="K420" t="s">
        <v>24</v>
      </c>
      <c r="L420" t="s">
        <v>863</v>
      </c>
      <c r="M420" t="s">
        <v>1459</v>
      </c>
      <c r="N420" t="s">
        <v>1460</v>
      </c>
      <c r="O420" t="s">
        <v>1459</v>
      </c>
      <c r="P420" t="s">
        <v>1460</v>
      </c>
      <c r="Q420" t="s">
        <v>975</v>
      </c>
      <c r="R420" t="s">
        <v>976</v>
      </c>
      <c r="S420" t="s">
        <v>550</v>
      </c>
      <c r="T420" t="s">
        <v>550</v>
      </c>
      <c r="U420" t="s">
        <v>550</v>
      </c>
      <c r="V420" t="s">
        <v>2078</v>
      </c>
      <c r="W420" t="s">
        <v>1014</v>
      </c>
      <c r="X420" t="s">
        <v>870</v>
      </c>
      <c r="Y420" t="s">
        <v>1462</v>
      </c>
      <c r="Z420" t="s">
        <v>2076</v>
      </c>
    </row>
    <row r="421" spans="1:26" x14ac:dyDescent="0.3">
      <c r="A421" t="s">
        <v>525</v>
      </c>
      <c r="B421" t="s">
        <v>2079</v>
      </c>
      <c r="C421" t="s">
        <v>2080</v>
      </c>
      <c r="D421" t="s">
        <v>550</v>
      </c>
      <c r="E421" t="s">
        <v>664</v>
      </c>
      <c r="F421" t="s">
        <v>27</v>
      </c>
      <c r="G421" s="1">
        <v>44197</v>
      </c>
      <c r="H421" s="1">
        <v>44197</v>
      </c>
      <c r="I421" t="s">
        <v>665</v>
      </c>
      <c r="J421" t="s">
        <v>666</v>
      </c>
      <c r="K421" t="s">
        <v>958</v>
      </c>
      <c r="L421" t="s">
        <v>863</v>
      </c>
      <c r="M421" t="s">
        <v>1459</v>
      </c>
      <c r="N421" t="s">
        <v>1460</v>
      </c>
      <c r="O421" t="s">
        <v>1459</v>
      </c>
      <c r="P421" t="s">
        <v>1460</v>
      </c>
      <c r="Q421" t="s">
        <v>975</v>
      </c>
      <c r="R421" t="s">
        <v>976</v>
      </c>
      <c r="S421" t="s">
        <v>550</v>
      </c>
      <c r="T421" t="s">
        <v>550</v>
      </c>
      <c r="U421" t="s">
        <v>550</v>
      </c>
      <c r="V421" t="s">
        <v>2081</v>
      </c>
      <c r="W421" t="s">
        <v>1014</v>
      </c>
      <c r="X421" t="s">
        <v>870</v>
      </c>
      <c r="Y421" t="s">
        <v>1462</v>
      </c>
      <c r="Z421" t="s">
        <v>2079</v>
      </c>
    </row>
    <row r="422" spans="1:26" x14ac:dyDescent="0.3">
      <c r="A422" t="s">
        <v>525</v>
      </c>
      <c r="B422" t="s">
        <v>2082</v>
      </c>
      <c r="C422" t="s">
        <v>2083</v>
      </c>
      <c r="D422" t="s">
        <v>2079</v>
      </c>
      <c r="E422" t="s">
        <v>664</v>
      </c>
      <c r="F422" t="s">
        <v>27</v>
      </c>
      <c r="G422" s="1">
        <v>44197</v>
      </c>
      <c r="H422" s="1">
        <v>44697</v>
      </c>
      <c r="I422" t="s">
        <v>665</v>
      </c>
      <c r="J422" t="s">
        <v>666</v>
      </c>
      <c r="K422" t="s">
        <v>958</v>
      </c>
      <c r="L422" t="s">
        <v>863</v>
      </c>
      <c r="M422" t="s">
        <v>1459</v>
      </c>
      <c r="N422" t="s">
        <v>1460</v>
      </c>
      <c r="O422" t="s">
        <v>1459</v>
      </c>
      <c r="P422" t="s">
        <v>1460</v>
      </c>
      <c r="Q422" t="s">
        <v>975</v>
      </c>
      <c r="R422" t="s">
        <v>976</v>
      </c>
      <c r="S422" t="s">
        <v>550</v>
      </c>
      <c r="T422" t="s">
        <v>550</v>
      </c>
      <c r="U422" t="s">
        <v>550</v>
      </c>
      <c r="V422" t="s">
        <v>2084</v>
      </c>
      <c r="W422" t="s">
        <v>1014</v>
      </c>
      <c r="X422" t="s">
        <v>870</v>
      </c>
      <c r="Y422" t="s">
        <v>1462</v>
      </c>
      <c r="Z422" t="s">
        <v>2082</v>
      </c>
    </row>
    <row r="423" spans="1:26" x14ac:dyDescent="0.3">
      <c r="A423" t="s">
        <v>525</v>
      </c>
      <c r="B423" t="s">
        <v>2085</v>
      </c>
      <c r="C423" t="s">
        <v>2086</v>
      </c>
      <c r="D423" t="s">
        <v>550</v>
      </c>
      <c r="E423" t="s">
        <v>664</v>
      </c>
      <c r="F423" t="s">
        <v>27</v>
      </c>
      <c r="G423" s="1">
        <v>43831</v>
      </c>
      <c r="H423" s="1">
        <v>43831</v>
      </c>
      <c r="I423" t="s">
        <v>665</v>
      </c>
      <c r="J423" t="s">
        <v>666</v>
      </c>
      <c r="K423" t="s">
        <v>24</v>
      </c>
      <c r="L423" t="s">
        <v>1010</v>
      </c>
      <c r="M423" t="s">
        <v>1459</v>
      </c>
      <c r="N423" t="s">
        <v>1460</v>
      </c>
      <c r="O423" t="s">
        <v>1459</v>
      </c>
      <c r="P423" t="s">
        <v>1460</v>
      </c>
      <c r="Q423" t="s">
        <v>975</v>
      </c>
      <c r="R423" t="s">
        <v>976</v>
      </c>
      <c r="S423" t="s">
        <v>550</v>
      </c>
      <c r="T423" t="s">
        <v>550</v>
      </c>
      <c r="U423" t="s">
        <v>550</v>
      </c>
      <c r="V423" t="s">
        <v>2087</v>
      </c>
      <c r="W423" t="s">
        <v>1014</v>
      </c>
      <c r="X423" t="s">
        <v>870</v>
      </c>
      <c r="Y423" t="s">
        <v>803</v>
      </c>
      <c r="Z423" t="s">
        <v>2085</v>
      </c>
    </row>
    <row r="424" spans="1:26" x14ac:dyDescent="0.3">
      <c r="A424" t="s">
        <v>525</v>
      </c>
      <c r="B424" t="s">
        <v>2088</v>
      </c>
      <c r="C424" t="s">
        <v>2089</v>
      </c>
      <c r="D424" t="s">
        <v>550</v>
      </c>
      <c r="E424" t="s">
        <v>2090</v>
      </c>
      <c r="F424" t="s">
        <v>2091</v>
      </c>
      <c r="G424" s="1">
        <v>43831</v>
      </c>
      <c r="H424" s="1">
        <v>43979</v>
      </c>
      <c r="I424" t="s">
        <v>665</v>
      </c>
      <c r="J424" t="s">
        <v>2092</v>
      </c>
      <c r="K424" t="s">
        <v>24</v>
      </c>
      <c r="L424" t="s">
        <v>863</v>
      </c>
      <c r="M424" t="s">
        <v>1459</v>
      </c>
      <c r="N424" t="s">
        <v>1460</v>
      </c>
      <c r="O424" t="s">
        <v>1459</v>
      </c>
      <c r="P424" t="s">
        <v>1460</v>
      </c>
      <c r="Q424" t="s">
        <v>975</v>
      </c>
      <c r="R424" t="s">
        <v>976</v>
      </c>
      <c r="S424" t="s">
        <v>550</v>
      </c>
      <c r="T424" t="s">
        <v>550</v>
      </c>
      <c r="U424" t="s">
        <v>550</v>
      </c>
      <c r="V424" t="s">
        <v>2093</v>
      </c>
      <c r="W424" t="s">
        <v>1014</v>
      </c>
      <c r="X424" t="s">
        <v>870</v>
      </c>
      <c r="Y424" t="s">
        <v>856</v>
      </c>
      <c r="Z424" t="s">
        <v>2088</v>
      </c>
    </row>
    <row r="425" spans="1:26" x14ac:dyDescent="0.3">
      <c r="A425" t="s">
        <v>525</v>
      </c>
      <c r="B425" t="s">
        <v>2094</v>
      </c>
      <c r="C425" t="s">
        <v>2089</v>
      </c>
      <c r="D425" t="s">
        <v>550</v>
      </c>
      <c r="E425" t="s">
        <v>2090</v>
      </c>
      <c r="F425" t="s">
        <v>2091</v>
      </c>
      <c r="G425" s="1">
        <v>44197</v>
      </c>
      <c r="H425" s="1">
        <v>44197</v>
      </c>
      <c r="I425" t="s">
        <v>665</v>
      </c>
      <c r="J425" t="s">
        <v>2092</v>
      </c>
      <c r="K425" t="s">
        <v>24</v>
      </c>
      <c r="L425" t="s">
        <v>863</v>
      </c>
      <c r="M425" t="s">
        <v>1459</v>
      </c>
      <c r="N425" t="s">
        <v>1460</v>
      </c>
      <c r="O425" t="s">
        <v>1459</v>
      </c>
      <c r="P425" t="s">
        <v>1460</v>
      </c>
      <c r="Q425" t="s">
        <v>975</v>
      </c>
      <c r="R425" t="s">
        <v>976</v>
      </c>
      <c r="S425" t="s">
        <v>550</v>
      </c>
      <c r="T425" t="s">
        <v>550</v>
      </c>
      <c r="U425" t="s">
        <v>550</v>
      </c>
      <c r="V425" t="s">
        <v>2095</v>
      </c>
      <c r="W425" t="s">
        <v>1014</v>
      </c>
      <c r="X425" t="s">
        <v>870</v>
      </c>
      <c r="Y425" t="s">
        <v>856</v>
      </c>
      <c r="Z425" t="s">
        <v>2094</v>
      </c>
    </row>
    <row r="426" spans="1:26" x14ac:dyDescent="0.3">
      <c r="A426" t="s">
        <v>525</v>
      </c>
      <c r="B426" t="s">
        <v>2096</v>
      </c>
      <c r="C426" t="s">
        <v>2097</v>
      </c>
      <c r="D426" t="s">
        <v>2094</v>
      </c>
      <c r="E426" t="s">
        <v>2090</v>
      </c>
      <c r="F426" t="s">
        <v>2091</v>
      </c>
      <c r="G426" s="1">
        <v>44197</v>
      </c>
      <c r="H426" s="1">
        <v>44197</v>
      </c>
      <c r="I426" t="s">
        <v>665</v>
      </c>
      <c r="J426" t="s">
        <v>2092</v>
      </c>
      <c r="K426" t="s">
        <v>24</v>
      </c>
      <c r="L426" t="s">
        <v>863</v>
      </c>
      <c r="M426" t="s">
        <v>1459</v>
      </c>
      <c r="N426" t="s">
        <v>1460</v>
      </c>
      <c r="O426" t="s">
        <v>1459</v>
      </c>
      <c r="P426" t="s">
        <v>1460</v>
      </c>
      <c r="Q426" t="s">
        <v>975</v>
      </c>
      <c r="R426" t="s">
        <v>976</v>
      </c>
      <c r="S426" t="s">
        <v>550</v>
      </c>
      <c r="T426" t="s">
        <v>550</v>
      </c>
      <c r="U426" t="s">
        <v>550</v>
      </c>
      <c r="V426" t="s">
        <v>2098</v>
      </c>
      <c r="W426" t="s">
        <v>1014</v>
      </c>
      <c r="X426" t="s">
        <v>870</v>
      </c>
      <c r="Y426" t="s">
        <v>856</v>
      </c>
      <c r="Z426" t="s">
        <v>2096</v>
      </c>
    </row>
    <row r="427" spans="1:26" x14ac:dyDescent="0.3">
      <c r="A427" t="s">
        <v>525</v>
      </c>
      <c r="B427" t="s">
        <v>2099</v>
      </c>
      <c r="C427" t="s">
        <v>2100</v>
      </c>
      <c r="D427" t="s">
        <v>1986</v>
      </c>
      <c r="E427" t="s">
        <v>1374</v>
      </c>
      <c r="F427" t="s">
        <v>1375</v>
      </c>
      <c r="G427" s="1">
        <v>44562</v>
      </c>
      <c r="H427" s="1">
        <v>44575</v>
      </c>
      <c r="I427" t="s">
        <v>665</v>
      </c>
      <c r="J427" t="s">
        <v>1376</v>
      </c>
      <c r="K427" t="s">
        <v>862</v>
      </c>
      <c r="L427" t="s">
        <v>216</v>
      </c>
      <c r="M427" t="s">
        <v>1459</v>
      </c>
      <c r="N427" t="s">
        <v>1460</v>
      </c>
      <c r="O427" t="s">
        <v>1459</v>
      </c>
      <c r="P427" t="s">
        <v>1460</v>
      </c>
      <c r="Q427" t="s">
        <v>975</v>
      </c>
      <c r="R427" t="s">
        <v>976</v>
      </c>
      <c r="S427" t="s">
        <v>783</v>
      </c>
      <c r="T427" t="s">
        <v>550</v>
      </c>
      <c r="U427" t="s">
        <v>550</v>
      </c>
      <c r="V427" t="s">
        <v>2101</v>
      </c>
      <c r="W427" t="s">
        <v>869</v>
      </c>
      <c r="X427" t="s">
        <v>870</v>
      </c>
      <c r="Y427" t="s">
        <v>847</v>
      </c>
      <c r="Z427" t="s">
        <v>2099</v>
      </c>
    </row>
    <row r="428" spans="1:26" x14ac:dyDescent="0.3">
      <c r="A428" t="s">
        <v>525</v>
      </c>
      <c r="B428" t="s">
        <v>2102</v>
      </c>
      <c r="C428" t="s">
        <v>2103</v>
      </c>
      <c r="D428" t="s">
        <v>550</v>
      </c>
      <c r="E428" t="s">
        <v>664</v>
      </c>
      <c r="F428" t="s">
        <v>27</v>
      </c>
      <c r="G428" s="1">
        <v>43831</v>
      </c>
      <c r="H428" s="1">
        <v>44506</v>
      </c>
      <c r="I428" t="s">
        <v>665</v>
      </c>
      <c r="J428" t="s">
        <v>666</v>
      </c>
      <c r="K428" t="s">
        <v>958</v>
      </c>
      <c r="L428" t="s">
        <v>863</v>
      </c>
      <c r="M428" t="s">
        <v>1459</v>
      </c>
      <c r="N428" t="s">
        <v>1460</v>
      </c>
      <c r="O428" t="s">
        <v>1459</v>
      </c>
      <c r="P428" t="s">
        <v>1460</v>
      </c>
      <c r="Q428" t="s">
        <v>975</v>
      </c>
      <c r="R428" t="s">
        <v>976</v>
      </c>
      <c r="S428" t="s">
        <v>550</v>
      </c>
      <c r="T428" t="s">
        <v>550</v>
      </c>
      <c r="U428" t="s">
        <v>550</v>
      </c>
      <c r="V428" t="s">
        <v>2104</v>
      </c>
      <c r="W428" t="s">
        <v>1014</v>
      </c>
      <c r="X428" t="s">
        <v>870</v>
      </c>
      <c r="Y428" t="s">
        <v>1462</v>
      </c>
      <c r="Z428" t="s">
        <v>2102</v>
      </c>
    </row>
    <row r="429" spans="1:26" x14ac:dyDescent="0.3">
      <c r="A429" t="s">
        <v>525</v>
      </c>
      <c r="B429" t="s">
        <v>2105</v>
      </c>
      <c r="C429" t="s">
        <v>2106</v>
      </c>
      <c r="D429" t="s">
        <v>550</v>
      </c>
      <c r="E429" t="s">
        <v>664</v>
      </c>
      <c r="F429" t="s">
        <v>27</v>
      </c>
      <c r="G429" s="1">
        <v>43831</v>
      </c>
      <c r="H429" s="1">
        <v>44020</v>
      </c>
      <c r="I429" t="s">
        <v>665</v>
      </c>
      <c r="J429" t="s">
        <v>666</v>
      </c>
      <c r="K429" t="s">
        <v>24</v>
      </c>
      <c r="L429" t="s">
        <v>863</v>
      </c>
      <c r="M429" t="s">
        <v>1459</v>
      </c>
      <c r="N429" t="s">
        <v>1460</v>
      </c>
      <c r="O429" t="s">
        <v>1459</v>
      </c>
      <c r="P429" t="s">
        <v>1460</v>
      </c>
      <c r="Q429" t="s">
        <v>975</v>
      </c>
      <c r="R429" t="s">
        <v>976</v>
      </c>
      <c r="S429" t="s">
        <v>550</v>
      </c>
      <c r="T429" t="s">
        <v>550</v>
      </c>
      <c r="U429" t="s">
        <v>550</v>
      </c>
      <c r="V429" t="s">
        <v>2107</v>
      </c>
      <c r="W429" t="s">
        <v>1014</v>
      </c>
      <c r="X429" t="s">
        <v>870</v>
      </c>
      <c r="Y429" t="s">
        <v>1462</v>
      </c>
      <c r="Z429" t="s">
        <v>2105</v>
      </c>
    </row>
    <row r="430" spans="1:26" x14ac:dyDescent="0.3">
      <c r="A430" t="s">
        <v>525</v>
      </c>
      <c r="B430" t="s">
        <v>2108</v>
      </c>
      <c r="C430" t="s">
        <v>2109</v>
      </c>
      <c r="D430" t="s">
        <v>550</v>
      </c>
      <c r="E430" t="s">
        <v>664</v>
      </c>
      <c r="F430" t="s">
        <v>27</v>
      </c>
      <c r="G430" s="1">
        <v>43831</v>
      </c>
      <c r="H430" s="1">
        <v>44119</v>
      </c>
      <c r="I430" t="s">
        <v>665</v>
      </c>
      <c r="J430" t="s">
        <v>666</v>
      </c>
      <c r="K430" t="s">
        <v>958</v>
      </c>
      <c r="L430" t="s">
        <v>863</v>
      </c>
      <c r="M430" t="s">
        <v>1459</v>
      </c>
      <c r="N430" t="s">
        <v>1460</v>
      </c>
      <c r="O430" t="s">
        <v>1459</v>
      </c>
      <c r="P430" t="s">
        <v>1460</v>
      </c>
      <c r="Q430" t="s">
        <v>975</v>
      </c>
      <c r="R430" t="s">
        <v>976</v>
      </c>
      <c r="S430" t="s">
        <v>550</v>
      </c>
      <c r="T430" t="s">
        <v>550</v>
      </c>
      <c r="U430" t="s">
        <v>550</v>
      </c>
      <c r="V430" t="s">
        <v>2110</v>
      </c>
      <c r="W430" t="s">
        <v>1014</v>
      </c>
      <c r="X430" t="s">
        <v>870</v>
      </c>
      <c r="Y430" t="s">
        <v>1462</v>
      </c>
      <c r="Z430" t="s">
        <v>2108</v>
      </c>
    </row>
    <row r="431" spans="1:26" x14ac:dyDescent="0.3">
      <c r="A431" t="s">
        <v>525</v>
      </c>
      <c r="B431" t="s">
        <v>2111</v>
      </c>
      <c r="C431" t="s">
        <v>2112</v>
      </c>
      <c r="D431" t="s">
        <v>550</v>
      </c>
      <c r="E431" t="s">
        <v>664</v>
      </c>
      <c r="F431" t="s">
        <v>27</v>
      </c>
      <c r="G431" s="1">
        <v>43831</v>
      </c>
      <c r="H431" s="1">
        <v>44053</v>
      </c>
      <c r="I431" t="s">
        <v>665</v>
      </c>
      <c r="J431" t="s">
        <v>666</v>
      </c>
      <c r="K431" t="s">
        <v>958</v>
      </c>
      <c r="L431" t="s">
        <v>863</v>
      </c>
      <c r="M431" t="s">
        <v>1459</v>
      </c>
      <c r="N431" t="s">
        <v>1460</v>
      </c>
      <c r="O431" t="s">
        <v>1459</v>
      </c>
      <c r="P431" t="s">
        <v>1460</v>
      </c>
      <c r="Q431" t="s">
        <v>975</v>
      </c>
      <c r="R431" t="s">
        <v>976</v>
      </c>
      <c r="S431" t="s">
        <v>550</v>
      </c>
      <c r="T431" t="s">
        <v>550</v>
      </c>
      <c r="U431" t="s">
        <v>550</v>
      </c>
      <c r="V431" t="s">
        <v>2113</v>
      </c>
      <c r="W431" t="s">
        <v>1014</v>
      </c>
      <c r="X431" t="s">
        <v>870</v>
      </c>
      <c r="Y431" t="s">
        <v>1462</v>
      </c>
      <c r="Z431" t="s">
        <v>2111</v>
      </c>
    </row>
    <row r="432" spans="1:26" x14ac:dyDescent="0.3">
      <c r="A432" t="s">
        <v>525</v>
      </c>
      <c r="B432" t="s">
        <v>2114</v>
      </c>
      <c r="C432" t="s">
        <v>2115</v>
      </c>
      <c r="D432" t="s">
        <v>550</v>
      </c>
      <c r="E432" t="s">
        <v>664</v>
      </c>
      <c r="F432" t="s">
        <v>27</v>
      </c>
      <c r="G432" s="1">
        <v>44197</v>
      </c>
      <c r="H432" s="1">
        <v>44197</v>
      </c>
      <c r="I432" t="s">
        <v>665</v>
      </c>
      <c r="J432" t="s">
        <v>666</v>
      </c>
      <c r="K432" t="s">
        <v>958</v>
      </c>
      <c r="L432" t="s">
        <v>863</v>
      </c>
      <c r="M432" t="s">
        <v>1459</v>
      </c>
      <c r="N432" t="s">
        <v>1460</v>
      </c>
      <c r="O432" t="s">
        <v>1459</v>
      </c>
      <c r="P432" t="s">
        <v>1460</v>
      </c>
      <c r="Q432" t="s">
        <v>975</v>
      </c>
      <c r="R432" t="s">
        <v>976</v>
      </c>
      <c r="S432" t="s">
        <v>550</v>
      </c>
      <c r="T432" t="s">
        <v>550</v>
      </c>
      <c r="U432" t="s">
        <v>550</v>
      </c>
      <c r="V432" t="s">
        <v>2116</v>
      </c>
      <c r="W432" t="s">
        <v>1014</v>
      </c>
      <c r="X432" t="s">
        <v>870</v>
      </c>
      <c r="Y432" t="s">
        <v>1462</v>
      </c>
      <c r="Z432" t="s">
        <v>2114</v>
      </c>
    </row>
    <row r="433" spans="1:26" x14ac:dyDescent="0.3">
      <c r="A433" t="s">
        <v>525</v>
      </c>
      <c r="B433" t="s">
        <v>2117</v>
      </c>
      <c r="C433" t="s">
        <v>2118</v>
      </c>
      <c r="D433" t="s">
        <v>2114</v>
      </c>
      <c r="E433" t="s">
        <v>664</v>
      </c>
      <c r="F433" t="s">
        <v>27</v>
      </c>
      <c r="G433" s="1">
        <v>44197</v>
      </c>
      <c r="H433" s="1">
        <v>44309</v>
      </c>
      <c r="I433" t="s">
        <v>665</v>
      </c>
      <c r="J433" t="s">
        <v>666</v>
      </c>
      <c r="K433" t="s">
        <v>958</v>
      </c>
      <c r="L433" t="s">
        <v>863</v>
      </c>
      <c r="M433" t="s">
        <v>1459</v>
      </c>
      <c r="N433" t="s">
        <v>1460</v>
      </c>
      <c r="O433" t="s">
        <v>1459</v>
      </c>
      <c r="P433" t="s">
        <v>1460</v>
      </c>
      <c r="Q433" t="s">
        <v>975</v>
      </c>
      <c r="R433" t="s">
        <v>976</v>
      </c>
      <c r="S433" t="s">
        <v>550</v>
      </c>
      <c r="T433" t="s">
        <v>550</v>
      </c>
      <c r="U433" t="s">
        <v>550</v>
      </c>
      <c r="V433" t="s">
        <v>2119</v>
      </c>
      <c r="W433" t="s">
        <v>1014</v>
      </c>
      <c r="X433" t="s">
        <v>870</v>
      </c>
      <c r="Y433" t="s">
        <v>1462</v>
      </c>
      <c r="Z433" t="s">
        <v>2117</v>
      </c>
    </row>
    <row r="434" spans="1:26" x14ac:dyDescent="0.3">
      <c r="A434" t="s">
        <v>525</v>
      </c>
      <c r="B434" t="s">
        <v>2120</v>
      </c>
      <c r="C434" t="s">
        <v>2121</v>
      </c>
      <c r="D434" t="s">
        <v>550</v>
      </c>
      <c r="E434" t="s">
        <v>664</v>
      </c>
      <c r="F434" t="s">
        <v>27</v>
      </c>
      <c r="G434" s="1">
        <v>44197</v>
      </c>
      <c r="H434" s="1">
        <v>44197</v>
      </c>
      <c r="I434" t="s">
        <v>665</v>
      </c>
      <c r="J434" t="s">
        <v>666</v>
      </c>
      <c r="K434" t="s">
        <v>958</v>
      </c>
      <c r="L434" t="s">
        <v>863</v>
      </c>
      <c r="M434" t="s">
        <v>1459</v>
      </c>
      <c r="N434" t="s">
        <v>1460</v>
      </c>
      <c r="O434" t="s">
        <v>1459</v>
      </c>
      <c r="P434" t="s">
        <v>1460</v>
      </c>
      <c r="Q434" t="s">
        <v>975</v>
      </c>
      <c r="R434" t="s">
        <v>976</v>
      </c>
      <c r="S434" t="s">
        <v>550</v>
      </c>
      <c r="T434" t="s">
        <v>550</v>
      </c>
      <c r="U434" t="s">
        <v>550</v>
      </c>
      <c r="V434" t="s">
        <v>2122</v>
      </c>
      <c r="W434" t="s">
        <v>1014</v>
      </c>
      <c r="X434" t="s">
        <v>870</v>
      </c>
      <c r="Y434" t="s">
        <v>1462</v>
      </c>
      <c r="Z434" t="s">
        <v>2120</v>
      </c>
    </row>
    <row r="435" spans="1:26" x14ac:dyDescent="0.3">
      <c r="A435" t="s">
        <v>525</v>
      </c>
      <c r="B435" t="s">
        <v>2123</v>
      </c>
      <c r="C435" t="s">
        <v>2124</v>
      </c>
      <c r="D435" t="s">
        <v>2120</v>
      </c>
      <c r="E435" t="s">
        <v>664</v>
      </c>
      <c r="F435" t="s">
        <v>27</v>
      </c>
      <c r="G435" s="1">
        <v>44197</v>
      </c>
      <c r="H435" s="1">
        <v>44327</v>
      </c>
      <c r="I435" t="s">
        <v>665</v>
      </c>
      <c r="J435" t="s">
        <v>666</v>
      </c>
      <c r="K435" t="s">
        <v>958</v>
      </c>
      <c r="L435" t="s">
        <v>863</v>
      </c>
      <c r="M435" t="s">
        <v>1459</v>
      </c>
      <c r="N435" t="s">
        <v>1460</v>
      </c>
      <c r="O435" t="s">
        <v>1459</v>
      </c>
      <c r="P435" t="s">
        <v>1460</v>
      </c>
      <c r="Q435" t="s">
        <v>975</v>
      </c>
      <c r="R435" t="s">
        <v>976</v>
      </c>
      <c r="S435" t="s">
        <v>550</v>
      </c>
      <c r="T435" t="s">
        <v>550</v>
      </c>
      <c r="U435" t="s">
        <v>550</v>
      </c>
      <c r="V435" t="s">
        <v>2125</v>
      </c>
      <c r="W435" t="s">
        <v>1014</v>
      </c>
      <c r="X435" t="s">
        <v>870</v>
      </c>
      <c r="Y435" t="s">
        <v>1462</v>
      </c>
      <c r="Z435" t="s">
        <v>2123</v>
      </c>
    </row>
    <row r="436" spans="1:26" x14ac:dyDescent="0.3">
      <c r="A436" t="s">
        <v>525</v>
      </c>
      <c r="B436" t="s">
        <v>2126</v>
      </c>
      <c r="C436" t="s">
        <v>2127</v>
      </c>
      <c r="D436" t="s">
        <v>550</v>
      </c>
      <c r="E436" t="s">
        <v>2128</v>
      </c>
      <c r="F436" t="s">
        <v>2129</v>
      </c>
      <c r="G436" s="1">
        <v>43467</v>
      </c>
      <c r="H436" s="1">
        <v>43830</v>
      </c>
      <c r="I436" t="s">
        <v>665</v>
      </c>
      <c r="J436" t="s">
        <v>2130</v>
      </c>
      <c r="K436" t="s">
        <v>808</v>
      </c>
      <c r="L436" t="s">
        <v>863</v>
      </c>
      <c r="M436" t="s">
        <v>1459</v>
      </c>
      <c r="N436" t="s">
        <v>1460</v>
      </c>
      <c r="O436" t="s">
        <v>1459</v>
      </c>
      <c r="P436" t="s">
        <v>1460</v>
      </c>
      <c r="Q436" t="s">
        <v>975</v>
      </c>
      <c r="R436" t="s">
        <v>976</v>
      </c>
      <c r="S436" t="s">
        <v>550</v>
      </c>
      <c r="T436" t="s">
        <v>550</v>
      </c>
      <c r="U436" t="s">
        <v>550</v>
      </c>
      <c r="V436" t="s">
        <v>2131</v>
      </c>
      <c r="W436" t="s">
        <v>869</v>
      </c>
      <c r="X436" t="s">
        <v>870</v>
      </c>
      <c r="Y436" t="s">
        <v>847</v>
      </c>
      <c r="Z436" t="s">
        <v>2126</v>
      </c>
    </row>
    <row r="437" spans="1:26" x14ac:dyDescent="0.3">
      <c r="A437" t="s">
        <v>525</v>
      </c>
      <c r="B437" t="s">
        <v>2132</v>
      </c>
      <c r="C437" t="s">
        <v>2133</v>
      </c>
      <c r="D437" t="s">
        <v>2126</v>
      </c>
      <c r="E437" t="s">
        <v>2128</v>
      </c>
      <c r="F437" t="s">
        <v>2129</v>
      </c>
      <c r="G437" s="1">
        <v>43831</v>
      </c>
      <c r="H437" s="1">
        <v>43833</v>
      </c>
      <c r="I437" t="s">
        <v>665</v>
      </c>
      <c r="J437" t="s">
        <v>2130</v>
      </c>
      <c r="K437" t="s">
        <v>808</v>
      </c>
      <c r="L437" t="s">
        <v>863</v>
      </c>
      <c r="M437" t="s">
        <v>1459</v>
      </c>
      <c r="N437" t="s">
        <v>1460</v>
      </c>
      <c r="O437" t="s">
        <v>1459</v>
      </c>
      <c r="P437" t="s">
        <v>1460</v>
      </c>
      <c r="Q437" t="s">
        <v>975</v>
      </c>
      <c r="R437" t="s">
        <v>976</v>
      </c>
      <c r="S437" t="s">
        <v>550</v>
      </c>
      <c r="T437" t="s">
        <v>550</v>
      </c>
      <c r="U437" t="s">
        <v>550</v>
      </c>
      <c r="V437" t="s">
        <v>2134</v>
      </c>
      <c r="W437" t="s">
        <v>869</v>
      </c>
      <c r="X437" t="s">
        <v>870</v>
      </c>
      <c r="Y437" t="s">
        <v>847</v>
      </c>
      <c r="Z437" t="s">
        <v>2132</v>
      </c>
    </row>
    <row r="438" spans="1:26" x14ac:dyDescent="0.3">
      <c r="A438" t="s">
        <v>525</v>
      </c>
      <c r="B438" t="s">
        <v>2135</v>
      </c>
      <c r="C438" t="s">
        <v>2136</v>
      </c>
      <c r="D438" t="s">
        <v>550</v>
      </c>
      <c r="E438" t="s">
        <v>664</v>
      </c>
      <c r="F438" t="s">
        <v>27</v>
      </c>
      <c r="G438" s="1">
        <v>43831</v>
      </c>
      <c r="H438" s="1">
        <v>43847</v>
      </c>
      <c r="I438" t="s">
        <v>665</v>
      </c>
      <c r="J438" t="s">
        <v>666</v>
      </c>
      <c r="K438" t="s">
        <v>24</v>
      </c>
      <c r="L438" t="s">
        <v>863</v>
      </c>
      <c r="M438" t="s">
        <v>1459</v>
      </c>
      <c r="N438" t="s">
        <v>1460</v>
      </c>
      <c r="O438" t="s">
        <v>1459</v>
      </c>
      <c r="P438" t="s">
        <v>1460</v>
      </c>
      <c r="Q438" t="s">
        <v>975</v>
      </c>
      <c r="R438" t="s">
        <v>976</v>
      </c>
      <c r="S438" t="s">
        <v>550</v>
      </c>
      <c r="T438" t="s">
        <v>550</v>
      </c>
      <c r="U438" t="s">
        <v>550</v>
      </c>
      <c r="V438" t="s">
        <v>2137</v>
      </c>
      <c r="W438" t="s">
        <v>869</v>
      </c>
      <c r="X438" t="s">
        <v>870</v>
      </c>
      <c r="Y438" t="s">
        <v>847</v>
      </c>
      <c r="Z438" t="s">
        <v>2135</v>
      </c>
    </row>
    <row r="439" spans="1:26" x14ac:dyDescent="0.3">
      <c r="A439" t="s">
        <v>525</v>
      </c>
      <c r="B439" t="s">
        <v>2138</v>
      </c>
      <c r="C439" t="s">
        <v>2139</v>
      </c>
      <c r="D439" t="s">
        <v>550</v>
      </c>
      <c r="E439" t="s">
        <v>2140</v>
      </c>
      <c r="F439" t="s">
        <v>2141</v>
      </c>
      <c r="G439" s="1">
        <v>43831</v>
      </c>
      <c r="H439" s="1">
        <v>43840</v>
      </c>
      <c r="I439" t="s">
        <v>665</v>
      </c>
      <c r="J439" t="s">
        <v>2142</v>
      </c>
      <c r="K439" t="s">
        <v>808</v>
      </c>
      <c r="L439" t="s">
        <v>863</v>
      </c>
      <c r="M439" t="s">
        <v>1459</v>
      </c>
      <c r="N439" t="s">
        <v>1460</v>
      </c>
      <c r="O439" t="s">
        <v>1459</v>
      </c>
      <c r="P439" t="s">
        <v>1460</v>
      </c>
      <c r="Q439" t="s">
        <v>975</v>
      </c>
      <c r="R439" t="s">
        <v>976</v>
      </c>
      <c r="S439" t="s">
        <v>550</v>
      </c>
      <c r="T439" t="s">
        <v>550</v>
      </c>
      <c r="U439" t="s">
        <v>550</v>
      </c>
      <c r="V439" t="s">
        <v>2143</v>
      </c>
      <c r="W439" t="s">
        <v>869</v>
      </c>
      <c r="X439" t="s">
        <v>870</v>
      </c>
      <c r="Y439" t="s">
        <v>847</v>
      </c>
      <c r="Z439" t="s">
        <v>2138</v>
      </c>
    </row>
    <row r="440" spans="1:26" x14ac:dyDescent="0.3">
      <c r="A440" t="s">
        <v>525</v>
      </c>
      <c r="B440" t="s">
        <v>2144</v>
      </c>
      <c r="C440" t="s">
        <v>2145</v>
      </c>
      <c r="D440" t="s">
        <v>550</v>
      </c>
      <c r="E440" t="s">
        <v>2050</v>
      </c>
      <c r="F440" t="s">
        <v>2051</v>
      </c>
      <c r="G440" s="1">
        <v>43831</v>
      </c>
      <c r="H440" s="1">
        <v>44110</v>
      </c>
      <c r="I440" t="s">
        <v>665</v>
      </c>
      <c r="J440" t="s">
        <v>2052</v>
      </c>
      <c r="K440" t="s">
        <v>808</v>
      </c>
      <c r="L440" t="s">
        <v>863</v>
      </c>
      <c r="M440" t="s">
        <v>1459</v>
      </c>
      <c r="N440" t="s">
        <v>1460</v>
      </c>
      <c r="O440" t="s">
        <v>1459</v>
      </c>
      <c r="P440" t="s">
        <v>1460</v>
      </c>
      <c r="Q440" t="s">
        <v>975</v>
      </c>
      <c r="R440" t="s">
        <v>976</v>
      </c>
      <c r="S440" t="s">
        <v>550</v>
      </c>
      <c r="T440" t="s">
        <v>550</v>
      </c>
      <c r="U440" t="s">
        <v>550</v>
      </c>
      <c r="V440" t="s">
        <v>2146</v>
      </c>
      <c r="W440" t="s">
        <v>869</v>
      </c>
      <c r="X440" t="s">
        <v>870</v>
      </c>
      <c r="Y440" t="s">
        <v>847</v>
      </c>
      <c r="Z440" t="s">
        <v>2144</v>
      </c>
    </row>
    <row r="441" spans="1:26" x14ac:dyDescent="0.3">
      <c r="A441" t="s">
        <v>330</v>
      </c>
      <c r="B441" t="s">
        <v>2147</v>
      </c>
      <c r="C441" t="s">
        <v>2148</v>
      </c>
      <c r="D441" t="s">
        <v>2149</v>
      </c>
      <c r="E441" t="s">
        <v>816</v>
      </c>
      <c r="F441" t="s">
        <v>817</v>
      </c>
      <c r="G441" s="1">
        <v>44344</v>
      </c>
      <c r="H441" s="1">
        <v>44460</v>
      </c>
      <c r="I441" t="s">
        <v>665</v>
      </c>
      <c r="J441" t="s">
        <v>816</v>
      </c>
      <c r="K441" t="s">
        <v>900</v>
      </c>
      <c r="L441" t="s">
        <v>901</v>
      </c>
      <c r="M441" t="s">
        <v>2150</v>
      </c>
      <c r="N441" t="s">
        <v>2151</v>
      </c>
      <c r="O441" t="s">
        <v>2150</v>
      </c>
      <c r="P441" t="s">
        <v>2151</v>
      </c>
      <c r="Q441" t="s">
        <v>2152</v>
      </c>
      <c r="R441" t="s">
        <v>2153</v>
      </c>
      <c r="S441" t="s">
        <v>893</v>
      </c>
      <c r="T441" t="s">
        <v>550</v>
      </c>
      <c r="U441" t="s">
        <v>550</v>
      </c>
      <c r="V441" t="s">
        <v>2154</v>
      </c>
      <c r="W441" t="s">
        <v>2155</v>
      </c>
      <c r="X441" t="s">
        <v>908</v>
      </c>
      <c r="Y441" t="s">
        <v>909</v>
      </c>
      <c r="Z441" t="s">
        <v>2149</v>
      </c>
    </row>
    <row r="442" spans="1:26" x14ac:dyDescent="0.3">
      <c r="A442" t="s">
        <v>330</v>
      </c>
      <c r="B442" t="s">
        <v>2156</v>
      </c>
      <c r="C442" t="s">
        <v>2157</v>
      </c>
      <c r="D442" t="s">
        <v>2149</v>
      </c>
      <c r="E442" t="s">
        <v>816</v>
      </c>
      <c r="F442" t="s">
        <v>817</v>
      </c>
      <c r="G442" s="1">
        <v>44197</v>
      </c>
      <c r="H442" s="1">
        <v>44208</v>
      </c>
      <c r="I442" t="s">
        <v>665</v>
      </c>
      <c r="J442" t="s">
        <v>816</v>
      </c>
      <c r="K442" t="s">
        <v>900</v>
      </c>
      <c r="L442" t="s">
        <v>901</v>
      </c>
      <c r="M442" t="s">
        <v>2150</v>
      </c>
      <c r="N442" t="s">
        <v>2151</v>
      </c>
      <c r="O442" t="s">
        <v>2150</v>
      </c>
      <c r="P442" t="s">
        <v>2151</v>
      </c>
      <c r="Q442" t="s">
        <v>2152</v>
      </c>
      <c r="R442" t="s">
        <v>2153</v>
      </c>
      <c r="S442" t="s">
        <v>893</v>
      </c>
      <c r="T442" t="s">
        <v>550</v>
      </c>
      <c r="U442" t="s">
        <v>550</v>
      </c>
      <c r="V442" t="s">
        <v>2154</v>
      </c>
      <c r="W442" t="s">
        <v>2155</v>
      </c>
      <c r="X442" t="s">
        <v>908</v>
      </c>
      <c r="Y442" t="s">
        <v>909</v>
      </c>
      <c r="Z442" t="s">
        <v>2149</v>
      </c>
    </row>
    <row r="443" spans="1:26" x14ac:dyDescent="0.3">
      <c r="A443" t="s">
        <v>330</v>
      </c>
      <c r="B443" t="s">
        <v>2158</v>
      </c>
      <c r="C443" t="s">
        <v>2159</v>
      </c>
      <c r="D443" t="s">
        <v>2149</v>
      </c>
      <c r="E443" t="s">
        <v>816</v>
      </c>
      <c r="F443" t="s">
        <v>817</v>
      </c>
      <c r="G443" s="1">
        <v>44197</v>
      </c>
      <c r="H443" s="1">
        <v>44231</v>
      </c>
      <c r="I443" t="s">
        <v>665</v>
      </c>
      <c r="J443" t="s">
        <v>816</v>
      </c>
      <c r="K443" t="s">
        <v>900</v>
      </c>
      <c r="L443" t="s">
        <v>901</v>
      </c>
      <c r="M443" t="s">
        <v>2150</v>
      </c>
      <c r="N443" t="s">
        <v>2151</v>
      </c>
      <c r="O443" t="s">
        <v>2150</v>
      </c>
      <c r="P443" t="s">
        <v>2151</v>
      </c>
      <c r="Q443" t="s">
        <v>2152</v>
      </c>
      <c r="R443" t="s">
        <v>2153</v>
      </c>
      <c r="S443" t="s">
        <v>893</v>
      </c>
      <c r="T443" t="s">
        <v>550</v>
      </c>
      <c r="U443" t="s">
        <v>550</v>
      </c>
      <c r="V443" t="s">
        <v>2154</v>
      </c>
      <c r="W443" t="s">
        <v>2155</v>
      </c>
      <c r="X443" t="s">
        <v>908</v>
      </c>
      <c r="Y443" t="s">
        <v>909</v>
      </c>
      <c r="Z443" t="s">
        <v>2149</v>
      </c>
    </row>
    <row r="444" spans="1:26" x14ac:dyDescent="0.3">
      <c r="A444" t="s">
        <v>330</v>
      </c>
      <c r="B444" t="s">
        <v>2160</v>
      </c>
      <c r="C444" t="s">
        <v>2161</v>
      </c>
      <c r="D444" t="s">
        <v>2149</v>
      </c>
      <c r="E444" t="s">
        <v>816</v>
      </c>
      <c r="F444" t="s">
        <v>817</v>
      </c>
      <c r="G444" s="1">
        <v>44197</v>
      </c>
      <c r="H444" s="1">
        <v>44231</v>
      </c>
      <c r="I444" t="s">
        <v>665</v>
      </c>
      <c r="J444" t="s">
        <v>816</v>
      </c>
      <c r="K444" t="s">
        <v>900</v>
      </c>
      <c r="L444" t="s">
        <v>901</v>
      </c>
      <c r="M444" t="s">
        <v>2150</v>
      </c>
      <c r="N444" t="s">
        <v>2151</v>
      </c>
      <c r="O444" t="s">
        <v>2150</v>
      </c>
      <c r="P444" t="s">
        <v>2151</v>
      </c>
      <c r="Q444" t="s">
        <v>2152</v>
      </c>
      <c r="R444" t="s">
        <v>2153</v>
      </c>
      <c r="S444" t="s">
        <v>893</v>
      </c>
      <c r="T444" t="s">
        <v>550</v>
      </c>
      <c r="U444" t="s">
        <v>550</v>
      </c>
      <c r="V444" t="s">
        <v>2154</v>
      </c>
      <c r="W444" t="s">
        <v>2155</v>
      </c>
      <c r="X444" t="s">
        <v>908</v>
      </c>
      <c r="Y444" t="s">
        <v>909</v>
      </c>
      <c r="Z444" t="s">
        <v>2149</v>
      </c>
    </row>
    <row r="445" spans="1:26" x14ac:dyDescent="0.3">
      <c r="A445" t="s">
        <v>330</v>
      </c>
      <c r="B445" t="s">
        <v>2162</v>
      </c>
      <c r="C445" t="s">
        <v>2163</v>
      </c>
      <c r="D445" t="s">
        <v>2149</v>
      </c>
      <c r="E445" t="s">
        <v>816</v>
      </c>
      <c r="F445" t="s">
        <v>817</v>
      </c>
      <c r="G445" s="1">
        <v>44197</v>
      </c>
      <c r="H445" s="1">
        <v>44223</v>
      </c>
      <c r="I445" t="s">
        <v>665</v>
      </c>
      <c r="J445" t="s">
        <v>816</v>
      </c>
      <c r="K445" t="s">
        <v>900</v>
      </c>
      <c r="L445" t="s">
        <v>901</v>
      </c>
      <c r="M445" t="s">
        <v>2150</v>
      </c>
      <c r="N445" t="s">
        <v>2151</v>
      </c>
      <c r="O445" t="s">
        <v>2150</v>
      </c>
      <c r="P445" t="s">
        <v>2151</v>
      </c>
      <c r="Q445" t="s">
        <v>2152</v>
      </c>
      <c r="R445" t="s">
        <v>2153</v>
      </c>
      <c r="S445" t="s">
        <v>893</v>
      </c>
      <c r="T445" t="s">
        <v>550</v>
      </c>
      <c r="U445" t="s">
        <v>550</v>
      </c>
      <c r="V445" t="s">
        <v>2164</v>
      </c>
      <c r="W445" t="s">
        <v>2155</v>
      </c>
      <c r="X445" t="s">
        <v>908</v>
      </c>
      <c r="Y445" t="s">
        <v>909</v>
      </c>
      <c r="Z445" t="s">
        <v>2162</v>
      </c>
    </row>
    <row r="446" spans="1:26" x14ac:dyDescent="0.3">
      <c r="A446" t="s">
        <v>330</v>
      </c>
      <c r="B446" t="s">
        <v>2165</v>
      </c>
      <c r="C446" t="s">
        <v>2166</v>
      </c>
      <c r="D446" t="s">
        <v>2149</v>
      </c>
      <c r="E446" t="s">
        <v>816</v>
      </c>
      <c r="F446" t="s">
        <v>817</v>
      </c>
      <c r="G446" s="1">
        <v>44197</v>
      </c>
      <c r="H446" s="1">
        <v>44250</v>
      </c>
      <c r="I446" t="s">
        <v>665</v>
      </c>
      <c r="J446" t="s">
        <v>816</v>
      </c>
      <c r="K446" t="s">
        <v>900</v>
      </c>
      <c r="L446" t="s">
        <v>901</v>
      </c>
      <c r="M446" t="s">
        <v>2150</v>
      </c>
      <c r="N446" t="s">
        <v>2151</v>
      </c>
      <c r="O446" t="s">
        <v>2150</v>
      </c>
      <c r="P446" t="s">
        <v>2151</v>
      </c>
      <c r="Q446" t="s">
        <v>2152</v>
      </c>
      <c r="R446" t="s">
        <v>2153</v>
      </c>
      <c r="S446" t="s">
        <v>893</v>
      </c>
      <c r="T446" t="s">
        <v>550</v>
      </c>
      <c r="U446" t="s">
        <v>550</v>
      </c>
      <c r="V446" t="s">
        <v>2167</v>
      </c>
      <c r="W446" t="s">
        <v>2155</v>
      </c>
      <c r="X446" t="s">
        <v>908</v>
      </c>
      <c r="Y446" t="s">
        <v>909</v>
      </c>
      <c r="Z446" t="s">
        <v>2165</v>
      </c>
    </row>
    <row r="447" spans="1:26" x14ac:dyDescent="0.3">
      <c r="A447" t="s">
        <v>330</v>
      </c>
      <c r="B447" t="s">
        <v>2168</v>
      </c>
      <c r="C447" t="s">
        <v>2169</v>
      </c>
      <c r="D447" t="s">
        <v>2149</v>
      </c>
      <c r="E447" t="s">
        <v>816</v>
      </c>
      <c r="F447" t="s">
        <v>817</v>
      </c>
      <c r="G447" s="1">
        <v>44197</v>
      </c>
      <c r="H447" s="1">
        <v>44263</v>
      </c>
      <c r="I447" t="s">
        <v>665</v>
      </c>
      <c r="J447" t="s">
        <v>816</v>
      </c>
      <c r="K447" t="s">
        <v>900</v>
      </c>
      <c r="L447" t="s">
        <v>901</v>
      </c>
      <c r="M447" t="s">
        <v>2150</v>
      </c>
      <c r="N447" t="s">
        <v>2151</v>
      </c>
      <c r="O447" t="s">
        <v>2150</v>
      </c>
      <c r="P447" t="s">
        <v>2151</v>
      </c>
      <c r="Q447" t="s">
        <v>2152</v>
      </c>
      <c r="R447" t="s">
        <v>2153</v>
      </c>
      <c r="S447" t="s">
        <v>893</v>
      </c>
      <c r="T447" t="s">
        <v>550</v>
      </c>
      <c r="U447" t="s">
        <v>550</v>
      </c>
      <c r="V447" t="s">
        <v>2170</v>
      </c>
      <c r="W447" t="s">
        <v>2155</v>
      </c>
      <c r="X447" t="s">
        <v>908</v>
      </c>
      <c r="Y447" t="s">
        <v>909</v>
      </c>
      <c r="Z447" t="s">
        <v>2168</v>
      </c>
    </row>
    <row r="448" spans="1:26" x14ac:dyDescent="0.3">
      <c r="A448" t="s">
        <v>330</v>
      </c>
      <c r="B448" t="s">
        <v>2171</v>
      </c>
      <c r="C448" t="s">
        <v>2172</v>
      </c>
      <c r="D448" t="s">
        <v>2149</v>
      </c>
      <c r="E448" t="s">
        <v>816</v>
      </c>
      <c r="F448" t="s">
        <v>817</v>
      </c>
      <c r="G448" s="1">
        <v>44197</v>
      </c>
      <c r="H448" s="1">
        <v>44301</v>
      </c>
      <c r="I448" t="s">
        <v>665</v>
      </c>
      <c r="J448" t="s">
        <v>816</v>
      </c>
      <c r="K448" t="s">
        <v>900</v>
      </c>
      <c r="L448" t="s">
        <v>901</v>
      </c>
      <c r="M448" t="s">
        <v>2150</v>
      </c>
      <c r="N448" t="s">
        <v>2151</v>
      </c>
      <c r="O448" t="s">
        <v>2150</v>
      </c>
      <c r="P448" t="s">
        <v>2151</v>
      </c>
      <c r="Q448" t="s">
        <v>2152</v>
      </c>
      <c r="R448" t="s">
        <v>2153</v>
      </c>
      <c r="S448" t="s">
        <v>893</v>
      </c>
      <c r="T448" t="s">
        <v>550</v>
      </c>
      <c r="U448" t="s">
        <v>550</v>
      </c>
      <c r="V448" t="s">
        <v>2173</v>
      </c>
      <c r="W448" t="s">
        <v>2155</v>
      </c>
      <c r="X448" t="s">
        <v>908</v>
      </c>
      <c r="Y448" t="s">
        <v>909</v>
      </c>
      <c r="Z448" t="s">
        <v>2171</v>
      </c>
    </row>
    <row r="449" spans="1:26" x14ac:dyDescent="0.3">
      <c r="A449" t="s">
        <v>330</v>
      </c>
      <c r="B449" t="s">
        <v>2174</v>
      </c>
      <c r="C449" t="s">
        <v>2175</v>
      </c>
      <c r="D449" t="s">
        <v>2149</v>
      </c>
      <c r="E449" t="s">
        <v>816</v>
      </c>
      <c r="F449" t="s">
        <v>817</v>
      </c>
      <c r="G449" s="1">
        <v>44197</v>
      </c>
      <c r="H449" s="1">
        <v>44406</v>
      </c>
      <c r="I449" t="s">
        <v>665</v>
      </c>
      <c r="J449" t="s">
        <v>816</v>
      </c>
      <c r="K449" t="s">
        <v>900</v>
      </c>
      <c r="L449" t="s">
        <v>901</v>
      </c>
      <c r="M449" t="s">
        <v>2150</v>
      </c>
      <c r="N449" t="s">
        <v>2151</v>
      </c>
      <c r="O449" t="s">
        <v>2150</v>
      </c>
      <c r="P449" t="s">
        <v>2151</v>
      </c>
      <c r="Q449" t="s">
        <v>2152</v>
      </c>
      <c r="R449" t="s">
        <v>2153</v>
      </c>
      <c r="S449" t="s">
        <v>893</v>
      </c>
      <c r="T449" t="s">
        <v>550</v>
      </c>
      <c r="U449" t="s">
        <v>550</v>
      </c>
      <c r="V449" t="s">
        <v>2176</v>
      </c>
      <c r="W449" t="s">
        <v>2155</v>
      </c>
      <c r="X449" t="s">
        <v>908</v>
      </c>
      <c r="Y449" t="s">
        <v>909</v>
      </c>
      <c r="Z449" t="s">
        <v>2174</v>
      </c>
    </row>
    <row r="450" spans="1:26" x14ac:dyDescent="0.3">
      <c r="A450" t="s">
        <v>330</v>
      </c>
      <c r="B450" t="s">
        <v>2177</v>
      </c>
      <c r="C450" t="s">
        <v>2178</v>
      </c>
      <c r="D450" t="s">
        <v>2149</v>
      </c>
      <c r="E450" t="s">
        <v>816</v>
      </c>
      <c r="F450" t="s">
        <v>817</v>
      </c>
      <c r="G450" s="1">
        <v>44344</v>
      </c>
      <c r="H450" s="1">
        <v>44432</v>
      </c>
      <c r="I450" t="s">
        <v>665</v>
      </c>
      <c r="J450" t="s">
        <v>816</v>
      </c>
      <c r="K450" t="s">
        <v>900</v>
      </c>
      <c r="L450" t="s">
        <v>901</v>
      </c>
      <c r="M450" t="s">
        <v>2150</v>
      </c>
      <c r="N450" t="s">
        <v>2151</v>
      </c>
      <c r="O450" t="s">
        <v>2150</v>
      </c>
      <c r="P450" t="s">
        <v>2151</v>
      </c>
      <c r="Q450" t="s">
        <v>2152</v>
      </c>
      <c r="R450" t="s">
        <v>2153</v>
      </c>
      <c r="S450" t="s">
        <v>893</v>
      </c>
      <c r="T450" t="s">
        <v>550</v>
      </c>
      <c r="U450" t="s">
        <v>550</v>
      </c>
      <c r="V450" t="s">
        <v>2179</v>
      </c>
      <c r="W450" t="s">
        <v>2155</v>
      </c>
      <c r="X450" t="s">
        <v>908</v>
      </c>
      <c r="Y450" t="s">
        <v>909</v>
      </c>
      <c r="Z450" t="s">
        <v>2177</v>
      </c>
    </row>
    <row r="451" spans="1:26" x14ac:dyDescent="0.3">
      <c r="A451" t="s">
        <v>330</v>
      </c>
      <c r="B451" t="s">
        <v>2180</v>
      </c>
      <c r="C451" t="s">
        <v>2181</v>
      </c>
      <c r="D451" t="s">
        <v>2149</v>
      </c>
      <c r="E451" t="s">
        <v>816</v>
      </c>
      <c r="F451" t="s">
        <v>817</v>
      </c>
      <c r="G451" s="1">
        <v>44344</v>
      </c>
      <c r="H451" s="1">
        <v>44424</v>
      </c>
      <c r="I451" t="s">
        <v>665</v>
      </c>
      <c r="J451" t="s">
        <v>816</v>
      </c>
      <c r="K451" t="s">
        <v>900</v>
      </c>
      <c r="L451" t="s">
        <v>901</v>
      </c>
      <c r="M451" t="s">
        <v>2150</v>
      </c>
      <c r="N451" t="s">
        <v>2151</v>
      </c>
      <c r="O451" t="s">
        <v>2150</v>
      </c>
      <c r="P451" t="s">
        <v>2151</v>
      </c>
      <c r="Q451" t="s">
        <v>2152</v>
      </c>
      <c r="R451" t="s">
        <v>2153</v>
      </c>
      <c r="S451" t="s">
        <v>893</v>
      </c>
      <c r="T451" t="s">
        <v>550</v>
      </c>
      <c r="U451" t="s">
        <v>550</v>
      </c>
      <c r="V451" t="s">
        <v>2182</v>
      </c>
      <c r="W451" t="s">
        <v>2155</v>
      </c>
      <c r="X451" t="s">
        <v>908</v>
      </c>
      <c r="Y451" t="s">
        <v>909</v>
      </c>
      <c r="Z451" t="s">
        <v>2180</v>
      </c>
    </row>
    <row r="452" spans="1:26" x14ac:dyDescent="0.3">
      <c r="A452" t="s">
        <v>330</v>
      </c>
      <c r="B452" t="s">
        <v>2183</v>
      </c>
      <c r="C452" t="s">
        <v>2184</v>
      </c>
      <c r="D452" t="s">
        <v>2149</v>
      </c>
      <c r="E452" t="s">
        <v>816</v>
      </c>
      <c r="F452" t="s">
        <v>817</v>
      </c>
      <c r="G452" s="1">
        <v>44344</v>
      </c>
      <c r="H452" s="1">
        <v>44378</v>
      </c>
      <c r="I452" t="s">
        <v>665</v>
      </c>
      <c r="J452" t="s">
        <v>816</v>
      </c>
      <c r="K452" t="s">
        <v>900</v>
      </c>
      <c r="L452" t="s">
        <v>901</v>
      </c>
      <c r="M452" t="s">
        <v>2150</v>
      </c>
      <c r="N452" t="s">
        <v>2151</v>
      </c>
      <c r="O452" t="s">
        <v>2150</v>
      </c>
      <c r="P452" t="s">
        <v>2151</v>
      </c>
      <c r="Q452" t="s">
        <v>2152</v>
      </c>
      <c r="R452" t="s">
        <v>2153</v>
      </c>
      <c r="S452" t="s">
        <v>893</v>
      </c>
      <c r="T452" t="s">
        <v>550</v>
      </c>
      <c r="U452" t="s">
        <v>550</v>
      </c>
      <c r="V452" t="s">
        <v>2185</v>
      </c>
      <c r="W452" t="s">
        <v>2155</v>
      </c>
      <c r="X452" t="s">
        <v>908</v>
      </c>
      <c r="Y452" t="s">
        <v>909</v>
      </c>
      <c r="Z452" t="s">
        <v>2183</v>
      </c>
    </row>
    <row r="453" spans="1:26" x14ac:dyDescent="0.3">
      <c r="A453" t="s">
        <v>330</v>
      </c>
      <c r="B453" t="s">
        <v>2186</v>
      </c>
      <c r="C453" t="s">
        <v>2187</v>
      </c>
      <c r="D453" t="s">
        <v>2149</v>
      </c>
      <c r="E453" t="s">
        <v>816</v>
      </c>
      <c r="F453" t="s">
        <v>817</v>
      </c>
      <c r="G453" s="1">
        <v>44344</v>
      </c>
      <c r="H453" s="1">
        <v>44413</v>
      </c>
      <c r="I453" t="s">
        <v>665</v>
      </c>
      <c r="J453" t="s">
        <v>816</v>
      </c>
      <c r="K453" t="s">
        <v>900</v>
      </c>
      <c r="L453" t="s">
        <v>901</v>
      </c>
      <c r="M453" t="s">
        <v>2150</v>
      </c>
      <c r="N453" t="s">
        <v>2151</v>
      </c>
      <c r="O453" t="s">
        <v>2150</v>
      </c>
      <c r="P453" t="s">
        <v>2151</v>
      </c>
      <c r="Q453" t="s">
        <v>2152</v>
      </c>
      <c r="R453" t="s">
        <v>2153</v>
      </c>
      <c r="S453" t="s">
        <v>893</v>
      </c>
      <c r="T453" t="s">
        <v>550</v>
      </c>
      <c r="U453" t="s">
        <v>550</v>
      </c>
      <c r="V453" t="s">
        <v>2188</v>
      </c>
      <c r="W453" t="s">
        <v>2155</v>
      </c>
      <c r="X453" t="s">
        <v>908</v>
      </c>
      <c r="Y453" t="s">
        <v>909</v>
      </c>
      <c r="Z453" t="s">
        <v>2186</v>
      </c>
    </row>
    <row r="454" spans="1:26" x14ac:dyDescent="0.3">
      <c r="A454" t="s">
        <v>330</v>
      </c>
      <c r="B454" t="s">
        <v>2189</v>
      </c>
      <c r="C454" t="s">
        <v>2190</v>
      </c>
      <c r="D454" t="s">
        <v>2149</v>
      </c>
      <c r="E454" t="s">
        <v>816</v>
      </c>
      <c r="F454" t="s">
        <v>817</v>
      </c>
      <c r="G454" s="1">
        <v>44344</v>
      </c>
      <c r="H454" s="1">
        <v>44389</v>
      </c>
      <c r="I454" t="s">
        <v>665</v>
      </c>
      <c r="J454" t="s">
        <v>816</v>
      </c>
      <c r="K454" t="s">
        <v>900</v>
      </c>
      <c r="L454" t="s">
        <v>901</v>
      </c>
      <c r="M454" t="s">
        <v>2150</v>
      </c>
      <c r="N454" t="s">
        <v>2151</v>
      </c>
      <c r="O454" t="s">
        <v>2150</v>
      </c>
      <c r="P454" t="s">
        <v>2151</v>
      </c>
      <c r="Q454" t="s">
        <v>2152</v>
      </c>
      <c r="R454" t="s">
        <v>2153</v>
      </c>
      <c r="S454" t="s">
        <v>893</v>
      </c>
      <c r="T454" t="s">
        <v>550</v>
      </c>
      <c r="U454" t="s">
        <v>550</v>
      </c>
      <c r="V454" t="s">
        <v>2191</v>
      </c>
      <c r="W454" t="s">
        <v>2155</v>
      </c>
      <c r="X454" t="s">
        <v>908</v>
      </c>
      <c r="Y454" t="s">
        <v>909</v>
      </c>
      <c r="Z454" t="s">
        <v>2189</v>
      </c>
    </row>
    <row r="455" spans="1:26" x14ac:dyDescent="0.3">
      <c r="A455" t="s">
        <v>330</v>
      </c>
      <c r="B455" t="s">
        <v>2192</v>
      </c>
      <c r="C455" t="s">
        <v>2193</v>
      </c>
      <c r="D455" t="s">
        <v>2149</v>
      </c>
      <c r="E455" t="s">
        <v>816</v>
      </c>
      <c r="F455" t="s">
        <v>817</v>
      </c>
      <c r="G455" s="1">
        <v>44361</v>
      </c>
      <c r="H455" s="1">
        <v>44379</v>
      </c>
      <c r="I455" t="s">
        <v>665</v>
      </c>
      <c r="J455" t="s">
        <v>816</v>
      </c>
      <c r="K455" t="s">
        <v>900</v>
      </c>
      <c r="L455" t="s">
        <v>901</v>
      </c>
      <c r="M455" t="s">
        <v>2150</v>
      </c>
      <c r="N455" t="s">
        <v>2151</v>
      </c>
      <c r="O455" t="s">
        <v>2150</v>
      </c>
      <c r="P455" t="s">
        <v>2151</v>
      </c>
      <c r="Q455" t="s">
        <v>2152</v>
      </c>
      <c r="R455" t="s">
        <v>2153</v>
      </c>
      <c r="S455" t="s">
        <v>893</v>
      </c>
      <c r="T455" t="s">
        <v>550</v>
      </c>
      <c r="U455" t="s">
        <v>550</v>
      </c>
      <c r="V455" t="s">
        <v>2194</v>
      </c>
      <c r="W455" t="s">
        <v>2155</v>
      </c>
      <c r="X455" t="s">
        <v>908</v>
      </c>
      <c r="Y455" t="s">
        <v>909</v>
      </c>
      <c r="Z455" t="s">
        <v>2192</v>
      </c>
    </row>
    <row r="456" spans="1:26" x14ac:dyDescent="0.3">
      <c r="A456" t="s">
        <v>330</v>
      </c>
      <c r="B456" t="s">
        <v>2149</v>
      </c>
      <c r="C456" t="s">
        <v>2195</v>
      </c>
      <c r="D456" t="s">
        <v>550</v>
      </c>
      <c r="E456" t="s">
        <v>816</v>
      </c>
      <c r="F456" t="s">
        <v>817</v>
      </c>
      <c r="G456" s="1">
        <v>44197</v>
      </c>
      <c r="H456" s="1">
        <v>44197</v>
      </c>
      <c r="I456" t="s">
        <v>665</v>
      </c>
      <c r="J456" t="s">
        <v>816</v>
      </c>
      <c r="K456" t="s">
        <v>900</v>
      </c>
      <c r="L456" t="s">
        <v>901</v>
      </c>
      <c r="M456" t="s">
        <v>2196</v>
      </c>
      <c r="N456" t="s">
        <v>2197</v>
      </c>
      <c r="O456" t="s">
        <v>2150</v>
      </c>
      <c r="P456" t="s">
        <v>2151</v>
      </c>
      <c r="Q456" t="s">
        <v>2152</v>
      </c>
      <c r="R456" t="s">
        <v>2153</v>
      </c>
      <c r="S456" t="s">
        <v>893</v>
      </c>
      <c r="T456" t="s">
        <v>550</v>
      </c>
      <c r="U456" t="s">
        <v>550</v>
      </c>
      <c r="V456" t="s">
        <v>2154</v>
      </c>
      <c r="W456" t="s">
        <v>2155</v>
      </c>
      <c r="X456" t="s">
        <v>908</v>
      </c>
      <c r="Y456" t="s">
        <v>909</v>
      </c>
      <c r="Z456" t="s">
        <v>2149</v>
      </c>
    </row>
    <row r="457" spans="1:26" x14ac:dyDescent="0.3">
      <c r="A457" t="s">
        <v>330</v>
      </c>
      <c r="B457" t="s">
        <v>2198</v>
      </c>
      <c r="C457" t="s">
        <v>2199</v>
      </c>
      <c r="D457" t="s">
        <v>550</v>
      </c>
      <c r="E457" t="s">
        <v>816</v>
      </c>
      <c r="F457" t="s">
        <v>817</v>
      </c>
      <c r="G457" s="1">
        <v>46023</v>
      </c>
      <c r="H457" s="1">
        <v>46023</v>
      </c>
      <c r="I457" t="s">
        <v>551</v>
      </c>
      <c r="J457" t="s">
        <v>816</v>
      </c>
      <c r="K457" t="s">
        <v>900</v>
      </c>
      <c r="L457" t="s">
        <v>2200</v>
      </c>
      <c r="M457" t="s">
        <v>2201</v>
      </c>
      <c r="N457" t="s">
        <v>2202</v>
      </c>
      <c r="O457" t="s">
        <v>2203</v>
      </c>
      <c r="P457" t="s">
        <v>2204</v>
      </c>
      <c r="Q457" t="s">
        <v>2205</v>
      </c>
      <c r="R457" t="s">
        <v>2206</v>
      </c>
      <c r="S457" t="s">
        <v>550</v>
      </c>
      <c r="T457" t="s">
        <v>550</v>
      </c>
      <c r="U457" t="s">
        <v>550</v>
      </c>
      <c r="V457" t="s">
        <v>2207</v>
      </c>
      <c r="W457" t="s">
        <v>941</v>
      </c>
      <c r="Z457" t="s">
        <v>2198</v>
      </c>
    </row>
    <row r="458" spans="1:26" x14ac:dyDescent="0.3">
      <c r="A458" t="s">
        <v>330</v>
      </c>
      <c r="B458" t="s">
        <v>2208</v>
      </c>
      <c r="C458" t="s">
        <v>2209</v>
      </c>
      <c r="D458" t="s">
        <v>2198</v>
      </c>
      <c r="E458" t="s">
        <v>816</v>
      </c>
      <c r="F458" t="s">
        <v>817</v>
      </c>
      <c r="G458" s="1">
        <v>46023</v>
      </c>
      <c r="H458" s="1">
        <v>46023</v>
      </c>
      <c r="I458" t="s">
        <v>551</v>
      </c>
      <c r="J458" t="s">
        <v>816</v>
      </c>
      <c r="K458" t="s">
        <v>900</v>
      </c>
      <c r="L458" t="s">
        <v>2200</v>
      </c>
      <c r="M458" t="s">
        <v>2201</v>
      </c>
      <c r="N458" t="s">
        <v>2202</v>
      </c>
      <c r="O458" t="s">
        <v>2203</v>
      </c>
      <c r="P458" t="s">
        <v>2204</v>
      </c>
      <c r="Q458" t="s">
        <v>2205</v>
      </c>
      <c r="R458" t="s">
        <v>2206</v>
      </c>
      <c r="S458" t="s">
        <v>550</v>
      </c>
      <c r="T458" t="s">
        <v>550</v>
      </c>
      <c r="U458" t="s">
        <v>550</v>
      </c>
      <c r="V458" t="s">
        <v>2210</v>
      </c>
      <c r="W458" t="s">
        <v>941</v>
      </c>
      <c r="Z458" t="s">
        <v>2208</v>
      </c>
    </row>
    <row r="459" spans="1:26" x14ac:dyDescent="0.3">
      <c r="A459" t="s">
        <v>525</v>
      </c>
      <c r="B459" t="s">
        <v>2211</v>
      </c>
      <c r="C459" t="s">
        <v>2212</v>
      </c>
      <c r="D459" t="s">
        <v>550</v>
      </c>
      <c r="E459" t="s">
        <v>664</v>
      </c>
      <c r="F459" t="s">
        <v>27</v>
      </c>
      <c r="G459" s="1">
        <v>43831</v>
      </c>
      <c r="H459" s="1">
        <v>43831</v>
      </c>
      <c r="I459" t="s">
        <v>665</v>
      </c>
      <c r="J459" t="s">
        <v>666</v>
      </c>
      <c r="K459" t="s">
        <v>24</v>
      </c>
      <c r="L459" t="s">
        <v>667</v>
      </c>
      <c r="M459" t="s">
        <v>1030</v>
      </c>
      <c r="N459" t="s">
        <v>255</v>
      </c>
      <c r="O459" t="s">
        <v>1031</v>
      </c>
      <c r="P459" t="s">
        <v>239</v>
      </c>
      <c r="Q459" t="s">
        <v>2213</v>
      </c>
      <c r="R459" t="s">
        <v>237</v>
      </c>
      <c r="S459" t="s">
        <v>550</v>
      </c>
      <c r="T459" t="s">
        <v>550</v>
      </c>
      <c r="U459" t="s">
        <v>550</v>
      </c>
      <c r="V459" t="s">
        <v>2214</v>
      </c>
      <c r="W459" t="s">
        <v>613</v>
      </c>
      <c r="X459" t="s">
        <v>74</v>
      </c>
      <c r="Y459" t="s">
        <v>786</v>
      </c>
      <c r="Z459" t="s">
        <v>2211</v>
      </c>
    </row>
    <row r="460" spans="1:26" x14ac:dyDescent="0.3">
      <c r="A460" t="s">
        <v>525</v>
      </c>
      <c r="B460" t="s">
        <v>2215</v>
      </c>
      <c r="C460" t="s">
        <v>2216</v>
      </c>
      <c r="D460" t="s">
        <v>550</v>
      </c>
      <c r="E460" t="s">
        <v>664</v>
      </c>
      <c r="F460" t="s">
        <v>27</v>
      </c>
      <c r="G460" s="1">
        <v>43831</v>
      </c>
      <c r="H460" s="1">
        <v>44005</v>
      </c>
      <c r="I460" t="s">
        <v>665</v>
      </c>
      <c r="J460" t="s">
        <v>666</v>
      </c>
      <c r="K460" t="s">
        <v>24</v>
      </c>
      <c r="L460" t="s">
        <v>667</v>
      </c>
      <c r="M460" t="s">
        <v>797</v>
      </c>
      <c r="N460" t="s">
        <v>313</v>
      </c>
      <c r="O460" t="s">
        <v>2217</v>
      </c>
      <c r="P460" t="s">
        <v>2218</v>
      </c>
      <c r="Q460" t="s">
        <v>2213</v>
      </c>
      <c r="R460" t="s">
        <v>237</v>
      </c>
      <c r="S460" t="s">
        <v>550</v>
      </c>
      <c r="T460" t="s">
        <v>893</v>
      </c>
      <c r="U460" t="s">
        <v>550</v>
      </c>
      <c r="V460" t="s">
        <v>2219</v>
      </c>
      <c r="W460" t="s">
        <v>554</v>
      </c>
      <c r="X460" t="s">
        <v>669</v>
      </c>
      <c r="Y460" t="s">
        <v>799</v>
      </c>
      <c r="Z460" t="s">
        <v>2215</v>
      </c>
    </row>
    <row r="461" spans="1:26" x14ac:dyDescent="0.3">
      <c r="A461" t="s">
        <v>525</v>
      </c>
      <c r="B461" t="s">
        <v>2220</v>
      </c>
      <c r="C461" t="s">
        <v>2221</v>
      </c>
      <c r="D461" t="s">
        <v>2222</v>
      </c>
      <c r="E461" t="s">
        <v>664</v>
      </c>
      <c r="F461" t="s">
        <v>27</v>
      </c>
      <c r="G461" s="1">
        <v>45658</v>
      </c>
      <c r="H461" s="1">
        <v>45658</v>
      </c>
      <c r="I461" t="s">
        <v>665</v>
      </c>
      <c r="J461" t="s">
        <v>666</v>
      </c>
      <c r="K461" t="s">
        <v>24</v>
      </c>
      <c r="L461" t="s">
        <v>217</v>
      </c>
      <c r="M461" t="s">
        <v>2223</v>
      </c>
      <c r="N461" t="s">
        <v>310</v>
      </c>
      <c r="O461" t="s">
        <v>2223</v>
      </c>
      <c r="P461" t="s">
        <v>310</v>
      </c>
      <c r="Q461" t="s">
        <v>2213</v>
      </c>
      <c r="R461" t="s">
        <v>237</v>
      </c>
      <c r="S461" t="s">
        <v>783</v>
      </c>
      <c r="T461" t="s">
        <v>550</v>
      </c>
      <c r="U461" t="s">
        <v>550</v>
      </c>
      <c r="V461" t="s">
        <v>2224</v>
      </c>
      <c r="W461" t="s">
        <v>835</v>
      </c>
      <c r="Z461" t="s">
        <v>2220</v>
      </c>
    </row>
    <row r="462" spans="1:26" x14ac:dyDescent="0.3">
      <c r="A462" t="s">
        <v>525</v>
      </c>
      <c r="B462" t="s">
        <v>2225</v>
      </c>
      <c r="C462" t="s">
        <v>1859</v>
      </c>
      <c r="D462" t="s">
        <v>550</v>
      </c>
      <c r="E462" t="s">
        <v>1039</v>
      </c>
      <c r="F462" t="s">
        <v>1040</v>
      </c>
      <c r="G462" s="1">
        <v>46024</v>
      </c>
      <c r="H462" s="1">
        <v>46024</v>
      </c>
      <c r="I462" t="s">
        <v>780</v>
      </c>
      <c r="J462" t="s">
        <v>1041</v>
      </c>
      <c r="K462" t="s">
        <v>24</v>
      </c>
      <c r="L462" t="s">
        <v>216</v>
      </c>
      <c r="M462" t="s">
        <v>2226</v>
      </c>
      <c r="N462" t="s">
        <v>294</v>
      </c>
      <c r="O462" t="s">
        <v>2227</v>
      </c>
      <c r="P462" t="s">
        <v>270</v>
      </c>
      <c r="Q462" t="s">
        <v>2213</v>
      </c>
      <c r="R462" t="s">
        <v>237</v>
      </c>
      <c r="S462" t="s">
        <v>783</v>
      </c>
      <c r="T462" t="s">
        <v>550</v>
      </c>
      <c r="U462" t="s">
        <v>550</v>
      </c>
      <c r="V462" t="s">
        <v>2228</v>
      </c>
      <c r="W462" t="s">
        <v>613</v>
      </c>
      <c r="X462" t="s">
        <v>276</v>
      </c>
      <c r="Y462" t="s">
        <v>282</v>
      </c>
      <c r="Z462" t="s">
        <v>2225</v>
      </c>
    </row>
    <row r="463" spans="1:26" x14ac:dyDescent="0.3">
      <c r="A463" t="s">
        <v>525</v>
      </c>
      <c r="B463" t="s">
        <v>2229</v>
      </c>
      <c r="C463" t="s">
        <v>2230</v>
      </c>
      <c r="D463" t="s">
        <v>550</v>
      </c>
      <c r="E463" t="s">
        <v>1039</v>
      </c>
      <c r="F463" t="s">
        <v>1040</v>
      </c>
      <c r="G463" s="1">
        <v>46024</v>
      </c>
      <c r="H463" s="1">
        <v>46024</v>
      </c>
      <c r="I463" t="s">
        <v>780</v>
      </c>
      <c r="J463" t="s">
        <v>1041</v>
      </c>
      <c r="K463" t="s">
        <v>24</v>
      </c>
      <c r="L463" t="s">
        <v>216</v>
      </c>
      <c r="M463" t="s">
        <v>2226</v>
      </c>
      <c r="N463" t="s">
        <v>294</v>
      </c>
      <c r="O463" t="s">
        <v>2227</v>
      </c>
      <c r="P463" t="s">
        <v>270</v>
      </c>
      <c r="Q463" t="s">
        <v>2213</v>
      </c>
      <c r="R463" t="s">
        <v>237</v>
      </c>
      <c r="S463" t="s">
        <v>1471</v>
      </c>
      <c r="T463" t="s">
        <v>550</v>
      </c>
      <c r="U463" t="s">
        <v>550</v>
      </c>
      <c r="V463" t="s">
        <v>2231</v>
      </c>
      <c r="W463" t="s">
        <v>613</v>
      </c>
      <c r="X463" t="s">
        <v>276</v>
      </c>
      <c r="Y463" t="s">
        <v>282</v>
      </c>
      <c r="Z463" t="s">
        <v>2229</v>
      </c>
    </row>
    <row r="464" spans="1:26" x14ac:dyDescent="0.3">
      <c r="A464" t="s">
        <v>525</v>
      </c>
      <c r="B464" t="s">
        <v>2232</v>
      </c>
      <c r="C464" t="s">
        <v>2233</v>
      </c>
      <c r="D464" t="s">
        <v>550</v>
      </c>
      <c r="E464" t="s">
        <v>664</v>
      </c>
      <c r="F464" t="s">
        <v>27</v>
      </c>
      <c r="G464" s="1">
        <v>46024</v>
      </c>
      <c r="H464" s="1">
        <v>46024</v>
      </c>
      <c r="I464" t="s">
        <v>780</v>
      </c>
      <c r="J464" t="s">
        <v>666</v>
      </c>
      <c r="K464" t="s">
        <v>24</v>
      </c>
      <c r="L464" t="s">
        <v>217</v>
      </c>
      <c r="M464" t="s">
        <v>2226</v>
      </c>
      <c r="N464" t="s">
        <v>294</v>
      </c>
      <c r="O464" t="s">
        <v>2227</v>
      </c>
      <c r="P464" t="s">
        <v>270</v>
      </c>
      <c r="Q464" t="s">
        <v>2213</v>
      </c>
      <c r="R464" t="s">
        <v>237</v>
      </c>
      <c r="S464" t="s">
        <v>783</v>
      </c>
      <c r="T464" t="s">
        <v>550</v>
      </c>
      <c r="U464" t="s">
        <v>550</v>
      </c>
      <c r="V464" t="s">
        <v>2234</v>
      </c>
      <c r="W464" t="s">
        <v>613</v>
      </c>
      <c r="X464" t="s">
        <v>276</v>
      </c>
      <c r="Z464" t="s">
        <v>2232</v>
      </c>
    </row>
    <row r="465" spans="1:26" x14ac:dyDescent="0.3">
      <c r="A465" t="s">
        <v>525</v>
      </c>
      <c r="B465" t="s">
        <v>2235</v>
      </c>
      <c r="C465" t="s">
        <v>2236</v>
      </c>
      <c r="D465" t="s">
        <v>550</v>
      </c>
      <c r="E465" t="s">
        <v>664</v>
      </c>
      <c r="F465" t="s">
        <v>27</v>
      </c>
      <c r="G465" s="1">
        <v>46023</v>
      </c>
      <c r="H465" s="1">
        <v>46023</v>
      </c>
      <c r="I465" t="s">
        <v>780</v>
      </c>
      <c r="J465" t="s">
        <v>666</v>
      </c>
      <c r="K465" t="s">
        <v>24</v>
      </c>
      <c r="L465" t="s">
        <v>217</v>
      </c>
      <c r="M465" t="s">
        <v>2226</v>
      </c>
      <c r="N465" t="s">
        <v>294</v>
      </c>
      <c r="O465" t="s">
        <v>2227</v>
      </c>
      <c r="P465" t="s">
        <v>270</v>
      </c>
      <c r="Q465" t="s">
        <v>2213</v>
      </c>
      <c r="R465" t="s">
        <v>237</v>
      </c>
      <c r="S465" t="s">
        <v>550</v>
      </c>
      <c r="T465" t="s">
        <v>550</v>
      </c>
      <c r="U465" t="s">
        <v>550</v>
      </c>
      <c r="V465" t="s">
        <v>2237</v>
      </c>
      <c r="W465" t="s">
        <v>613</v>
      </c>
      <c r="X465" t="s">
        <v>276</v>
      </c>
      <c r="Z465" t="s">
        <v>2235</v>
      </c>
    </row>
    <row r="466" spans="1:26" x14ac:dyDescent="0.3">
      <c r="A466" t="s">
        <v>525</v>
      </c>
      <c r="B466" t="s">
        <v>2238</v>
      </c>
      <c r="C466" t="s">
        <v>1851</v>
      </c>
      <c r="D466" t="s">
        <v>550</v>
      </c>
      <c r="E466" t="s">
        <v>1039</v>
      </c>
      <c r="F466" t="s">
        <v>1040</v>
      </c>
      <c r="G466" s="1">
        <v>46024</v>
      </c>
      <c r="H466" s="1">
        <v>46024</v>
      </c>
      <c r="I466" t="s">
        <v>780</v>
      </c>
      <c r="J466" t="s">
        <v>1041</v>
      </c>
      <c r="K466" t="s">
        <v>24</v>
      </c>
      <c r="L466" t="s">
        <v>216</v>
      </c>
      <c r="M466" t="s">
        <v>2226</v>
      </c>
      <c r="N466" t="s">
        <v>294</v>
      </c>
      <c r="O466" t="s">
        <v>2227</v>
      </c>
      <c r="P466" t="s">
        <v>270</v>
      </c>
      <c r="Q466" t="s">
        <v>2213</v>
      </c>
      <c r="R466" t="s">
        <v>237</v>
      </c>
      <c r="S466" t="s">
        <v>1471</v>
      </c>
      <c r="T466" t="s">
        <v>550</v>
      </c>
      <c r="U466" t="s">
        <v>550</v>
      </c>
      <c r="V466" t="s">
        <v>2239</v>
      </c>
      <c r="W466" t="s">
        <v>613</v>
      </c>
      <c r="X466" t="s">
        <v>276</v>
      </c>
      <c r="Y466" t="s">
        <v>282</v>
      </c>
      <c r="Z466" t="s">
        <v>2238</v>
      </c>
    </row>
    <row r="467" spans="1:26" x14ac:dyDescent="0.3">
      <c r="A467" t="s">
        <v>525</v>
      </c>
      <c r="B467" t="s">
        <v>2240</v>
      </c>
      <c r="C467" t="s">
        <v>2241</v>
      </c>
      <c r="D467" t="s">
        <v>550</v>
      </c>
      <c r="E467" t="s">
        <v>1039</v>
      </c>
      <c r="F467" t="s">
        <v>1040</v>
      </c>
      <c r="G467" s="1">
        <v>46024</v>
      </c>
      <c r="H467" s="1">
        <v>46024</v>
      </c>
      <c r="I467" t="s">
        <v>780</v>
      </c>
      <c r="J467" t="s">
        <v>1041</v>
      </c>
      <c r="K467" t="s">
        <v>24</v>
      </c>
      <c r="L467" t="s">
        <v>216</v>
      </c>
      <c r="M467" t="s">
        <v>2226</v>
      </c>
      <c r="N467" t="s">
        <v>294</v>
      </c>
      <c r="O467" t="s">
        <v>2227</v>
      </c>
      <c r="P467" t="s">
        <v>270</v>
      </c>
      <c r="Q467" t="s">
        <v>2213</v>
      </c>
      <c r="R467" t="s">
        <v>237</v>
      </c>
      <c r="S467" t="s">
        <v>1471</v>
      </c>
      <c r="T467" t="s">
        <v>550</v>
      </c>
      <c r="U467" t="s">
        <v>550</v>
      </c>
      <c r="V467" t="s">
        <v>2242</v>
      </c>
      <c r="W467" t="s">
        <v>613</v>
      </c>
      <c r="X467" t="s">
        <v>276</v>
      </c>
      <c r="Y467" t="s">
        <v>282</v>
      </c>
      <c r="Z467" t="s">
        <v>2240</v>
      </c>
    </row>
    <row r="468" spans="1:26" x14ac:dyDescent="0.3">
      <c r="A468" t="s">
        <v>525</v>
      </c>
      <c r="B468" t="s">
        <v>2243</v>
      </c>
      <c r="C468" t="s">
        <v>2244</v>
      </c>
      <c r="D468" t="s">
        <v>550</v>
      </c>
      <c r="E468" t="s">
        <v>1039</v>
      </c>
      <c r="F468" t="s">
        <v>1040</v>
      </c>
      <c r="G468" s="1">
        <v>45658</v>
      </c>
      <c r="H468" s="1">
        <v>45658</v>
      </c>
      <c r="I468" t="s">
        <v>780</v>
      </c>
      <c r="J468" t="s">
        <v>1041</v>
      </c>
      <c r="K468" t="s">
        <v>24</v>
      </c>
      <c r="L468" t="s">
        <v>216</v>
      </c>
      <c r="M468" t="s">
        <v>2226</v>
      </c>
      <c r="N468" t="s">
        <v>294</v>
      </c>
      <c r="O468" t="s">
        <v>2227</v>
      </c>
      <c r="P468" t="s">
        <v>270</v>
      </c>
      <c r="Q468" t="s">
        <v>2213</v>
      </c>
      <c r="R468" t="s">
        <v>237</v>
      </c>
      <c r="S468" t="s">
        <v>550</v>
      </c>
      <c r="T468" t="s">
        <v>550</v>
      </c>
      <c r="U468" t="s">
        <v>550</v>
      </c>
      <c r="V468" t="s">
        <v>2245</v>
      </c>
      <c r="W468" t="s">
        <v>613</v>
      </c>
      <c r="X468" t="s">
        <v>276</v>
      </c>
      <c r="Y468" t="s">
        <v>282</v>
      </c>
      <c r="Z468" t="s">
        <v>2243</v>
      </c>
    </row>
    <row r="469" spans="1:26" x14ac:dyDescent="0.3">
      <c r="A469" t="s">
        <v>525</v>
      </c>
      <c r="B469" t="s">
        <v>2246</v>
      </c>
      <c r="C469" t="s">
        <v>2244</v>
      </c>
      <c r="D469" t="s">
        <v>2243</v>
      </c>
      <c r="E469" t="s">
        <v>1039</v>
      </c>
      <c r="F469" t="s">
        <v>1040</v>
      </c>
      <c r="G469" s="1">
        <v>45658</v>
      </c>
      <c r="H469" s="1">
        <v>45670</v>
      </c>
      <c r="I469" t="s">
        <v>665</v>
      </c>
      <c r="J469" t="s">
        <v>1041</v>
      </c>
      <c r="K469" t="s">
        <v>24</v>
      </c>
      <c r="L469" t="s">
        <v>216</v>
      </c>
      <c r="M469" t="s">
        <v>2226</v>
      </c>
      <c r="N469" t="s">
        <v>294</v>
      </c>
      <c r="O469" t="s">
        <v>2227</v>
      </c>
      <c r="P469" t="s">
        <v>270</v>
      </c>
      <c r="Q469" t="s">
        <v>2213</v>
      </c>
      <c r="R469" t="s">
        <v>237</v>
      </c>
      <c r="S469" t="s">
        <v>783</v>
      </c>
      <c r="T469" t="s">
        <v>550</v>
      </c>
      <c r="U469" t="s">
        <v>550</v>
      </c>
      <c r="V469" t="s">
        <v>2247</v>
      </c>
      <c r="W469" t="s">
        <v>613</v>
      </c>
      <c r="X469" t="s">
        <v>276</v>
      </c>
      <c r="Y469" t="s">
        <v>282</v>
      </c>
      <c r="Z469" t="s">
        <v>2246</v>
      </c>
    </row>
    <row r="470" spans="1:26" x14ac:dyDescent="0.3">
      <c r="A470" t="s">
        <v>525</v>
      </c>
      <c r="B470" t="s">
        <v>2248</v>
      </c>
      <c r="C470" t="s">
        <v>2249</v>
      </c>
      <c r="D470" t="s">
        <v>550</v>
      </c>
      <c r="E470" t="s">
        <v>1039</v>
      </c>
      <c r="F470" t="s">
        <v>1040</v>
      </c>
      <c r="G470" s="1">
        <v>46023</v>
      </c>
      <c r="H470" s="1">
        <v>46023</v>
      </c>
      <c r="I470" t="s">
        <v>780</v>
      </c>
      <c r="J470" t="s">
        <v>1041</v>
      </c>
      <c r="K470" t="s">
        <v>24</v>
      </c>
      <c r="L470" t="s">
        <v>216</v>
      </c>
      <c r="M470" t="s">
        <v>2226</v>
      </c>
      <c r="N470" t="s">
        <v>294</v>
      </c>
      <c r="O470" t="s">
        <v>2227</v>
      </c>
      <c r="P470" t="s">
        <v>270</v>
      </c>
      <c r="Q470" t="s">
        <v>2213</v>
      </c>
      <c r="R470" t="s">
        <v>237</v>
      </c>
      <c r="S470" t="s">
        <v>550</v>
      </c>
      <c r="T470" t="s">
        <v>550</v>
      </c>
      <c r="U470" t="s">
        <v>550</v>
      </c>
      <c r="V470" t="s">
        <v>2250</v>
      </c>
      <c r="W470" t="s">
        <v>613</v>
      </c>
      <c r="X470" t="s">
        <v>276</v>
      </c>
      <c r="Y470" t="s">
        <v>282</v>
      </c>
      <c r="Z470" t="s">
        <v>2248</v>
      </c>
    </row>
    <row r="471" spans="1:26" x14ac:dyDescent="0.3">
      <c r="A471" t="s">
        <v>525</v>
      </c>
      <c r="B471" t="s">
        <v>2251</v>
      </c>
      <c r="C471" t="s">
        <v>2252</v>
      </c>
      <c r="D471" t="s">
        <v>550</v>
      </c>
      <c r="E471" t="s">
        <v>664</v>
      </c>
      <c r="F471" t="s">
        <v>27</v>
      </c>
      <c r="G471" s="1">
        <v>46023</v>
      </c>
      <c r="H471" s="1">
        <v>46023</v>
      </c>
      <c r="I471" t="s">
        <v>780</v>
      </c>
      <c r="J471" t="s">
        <v>666</v>
      </c>
      <c r="K471" t="s">
        <v>24</v>
      </c>
      <c r="L471" t="s">
        <v>217</v>
      </c>
      <c r="M471" t="s">
        <v>2253</v>
      </c>
      <c r="N471" t="s">
        <v>291</v>
      </c>
      <c r="O471" t="s">
        <v>2253</v>
      </c>
      <c r="P471" t="s">
        <v>291</v>
      </c>
      <c r="Q471" t="s">
        <v>2213</v>
      </c>
      <c r="R471" t="s">
        <v>237</v>
      </c>
      <c r="S471" t="s">
        <v>550</v>
      </c>
      <c r="T471" t="s">
        <v>550</v>
      </c>
      <c r="U471" t="s">
        <v>550</v>
      </c>
      <c r="V471" t="s">
        <v>2254</v>
      </c>
      <c r="W471" t="s">
        <v>2255</v>
      </c>
      <c r="Z471" t="s">
        <v>2251</v>
      </c>
    </row>
    <row r="472" spans="1:26" x14ac:dyDescent="0.3">
      <c r="A472" t="s">
        <v>525</v>
      </c>
      <c r="B472" t="s">
        <v>2256</v>
      </c>
      <c r="C472" t="s">
        <v>2257</v>
      </c>
      <c r="D472" t="s">
        <v>2251</v>
      </c>
      <c r="E472" t="s">
        <v>664</v>
      </c>
      <c r="F472" t="s">
        <v>27</v>
      </c>
      <c r="G472" s="1">
        <v>46023</v>
      </c>
      <c r="H472" s="1">
        <v>46032</v>
      </c>
      <c r="I472" t="s">
        <v>780</v>
      </c>
      <c r="J472" t="s">
        <v>666</v>
      </c>
      <c r="K472" t="s">
        <v>24</v>
      </c>
      <c r="L472" t="s">
        <v>217</v>
      </c>
      <c r="M472" t="s">
        <v>2253</v>
      </c>
      <c r="N472" t="s">
        <v>291</v>
      </c>
      <c r="O472" t="s">
        <v>2253</v>
      </c>
      <c r="P472" t="s">
        <v>291</v>
      </c>
      <c r="Q472" t="s">
        <v>2213</v>
      </c>
      <c r="R472" t="s">
        <v>237</v>
      </c>
      <c r="S472" t="s">
        <v>783</v>
      </c>
      <c r="T472" t="s">
        <v>550</v>
      </c>
      <c r="U472" t="s">
        <v>550</v>
      </c>
      <c r="V472" t="s">
        <v>2258</v>
      </c>
      <c r="W472" t="s">
        <v>2255</v>
      </c>
      <c r="Z472" t="s">
        <v>2256</v>
      </c>
    </row>
    <row r="473" spans="1:26" x14ac:dyDescent="0.3">
      <c r="A473" t="s">
        <v>525</v>
      </c>
      <c r="B473" t="s">
        <v>2259</v>
      </c>
      <c r="C473" t="s">
        <v>2260</v>
      </c>
      <c r="D473" t="s">
        <v>550</v>
      </c>
      <c r="E473" t="s">
        <v>982</v>
      </c>
      <c r="F473" t="s">
        <v>983</v>
      </c>
      <c r="G473" s="1">
        <v>43831</v>
      </c>
      <c r="H473" s="1">
        <v>43831</v>
      </c>
      <c r="I473" t="s">
        <v>665</v>
      </c>
      <c r="J473" t="s">
        <v>984</v>
      </c>
      <c r="K473" t="s">
        <v>24</v>
      </c>
      <c r="L473" t="s">
        <v>901</v>
      </c>
      <c r="M473" t="s">
        <v>2223</v>
      </c>
      <c r="N473" t="s">
        <v>310</v>
      </c>
      <c r="O473" t="s">
        <v>985</v>
      </c>
      <c r="P473" t="s">
        <v>986</v>
      </c>
      <c r="Q473" t="s">
        <v>2213</v>
      </c>
      <c r="R473" t="s">
        <v>237</v>
      </c>
      <c r="S473" t="s">
        <v>550</v>
      </c>
      <c r="T473" t="s">
        <v>550</v>
      </c>
      <c r="U473" t="s">
        <v>550</v>
      </c>
      <c r="V473" t="s">
        <v>2261</v>
      </c>
      <c r="W473" t="s">
        <v>988</v>
      </c>
      <c r="X473" t="s">
        <v>979</v>
      </c>
      <c r="Y473" t="s">
        <v>803</v>
      </c>
      <c r="Z473" t="s">
        <v>2259</v>
      </c>
    </row>
    <row r="474" spans="1:26" x14ac:dyDescent="0.3">
      <c r="A474" t="s">
        <v>525</v>
      </c>
      <c r="B474" t="s">
        <v>2262</v>
      </c>
      <c r="C474" t="s">
        <v>2263</v>
      </c>
      <c r="D474" t="s">
        <v>550</v>
      </c>
      <c r="E474" t="s">
        <v>982</v>
      </c>
      <c r="F474" t="s">
        <v>983</v>
      </c>
      <c r="G474" s="1">
        <v>43831</v>
      </c>
      <c r="H474" s="1">
        <v>43831</v>
      </c>
      <c r="I474" t="s">
        <v>665</v>
      </c>
      <c r="J474" t="s">
        <v>984</v>
      </c>
      <c r="K474" t="s">
        <v>900</v>
      </c>
      <c r="L474" t="s">
        <v>901</v>
      </c>
      <c r="M474" t="s">
        <v>2223</v>
      </c>
      <c r="N474" t="s">
        <v>310</v>
      </c>
      <c r="O474" t="s">
        <v>985</v>
      </c>
      <c r="P474" t="s">
        <v>986</v>
      </c>
      <c r="Q474" t="s">
        <v>2213</v>
      </c>
      <c r="R474" t="s">
        <v>237</v>
      </c>
      <c r="S474" t="s">
        <v>550</v>
      </c>
      <c r="T474" t="s">
        <v>550</v>
      </c>
      <c r="U474" t="s">
        <v>550</v>
      </c>
      <c r="V474" t="s">
        <v>2264</v>
      </c>
      <c r="W474" t="s">
        <v>988</v>
      </c>
      <c r="X474" t="s">
        <v>979</v>
      </c>
      <c r="Y474" t="s">
        <v>803</v>
      </c>
      <c r="Z474" t="s">
        <v>2262</v>
      </c>
    </row>
    <row r="475" spans="1:26" x14ac:dyDescent="0.3">
      <c r="A475" t="s">
        <v>525</v>
      </c>
      <c r="B475" t="s">
        <v>2265</v>
      </c>
      <c r="C475" t="s">
        <v>999</v>
      </c>
      <c r="D475" t="s">
        <v>550</v>
      </c>
      <c r="E475" t="s">
        <v>982</v>
      </c>
      <c r="F475" t="s">
        <v>983</v>
      </c>
      <c r="G475" s="1">
        <v>43831</v>
      </c>
      <c r="H475" s="1">
        <v>43831</v>
      </c>
      <c r="I475" t="s">
        <v>665</v>
      </c>
      <c r="J475" t="s">
        <v>984</v>
      </c>
      <c r="K475" t="s">
        <v>900</v>
      </c>
      <c r="L475" t="s">
        <v>901</v>
      </c>
      <c r="M475" t="s">
        <v>2266</v>
      </c>
      <c r="N475" t="s">
        <v>307</v>
      </c>
      <c r="O475" t="s">
        <v>985</v>
      </c>
      <c r="P475" t="s">
        <v>986</v>
      </c>
      <c r="Q475" t="s">
        <v>2213</v>
      </c>
      <c r="R475" t="s">
        <v>237</v>
      </c>
      <c r="S475" t="s">
        <v>550</v>
      </c>
      <c r="T475" t="s">
        <v>550</v>
      </c>
      <c r="U475" t="s">
        <v>550</v>
      </c>
      <c r="V475" t="s">
        <v>2267</v>
      </c>
      <c r="W475" t="s">
        <v>988</v>
      </c>
      <c r="X475" t="s">
        <v>979</v>
      </c>
      <c r="Y475" t="s">
        <v>803</v>
      </c>
      <c r="Z475" t="s">
        <v>2265</v>
      </c>
    </row>
    <row r="476" spans="1:26" x14ac:dyDescent="0.3">
      <c r="A476" t="s">
        <v>525</v>
      </c>
      <c r="B476" t="s">
        <v>2268</v>
      </c>
      <c r="C476" t="s">
        <v>981</v>
      </c>
      <c r="D476" t="s">
        <v>550</v>
      </c>
      <c r="E476" t="s">
        <v>982</v>
      </c>
      <c r="F476" t="s">
        <v>983</v>
      </c>
      <c r="G476" s="1">
        <v>43831</v>
      </c>
      <c r="H476" s="1">
        <v>43831</v>
      </c>
      <c r="I476" t="s">
        <v>665</v>
      </c>
      <c r="J476" t="s">
        <v>984</v>
      </c>
      <c r="K476" t="s">
        <v>900</v>
      </c>
      <c r="L476" t="s">
        <v>901</v>
      </c>
      <c r="M476" t="s">
        <v>2269</v>
      </c>
      <c r="N476" t="s">
        <v>2270</v>
      </c>
      <c r="O476" t="s">
        <v>985</v>
      </c>
      <c r="P476" t="s">
        <v>986</v>
      </c>
      <c r="Q476" t="s">
        <v>2213</v>
      </c>
      <c r="R476" t="s">
        <v>237</v>
      </c>
      <c r="S476" t="s">
        <v>550</v>
      </c>
      <c r="T476" t="s">
        <v>550</v>
      </c>
      <c r="U476" t="s">
        <v>550</v>
      </c>
      <c r="V476" t="s">
        <v>2271</v>
      </c>
      <c r="W476" t="s">
        <v>988</v>
      </c>
      <c r="X476" t="s">
        <v>979</v>
      </c>
      <c r="Y476" t="s">
        <v>803</v>
      </c>
      <c r="Z476" t="s">
        <v>2268</v>
      </c>
    </row>
    <row r="477" spans="1:26" x14ac:dyDescent="0.3">
      <c r="A477" t="s">
        <v>525</v>
      </c>
      <c r="B477" t="s">
        <v>2272</v>
      </c>
      <c r="C477" t="s">
        <v>2273</v>
      </c>
      <c r="D477" t="s">
        <v>2274</v>
      </c>
      <c r="E477" t="s">
        <v>664</v>
      </c>
      <c r="F477" t="s">
        <v>27</v>
      </c>
      <c r="G477" s="1">
        <v>46023</v>
      </c>
      <c r="H477" s="1">
        <v>46142</v>
      </c>
      <c r="I477" t="s">
        <v>551</v>
      </c>
      <c r="J477" t="s">
        <v>666</v>
      </c>
      <c r="K477" t="s">
        <v>24</v>
      </c>
      <c r="L477" t="s">
        <v>217</v>
      </c>
      <c r="M477" t="s">
        <v>2275</v>
      </c>
      <c r="N477" t="s">
        <v>320</v>
      </c>
      <c r="O477" t="s">
        <v>2276</v>
      </c>
      <c r="P477" t="s">
        <v>2277</v>
      </c>
      <c r="Q477" t="s">
        <v>2213</v>
      </c>
      <c r="R477" t="s">
        <v>237</v>
      </c>
      <c r="S477" t="s">
        <v>783</v>
      </c>
      <c r="T477" t="s">
        <v>550</v>
      </c>
      <c r="U477" t="s">
        <v>550</v>
      </c>
      <c r="V477" t="s">
        <v>2278</v>
      </c>
      <c r="W477" t="s">
        <v>835</v>
      </c>
      <c r="Z477" t="s">
        <v>2272</v>
      </c>
    </row>
    <row r="478" spans="1:26" x14ac:dyDescent="0.3">
      <c r="A478" t="s">
        <v>525</v>
      </c>
      <c r="B478" t="s">
        <v>2279</v>
      </c>
      <c r="C478" t="s">
        <v>2280</v>
      </c>
      <c r="D478" t="s">
        <v>2281</v>
      </c>
      <c r="E478" t="s">
        <v>664</v>
      </c>
      <c r="F478" t="s">
        <v>27</v>
      </c>
      <c r="G478" s="1">
        <v>46023</v>
      </c>
      <c r="H478" s="1">
        <v>46135</v>
      </c>
      <c r="I478" t="s">
        <v>551</v>
      </c>
      <c r="J478" t="s">
        <v>666</v>
      </c>
      <c r="K478" t="s">
        <v>24</v>
      </c>
      <c r="L478" t="s">
        <v>217</v>
      </c>
      <c r="M478" t="s">
        <v>797</v>
      </c>
      <c r="N478" t="s">
        <v>313</v>
      </c>
      <c r="O478" t="s">
        <v>2282</v>
      </c>
      <c r="P478" t="s">
        <v>295</v>
      </c>
      <c r="Q478" t="s">
        <v>2213</v>
      </c>
      <c r="R478" t="s">
        <v>237</v>
      </c>
      <c r="S478" t="s">
        <v>783</v>
      </c>
      <c r="T478" t="s">
        <v>550</v>
      </c>
      <c r="U478" t="s">
        <v>550</v>
      </c>
      <c r="V478" t="s">
        <v>2283</v>
      </c>
      <c r="W478" t="s">
        <v>2255</v>
      </c>
      <c r="Z478" t="s">
        <v>2279</v>
      </c>
    </row>
    <row r="479" spans="1:26" x14ac:dyDescent="0.3">
      <c r="A479" t="s">
        <v>525</v>
      </c>
      <c r="B479" t="s">
        <v>2284</v>
      </c>
      <c r="C479" t="s">
        <v>2285</v>
      </c>
      <c r="D479" t="s">
        <v>2286</v>
      </c>
      <c r="E479" t="s">
        <v>2287</v>
      </c>
      <c r="F479" t="s">
        <v>2288</v>
      </c>
      <c r="G479" s="1">
        <v>46023</v>
      </c>
      <c r="H479" s="1">
        <v>46143</v>
      </c>
      <c r="I479" t="s">
        <v>551</v>
      </c>
      <c r="J479" t="s">
        <v>2289</v>
      </c>
      <c r="K479" t="s">
        <v>958</v>
      </c>
      <c r="L479" t="s">
        <v>216</v>
      </c>
      <c r="M479" t="s">
        <v>2290</v>
      </c>
      <c r="N479" t="s">
        <v>317</v>
      </c>
      <c r="O479" t="s">
        <v>2253</v>
      </c>
      <c r="P479" t="s">
        <v>291</v>
      </c>
      <c r="Q479" t="s">
        <v>2213</v>
      </c>
      <c r="R479" t="s">
        <v>237</v>
      </c>
      <c r="S479" t="s">
        <v>783</v>
      </c>
      <c r="T479" t="s">
        <v>550</v>
      </c>
      <c r="U479" t="s">
        <v>550</v>
      </c>
      <c r="V479" t="s">
        <v>2291</v>
      </c>
      <c r="W479" t="s">
        <v>2292</v>
      </c>
      <c r="X479" t="s">
        <v>263</v>
      </c>
      <c r="Z479" t="s">
        <v>2284</v>
      </c>
    </row>
    <row r="480" spans="1:26" x14ac:dyDescent="0.3">
      <c r="A480" t="s">
        <v>525</v>
      </c>
      <c r="B480" t="s">
        <v>2293</v>
      </c>
      <c r="C480" t="s">
        <v>2294</v>
      </c>
      <c r="D480" t="s">
        <v>2295</v>
      </c>
      <c r="E480" t="s">
        <v>2296</v>
      </c>
      <c r="F480" t="s">
        <v>2297</v>
      </c>
      <c r="G480" s="1">
        <v>45658</v>
      </c>
      <c r="H480" s="1">
        <v>45664</v>
      </c>
      <c r="I480" t="s">
        <v>665</v>
      </c>
      <c r="J480" t="s">
        <v>2298</v>
      </c>
      <c r="K480" t="s">
        <v>24</v>
      </c>
      <c r="L480" t="s">
        <v>216</v>
      </c>
      <c r="M480" t="s">
        <v>2299</v>
      </c>
      <c r="N480" t="s">
        <v>265</v>
      </c>
      <c r="O480" t="s">
        <v>2299</v>
      </c>
      <c r="P480" t="s">
        <v>265</v>
      </c>
      <c r="Q480" t="s">
        <v>2213</v>
      </c>
      <c r="R480" t="s">
        <v>237</v>
      </c>
      <c r="S480" t="s">
        <v>1471</v>
      </c>
      <c r="T480" t="s">
        <v>550</v>
      </c>
      <c r="U480" t="s">
        <v>550</v>
      </c>
      <c r="V480" t="s">
        <v>2300</v>
      </c>
      <c r="W480" t="s">
        <v>613</v>
      </c>
      <c r="X480" t="s">
        <v>281</v>
      </c>
      <c r="Y480" t="s">
        <v>293</v>
      </c>
      <c r="Z480" t="s">
        <v>2293</v>
      </c>
    </row>
    <row r="481" spans="1:26" x14ac:dyDescent="0.3">
      <c r="A481" t="s">
        <v>525</v>
      </c>
      <c r="B481" t="s">
        <v>2301</v>
      </c>
      <c r="C481" t="s">
        <v>2302</v>
      </c>
      <c r="D481" t="s">
        <v>1388</v>
      </c>
      <c r="E481" t="s">
        <v>1306</v>
      </c>
      <c r="F481" t="s">
        <v>1307</v>
      </c>
      <c r="G481" s="1">
        <v>45658</v>
      </c>
      <c r="H481" s="1">
        <v>45678</v>
      </c>
      <c r="I481" t="s">
        <v>665</v>
      </c>
      <c r="J481" t="s">
        <v>1308</v>
      </c>
      <c r="K481" t="s">
        <v>24</v>
      </c>
      <c r="L481" t="s">
        <v>216</v>
      </c>
      <c r="M481" t="s">
        <v>2299</v>
      </c>
      <c r="N481" t="s">
        <v>265</v>
      </c>
      <c r="O481" t="s">
        <v>2299</v>
      </c>
      <c r="P481" t="s">
        <v>265</v>
      </c>
      <c r="Q481" t="s">
        <v>2213</v>
      </c>
      <c r="R481" t="s">
        <v>237</v>
      </c>
      <c r="S481" t="s">
        <v>1471</v>
      </c>
      <c r="T481" t="s">
        <v>550</v>
      </c>
      <c r="U481" t="s">
        <v>550</v>
      </c>
      <c r="V481" t="s">
        <v>2303</v>
      </c>
      <c r="W481" t="s">
        <v>613</v>
      </c>
      <c r="X481" t="s">
        <v>281</v>
      </c>
      <c r="Y481" t="s">
        <v>301</v>
      </c>
      <c r="Z481" t="s">
        <v>2301</v>
      </c>
    </row>
    <row r="482" spans="1:26" x14ac:dyDescent="0.3">
      <c r="A482" t="s">
        <v>525</v>
      </c>
      <c r="B482" t="s">
        <v>2304</v>
      </c>
      <c r="C482" t="s">
        <v>2305</v>
      </c>
      <c r="D482" t="s">
        <v>1313</v>
      </c>
      <c r="E482" t="s">
        <v>1306</v>
      </c>
      <c r="F482" t="s">
        <v>1307</v>
      </c>
      <c r="G482" s="1">
        <v>45658</v>
      </c>
      <c r="H482" s="1">
        <v>45729</v>
      </c>
      <c r="I482" t="s">
        <v>665</v>
      </c>
      <c r="J482" t="s">
        <v>1308</v>
      </c>
      <c r="K482" t="s">
        <v>24</v>
      </c>
      <c r="L482" t="s">
        <v>216</v>
      </c>
      <c r="M482" t="s">
        <v>2299</v>
      </c>
      <c r="N482" t="s">
        <v>265</v>
      </c>
      <c r="O482" t="s">
        <v>2299</v>
      </c>
      <c r="P482" t="s">
        <v>265</v>
      </c>
      <c r="Q482" t="s">
        <v>2213</v>
      </c>
      <c r="R482" t="s">
        <v>237</v>
      </c>
      <c r="S482" t="s">
        <v>1471</v>
      </c>
      <c r="T482" t="s">
        <v>550</v>
      </c>
      <c r="U482" t="s">
        <v>550</v>
      </c>
      <c r="V482" t="s">
        <v>2306</v>
      </c>
      <c r="W482" t="s">
        <v>613</v>
      </c>
      <c r="X482" t="s">
        <v>281</v>
      </c>
      <c r="Y482" t="s">
        <v>297</v>
      </c>
      <c r="Z482" t="s">
        <v>2304</v>
      </c>
    </row>
    <row r="483" spans="1:26" x14ac:dyDescent="0.3">
      <c r="A483" t="s">
        <v>525</v>
      </c>
      <c r="B483" t="s">
        <v>2307</v>
      </c>
      <c r="C483" t="s">
        <v>2308</v>
      </c>
      <c r="D483" t="s">
        <v>1109</v>
      </c>
      <c r="E483" t="s">
        <v>664</v>
      </c>
      <c r="F483" t="s">
        <v>27</v>
      </c>
      <c r="G483" s="1">
        <v>45658</v>
      </c>
      <c r="H483" s="1">
        <v>45690</v>
      </c>
      <c r="I483" t="s">
        <v>665</v>
      </c>
      <c r="J483" t="s">
        <v>666</v>
      </c>
      <c r="K483" t="s">
        <v>24</v>
      </c>
      <c r="L483" t="s">
        <v>216</v>
      </c>
      <c r="M483" t="s">
        <v>2299</v>
      </c>
      <c r="N483" t="s">
        <v>265</v>
      </c>
      <c r="O483" t="s">
        <v>2299</v>
      </c>
      <c r="P483" t="s">
        <v>265</v>
      </c>
      <c r="Q483" t="s">
        <v>2213</v>
      </c>
      <c r="R483" t="s">
        <v>237</v>
      </c>
      <c r="S483" t="s">
        <v>1471</v>
      </c>
      <c r="T483" t="s">
        <v>550</v>
      </c>
      <c r="U483" t="s">
        <v>550</v>
      </c>
      <c r="V483" t="s">
        <v>2309</v>
      </c>
      <c r="W483" t="s">
        <v>613</v>
      </c>
      <c r="X483" t="s">
        <v>281</v>
      </c>
      <c r="Y483" t="s">
        <v>312</v>
      </c>
      <c r="Z483" t="s">
        <v>2307</v>
      </c>
    </row>
    <row r="484" spans="1:26" x14ac:dyDescent="0.3">
      <c r="A484" t="s">
        <v>525</v>
      </c>
      <c r="B484" t="s">
        <v>2310</v>
      </c>
      <c r="C484" t="s">
        <v>2311</v>
      </c>
      <c r="D484" t="s">
        <v>2312</v>
      </c>
      <c r="E484" t="s">
        <v>2313</v>
      </c>
      <c r="F484" t="s">
        <v>2314</v>
      </c>
      <c r="G484" s="1">
        <v>45658</v>
      </c>
      <c r="H484" s="1">
        <v>45666</v>
      </c>
      <c r="I484" t="s">
        <v>665</v>
      </c>
      <c r="J484" t="s">
        <v>2315</v>
      </c>
      <c r="K484" t="s">
        <v>24</v>
      </c>
      <c r="L484" t="s">
        <v>216</v>
      </c>
      <c r="M484" t="s">
        <v>2299</v>
      </c>
      <c r="N484" t="s">
        <v>265</v>
      </c>
      <c r="O484" t="s">
        <v>2299</v>
      </c>
      <c r="P484" t="s">
        <v>265</v>
      </c>
      <c r="Q484" t="s">
        <v>2213</v>
      </c>
      <c r="R484" t="s">
        <v>237</v>
      </c>
      <c r="S484" t="s">
        <v>1471</v>
      </c>
      <c r="T484" t="s">
        <v>550</v>
      </c>
      <c r="U484" t="s">
        <v>550</v>
      </c>
      <c r="V484" t="s">
        <v>2316</v>
      </c>
      <c r="W484" t="s">
        <v>613</v>
      </c>
      <c r="X484" t="s">
        <v>281</v>
      </c>
      <c r="Y484" t="s">
        <v>314</v>
      </c>
      <c r="Z484" t="s">
        <v>2310</v>
      </c>
    </row>
    <row r="485" spans="1:26" x14ac:dyDescent="0.3">
      <c r="A485" t="s">
        <v>525</v>
      </c>
      <c r="B485" t="s">
        <v>2317</v>
      </c>
      <c r="C485" t="s">
        <v>2318</v>
      </c>
      <c r="D485" t="s">
        <v>1091</v>
      </c>
      <c r="E485" t="s">
        <v>1092</v>
      </c>
      <c r="F485" t="s">
        <v>1093</v>
      </c>
      <c r="G485" s="1">
        <v>45658</v>
      </c>
      <c r="H485" s="1">
        <v>45666</v>
      </c>
      <c r="I485" t="s">
        <v>665</v>
      </c>
      <c r="J485" t="s">
        <v>1094</v>
      </c>
      <c r="K485" t="s">
        <v>24</v>
      </c>
      <c r="L485" t="s">
        <v>216</v>
      </c>
      <c r="M485" t="s">
        <v>2299</v>
      </c>
      <c r="N485" t="s">
        <v>265</v>
      </c>
      <c r="O485" t="s">
        <v>2299</v>
      </c>
      <c r="P485" t="s">
        <v>265</v>
      </c>
      <c r="Q485" t="s">
        <v>2213</v>
      </c>
      <c r="R485" t="s">
        <v>237</v>
      </c>
      <c r="S485" t="s">
        <v>1471</v>
      </c>
      <c r="T485" t="s">
        <v>550</v>
      </c>
      <c r="U485" t="s">
        <v>550</v>
      </c>
      <c r="V485" t="s">
        <v>2319</v>
      </c>
      <c r="W485" t="s">
        <v>613</v>
      </c>
      <c r="X485" t="s">
        <v>281</v>
      </c>
      <c r="Y485" t="s">
        <v>655</v>
      </c>
      <c r="Z485" t="s">
        <v>2317</v>
      </c>
    </row>
    <row r="486" spans="1:26" x14ac:dyDescent="0.3">
      <c r="A486" t="s">
        <v>525</v>
      </c>
      <c r="B486" t="s">
        <v>2320</v>
      </c>
      <c r="C486" t="s">
        <v>2321</v>
      </c>
      <c r="D486" t="s">
        <v>1056</v>
      </c>
      <c r="E486" t="s">
        <v>664</v>
      </c>
      <c r="F486" t="s">
        <v>27</v>
      </c>
      <c r="G486" s="1">
        <v>45658</v>
      </c>
      <c r="H486" s="1">
        <v>45659</v>
      </c>
      <c r="I486" t="s">
        <v>665</v>
      </c>
      <c r="J486" t="s">
        <v>666</v>
      </c>
      <c r="K486" t="s">
        <v>24</v>
      </c>
      <c r="L486" t="s">
        <v>216</v>
      </c>
      <c r="M486" t="s">
        <v>2299</v>
      </c>
      <c r="N486" t="s">
        <v>265</v>
      </c>
      <c r="O486" t="s">
        <v>2299</v>
      </c>
      <c r="P486" t="s">
        <v>265</v>
      </c>
      <c r="Q486" t="s">
        <v>2213</v>
      </c>
      <c r="R486" t="s">
        <v>237</v>
      </c>
      <c r="S486" t="s">
        <v>1471</v>
      </c>
      <c r="T486" t="s">
        <v>550</v>
      </c>
      <c r="U486" t="s">
        <v>550</v>
      </c>
      <c r="V486" t="s">
        <v>2322</v>
      </c>
      <c r="W486" t="s">
        <v>613</v>
      </c>
      <c r="X486" t="s">
        <v>281</v>
      </c>
      <c r="Y486" t="s">
        <v>306</v>
      </c>
      <c r="Z486" t="s">
        <v>2320</v>
      </c>
    </row>
    <row r="487" spans="1:26" x14ac:dyDescent="0.3">
      <c r="A487" t="s">
        <v>525</v>
      </c>
      <c r="B487" t="s">
        <v>2323</v>
      </c>
      <c r="C487" t="s">
        <v>2324</v>
      </c>
      <c r="D487" t="s">
        <v>1398</v>
      </c>
      <c r="E487" t="s">
        <v>664</v>
      </c>
      <c r="F487" t="s">
        <v>27</v>
      </c>
      <c r="G487" s="1">
        <v>45658</v>
      </c>
      <c r="H487" s="1">
        <v>45664</v>
      </c>
      <c r="I487" t="s">
        <v>665</v>
      </c>
      <c r="J487" t="s">
        <v>666</v>
      </c>
      <c r="K487" t="s">
        <v>24</v>
      </c>
      <c r="L487" t="s">
        <v>216</v>
      </c>
      <c r="M487" t="s">
        <v>2299</v>
      </c>
      <c r="N487" t="s">
        <v>265</v>
      </c>
      <c r="O487" t="s">
        <v>2299</v>
      </c>
      <c r="P487" t="s">
        <v>265</v>
      </c>
      <c r="Q487" t="s">
        <v>2213</v>
      </c>
      <c r="R487" t="s">
        <v>237</v>
      </c>
      <c r="S487" t="s">
        <v>1471</v>
      </c>
      <c r="T487" t="s">
        <v>550</v>
      </c>
      <c r="U487" t="s">
        <v>550</v>
      </c>
      <c r="V487" t="s">
        <v>2325</v>
      </c>
      <c r="W487" t="s">
        <v>613</v>
      </c>
      <c r="X487" t="s">
        <v>281</v>
      </c>
      <c r="Y487" t="s">
        <v>305</v>
      </c>
      <c r="Z487" t="s">
        <v>2323</v>
      </c>
    </row>
    <row r="488" spans="1:26" x14ac:dyDescent="0.3">
      <c r="A488" t="s">
        <v>525</v>
      </c>
      <c r="B488" t="s">
        <v>2326</v>
      </c>
      <c r="C488" t="s">
        <v>2327</v>
      </c>
      <c r="D488" t="s">
        <v>550</v>
      </c>
      <c r="E488" t="s">
        <v>2328</v>
      </c>
      <c r="F488" t="s">
        <v>2329</v>
      </c>
      <c r="G488" s="1">
        <v>45658</v>
      </c>
      <c r="H488" s="1">
        <v>45658</v>
      </c>
      <c r="I488" t="s">
        <v>780</v>
      </c>
      <c r="J488" t="s">
        <v>2330</v>
      </c>
      <c r="K488" t="s">
        <v>24</v>
      </c>
      <c r="L488" t="s">
        <v>216</v>
      </c>
      <c r="M488" t="s">
        <v>2299</v>
      </c>
      <c r="N488" t="s">
        <v>265</v>
      </c>
      <c r="O488" t="s">
        <v>2299</v>
      </c>
      <c r="P488" t="s">
        <v>265</v>
      </c>
      <c r="Q488" t="s">
        <v>2213</v>
      </c>
      <c r="R488" t="s">
        <v>237</v>
      </c>
      <c r="S488" t="s">
        <v>550</v>
      </c>
      <c r="T488" t="s">
        <v>550</v>
      </c>
      <c r="U488" t="s">
        <v>550</v>
      </c>
      <c r="V488" t="s">
        <v>2331</v>
      </c>
      <c r="W488" t="s">
        <v>613</v>
      </c>
      <c r="X488" t="s">
        <v>281</v>
      </c>
      <c r="Z488" t="s">
        <v>2326</v>
      </c>
    </row>
    <row r="489" spans="1:26" x14ac:dyDescent="0.3">
      <c r="A489" t="s">
        <v>525</v>
      </c>
      <c r="B489" t="s">
        <v>2332</v>
      </c>
      <c r="C489" t="s">
        <v>2333</v>
      </c>
      <c r="D489" t="s">
        <v>2326</v>
      </c>
      <c r="E489" t="s">
        <v>2328</v>
      </c>
      <c r="F489" t="s">
        <v>2329</v>
      </c>
      <c r="G489" s="1">
        <v>45658</v>
      </c>
      <c r="H489" s="1">
        <v>45670</v>
      </c>
      <c r="I489" t="s">
        <v>665</v>
      </c>
      <c r="J489" t="s">
        <v>2330</v>
      </c>
      <c r="K489" t="s">
        <v>24</v>
      </c>
      <c r="L489" t="s">
        <v>216</v>
      </c>
      <c r="M489" t="s">
        <v>2299</v>
      </c>
      <c r="N489" t="s">
        <v>265</v>
      </c>
      <c r="O489" t="s">
        <v>2299</v>
      </c>
      <c r="P489" t="s">
        <v>265</v>
      </c>
      <c r="Q489" t="s">
        <v>2213</v>
      </c>
      <c r="R489" t="s">
        <v>237</v>
      </c>
      <c r="S489" t="s">
        <v>783</v>
      </c>
      <c r="T489" t="s">
        <v>550</v>
      </c>
      <c r="U489" t="s">
        <v>550</v>
      </c>
      <c r="V489" t="s">
        <v>2334</v>
      </c>
      <c r="W489" t="s">
        <v>613</v>
      </c>
      <c r="X489" t="s">
        <v>281</v>
      </c>
      <c r="Z489" t="s">
        <v>2332</v>
      </c>
    </row>
    <row r="490" spans="1:26" x14ac:dyDescent="0.3">
      <c r="A490" t="s">
        <v>525</v>
      </c>
      <c r="B490" t="s">
        <v>2335</v>
      </c>
      <c r="C490" t="s">
        <v>2336</v>
      </c>
      <c r="D490" t="s">
        <v>550</v>
      </c>
      <c r="E490" t="s">
        <v>2337</v>
      </c>
      <c r="F490" t="s">
        <v>2338</v>
      </c>
      <c r="G490" s="1">
        <v>45748</v>
      </c>
      <c r="H490" s="1">
        <v>45748</v>
      </c>
      <c r="I490" t="s">
        <v>780</v>
      </c>
      <c r="J490" t="s">
        <v>2339</v>
      </c>
      <c r="K490" t="s">
        <v>24</v>
      </c>
      <c r="L490" t="s">
        <v>216</v>
      </c>
      <c r="M490" t="s">
        <v>2299</v>
      </c>
      <c r="N490" t="s">
        <v>265</v>
      </c>
      <c r="O490" t="s">
        <v>2299</v>
      </c>
      <c r="P490" t="s">
        <v>265</v>
      </c>
      <c r="Q490" t="s">
        <v>2213</v>
      </c>
      <c r="R490" t="s">
        <v>237</v>
      </c>
      <c r="S490" t="s">
        <v>783</v>
      </c>
      <c r="T490" t="s">
        <v>550</v>
      </c>
      <c r="U490" t="s">
        <v>550</v>
      </c>
      <c r="V490" t="s">
        <v>2340</v>
      </c>
      <c r="W490" t="s">
        <v>613</v>
      </c>
      <c r="X490" t="s">
        <v>281</v>
      </c>
      <c r="Z490" t="s">
        <v>2335</v>
      </c>
    </row>
    <row r="491" spans="1:26" x14ac:dyDescent="0.3">
      <c r="A491" t="s">
        <v>525</v>
      </c>
      <c r="B491" t="s">
        <v>2341</v>
      </c>
      <c r="C491" t="s">
        <v>2342</v>
      </c>
      <c r="D491" t="s">
        <v>2335</v>
      </c>
      <c r="E491" t="s">
        <v>2337</v>
      </c>
      <c r="F491" t="s">
        <v>2338</v>
      </c>
      <c r="G491" s="1">
        <v>45748</v>
      </c>
      <c r="H491" s="1">
        <v>45755</v>
      </c>
      <c r="I491" t="s">
        <v>665</v>
      </c>
      <c r="J491" t="s">
        <v>2339</v>
      </c>
      <c r="K491" t="s">
        <v>24</v>
      </c>
      <c r="L491" t="s">
        <v>216</v>
      </c>
      <c r="M491" t="s">
        <v>2299</v>
      </c>
      <c r="N491" t="s">
        <v>265</v>
      </c>
      <c r="O491" t="s">
        <v>2299</v>
      </c>
      <c r="P491" t="s">
        <v>265</v>
      </c>
      <c r="Q491" t="s">
        <v>2213</v>
      </c>
      <c r="R491" t="s">
        <v>237</v>
      </c>
      <c r="S491" t="s">
        <v>783</v>
      </c>
      <c r="T491" t="s">
        <v>550</v>
      </c>
      <c r="U491" t="s">
        <v>550</v>
      </c>
      <c r="V491" t="s">
        <v>2343</v>
      </c>
      <c r="W491" t="s">
        <v>613</v>
      </c>
      <c r="X491" t="s">
        <v>281</v>
      </c>
      <c r="Z491" t="s">
        <v>2341</v>
      </c>
    </row>
    <row r="492" spans="1:26" x14ac:dyDescent="0.3">
      <c r="A492" t="s">
        <v>525</v>
      </c>
      <c r="B492" t="s">
        <v>2344</v>
      </c>
      <c r="C492" t="s">
        <v>2345</v>
      </c>
      <c r="D492" t="s">
        <v>550</v>
      </c>
      <c r="E492" t="s">
        <v>664</v>
      </c>
      <c r="F492" t="s">
        <v>27</v>
      </c>
      <c r="G492" s="1">
        <v>45658</v>
      </c>
      <c r="H492" s="1">
        <v>45658</v>
      </c>
      <c r="I492" t="s">
        <v>780</v>
      </c>
      <c r="J492" t="s">
        <v>666</v>
      </c>
      <c r="K492" t="s">
        <v>24</v>
      </c>
      <c r="L492" t="s">
        <v>217</v>
      </c>
      <c r="M492" t="s">
        <v>2299</v>
      </c>
      <c r="N492" t="s">
        <v>265</v>
      </c>
      <c r="O492" t="s">
        <v>2299</v>
      </c>
      <c r="P492" t="s">
        <v>265</v>
      </c>
      <c r="Q492" t="s">
        <v>2213</v>
      </c>
      <c r="R492" t="s">
        <v>237</v>
      </c>
      <c r="S492" t="s">
        <v>550</v>
      </c>
      <c r="T492" t="s">
        <v>550</v>
      </c>
      <c r="U492" t="s">
        <v>550</v>
      </c>
      <c r="V492" t="s">
        <v>2346</v>
      </c>
      <c r="W492" t="s">
        <v>613</v>
      </c>
      <c r="X492" t="s">
        <v>281</v>
      </c>
      <c r="Z492" t="s">
        <v>2344</v>
      </c>
    </row>
    <row r="493" spans="1:26" x14ac:dyDescent="0.3">
      <c r="A493" t="s">
        <v>525</v>
      </c>
      <c r="B493" t="s">
        <v>2347</v>
      </c>
      <c r="C493" t="s">
        <v>2348</v>
      </c>
      <c r="D493" t="s">
        <v>2344</v>
      </c>
      <c r="E493" t="s">
        <v>664</v>
      </c>
      <c r="F493" t="s">
        <v>27</v>
      </c>
      <c r="G493" s="1">
        <v>45658</v>
      </c>
      <c r="H493" s="1">
        <v>45712</v>
      </c>
      <c r="I493" t="s">
        <v>665</v>
      </c>
      <c r="J493" t="s">
        <v>666</v>
      </c>
      <c r="K493" t="s">
        <v>24</v>
      </c>
      <c r="L493" t="s">
        <v>217</v>
      </c>
      <c r="M493" t="s">
        <v>2299</v>
      </c>
      <c r="N493" t="s">
        <v>265</v>
      </c>
      <c r="O493" t="s">
        <v>2299</v>
      </c>
      <c r="P493" t="s">
        <v>265</v>
      </c>
      <c r="Q493" t="s">
        <v>2213</v>
      </c>
      <c r="R493" t="s">
        <v>237</v>
      </c>
      <c r="S493" t="s">
        <v>783</v>
      </c>
      <c r="T493" t="s">
        <v>550</v>
      </c>
      <c r="U493" t="s">
        <v>550</v>
      </c>
      <c r="V493" t="s">
        <v>2349</v>
      </c>
      <c r="W493" t="s">
        <v>613</v>
      </c>
      <c r="X493" t="s">
        <v>281</v>
      </c>
      <c r="Z493" t="s">
        <v>2347</v>
      </c>
    </row>
    <row r="494" spans="1:26" x14ac:dyDescent="0.3">
      <c r="A494" t="s">
        <v>525</v>
      </c>
      <c r="B494" t="s">
        <v>2350</v>
      </c>
      <c r="C494" t="s">
        <v>2351</v>
      </c>
      <c r="D494" t="s">
        <v>2344</v>
      </c>
      <c r="E494" t="s">
        <v>664</v>
      </c>
      <c r="F494" t="s">
        <v>27</v>
      </c>
      <c r="G494" s="1">
        <v>46023</v>
      </c>
      <c r="H494" s="1">
        <v>46099</v>
      </c>
      <c r="I494" t="s">
        <v>551</v>
      </c>
      <c r="J494" t="s">
        <v>666</v>
      </c>
      <c r="K494" t="s">
        <v>24</v>
      </c>
      <c r="L494" t="s">
        <v>217</v>
      </c>
      <c r="M494" t="s">
        <v>2299</v>
      </c>
      <c r="N494" t="s">
        <v>265</v>
      </c>
      <c r="O494" t="s">
        <v>2299</v>
      </c>
      <c r="P494" t="s">
        <v>265</v>
      </c>
      <c r="Q494" t="s">
        <v>2213</v>
      </c>
      <c r="R494" t="s">
        <v>237</v>
      </c>
      <c r="S494" t="s">
        <v>783</v>
      </c>
      <c r="T494" t="s">
        <v>550</v>
      </c>
      <c r="U494" t="s">
        <v>550</v>
      </c>
      <c r="V494" t="s">
        <v>2352</v>
      </c>
      <c r="W494" t="s">
        <v>613</v>
      </c>
      <c r="X494" t="s">
        <v>281</v>
      </c>
      <c r="Z494" t="s">
        <v>2350</v>
      </c>
    </row>
    <row r="495" spans="1:26" x14ac:dyDescent="0.3">
      <c r="A495" t="s">
        <v>525</v>
      </c>
      <c r="B495" t="s">
        <v>2353</v>
      </c>
      <c r="C495" t="s">
        <v>2354</v>
      </c>
      <c r="D495" t="s">
        <v>550</v>
      </c>
      <c r="E495" t="s">
        <v>2355</v>
      </c>
      <c r="F495" t="s">
        <v>2356</v>
      </c>
      <c r="G495" s="1">
        <v>45658</v>
      </c>
      <c r="H495" s="1">
        <v>45658</v>
      </c>
      <c r="I495" t="s">
        <v>780</v>
      </c>
      <c r="J495" t="s">
        <v>2357</v>
      </c>
      <c r="K495" t="s">
        <v>24</v>
      </c>
      <c r="L495" t="s">
        <v>216</v>
      </c>
      <c r="M495" t="s">
        <v>2299</v>
      </c>
      <c r="N495" t="s">
        <v>265</v>
      </c>
      <c r="O495" t="s">
        <v>2299</v>
      </c>
      <c r="P495" t="s">
        <v>265</v>
      </c>
      <c r="Q495" t="s">
        <v>2213</v>
      </c>
      <c r="R495" t="s">
        <v>237</v>
      </c>
      <c r="S495" t="s">
        <v>550</v>
      </c>
      <c r="T495" t="s">
        <v>550</v>
      </c>
      <c r="U495" t="s">
        <v>550</v>
      </c>
      <c r="V495" t="s">
        <v>2358</v>
      </c>
      <c r="W495" t="s">
        <v>613</v>
      </c>
      <c r="X495" t="s">
        <v>281</v>
      </c>
      <c r="Z495" t="s">
        <v>2353</v>
      </c>
    </row>
    <row r="496" spans="1:26" x14ac:dyDescent="0.3">
      <c r="A496" t="s">
        <v>525</v>
      </c>
      <c r="B496" t="s">
        <v>2359</v>
      </c>
      <c r="C496" t="s">
        <v>2360</v>
      </c>
      <c r="D496" t="s">
        <v>2353</v>
      </c>
      <c r="E496" t="s">
        <v>2355</v>
      </c>
      <c r="F496" t="s">
        <v>2356</v>
      </c>
      <c r="G496" s="1">
        <v>45658</v>
      </c>
      <c r="H496" s="1">
        <v>45663</v>
      </c>
      <c r="I496" t="s">
        <v>665</v>
      </c>
      <c r="J496" t="s">
        <v>2357</v>
      </c>
      <c r="K496" t="s">
        <v>24</v>
      </c>
      <c r="L496" t="s">
        <v>216</v>
      </c>
      <c r="M496" t="s">
        <v>2299</v>
      </c>
      <c r="N496" t="s">
        <v>265</v>
      </c>
      <c r="O496" t="s">
        <v>2299</v>
      </c>
      <c r="P496" t="s">
        <v>265</v>
      </c>
      <c r="Q496" t="s">
        <v>2213</v>
      </c>
      <c r="R496" t="s">
        <v>237</v>
      </c>
      <c r="S496" t="s">
        <v>783</v>
      </c>
      <c r="T496" t="s">
        <v>550</v>
      </c>
      <c r="U496" t="s">
        <v>550</v>
      </c>
      <c r="V496" t="s">
        <v>2358</v>
      </c>
      <c r="W496" t="s">
        <v>613</v>
      </c>
      <c r="X496" t="s">
        <v>281</v>
      </c>
      <c r="Z496" t="s">
        <v>2353</v>
      </c>
    </row>
    <row r="497" spans="1:26" x14ac:dyDescent="0.3">
      <c r="A497" t="s">
        <v>525</v>
      </c>
      <c r="B497" t="s">
        <v>2361</v>
      </c>
      <c r="C497" t="s">
        <v>2362</v>
      </c>
      <c r="D497" t="s">
        <v>1100</v>
      </c>
      <c r="E497" t="s">
        <v>1102</v>
      </c>
      <c r="F497" t="s">
        <v>1103</v>
      </c>
      <c r="G497" s="1">
        <v>45658</v>
      </c>
      <c r="H497" s="1">
        <v>45686</v>
      </c>
      <c r="I497" t="s">
        <v>665</v>
      </c>
      <c r="J497" t="s">
        <v>1104</v>
      </c>
      <c r="K497" t="s">
        <v>24</v>
      </c>
      <c r="L497" t="s">
        <v>216</v>
      </c>
      <c r="M497" t="s">
        <v>2299</v>
      </c>
      <c r="N497" t="s">
        <v>265</v>
      </c>
      <c r="O497" t="s">
        <v>2299</v>
      </c>
      <c r="P497" t="s">
        <v>265</v>
      </c>
      <c r="Q497" t="s">
        <v>2213</v>
      </c>
      <c r="R497" t="s">
        <v>237</v>
      </c>
      <c r="S497" t="s">
        <v>1471</v>
      </c>
      <c r="T497" t="s">
        <v>550</v>
      </c>
      <c r="U497" t="s">
        <v>550</v>
      </c>
      <c r="V497" t="s">
        <v>2363</v>
      </c>
      <c r="W497" t="s">
        <v>613</v>
      </c>
      <c r="X497" t="s">
        <v>281</v>
      </c>
      <c r="Y497" t="s">
        <v>290</v>
      </c>
      <c r="Z497" t="s">
        <v>2361</v>
      </c>
    </row>
    <row r="498" spans="1:26" x14ac:dyDescent="0.3">
      <c r="A498" t="s">
        <v>525</v>
      </c>
      <c r="B498" t="s">
        <v>2364</v>
      </c>
      <c r="C498" t="s">
        <v>2365</v>
      </c>
      <c r="D498" t="s">
        <v>1025</v>
      </c>
      <c r="E498" t="s">
        <v>1027</v>
      </c>
      <c r="F498" t="s">
        <v>1028</v>
      </c>
      <c r="G498" s="1">
        <v>45658</v>
      </c>
      <c r="H498" s="1">
        <v>45689</v>
      </c>
      <c r="I498" t="s">
        <v>665</v>
      </c>
      <c r="J498" t="s">
        <v>1029</v>
      </c>
      <c r="K498" t="s">
        <v>24</v>
      </c>
      <c r="L498" t="s">
        <v>216</v>
      </c>
      <c r="M498" t="s">
        <v>1031</v>
      </c>
      <c r="N498" t="s">
        <v>239</v>
      </c>
      <c r="O498" t="s">
        <v>2299</v>
      </c>
      <c r="P498" t="s">
        <v>265</v>
      </c>
      <c r="Q498" t="s">
        <v>2213</v>
      </c>
      <c r="R498" t="s">
        <v>237</v>
      </c>
      <c r="S498" t="s">
        <v>1471</v>
      </c>
      <c r="T498" t="s">
        <v>550</v>
      </c>
      <c r="U498" t="s">
        <v>550</v>
      </c>
      <c r="V498" t="s">
        <v>2366</v>
      </c>
      <c r="W498" t="s">
        <v>613</v>
      </c>
      <c r="X498" t="s">
        <v>281</v>
      </c>
      <c r="Z498" t="s">
        <v>2364</v>
      </c>
    </row>
    <row r="499" spans="1:26" x14ac:dyDescent="0.3">
      <c r="A499" t="s">
        <v>525</v>
      </c>
      <c r="B499" t="s">
        <v>2367</v>
      </c>
      <c r="C499" t="s">
        <v>2368</v>
      </c>
      <c r="D499" t="s">
        <v>1025</v>
      </c>
      <c r="E499" t="s">
        <v>1027</v>
      </c>
      <c r="F499" t="s">
        <v>1028</v>
      </c>
      <c r="G499" s="1">
        <v>46023</v>
      </c>
      <c r="H499" s="1">
        <v>46023</v>
      </c>
      <c r="I499" t="s">
        <v>551</v>
      </c>
      <c r="J499" t="s">
        <v>1029</v>
      </c>
      <c r="K499" t="s">
        <v>24</v>
      </c>
      <c r="L499" t="s">
        <v>216</v>
      </c>
      <c r="M499" t="s">
        <v>1031</v>
      </c>
      <c r="N499" t="s">
        <v>239</v>
      </c>
      <c r="O499" t="s">
        <v>2299</v>
      </c>
      <c r="P499" t="s">
        <v>265</v>
      </c>
      <c r="Q499" t="s">
        <v>2213</v>
      </c>
      <c r="R499" t="s">
        <v>237</v>
      </c>
      <c r="S499" t="s">
        <v>1471</v>
      </c>
      <c r="T499" t="s">
        <v>550</v>
      </c>
      <c r="U499" t="s">
        <v>550</v>
      </c>
      <c r="V499" t="s">
        <v>2369</v>
      </c>
      <c r="W499" t="s">
        <v>613</v>
      </c>
      <c r="X499" t="s">
        <v>281</v>
      </c>
      <c r="Z499" t="s">
        <v>2367</v>
      </c>
    </row>
    <row r="500" spans="1:26" x14ac:dyDescent="0.3">
      <c r="A500" t="s">
        <v>525</v>
      </c>
      <c r="B500" t="s">
        <v>2370</v>
      </c>
      <c r="C500" t="s">
        <v>2371</v>
      </c>
      <c r="D500" t="s">
        <v>2372</v>
      </c>
      <c r="E500" t="s">
        <v>2373</v>
      </c>
      <c r="F500" t="s">
        <v>2374</v>
      </c>
      <c r="G500" s="1">
        <v>45658</v>
      </c>
      <c r="H500" s="1">
        <v>45662</v>
      </c>
      <c r="I500" t="s">
        <v>665</v>
      </c>
      <c r="J500" t="s">
        <v>2375</v>
      </c>
      <c r="K500" t="s">
        <v>635</v>
      </c>
      <c r="L500" t="s">
        <v>216</v>
      </c>
      <c r="M500" t="s">
        <v>2376</v>
      </c>
      <c r="N500" t="s">
        <v>2377</v>
      </c>
      <c r="O500" t="s">
        <v>2299</v>
      </c>
      <c r="P500" t="s">
        <v>265</v>
      </c>
      <c r="Q500" t="s">
        <v>2213</v>
      </c>
      <c r="R500" t="s">
        <v>237</v>
      </c>
      <c r="S500" t="s">
        <v>783</v>
      </c>
      <c r="T500" t="s">
        <v>550</v>
      </c>
      <c r="U500" t="s">
        <v>550</v>
      </c>
      <c r="V500" t="s">
        <v>2378</v>
      </c>
      <c r="W500" t="s">
        <v>613</v>
      </c>
      <c r="X500" t="s">
        <v>281</v>
      </c>
      <c r="Z500" t="s">
        <v>2370</v>
      </c>
    </row>
    <row r="501" spans="1:26" x14ac:dyDescent="0.3">
      <c r="A501" t="s">
        <v>525</v>
      </c>
      <c r="B501" t="s">
        <v>2379</v>
      </c>
      <c r="C501" t="s">
        <v>2380</v>
      </c>
      <c r="D501" t="s">
        <v>550</v>
      </c>
      <c r="E501" t="s">
        <v>2381</v>
      </c>
      <c r="F501" t="s">
        <v>2382</v>
      </c>
      <c r="G501" s="1">
        <v>45658</v>
      </c>
      <c r="H501" s="1">
        <v>45658</v>
      </c>
      <c r="I501" t="s">
        <v>780</v>
      </c>
      <c r="J501" t="s">
        <v>2383</v>
      </c>
      <c r="K501" t="s">
        <v>24</v>
      </c>
      <c r="L501" t="s">
        <v>216</v>
      </c>
      <c r="M501" t="s">
        <v>2376</v>
      </c>
      <c r="N501" t="s">
        <v>2377</v>
      </c>
      <c r="O501" t="s">
        <v>2299</v>
      </c>
      <c r="P501" t="s">
        <v>265</v>
      </c>
      <c r="Q501" t="s">
        <v>2213</v>
      </c>
      <c r="R501" t="s">
        <v>237</v>
      </c>
      <c r="S501" t="s">
        <v>550</v>
      </c>
      <c r="T501" t="s">
        <v>550</v>
      </c>
      <c r="U501" t="s">
        <v>550</v>
      </c>
      <c r="V501" t="s">
        <v>2384</v>
      </c>
      <c r="W501" t="s">
        <v>613</v>
      </c>
      <c r="X501" t="s">
        <v>281</v>
      </c>
      <c r="Y501" t="s">
        <v>312</v>
      </c>
      <c r="Z501" t="s">
        <v>2379</v>
      </c>
    </row>
    <row r="502" spans="1:26" x14ac:dyDescent="0.3">
      <c r="A502" t="s">
        <v>525</v>
      </c>
      <c r="B502" t="s">
        <v>2385</v>
      </c>
      <c r="C502" t="s">
        <v>2386</v>
      </c>
      <c r="D502" t="s">
        <v>2379</v>
      </c>
      <c r="E502" t="s">
        <v>2381</v>
      </c>
      <c r="F502" t="s">
        <v>2382</v>
      </c>
      <c r="G502" s="1">
        <v>45658</v>
      </c>
      <c r="H502" s="1">
        <v>45699</v>
      </c>
      <c r="I502" t="s">
        <v>665</v>
      </c>
      <c r="J502" t="s">
        <v>2383</v>
      </c>
      <c r="K502" t="s">
        <v>24</v>
      </c>
      <c r="L502" t="s">
        <v>216</v>
      </c>
      <c r="M502" t="s">
        <v>2376</v>
      </c>
      <c r="N502" t="s">
        <v>2377</v>
      </c>
      <c r="O502" t="s">
        <v>2299</v>
      </c>
      <c r="P502" t="s">
        <v>265</v>
      </c>
      <c r="Q502" t="s">
        <v>2213</v>
      </c>
      <c r="R502" t="s">
        <v>237</v>
      </c>
      <c r="S502" t="s">
        <v>783</v>
      </c>
      <c r="T502" t="s">
        <v>550</v>
      </c>
      <c r="U502" t="s">
        <v>550</v>
      </c>
      <c r="V502" t="s">
        <v>2387</v>
      </c>
      <c r="W502" t="s">
        <v>613</v>
      </c>
      <c r="X502" t="s">
        <v>281</v>
      </c>
      <c r="Y502" t="s">
        <v>312</v>
      </c>
      <c r="Z502" t="s">
        <v>2385</v>
      </c>
    </row>
    <row r="503" spans="1:26" x14ac:dyDescent="0.3">
      <c r="A503" t="s">
        <v>525</v>
      </c>
      <c r="B503" t="s">
        <v>2274</v>
      </c>
      <c r="C503" t="s">
        <v>2388</v>
      </c>
      <c r="D503" t="s">
        <v>550</v>
      </c>
      <c r="E503" t="s">
        <v>664</v>
      </c>
      <c r="F503" t="s">
        <v>27</v>
      </c>
      <c r="G503" s="1">
        <v>45658</v>
      </c>
      <c r="H503" s="1">
        <v>45658</v>
      </c>
      <c r="I503" t="s">
        <v>780</v>
      </c>
      <c r="J503" t="s">
        <v>666</v>
      </c>
      <c r="K503" t="s">
        <v>24</v>
      </c>
      <c r="L503" t="s">
        <v>217</v>
      </c>
      <c r="M503" t="s">
        <v>2276</v>
      </c>
      <c r="N503" t="s">
        <v>2277</v>
      </c>
      <c r="O503" t="s">
        <v>2276</v>
      </c>
      <c r="P503" t="s">
        <v>2277</v>
      </c>
      <c r="Q503" t="s">
        <v>2213</v>
      </c>
      <c r="R503" t="s">
        <v>237</v>
      </c>
      <c r="S503" t="s">
        <v>550</v>
      </c>
      <c r="T503" t="s">
        <v>550</v>
      </c>
      <c r="U503" t="s">
        <v>550</v>
      </c>
      <c r="V503" t="s">
        <v>2389</v>
      </c>
      <c r="W503" t="s">
        <v>835</v>
      </c>
      <c r="Z503" t="s">
        <v>2274</v>
      </c>
    </row>
    <row r="504" spans="1:26" x14ac:dyDescent="0.3">
      <c r="A504" t="s">
        <v>525</v>
      </c>
      <c r="B504" t="s">
        <v>2390</v>
      </c>
      <c r="C504" t="s">
        <v>2391</v>
      </c>
      <c r="D504" t="s">
        <v>2274</v>
      </c>
      <c r="E504" t="s">
        <v>664</v>
      </c>
      <c r="F504" t="s">
        <v>27</v>
      </c>
      <c r="G504" s="1">
        <v>45658</v>
      </c>
      <c r="H504" s="1">
        <v>45760</v>
      </c>
      <c r="I504" t="s">
        <v>665</v>
      </c>
      <c r="J504" t="s">
        <v>666</v>
      </c>
      <c r="K504" t="s">
        <v>24</v>
      </c>
      <c r="L504" t="s">
        <v>217</v>
      </c>
      <c r="M504" t="s">
        <v>2276</v>
      </c>
      <c r="N504" t="s">
        <v>2277</v>
      </c>
      <c r="O504" t="s">
        <v>2276</v>
      </c>
      <c r="P504" t="s">
        <v>2277</v>
      </c>
      <c r="Q504" t="s">
        <v>2213</v>
      </c>
      <c r="R504" t="s">
        <v>237</v>
      </c>
      <c r="S504" t="s">
        <v>783</v>
      </c>
      <c r="T504" t="s">
        <v>550</v>
      </c>
      <c r="U504" t="s">
        <v>550</v>
      </c>
      <c r="V504" t="s">
        <v>2392</v>
      </c>
      <c r="W504" t="s">
        <v>835</v>
      </c>
      <c r="Z504" t="s">
        <v>2390</v>
      </c>
    </row>
    <row r="505" spans="1:26" x14ac:dyDescent="0.3">
      <c r="A505" t="s">
        <v>525</v>
      </c>
      <c r="B505" t="s">
        <v>2393</v>
      </c>
      <c r="C505" t="s">
        <v>2394</v>
      </c>
      <c r="D505" t="s">
        <v>2395</v>
      </c>
      <c r="E505" t="s">
        <v>664</v>
      </c>
      <c r="F505" t="s">
        <v>27</v>
      </c>
      <c r="G505" s="1">
        <v>46023</v>
      </c>
      <c r="H505" s="1">
        <v>46177</v>
      </c>
      <c r="I505" t="s">
        <v>551</v>
      </c>
      <c r="J505" t="s">
        <v>666</v>
      </c>
      <c r="K505" t="s">
        <v>24</v>
      </c>
      <c r="L505" t="s">
        <v>217</v>
      </c>
      <c r="M505" t="s">
        <v>873</v>
      </c>
      <c r="N505" t="s">
        <v>244</v>
      </c>
      <c r="O505" t="s">
        <v>2396</v>
      </c>
      <c r="P505" t="s">
        <v>308</v>
      </c>
      <c r="Q505" t="s">
        <v>2213</v>
      </c>
      <c r="R505" t="s">
        <v>237</v>
      </c>
      <c r="S505" t="s">
        <v>783</v>
      </c>
      <c r="T505" t="s">
        <v>550</v>
      </c>
      <c r="U505" t="s">
        <v>550</v>
      </c>
      <c r="V505" t="s">
        <v>2397</v>
      </c>
      <c r="W505" t="s">
        <v>565</v>
      </c>
      <c r="Z505" t="s">
        <v>2393</v>
      </c>
    </row>
    <row r="506" spans="1:26" x14ac:dyDescent="0.3">
      <c r="A506" t="s">
        <v>525</v>
      </c>
      <c r="B506" t="s">
        <v>2395</v>
      </c>
      <c r="C506" t="s">
        <v>2398</v>
      </c>
      <c r="D506" t="s">
        <v>550</v>
      </c>
      <c r="E506" t="s">
        <v>664</v>
      </c>
      <c r="F506" t="s">
        <v>27</v>
      </c>
      <c r="G506" s="1">
        <v>46024</v>
      </c>
      <c r="H506" s="1">
        <v>46024</v>
      </c>
      <c r="I506" t="s">
        <v>780</v>
      </c>
      <c r="J506" t="s">
        <v>666</v>
      </c>
      <c r="K506" t="s">
        <v>24</v>
      </c>
      <c r="L506" t="s">
        <v>217</v>
      </c>
      <c r="M506" t="s">
        <v>797</v>
      </c>
      <c r="N506" t="s">
        <v>313</v>
      </c>
      <c r="O506" t="s">
        <v>2396</v>
      </c>
      <c r="P506" t="s">
        <v>308</v>
      </c>
      <c r="Q506" t="s">
        <v>2213</v>
      </c>
      <c r="R506" t="s">
        <v>237</v>
      </c>
      <c r="S506" t="s">
        <v>783</v>
      </c>
      <c r="T506" t="s">
        <v>550</v>
      </c>
      <c r="U506" t="s">
        <v>550</v>
      </c>
      <c r="V506" t="s">
        <v>2399</v>
      </c>
      <c r="W506" t="s">
        <v>565</v>
      </c>
      <c r="Z506" t="s">
        <v>2395</v>
      </c>
    </row>
    <row r="507" spans="1:26" x14ac:dyDescent="0.3">
      <c r="A507" t="s">
        <v>525</v>
      </c>
      <c r="B507" t="s">
        <v>2400</v>
      </c>
      <c r="C507" t="s">
        <v>2401</v>
      </c>
      <c r="D507" t="s">
        <v>550</v>
      </c>
      <c r="E507" t="s">
        <v>2402</v>
      </c>
      <c r="F507" t="s">
        <v>2403</v>
      </c>
      <c r="G507" s="1">
        <v>43831</v>
      </c>
      <c r="H507" s="1">
        <v>43935</v>
      </c>
      <c r="I507" t="s">
        <v>665</v>
      </c>
      <c r="J507" t="s">
        <v>2404</v>
      </c>
      <c r="K507" t="s">
        <v>862</v>
      </c>
      <c r="L507" t="s">
        <v>863</v>
      </c>
      <c r="M507" t="s">
        <v>1988</v>
      </c>
      <c r="N507" t="s">
        <v>1989</v>
      </c>
      <c r="O507" t="s">
        <v>1369</v>
      </c>
      <c r="P507" t="s">
        <v>1370</v>
      </c>
      <c r="Q507" t="s">
        <v>2213</v>
      </c>
      <c r="R507" t="s">
        <v>237</v>
      </c>
      <c r="S507" t="s">
        <v>550</v>
      </c>
      <c r="T507" t="s">
        <v>550</v>
      </c>
      <c r="U507" t="s">
        <v>550</v>
      </c>
      <c r="V507" t="s">
        <v>2405</v>
      </c>
      <c r="W507" t="s">
        <v>869</v>
      </c>
      <c r="X507" t="s">
        <v>870</v>
      </c>
      <c r="Y507" t="s">
        <v>847</v>
      </c>
      <c r="Z507" t="s">
        <v>2400</v>
      </c>
    </row>
    <row r="508" spans="1:26" x14ac:dyDescent="0.3">
      <c r="A508" t="s">
        <v>525</v>
      </c>
      <c r="B508" t="s">
        <v>2406</v>
      </c>
      <c r="C508" t="s">
        <v>2407</v>
      </c>
      <c r="D508" t="s">
        <v>550</v>
      </c>
      <c r="E508" t="s">
        <v>664</v>
      </c>
      <c r="F508" t="s">
        <v>27</v>
      </c>
      <c r="G508" s="1">
        <v>43831</v>
      </c>
      <c r="H508" s="1">
        <v>43861</v>
      </c>
      <c r="I508" t="s">
        <v>665</v>
      </c>
      <c r="J508" t="s">
        <v>666</v>
      </c>
      <c r="K508" t="s">
        <v>958</v>
      </c>
      <c r="L508" t="s">
        <v>863</v>
      </c>
      <c r="M508" t="s">
        <v>2408</v>
      </c>
      <c r="N508" t="s">
        <v>2409</v>
      </c>
      <c r="O508" t="s">
        <v>1369</v>
      </c>
      <c r="P508" t="s">
        <v>1370</v>
      </c>
      <c r="Q508" t="s">
        <v>2213</v>
      </c>
      <c r="R508" t="s">
        <v>237</v>
      </c>
      <c r="S508" t="s">
        <v>550</v>
      </c>
      <c r="T508" t="s">
        <v>550</v>
      </c>
      <c r="U508" t="s">
        <v>550</v>
      </c>
      <c r="V508" t="s">
        <v>2410</v>
      </c>
      <c r="W508" t="s">
        <v>1014</v>
      </c>
      <c r="X508" t="s">
        <v>870</v>
      </c>
      <c r="Y508" t="s">
        <v>799</v>
      </c>
      <c r="Z508" t="s">
        <v>2406</v>
      </c>
    </row>
    <row r="509" spans="1:26" x14ac:dyDescent="0.3">
      <c r="A509" t="s">
        <v>525</v>
      </c>
      <c r="B509" t="s">
        <v>2411</v>
      </c>
      <c r="C509" t="s">
        <v>2412</v>
      </c>
      <c r="D509" t="s">
        <v>550</v>
      </c>
      <c r="E509" t="s">
        <v>1930</v>
      </c>
      <c r="F509" t="s">
        <v>1931</v>
      </c>
      <c r="G509" s="1">
        <v>43831</v>
      </c>
      <c r="H509" s="1">
        <v>44004</v>
      </c>
      <c r="I509" t="s">
        <v>665</v>
      </c>
      <c r="J509" t="s">
        <v>1932</v>
      </c>
      <c r="K509" t="s">
        <v>862</v>
      </c>
      <c r="L509" t="s">
        <v>863</v>
      </c>
      <c r="M509" t="s">
        <v>1988</v>
      </c>
      <c r="N509" t="s">
        <v>1989</v>
      </c>
      <c r="O509" t="s">
        <v>1369</v>
      </c>
      <c r="P509" t="s">
        <v>1370</v>
      </c>
      <c r="Q509" t="s">
        <v>2213</v>
      </c>
      <c r="R509" t="s">
        <v>237</v>
      </c>
      <c r="S509" t="s">
        <v>550</v>
      </c>
      <c r="T509" t="s">
        <v>550</v>
      </c>
      <c r="U509" t="s">
        <v>550</v>
      </c>
      <c r="V509" t="s">
        <v>2413</v>
      </c>
      <c r="W509" t="s">
        <v>869</v>
      </c>
      <c r="X509" t="s">
        <v>870</v>
      </c>
      <c r="Y509" t="s">
        <v>847</v>
      </c>
      <c r="Z509" t="s">
        <v>2411</v>
      </c>
    </row>
    <row r="510" spans="1:26" x14ac:dyDescent="0.3">
      <c r="A510" t="s">
        <v>525</v>
      </c>
      <c r="B510" t="s">
        <v>2414</v>
      </c>
      <c r="C510" t="s">
        <v>2415</v>
      </c>
      <c r="D510" t="s">
        <v>550</v>
      </c>
      <c r="E510" t="s">
        <v>664</v>
      </c>
      <c r="F510" t="s">
        <v>27</v>
      </c>
      <c r="G510" s="1">
        <v>42371</v>
      </c>
      <c r="H510" s="1">
        <v>43465</v>
      </c>
      <c r="I510" t="s">
        <v>665</v>
      </c>
      <c r="J510" t="s">
        <v>666</v>
      </c>
      <c r="K510" t="s">
        <v>958</v>
      </c>
      <c r="L510" t="s">
        <v>667</v>
      </c>
      <c r="M510" t="s">
        <v>1369</v>
      </c>
      <c r="N510" t="s">
        <v>1370</v>
      </c>
      <c r="O510" t="s">
        <v>1369</v>
      </c>
      <c r="P510" t="s">
        <v>1370</v>
      </c>
      <c r="Q510" t="s">
        <v>2213</v>
      </c>
      <c r="R510" t="s">
        <v>237</v>
      </c>
      <c r="S510" t="s">
        <v>550</v>
      </c>
      <c r="T510" t="s">
        <v>550</v>
      </c>
      <c r="U510" t="s">
        <v>550</v>
      </c>
      <c r="V510" t="s">
        <v>2416</v>
      </c>
      <c r="W510" t="s">
        <v>1014</v>
      </c>
      <c r="X510" t="s">
        <v>870</v>
      </c>
      <c r="Y510" t="s">
        <v>1462</v>
      </c>
      <c r="Z510" t="s">
        <v>2414</v>
      </c>
    </row>
    <row r="511" spans="1:26" x14ac:dyDescent="0.3">
      <c r="A511" t="s">
        <v>525</v>
      </c>
      <c r="B511" t="s">
        <v>2417</v>
      </c>
      <c r="C511" t="s">
        <v>2418</v>
      </c>
      <c r="D511" t="s">
        <v>2414</v>
      </c>
      <c r="E511" t="s">
        <v>664</v>
      </c>
      <c r="F511" t="s">
        <v>27</v>
      </c>
      <c r="G511" s="1">
        <v>43102</v>
      </c>
      <c r="H511" s="1">
        <v>43465</v>
      </c>
      <c r="I511" t="s">
        <v>665</v>
      </c>
      <c r="J511" t="s">
        <v>666</v>
      </c>
      <c r="K511" t="s">
        <v>958</v>
      </c>
      <c r="L511" t="s">
        <v>667</v>
      </c>
      <c r="M511" t="s">
        <v>1369</v>
      </c>
      <c r="N511" t="s">
        <v>1370</v>
      </c>
      <c r="O511" t="s">
        <v>1369</v>
      </c>
      <c r="P511" t="s">
        <v>1370</v>
      </c>
      <c r="Q511" t="s">
        <v>2213</v>
      </c>
      <c r="R511" t="s">
        <v>237</v>
      </c>
      <c r="S511" t="s">
        <v>550</v>
      </c>
      <c r="T511" t="s">
        <v>550</v>
      </c>
      <c r="U511" t="s">
        <v>550</v>
      </c>
      <c r="V511" t="s">
        <v>2419</v>
      </c>
      <c r="W511" t="s">
        <v>1014</v>
      </c>
      <c r="X511" t="s">
        <v>870</v>
      </c>
      <c r="Y511" t="s">
        <v>1462</v>
      </c>
      <c r="Z511" t="s">
        <v>2417</v>
      </c>
    </row>
    <row r="512" spans="1:26" x14ac:dyDescent="0.3">
      <c r="A512" t="s">
        <v>525</v>
      </c>
      <c r="B512" t="s">
        <v>2420</v>
      </c>
      <c r="C512" t="s">
        <v>2421</v>
      </c>
      <c r="D512" t="s">
        <v>550</v>
      </c>
      <c r="E512" t="s">
        <v>664</v>
      </c>
      <c r="F512" t="s">
        <v>27</v>
      </c>
      <c r="G512" s="1">
        <v>42737</v>
      </c>
      <c r="H512" s="1">
        <v>44196</v>
      </c>
      <c r="I512" t="s">
        <v>665</v>
      </c>
      <c r="J512" t="s">
        <v>666</v>
      </c>
      <c r="K512" t="s">
        <v>24</v>
      </c>
      <c r="L512" t="s">
        <v>863</v>
      </c>
      <c r="M512" t="s">
        <v>1369</v>
      </c>
      <c r="N512" t="s">
        <v>1370</v>
      </c>
      <c r="O512" t="s">
        <v>1369</v>
      </c>
      <c r="P512" t="s">
        <v>1370</v>
      </c>
      <c r="Q512" t="s">
        <v>2213</v>
      </c>
      <c r="R512" t="s">
        <v>237</v>
      </c>
      <c r="S512" t="s">
        <v>550</v>
      </c>
      <c r="T512" t="s">
        <v>550</v>
      </c>
      <c r="U512" t="s">
        <v>550</v>
      </c>
      <c r="V512" t="s">
        <v>2422</v>
      </c>
      <c r="W512" t="s">
        <v>1014</v>
      </c>
      <c r="X512" t="s">
        <v>870</v>
      </c>
      <c r="Y512" t="s">
        <v>1462</v>
      </c>
      <c r="Z512" t="s">
        <v>2420</v>
      </c>
    </row>
    <row r="513" spans="1:26" x14ac:dyDescent="0.3">
      <c r="A513" t="s">
        <v>525</v>
      </c>
      <c r="B513" t="s">
        <v>2423</v>
      </c>
      <c r="C513" t="s">
        <v>2424</v>
      </c>
      <c r="D513" t="s">
        <v>2420</v>
      </c>
      <c r="E513" t="s">
        <v>664</v>
      </c>
      <c r="F513" t="s">
        <v>27</v>
      </c>
      <c r="G513" s="1">
        <v>43102</v>
      </c>
      <c r="H513" s="1">
        <v>43465</v>
      </c>
      <c r="I513" t="s">
        <v>665</v>
      </c>
      <c r="J513" t="s">
        <v>666</v>
      </c>
      <c r="K513" t="s">
        <v>24</v>
      </c>
      <c r="L513" t="s">
        <v>863</v>
      </c>
      <c r="M513" t="s">
        <v>1369</v>
      </c>
      <c r="N513" t="s">
        <v>1370</v>
      </c>
      <c r="O513" t="s">
        <v>1369</v>
      </c>
      <c r="P513" t="s">
        <v>1370</v>
      </c>
      <c r="Q513" t="s">
        <v>2213</v>
      </c>
      <c r="R513" t="s">
        <v>237</v>
      </c>
      <c r="S513" t="s">
        <v>550</v>
      </c>
      <c r="T513" t="s">
        <v>550</v>
      </c>
      <c r="U513" t="s">
        <v>550</v>
      </c>
      <c r="V513" t="s">
        <v>2425</v>
      </c>
      <c r="W513" t="s">
        <v>1014</v>
      </c>
      <c r="X513" t="s">
        <v>870</v>
      </c>
      <c r="Y513" t="s">
        <v>1462</v>
      </c>
      <c r="Z513" t="s">
        <v>2423</v>
      </c>
    </row>
    <row r="514" spans="1:26" x14ac:dyDescent="0.3">
      <c r="A514" t="s">
        <v>525</v>
      </c>
      <c r="B514" t="s">
        <v>2426</v>
      </c>
      <c r="C514" t="s">
        <v>2427</v>
      </c>
      <c r="D514" t="s">
        <v>2423</v>
      </c>
      <c r="E514" t="s">
        <v>664</v>
      </c>
      <c r="F514" t="s">
        <v>27</v>
      </c>
      <c r="G514" s="1">
        <v>43102</v>
      </c>
      <c r="H514" s="1">
        <v>43465</v>
      </c>
      <c r="I514" t="s">
        <v>665</v>
      </c>
      <c r="J514" t="s">
        <v>666</v>
      </c>
      <c r="K514" t="s">
        <v>24</v>
      </c>
      <c r="L514" t="s">
        <v>863</v>
      </c>
      <c r="M514" t="s">
        <v>1369</v>
      </c>
      <c r="N514" t="s">
        <v>1370</v>
      </c>
      <c r="O514" t="s">
        <v>1369</v>
      </c>
      <c r="P514" t="s">
        <v>1370</v>
      </c>
      <c r="Q514" t="s">
        <v>2213</v>
      </c>
      <c r="R514" t="s">
        <v>237</v>
      </c>
      <c r="S514" t="s">
        <v>550</v>
      </c>
      <c r="T514" t="s">
        <v>550</v>
      </c>
      <c r="U514" t="s">
        <v>550</v>
      </c>
      <c r="V514" t="s">
        <v>2428</v>
      </c>
      <c r="W514" t="s">
        <v>1014</v>
      </c>
      <c r="X514" t="s">
        <v>870</v>
      </c>
      <c r="Y514" t="s">
        <v>1462</v>
      </c>
      <c r="Z514" t="s">
        <v>2426</v>
      </c>
    </row>
    <row r="515" spans="1:26" x14ac:dyDescent="0.3">
      <c r="A515" t="s">
        <v>525</v>
      </c>
      <c r="B515" t="s">
        <v>2429</v>
      </c>
      <c r="C515" t="s">
        <v>2430</v>
      </c>
      <c r="D515" t="s">
        <v>2423</v>
      </c>
      <c r="E515" t="s">
        <v>2431</v>
      </c>
      <c r="F515" t="s">
        <v>2432</v>
      </c>
      <c r="G515" s="1">
        <v>43102</v>
      </c>
      <c r="H515" s="1">
        <v>43465</v>
      </c>
      <c r="I515" t="s">
        <v>665</v>
      </c>
      <c r="J515" t="s">
        <v>2433</v>
      </c>
      <c r="K515" t="s">
        <v>24</v>
      </c>
      <c r="L515" t="s">
        <v>863</v>
      </c>
      <c r="M515" t="s">
        <v>1369</v>
      </c>
      <c r="N515" t="s">
        <v>1370</v>
      </c>
      <c r="O515" t="s">
        <v>1369</v>
      </c>
      <c r="P515" t="s">
        <v>1370</v>
      </c>
      <c r="Q515" t="s">
        <v>2213</v>
      </c>
      <c r="R515" t="s">
        <v>237</v>
      </c>
      <c r="S515" t="s">
        <v>550</v>
      </c>
      <c r="T515" t="s">
        <v>550</v>
      </c>
      <c r="U515" t="s">
        <v>550</v>
      </c>
      <c r="V515" t="s">
        <v>2434</v>
      </c>
      <c r="W515" t="s">
        <v>1014</v>
      </c>
      <c r="X515" t="s">
        <v>870</v>
      </c>
      <c r="Y515" t="s">
        <v>1462</v>
      </c>
      <c r="Z515" t="s">
        <v>2429</v>
      </c>
    </row>
    <row r="516" spans="1:26" x14ac:dyDescent="0.3">
      <c r="A516" t="s">
        <v>525</v>
      </c>
      <c r="B516" t="s">
        <v>2435</v>
      </c>
      <c r="C516" t="s">
        <v>2436</v>
      </c>
      <c r="D516" t="s">
        <v>2420</v>
      </c>
      <c r="E516" t="s">
        <v>664</v>
      </c>
      <c r="F516" t="s">
        <v>27</v>
      </c>
      <c r="G516" s="1">
        <v>43102</v>
      </c>
      <c r="H516" s="1">
        <v>43465</v>
      </c>
      <c r="I516" t="s">
        <v>665</v>
      </c>
      <c r="J516" t="s">
        <v>666</v>
      </c>
      <c r="K516" t="s">
        <v>958</v>
      </c>
      <c r="L516" t="s">
        <v>863</v>
      </c>
      <c r="M516" t="s">
        <v>1369</v>
      </c>
      <c r="N516" t="s">
        <v>1370</v>
      </c>
      <c r="O516" t="s">
        <v>1369</v>
      </c>
      <c r="P516" t="s">
        <v>1370</v>
      </c>
      <c r="Q516" t="s">
        <v>2213</v>
      </c>
      <c r="R516" t="s">
        <v>237</v>
      </c>
      <c r="S516" t="s">
        <v>550</v>
      </c>
      <c r="T516" t="s">
        <v>550</v>
      </c>
      <c r="U516" t="s">
        <v>550</v>
      </c>
      <c r="V516" t="s">
        <v>2437</v>
      </c>
      <c r="W516" t="s">
        <v>1014</v>
      </c>
      <c r="X516" t="s">
        <v>870</v>
      </c>
      <c r="Y516" t="s">
        <v>1462</v>
      </c>
      <c r="Z516" t="s">
        <v>2435</v>
      </c>
    </row>
    <row r="517" spans="1:26" x14ac:dyDescent="0.3">
      <c r="A517" t="s">
        <v>525</v>
      </c>
      <c r="B517" t="s">
        <v>2438</v>
      </c>
      <c r="C517" t="s">
        <v>2439</v>
      </c>
      <c r="D517" t="s">
        <v>2435</v>
      </c>
      <c r="E517" t="s">
        <v>664</v>
      </c>
      <c r="F517" t="s">
        <v>27</v>
      </c>
      <c r="G517" s="1">
        <v>43102</v>
      </c>
      <c r="H517" s="1">
        <v>43465</v>
      </c>
      <c r="I517" t="s">
        <v>665</v>
      </c>
      <c r="J517" t="s">
        <v>666</v>
      </c>
      <c r="K517" t="s">
        <v>958</v>
      </c>
      <c r="L517" t="s">
        <v>863</v>
      </c>
      <c r="M517" t="s">
        <v>1369</v>
      </c>
      <c r="N517" t="s">
        <v>1370</v>
      </c>
      <c r="O517" t="s">
        <v>1369</v>
      </c>
      <c r="P517" t="s">
        <v>1370</v>
      </c>
      <c r="Q517" t="s">
        <v>2213</v>
      </c>
      <c r="R517" t="s">
        <v>237</v>
      </c>
      <c r="S517" t="s">
        <v>550</v>
      </c>
      <c r="T517" t="s">
        <v>550</v>
      </c>
      <c r="U517" t="s">
        <v>550</v>
      </c>
      <c r="V517" t="s">
        <v>2440</v>
      </c>
      <c r="W517" t="s">
        <v>1014</v>
      </c>
      <c r="X517" t="s">
        <v>870</v>
      </c>
      <c r="Y517" t="s">
        <v>1462</v>
      </c>
      <c r="Z517" t="s">
        <v>2438</v>
      </c>
    </row>
    <row r="518" spans="1:26" x14ac:dyDescent="0.3">
      <c r="A518" t="s">
        <v>525</v>
      </c>
      <c r="B518" t="s">
        <v>2441</v>
      </c>
      <c r="C518" t="s">
        <v>2442</v>
      </c>
      <c r="D518" t="s">
        <v>2435</v>
      </c>
      <c r="E518" t="s">
        <v>2443</v>
      </c>
      <c r="F518" t="s">
        <v>2444</v>
      </c>
      <c r="G518" s="1">
        <v>43102</v>
      </c>
      <c r="H518" s="1">
        <v>43465</v>
      </c>
      <c r="I518" t="s">
        <v>665</v>
      </c>
      <c r="J518" t="s">
        <v>2445</v>
      </c>
      <c r="K518" t="s">
        <v>958</v>
      </c>
      <c r="L518" t="s">
        <v>863</v>
      </c>
      <c r="M518" t="s">
        <v>1369</v>
      </c>
      <c r="N518" t="s">
        <v>1370</v>
      </c>
      <c r="O518" t="s">
        <v>1369</v>
      </c>
      <c r="P518" t="s">
        <v>1370</v>
      </c>
      <c r="Q518" t="s">
        <v>2213</v>
      </c>
      <c r="R518" t="s">
        <v>237</v>
      </c>
      <c r="S518" t="s">
        <v>550</v>
      </c>
      <c r="T518" t="s">
        <v>550</v>
      </c>
      <c r="U518" t="s">
        <v>550</v>
      </c>
      <c r="V518" t="s">
        <v>2446</v>
      </c>
      <c r="W518" t="s">
        <v>1014</v>
      </c>
      <c r="X518" t="s">
        <v>870</v>
      </c>
      <c r="Y518" t="s">
        <v>1462</v>
      </c>
      <c r="Z518" t="s">
        <v>2441</v>
      </c>
    </row>
    <row r="519" spans="1:26" x14ac:dyDescent="0.3">
      <c r="A519" t="s">
        <v>525</v>
      </c>
      <c r="B519" t="s">
        <v>2447</v>
      </c>
      <c r="C519" t="s">
        <v>2448</v>
      </c>
      <c r="D519" t="s">
        <v>2435</v>
      </c>
      <c r="E519" t="s">
        <v>2449</v>
      </c>
      <c r="F519" t="s">
        <v>2450</v>
      </c>
      <c r="G519" s="1">
        <v>43102</v>
      </c>
      <c r="H519" s="1">
        <v>43465</v>
      </c>
      <c r="I519" t="s">
        <v>665</v>
      </c>
      <c r="J519" t="s">
        <v>2451</v>
      </c>
      <c r="K519" t="s">
        <v>958</v>
      </c>
      <c r="L519" t="s">
        <v>863</v>
      </c>
      <c r="M519" t="s">
        <v>1369</v>
      </c>
      <c r="N519" t="s">
        <v>1370</v>
      </c>
      <c r="O519" t="s">
        <v>1369</v>
      </c>
      <c r="P519" t="s">
        <v>1370</v>
      </c>
      <c r="Q519" t="s">
        <v>2213</v>
      </c>
      <c r="R519" t="s">
        <v>237</v>
      </c>
      <c r="S519" t="s">
        <v>550</v>
      </c>
      <c r="T519" t="s">
        <v>550</v>
      </c>
      <c r="U519" t="s">
        <v>550</v>
      </c>
      <c r="V519" t="s">
        <v>2452</v>
      </c>
      <c r="W519" t="s">
        <v>1014</v>
      </c>
      <c r="X519" t="s">
        <v>870</v>
      </c>
      <c r="Y519" t="s">
        <v>1462</v>
      </c>
      <c r="Z519" t="s">
        <v>2447</v>
      </c>
    </row>
    <row r="520" spans="1:26" x14ac:dyDescent="0.3">
      <c r="A520" t="s">
        <v>525</v>
      </c>
      <c r="B520" t="s">
        <v>2453</v>
      </c>
      <c r="C520" t="s">
        <v>2454</v>
      </c>
      <c r="D520" t="s">
        <v>2435</v>
      </c>
      <c r="E520" t="s">
        <v>2455</v>
      </c>
      <c r="F520" t="s">
        <v>2456</v>
      </c>
      <c r="G520" s="1">
        <v>43102</v>
      </c>
      <c r="H520" s="1">
        <v>43465</v>
      </c>
      <c r="I520" t="s">
        <v>665</v>
      </c>
      <c r="J520" t="s">
        <v>2457</v>
      </c>
      <c r="K520" t="s">
        <v>958</v>
      </c>
      <c r="L520" t="s">
        <v>863</v>
      </c>
      <c r="M520" t="s">
        <v>1369</v>
      </c>
      <c r="N520" t="s">
        <v>1370</v>
      </c>
      <c r="O520" t="s">
        <v>1369</v>
      </c>
      <c r="P520" t="s">
        <v>1370</v>
      </c>
      <c r="Q520" t="s">
        <v>2213</v>
      </c>
      <c r="R520" t="s">
        <v>237</v>
      </c>
      <c r="S520" t="s">
        <v>550</v>
      </c>
      <c r="T520" t="s">
        <v>550</v>
      </c>
      <c r="U520" t="s">
        <v>550</v>
      </c>
      <c r="V520" t="s">
        <v>2458</v>
      </c>
      <c r="W520" t="s">
        <v>1014</v>
      </c>
      <c r="X520" t="s">
        <v>870</v>
      </c>
      <c r="Y520" t="s">
        <v>1462</v>
      </c>
      <c r="Z520" t="s">
        <v>2453</v>
      </c>
    </row>
    <row r="521" spans="1:26" x14ac:dyDescent="0.3">
      <c r="A521" t="s">
        <v>525</v>
      </c>
      <c r="B521" t="s">
        <v>2459</v>
      </c>
      <c r="C521" t="s">
        <v>2460</v>
      </c>
      <c r="D521" t="s">
        <v>2435</v>
      </c>
      <c r="E521" t="s">
        <v>2461</v>
      </c>
      <c r="F521" t="s">
        <v>2462</v>
      </c>
      <c r="G521" s="1">
        <v>43102</v>
      </c>
      <c r="H521" s="1">
        <v>43465</v>
      </c>
      <c r="I521" t="s">
        <v>665</v>
      </c>
      <c r="J521" t="s">
        <v>2463</v>
      </c>
      <c r="K521" t="s">
        <v>958</v>
      </c>
      <c r="L521" t="s">
        <v>863</v>
      </c>
      <c r="M521" t="s">
        <v>1369</v>
      </c>
      <c r="N521" t="s">
        <v>1370</v>
      </c>
      <c r="O521" t="s">
        <v>1369</v>
      </c>
      <c r="P521" t="s">
        <v>1370</v>
      </c>
      <c r="Q521" t="s">
        <v>2213</v>
      </c>
      <c r="R521" t="s">
        <v>237</v>
      </c>
      <c r="S521" t="s">
        <v>550</v>
      </c>
      <c r="T521" t="s">
        <v>550</v>
      </c>
      <c r="U521" t="s">
        <v>550</v>
      </c>
      <c r="V521" t="s">
        <v>2464</v>
      </c>
      <c r="W521" t="s">
        <v>1014</v>
      </c>
      <c r="X521" t="s">
        <v>870</v>
      </c>
      <c r="Y521" t="s">
        <v>1462</v>
      </c>
      <c r="Z521" t="s">
        <v>2459</v>
      </c>
    </row>
    <row r="522" spans="1:26" x14ac:dyDescent="0.3">
      <c r="A522" t="s">
        <v>525</v>
      </c>
      <c r="B522" t="s">
        <v>2465</v>
      </c>
      <c r="C522" t="s">
        <v>2466</v>
      </c>
      <c r="D522" t="s">
        <v>2435</v>
      </c>
      <c r="E522" t="s">
        <v>2467</v>
      </c>
      <c r="F522" t="s">
        <v>2468</v>
      </c>
      <c r="G522" s="1">
        <v>43102</v>
      </c>
      <c r="H522" s="1">
        <v>43465</v>
      </c>
      <c r="I522" t="s">
        <v>665</v>
      </c>
      <c r="J522" t="s">
        <v>2469</v>
      </c>
      <c r="K522" t="s">
        <v>958</v>
      </c>
      <c r="L522" t="s">
        <v>863</v>
      </c>
      <c r="M522" t="s">
        <v>1369</v>
      </c>
      <c r="N522" t="s">
        <v>1370</v>
      </c>
      <c r="O522" t="s">
        <v>1369</v>
      </c>
      <c r="P522" t="s">
        <v>1370</v>
      </c>
      <c r="Q522" t="s">
        <v>2213</v>
      </c>
      <c r="R522" t="s">
        <v>237</v>
      </c>
      <c r="S522" t="s">
        <v>550</v>
      </c>
      <c r="T522" t="s">
        <v>550</v>
      </c>
      <c r="U522" t="s">
        <v>550</v>
      </c>
      <c r="V522" t="s">
        <v>2470</v>
      </c>
      <c r="W522" t="s">
        <v>1014</v>
      </c>
      <c r="X522" t="s">
        <v>870</v>
      </c>
      <c r="Y522" t="s">
        <v>1462</v>
      </c>
      <c r="Z522" t="s">
        <v>2465</v>
      </c>
    </row>
    <row r="523" spans="1:26" x14ac:dyDescent="0.3">
      <c r="A523" t="s">
        <v>525</v>
      </c>
      <c r="B523" t="s">
        <v>2471</v>
      </c>
      <c r="C523" t="s">
        <v>2472</v>
      </c>
      <c r="D523" t="s">
        <v>2435</v>
      </c>
      <c r="E523" t="s">
        <v>2473</v>
      </c>
      <c r="F523" t="s">
        <v>2474</v>
      </c>
      <c r="G523" s="1">
        <v>43102</v>
      </c>
      <c r="H523" s="1">
        <v>43465</v>
      </c>
      <c r="I523" t="s">
        <v>665</v>
      </c>
      <c r="J523" t="s">
        <v>2475</v>
      </c>
      <c r="K523" t="s">
        <v>958</v>
      </c>
      <c r="L523" t="s">
        <v>863</v>
      </c>
      <c r="M523" t="s">
        <v>1369</v>
      </c>
      <c r="N523" t="s">
        <v>1370</v>
      </c>
      <c r="O523" t="s">
        <v>1369</v>
      </c>
      <c r="P523" t="s">
        <v>1370</v>
      </c>
      <c r="Q523" t="s">
        <v>2213</v>
      </c>
      <c r="R523" t="s">
        <v>237</v>
      </c>
      <c r="S523" t="s">
        <v>550</v>
      </c>
      <c r="T523" t="s">
        <v>550</v>
      </c>
      <c r="U523" t="s">
        <v>550</v>
      </c>
      <c r="V523" t="s">
        <v>2476</v>
      </c>
      <c r="W523" t="s">
        <v>1014</v>
      </c>
      <c r="X523" t="s">
        <v>870</v>
      </c>
      <c r="Y523" t="s">
        <v>1462</v>
      </c>
      <c r="Z523" t="s">
        <v>2471</v>
      </c>
    </row>
    <row r="524" spans="1:26" x14ac:dyDescent="0.3">
      <c r="A524" t="s">
        <v>525</v>
      </c>
      <c r="B524" t="s">
        <v>2477</v>
      </c>
      <c r="C524" t="s">
        <v>2478</v>
      </c>
      <c r="D524" t="s">
        <v>2435</v>
      </c>
      <c r="E524" t="s">
        <v>2479</v>
      </c>
      <c r="F524" t="s">
        <v>2480</v>
      </c>
      <c r="G524" s="1">
        <v>43102</v>
      </c>
      <c r="H524" s="1">
        <v>43465</v>
      </c>
      <c r="I524" t="s">
        <v>665</v>
      </c>
      <c r="J524" t="s">
        <v>2481</v>
      </c>
      <c r="K524" t="s">
        <v>958</v>
      </c>
      <c r="L524" t="s">
        <v>863</v>
      </c>
      <c r="M524" t="s">
        <v>1369</v>
      </c>
      <c r="N524" t="s">
        <v>1370</v>
      </c>
      <c r="O524" t="s">
        <v>1369</v>
      </c>
      <c r="P524" t="s">
        <v>1370</v>
      </c>
      <c r="Q524" t="s">
        <v>2213</v>
      </c>
      <c r="R524" t="s">
        <v>237</v>
      </c>
      <c r="S524" t="s">
        <v>550</v>
      </c>
      <c r="T524" t="s">
        <v>550</v>
      </c>
      <c r="U524" t="s">
        <v>550</v>
      </c>
      <c r="V524" t="s">
        <v>2482</v>
      </c>
      <c r="W524" t="s">
        <v>1014</v>
      </c>
      <c r="X524" t="s">
        <v>870</v>
      </c>
      <c r="Y524" t="s">
        <v>1462</v>
      </c>
      <c r="Z524" t="s">
        <v>2477</v>
      </c>
    </row>
    <row r="525" spans="1:26" x14ac:dyDescent="0.3">
      <c r="A525" t="s">
        <v>525</v>
      </c>
      <c r="B525" t="s">
        <v>2483</v>
      </c>
      <c r="C525" t="s">
        <v>2484</v>
      </c>
      <c r="D525" t="s">
        <v>2435</v>
      </c>
      <c r="E525" t="s">
        <v>2485</v>
      </c>
      <c r="F525" t="s">
        <v>2486</v>
      </c>
      <c r="G525" s="1">
        <v>43102</v>
      </c>
      <c r="H525" s="1">
        <v>43465</v>
      </c>
      <c r="I525" t="s">
        <v>665</v>
      </c>
      <c r="J525" t="s">
        <v>2487</v>
      </c>
      <c r="K525" t="s">
        <v>958</v>
      </c>
      <c r="L525" t="s">
        <v>863</v>
      </c>
      <c r="M525" t="s">
        <v>1369</v>
      </c>
      <c r="N525" t="s">
        <v>1370</v>
      </c>
      <c r="O525" t="s">
        <v>1369</v>
      </c>
      <c r="P525" t="s">
        <v>1370</v>
      </c>
      <c r="Q525" t="s">
        <v>2213</v>
      </c>
      <c r="R525" t="s">
        <v>237</v>
      </c>
      <c r="S525" t="s">
        <v>550</v>
      </c>
      <c r="T525" t="s">
        <v>550</v>
      </c>
      <c r="U525" t="s">
        <v>550</v>
      </c>
      <c r="V525" t="s">
        <v>2488</v>
      </c>
      <c r="W525" t="s">
        <v>1014</v>
      </c>
      <c r="X525" t="s">
        <v>870</v>
      </c>
      <c r="Y525" t="s">
        <v>1462</v>
      </c>
      <c r="Z525" t="s">
        <v>2483</v>
      </c>
    </row>
    <row r="526" spans="1:26" x14ac:dyDescent="0.3">
      <c r="A526" t="s">
        <v>525</v>
      </c>
      <c r="B526" t="s">
        <v>2489</v>
      </c>
      <c r="C526" t="s">
        <v>2490</v>
      </c>
      <c r="D526" t="s">
        <v>2435</v>
      </c>
      <c r="E526" t="s">
        <v>2491</v>
      </c>
      <c r="F526" t="s">
        <v>2492</v>
      </c>
      <c r="G526" s="1">
        <v>43102</v>
      </c>
      <c r="H526" s="1">
        <v>43465</v>
      </c>
      <c r="I526" t="s">
        <v>665</v>
      </c>
      <c r="J526" t="s">
        <v>2493</v>
      </c>
      <c r="K526" t="s">
        <v>958</v>
      </c>
      <c r="L526" t="s">
        <v>863</v>
      </c>
      <c r="M526" t="s">
        <v>1369</v>
      </c>
      <c r="N526" t="s">
        <v>1370</v>
      </c>
      <c r="O526" t="s">
        <v>1369</v>
      </c>
      <c r="P526" t="s">
        <v>1370</v>
      </c>
      <c r="Q526" t="s">
        <v>2213</v>
      </c>
      <c r="R526" t="s">
        <v>237</v>
      </c>
      <c r="S526" t="s">
        <v>550</v>
      </c>
      <c r="T526" t="s">
        <v>550</v>
      </c>
      <c r="U526" t="s">
        <v>550</v>
      </c>
      <c r="V526" t="s">
        <v>2494</v>
      </c>
      <c r="W526" t="s">
        <v>1014</v>
      </c>
      <c r="X526" t="s">
        <v>870</v>
      </c>
      <c r="Y526" t="s">
        <v>1462</v>
      </c>
      <c r="Z526" t="s">
        <v>2489</v>
      </c>
    </row>
    <row r="527" spans="1:26" x14ac:dyDescent="0.3">
      <c r="A527" t="s">
        <v>525</v>
      </c>
      <c r="B527" t="s">
        <v>2495</v>
      </c>
      <c r="C527" t="s">
        <v>2496</v>
      </c>
      <c r="D527" t="s">
        <v>550</v>
      </c>
      <c r="E527" t="s">
        <v>664</v>
      </c>
      <c r="F527" t="s">
        <v>27</v>
      </c>
      <c r="G527" s="1">
        <v>42737</v>
      </c>
      <c r="H527" s="1">
        <v>44196</v>
      </c>
      <c r="I527" t="s">
        <v>665</v>
      </c>
      <c r="J527" t="s">
        <v>666</v>
      </c>
      <c r="K527" t="s">
        <v>24</v>
      </c>
      <c r="L527" t="s">
        <v>863</v>
      </c>
      <c r="M527" t="s">
        <v>1369</v>
      </c>
      <c r="N527" t="s">
        <v>1370</v>
      </c>
      <c r="O527" t="s">
        <v>1369</v>
      </c>
      <c r="P527" t="s">
        <v>1370</v>
      </c>
      <c r="Q527" t="s">
        <v>2213</v>
      </c>
      <c r="R527" t="s">
        <v>237</v>
      </c>
      <c r="S527" t="s">
        <v>550</v>
      </c>
      <c r="T527" t="s">
        <v>550</v>
      </c>
      <c r="U527" t="s">
        <v>550</v>
      </c>
      <c r="V527" t="s">
        <v>2497</v>
      </c>
      <c r="W527" t="s">
        <v>1014</v>
      </c>
      <c r="X527" t="s">
        <v>870</v>
      </c>
      <c r="Y527" t="s">
        <v>1462</v>
      </c>
      <c r="Z527" t="s">
        <v>2495</v>
      </c>
    </row>
    <row r="528" spans="1:26" x14ac:dyDescent="0.3">
      <c r="A528" t="s">
        <v>525</v>
      </c>
      <c r="B528" t="s">
        <v>2498</v>
      </c>
      <c r="C528" t="s">
        <v>2499</v>
      </c>
      <c r="D528" t="s">
        <v>2495</v>
      </c>
      <c r="E528" t="s">
        <v>664</v>
      </c>
      <c r="F528" t="s">
        <v>27</v>
      </c>
      <c r="G528" s="1">
        <v>43102</v>
      </c>
      <c r="H528" s="1">
        <v>43465</v>
      </c>
      <c r="I528" t="s">
        <v>665</v>
      </c>
      <c r="J528" t="s">
        <v>666</v>
      </c>
      <c r="K528" t="s">
        <v>24</v>
      </c>
      <c r="L528" t="s">
        <v>863</v>
      </c>
      <c r="M528" t="s">
        <v>1369</v>
      </c>
      <c r="N528" t="s">
        <v>1370</v>
      </c>
      <c r="O528" t="s">
        <v>1369</v>
      </c>
      <c r="P528" t="s">
        <v>1370</v>
      </c>
      <c r="Q528" t="s">
        <v>2213</v>
      </c>
      <c r="R528" t="s">
        <v>237</v>
      </c>
      <c r="S528" t="s">
        <v>550</v>
      </c>
      <c r="T528" t="s">
        <v>550</v>
      </c>
      <c r="U528" t="s">
        <v>550</v>
      </c>
      <c r="V528" t="s">
        <v>2500</v>
      </c>
      <c r="W528" t="s">
        <v>1014</v>
      </c>
      <c r="X528" t="s">
        <v>870</v>
      </c>
      <c r="Y528" t="s">
        <v>1462</v>
      </c>
      <c r="Z528" t="s">
        <v>2498</v>
      </c>
    </row>
    <row r="529" spans="1:26" x14ac:dyDescent="0.3">
      <c r="A529" t="s">
        <v>525</v>
      </c>
      <c r="B529" t="s">
        <v>2501</v>
      </c>
      <c r="C529" t="s">
        <v>2502</v>
      </c>
      <c r="D529" t="s">
        <v>2498</v>
      </c>
      <c r="E529" t="s">
        <v>664</v>
      </c>
      <c r="F529" t="s">
        <v>27</v>
      </c>
      <c r="G529" s="1">
        <v>43102</v>
      </c>
      <c r="H529" s="1">
        <v>43465</v>
      </c>
      <c r="I529" t="s">
        <v>665</v>
      </c>
      <c r="J529" t="s">
        <v>666</v>
      </c>
      <c r="K529" t="s">
        <v>24</v>
      </c>
      <c r="L529" t="s">
        <v>863</v>
      </c>
      <c r="M529" t="s">
        <v>1369</v>
      </c>
      <c r="N529" t="s">
        <v>1370</v>
      </c>
      <c r="O529" t="s">
        <v>1369</v>
      </c>
      <c r="P529" t="s">
        <v>1370</v>
      </c>
      <c r="Q529" t="s">
        <v>2213</v>
      </c>
      <c r="R529" t="s">
        <v>237</v>
      </c>
      <c r="S529" t="s">
        <v>550</v>
      </c>
      <c r="T529" t="s">
        <v>550</v>
      </c>
      <c r="U529" t="s">
        <v>550</v>
      </c>
      <c r="V529" t="s">
        <v>2503</v>
      </c>
      <c r="W529" t="s">
        <v>1014</v>
      </c>
      <c r="X529" t="s">
        <v>870</v>
      </c>
      <c r="Y529" t="s">
        <v>1462</v>
      </c>
      <c r="Z529" t="s">
        <v>2501</v>
      </c>
    </row>
    <row r="530" spans="1:26" x14ac:dyDescent="0.3">
      <c r="A530" t="s">
        <v>525</v>
      </c>
      <c r="B530" t="s">
        <v>2504</v>
      </c>
      <c r="C530" t="s">
        <v>2505</v>
      </c>
      <c r="D530" t="s">
        <v>2498</v>
      </c>
      <c r="E530" t="s">
        <v>2506</v>
      </c>
      <c r="F530" t="s">
        <v>2507</v>
      </c>
      <c r="G530" s="1">
        <v>43102</v>
      </c>
      <c r="H530" s="1">
        <v>43465</v>
      </c>
      <c r="I530" t="s">
        <v>665</v>
      </c>
      <c r="J530" t="s">
        <v>2508</v>
      </c>
      <c r="K530" t="s">
        <v>24</v>
      </c>
      <c r="L530" t="s">
        <v>863</v>
      </c>
      <c r="M530" t="s">
        <v>1369</v>
      </c>
      <c r="N530" t="s">
        <v>1370</v>
      </c>
      <c r="O530" t="s">
        <v>1369</v>
      </c>
      <c r="P530" t="s">
        <v>1370</v>
      </c>
      <c r="Q530" t="s">
        <v>2213</v>
      </c>
      <c r="R530" t="s">
        <v>237</v>
      </c>
      <c r="S530" t="s">
        <v>550</v>
      </c>
      <c r="T530" t="s">
        <v>550</v>
      </c>
      <c r="U530" t="s">
        <v>550</v>
      </c>
      <c r="V530" t="s">
        <v>2509</v>
      </c>
      <c r="W530" t="s">
        <v>1014</v>
      </c>
      <c r="X530" t="s">
        <v>870</v>
      </c>
      <c r="Y530" t="s">
        <v>1462</v>
      </c>
      <c r="Z530" t="s">
        <v>2504</v>
      </c>
    </row>
    <row r="531" spans="1:26" x14ac:dyDescent="0.3">
      <c r="A531" t="s">
        <v>525</v>
      </c>
      <c r="B531" t="s">
        <v>2510</v>
      </c>
      <c r="C531" t="s">
        <v>2511</v>
      </c>
      <c r="D531" t="s">
        <v>2498</v>
      </c>
      <c r="E531" t="s">
        <v>2512</v>
      </c>
      <c r="F531" t="s">
        <v>2513</v>
      </c>
      <c r="G531" s="1">
        <v>43102</v>
      </c>
      <c r="H531" s="1">
        <v>43465</v>
      </c>
      <c r="I531" t="s">
        <v>665</v>
      </c>
      <c r="J531" t="s">
        <v>2514</v>
      </c>
      <c r="K531" t="s">
        <v>24</v>
      </c>
      <c r="L531" t="s">
        <v>863</v>
      </c>
      <c r="M531" t="s">
        <v>1369</v>
      </c>
      <c r="N531" t="s">
        <v>1370</v>
      </c>
      <c r="O531" t="s">
        <v>1369</v>
      </c>
      <c r="P531" t="s">
        <v>1370</v>
      </c>
      <c r="Q531" t="s">
        <v>2213</v>
      </c>
      <c r="R531" t="s">
        <v>237</v>
      </c>
      <c r="S531" t="s">
        <v>550</v>
      </c>
      <c r="T531" t="s">
        <v>550</v>
      </c>
      <c r="U531" t="s">
        <v>550</v>
      </c>
      <c r="V531" t="s">
        <v>2515</v>
      </c>
      <c r="W531" t="s">
        <v>1014</v>
      </c>
      <c r="X531" t="s">
        <v>870</v>
      </c>
      <c r="Y531" t="s">
        <v>1462</v>
      </c>
      <c r="Z531" t="s">
        <v>2510</v>
      </c>
    </row>
    <row r="532" spans="1:26" x14ac:dyDescent="0.3">
      <c r="A532" t="s">
        <v>525</v>
      </c>
      <c r="B532" t="s">
        <v>2516</v>
      </c>
      <c r="C532" t="s">
        <v>2517</v>
      </c>
      <c r="D532" t="s">
        <v>2498</v>
      </c>
      <c r="E532" t="s">
        <v>2518</v>
      </c>
      <c r="F532" t="s">
        <v>2519</v>
      </c>
      <c r="G532" s="1">
        <v>43102</v>
      </c>
      <c r="H532" s="1">
        <v>43465</v>
      </c>
      <c r="I532" t="s">
        <v>665</v>
      </c>
      <c r="J532" t="s">
        <v>2520</v>
      </c>
      <c r="K532" t="s">
        <v>24</v>
      </c>
      <c r="L532" t="s">
        <v>863</v>
      </c>
      <c r="M532" t="s">
        <v>1369</v>
      </c>
      <c r="N532" t="s">
        <v>1370</v>
      </c>
      <c r="O532" t="s">
        <v>1369</v>
      </c>
      <c r="P532" t="s">
        <v>1370</v>
      </c>
      <c r="Q532" t="s">
        <v>2213</v>
      </c>
      <c r="R532" t="s">
        <v>237</v>
      </c>
      <c r="S532" t="s">
        <v>550</v>
      </c>
      <c r="T532" t="s">
        <v>550</v>
      </c>
      <c r="U532" t="s">
        <v>550</v>
      </c>
      <c r="V532" t="s">
        <v>2521</v>
      </c>
      <c r="W532" t="s">
        <v>1014</v>
      </c>
      <c r="X532" t="s">
        <v>870</v>
      </c>
      <c r="Y532" t="s">
        <v>1462</v>
      </c>
      <c r="Z532" t="s">
        <v>2516</v>
      </c>
    </row>
    <row r="533" spans="1:26" x14ac:dyDescent="0.3">
      <c r="A533" t="s">
        <v>525</v>
      </c>
      <c r="B533" t="s">
        <v>2522</v>
      </c>
      <c r="C533" t="s">
        <v>2523</v>
      </c>
      <c r="D533" t="s">
        <v>2498</v>
      </c>
      <c r="E533" t="s">
        <v>2524</v>
      </c>
      <c r="F533" t="s">
        <v>2525</v>
      </c>
      <c r="G533" s="1">
        <v>43102</v>
      </c>
      <c r="H533" s="1">
        <v>43465</v>
      </c>
      <c r="I533" t="s">
        <v>665</v>
      </c>
      <c r="J533" t="s">
        <v>2526</v>
      </c>
      <c r="K533" t="s">
        <v>24</v>
      </c>
      <c r="L533" t="s">
        <v>863</v>
      </c>
      <c r="M533" t="s">
        <v>1369</v>
      </c>
      <c r="N533" t="s">
        <v>1370</v>
      </c>
      <c r="O533" t="s">
        <v>1369</v>
      </c>
      <c r="P533" t="s">
        <v>1370</v>
      </c>
      <c r="Q533" t="s">
        <v>2213</v>
      </c>
      <c r="R533" t="s">
        <v>237</v>
      </c>
      <c r="S533" t="s">
        <v>550</v>
      </c>
      <c r="T533" t="s">
        <v>550</v>
      </c>
      <c r="U533" t="s">
        <v>550</v>
      </c>
      <c r="V533" t="s">
        <v>2527</v>
      </c>
      <c r="W533" t="s">
        <v>1014</v>
      </c>
      <c r="X533" t="s">
        <v>870</v>
      </c>
      <c r="Y533" t="s">
        <v>1462</v>
      </c>
      <c r="Z533" t="s">
        <v>2522</v>
      </c>
    </row>
    <row r="534" spans="1:26" x14ac:dyDescent="0.3">
      <c r="A534" t="s">
        <v>525</v>
      </c>
      <c r="B534" t="s">
        <v>2528</v>
      </c>
      <c r="C534" t="s">
        <v>2529</v>
      </c>
      <c r="D534" t="s">
        <v>2498</v>
      </c>
      <c r="E534" t="s">
        <v>2431</v>
      </c>
      <c r="F534" t="s">
        <v>2432</v>
      </c>
      <c r="G534" s="1">
        <v>43102</v>
      </c>
      <c r="H534" s="1">
        <v>43465</v>
      </c>
      <c r="I534" t="s">
        <v>665</v>
      </c>
      <c r="J534" t="s">
        <v>2530</v>
      </c>
      <c r="K534" t="s">
        <v>24</v>
      </c>
      <c r="L534" t="s">
        <v>863</v>
      </c>
      <c r="M534" t="s">
        <v>1369</v>
      </c>
      <c r="N534" t="s">
        <v>1370</v>
      </c>
      <c r="O534" t="s">
        <v>1369</v>
      </c>
      <c r="P534" t="s">
        <v>1370</v>
      </c>
      <c r="Q534" t="s">
        <v>2213</v>
      </c>
      <c r="R534" t="s">
        <v>237</v>
      </c>
      <c r="S534" t="s">
        <v>550</v>
      </c>
      <c r="T534" t="s">
        <v>550</v>
      </c>
      <c r="U534" t="s">
        <v>550</v>
      </c>
      <c r="V534" t="s">
        <v>2531</v>
      </c>
      <c r="W534" t="s">
        <v>1014</v>
      </c>
      <c r="X534" t="s">
        <v>870</v>
      </c>
      <c r="Y534" t="s">
        <v>1462</v>
      </c>
      <c r="Z534" t="s">
        <v>2528</v>
      </c>
    </row>
    <row r="535" spans="1:26" x14ac:dyDescent="0.3">
      <c r="A535" t="s">
        <v>525</v>
      </c>
      <c r="B535" t="s">
        <v>2532</v>
      </c>
      <c r="C535" t="s">
        <v>2533</v>
      </c>
      <c r="D535" t="s">
        <v>2498</v>
      </c>
      <c r="E535" t="s">
        <v>2534</v>
      </c>
      <c r="F535" t="s">
        <v>2535</v>
      </c>
      <c r="G535" s="1">
        <v>43102</v>
      </c>
      <c r="H535" s="1">
        <v>43465</v>
      </c>
      <c r="I535" t="s">
        <v>665</v>
      </c>
      <c r="J535" t="s">
        <v>2536</v>
      </c>
      <c r="K535" t="s">
        <v>24</v>
      </c>
      <c r="L535" t="s">
        <v>863</v>
      </c>
      <c r="M535" t="s">
        <v>1369</v>
      </c>
      <c r="N535" t="s">
        <v>1370</v>
      </c>
      <c r="O535" t="s">
        <v>1369</v>
      </c>
      <c r="P535" t="s">
        <v>1370</v>
      </c>
      <c r="Q535" t="s">
        <v>2213</v>
      </c>
      <c r="R535" t="s">
        <v>237</v>
      </c>
      <c r="S535" t="s">
        <v>550</v>
      </c>
      <c r="T535" t="s">
        <v>550</v>
      </c>
      <c r="U535" t="s">
        <v>550</v>
      </c>
      <c r="V535" t="s">
        <v>2537</v>
      </c>
      <c r="W535" t="s">
        <v>1014</v>
      </c>
      <c r="X535" t="s">
        <v>870</v>
      </c>
      <c r="Y535" t="s">
        <v>1462</v>
      </c>
      <c r="Z535" t="s">
        <v>2532</v>
      </c>
    </row>
    <row r="536" spans="1:26" x14ac:dyDescent="0.3">
      <c r="A536" t="s">
        <v>525</v>
      </c>
      <c r="B536" t="s">
        <v>2538</v>
      </c>
      <c r="C536" t="s">
        <v>2539</v>
      </c>
      <c r="D536" t="s">
        <v>2498</v>
      </c>
      <c r="E536" t="s">
        <v>2540</v>
      </c>
      <c r="F536" t="s">
        <v>2541</v>
      </c>
      <c r="G536" s="1">
        <v>43102</v>
      </c>
      <c r="H536" s="1">
        <v>43465</v>
      </c>
      <c r="I536" t="s">
        <v>665</v>
      </c>
      <c r="J536" t="s">
        <v>2542</v>
      </c>
      <c r="K536" t="s">
        <v>24</v>
      </c>
      <c r="L536" t="s">
        <v>863</v>
      </c>
      <c r="M536" t="s">
        <v>1369</v>
      </c>
      <c r="N536" t="s">
        <v>1370</v>
      </c>
      <c r="O536" t="s">
        <v>1369</v>
      </c>
      <c r="P536" t="s">
        <v>1370</v>
      </c>
      <c r="Q536" t="s">
        <v>2213</v>
      </c>
      <c r="R536" t="s">
        <v>237</v>
      </c>
      <c r="S536" t="s">
        <v>550</v>
      </c>
      <c r="T536" t="s">
        <v>550</v>
      </c>
      <c r="U536" t="s">
        <v>550</v>
      </c>
      <c r="V536" t="s">
        <v>2543</v>
      </c>
      <c r="W536" t="s">
        <v>1014</v>
      </c>
      <c r="X536" t="s">
        <v>870</v>
      </c>
      <c r="Y536" t="s">
        <v>1462</v>
      </c>
      <c r="Z536" t="s">
        <v>2538</v>
      </c>
    </row>
    <row r="537" spans="1:26" x14ac:dyDescent="0.3">
      <c r="A537" t="s">
        <v>525</v>
      </c>
      <c r="B537" t="s">
        <v>2544</v>
      </c>
      <c r="C537" t="s">
        <v>2545</v>
      </c>
      <c r="D537" t="s">
        <v>2498</v>
      </c>
      <c r="E537" t="s">
        <v>2546</v>
      </c>
      <c r="F537" t="s">
        <v>2547</v>
      </c>
      <c r="G537" s="1">
        <v>43102</v>
      </c>
      <c r="H537" s="1">
        <v>43465</v>
      </c>
      <c r="I537" t="s">
        <v>665</v>
      </c>
      <c r="J537" t="s">
        <v>2548</v>
      </c>
      <c r="K537" t="s">
        <v>24</v>
      </c>
      <c r="L537" t="s">
        <v>863</v>
      </c>
      <c r="M537" t="s">
        <v>1369</v>
      </c>
      <c r="N537" t="s">
        <v>1370</v>
      </c>
      <c r="O537" t="s">
        <v>1369</v>
      </c>
      <c r="P537" t="s">
        <v>1370</v>
      </c>
      <c r="Q537" t="s">
        <v>2213</v>
      </c>
      <c r="R537" t="s">
        <v>237</v>
      </c>
      <c r="S537" t="s">
        <v>550</v>
      </c>
      <c r="T537" t="s">
        <v>550</v>
      </c>
      <c r="U537" t="s">
        <v>550</v>
      </c>
      <c r="V537" t="s">
        <v>2549</v>
      </c>
      <c r="W537" t="s">
        <v>1014</v>
      </c>
      <c r="X537" t="s">
        <v>870</v>
      </c>
      <c r="Y537" t="s">
        <v>1462</v>
      </c>
      <c r="Z537" t="s">
        <v>2544</v>
      </c>
    </row>
    <row r="538" spans="1:26" x14ac:dyDescent="0.3">
      <c r="A538" t="s">
        <v>525</v>
      </c>
      <c r="B538" t="s">
        <v>2550</v>
      </c>
      <c r="C538" t="s">
        <v>2551</v>
      </c>
      <c r="D538" t="s">
        <v>2498</v>
      </c>
      <c r="E538" t="s">
        <v>2552</v>
      </c>
      <c r="F538" t="s">
        <v>2553</v>
      </c>
      <c r="G538" s="1">
        <v>43102</v>
      </c>
      <c r="H538" s="1">
        <v>43465</v>
      </c>
      <c r="I538" t="s">
        <v>665</v>
      </c>
      <c r="J538" t="s">
        <v>2554</v>
      </c>
      <c r="K538" t="s">
        <v>24</v>
      </c>
      <c r="L538" t="s">
        <v>863</v>
      </c>
      <c r="M538" t="s">
        <v>1369</v>
      </c>
      <c r="N538" t="s">
        <v>1370</v>
      </c>
      <c r="O538" t="s">
        <v>1369</v>
      </c>
      <c r="P538" t="s">
        <v>1370</v>
      </c>
      <c r="Q538" t="s">
        <v>2213</v>
      </c>
      <c r="R538" t="s">
        <v>237</v>
      </c>
      <c r="S538" t="s">
        <v>550</v>
      </c>
      <c r="T538" t="s">
        <v>550</v>
      </c>
      <c r="U538" t="s">
        <v>550</v>
      </c>
      <c r="V538" t="s">
        <v>2555</v>
      </c>
      <c r="W538" t="s">
        <v>1014</v>
      </c>
      <c r="X538" t="s">
        <v>870</v>
      </c>
      <c r="Y538" t="s">
        <v>1462</v>
      </c>
      <c r="Z538" t="s">
        <v>2550</v>
      </c>
    </row>
    <row r="539" spans="1:26" x14ac:dyDescent="0.3">
      <c r="A539" t="s">
        <v>525</v>
      </c>
      <c r="B539" t="s">
        <v>2556</v>
      </c>
      <c r="C539" t="s">
        <v>2557</v>
      </c>
      <c r="D539" t="s">
        <v>2498</v>
      </c>
      <c r="E539" t="s">
        <v>2558</v>
      </c>
      <c r="F539" t="s">
        <v>2559</v>
      </c>
      <c r="G539" s="1">
        <v>43102</v>
      </c>
      <c r="H539" s="1">
        <v>43465</v>
      </c>
      <c r="I539" t="s">
        <v>665</v>
      </c>
      <c r="J539" t="s">
        <v>2560</v>
      </c>
      <c r="K539" t="s">
        <v>24</v>
      </c>
      <c r="L539" t="s">
        <v>863</v>
      </c>
      <c r="M539" t="s">
        <v>1369</v>
      </c>
      <c r="N539" t="s">
        <v>1370</v>
      </c>
      <c r="O539" t="s">
        <v>1369</v>
      </c>
      <c r="P539" t="s">
        <v>1370</v>
      </c>
      <c r="Q539" t="s">
        <v>2213</v>
      </c>
      <c r="R539" t="s">
        <v>237</v>
      </c>
      <c r="S539" t="s">
        <v>550</v>
      </c>
      <c r="T539" t="s">
        <v>550</v>
      </c>
      <c r="U539" t="s">
        <v>550</v>
      </c>
      <c r="V539" t="s">
        <v>2561</v>
      </c>
      <c r="W539" t="s">
        <v>1014</v>
      </c>
      <c r="X539" t="s">
        <v>870</v>
      </c>
      <c r="Y539" t="s">
        <v>1462</v>
      </c>
      <c r="Z539" t="s">
        <v>2556</v>
      </c>
    </row>
    <row r="540" spans="1:26" x14ac:dyDescent="0.3">
      <c r="A540" t="s">
        <v>525</v>
      </c>
      <c r="B540" t="s">
        <v>2562</v>
      </c>
      <c r="C540" t="s">
        <v>2563</v>
      </c>
      <c r="D540" t="s">
        <v>2498</v>
      </c>
      <c r="E540" t="s">
        <v>2485</v>
      </c>
      <c r="F540" t="s">
        <v>2486</v>
      </c>
      <c r="G540" s="1">
        <v>43102</v>
      </c>
      <c r="H540" s="1">
        <v>43465</v>
      </c>
      <c r="I540" t="s">
        <v>665</v>
      </c>
      <c r="J540" t="s">
        <v>2564</v>
      </c>
      <c r="K540" t="s">
        <v>24</v>
      </c>
      <c r="L540" t="s">
        <v>863</v>
      </c>
      <c r="M540" t="s">
        <v>1369</v>
      </c>
      <c r="N540" t="s">
        <v>1370</v>
      </c>
      <c r="O540" t="s">
        <v>1369</v>
      </c>
      <c r="P540" t="s">
        <v>1370</v>
      </c>
      <c r="Q540" t="s">
        <v>2213</v>
      </c>
      <c r="R540" t="s">
        <v>237</v>
      </c>
      <c r="S540" t="s">
        <v>550</v>
      </c>
      <c r="T540" t="s">
        <v>550</v>
      </c>
      <c r="U540" t="s">
        <v>550</v>
      </c>
      <c r="V540" t="s">
        <v>2565</v>
      </c>
      <c r="W540" t="s">
        <v>1014</v>
      </c>
      <c r="X540" t="s">
        <v>870</v>
      </c>
      <c r="Y540" t="s">
        <v>1462</v>
      </c>
      <c r="Z540" t="s">
        <v>2562</v>
      </c>
    </row>
    <row r="541" spans="1:26" x14ac:dyDescent="0.3">
      <c r="A541" t="s">
        <v>525</v>
      </c>
      <c r="B541" t="s">
        <v>2566</v>
      </c>
      <c r="C541" t="s">
        <v>2567</v>
      </c>
      <c r="D541" t="s">
        <v>2498</v>
      </c>
      <c r="E541" t="s">
        <v>2455</v>
      </c>
      <c r="F541" t="s">
        <v>2456</v>
      </c>
      <c r="G541" s="1">
        <v>43102</v>
      </c>
      <c r="H541" s="1">
        <v>43465</v>
      </c>
      <c r="I541" t="s">
        <v>665</v>
      </c>
      <c r="J541" t="s">
        <v>2568</v>
      </c>
      <c r="K541" t="s">
        <v>24</v>
      </c>
      <c r="L541" t="s">
        <v>863</v>
      </c>
      <c r="M541" t="s">
        <v>1369</v>
      </c>
      <c r="N541" t="s">
        <v>1370</v>
      </c>
      <c r="O541" t="s">
        <v>1369</v>
      </c>
      <c r="P541" t="s">
        <v>1370</v>
      </c>
      <c r="Q541" t="s">
        <v>2213</v>
      </c>
      <c r="R541" t="s">
        <v>237</v>
      </c>
      <c r="S541" t="s">
        <v>550</v>
      </c>
      <c r="T541" t="s">
        <v>550</v>
      </c>
      <c r="U541" t="s">
        <v>550</v>
      </c>
      <c r="V541" t="s">
        <v>2569</v>
      </c>
      <c r="W541" t="s">
        <v>1014</v>
      </c>
      <c r="X541" t="s">
        <v>870</v>
      </c>
      <c r="Y541" t="s">
        <v>1462</v>
      </c>
      <c r="Z541" t="s">
        <v>2566</v>
      </c>
    </row>
    <row r="542" spans="1:26" x14ac:dyDescent="0.3">
      <c r="A542" t="s">
        <v>525</v>
      </c>
      <c r="B542" t="s">
        <v>2570</v>
      </c>
      <c r="C542" t="s">
        <v>2571</v>
      </c>
      <c r="D542" t="s">
        <v>2498</v>
      </c>
      <c r="E542" t="s">
        <v>1275</v>
      </c>
      <c r="F542" t="s">
        <v>1276</v>
      </c>
      <c r="G542" s="1">
        <v>43102</v>
      </c>
      <c r="H542" s="1">
        <v>43465</v>
      </c>
      <c r="I542" t="s">
        <v>665</v>
      </c>
      <c r="J542" t="s">
        <v>1277</v>
      </c>
      <c r="K542" t="s">
        <v>24</v>
      </c>
      <c r="L542" t="s">
        <v>863</v>
      </c>
      <c r="M542" t="s">
        <v>1369</v>
      </c>
      <c r="N542" t="s">
        <v>1370</v>
      </c>
      <c r="O542" t="s">
        <v>1369</v>
      </c>
      <c r="P542" t="s">
        <v>1370</v>
      </c>
      <c r="Q542" t="s">
        <v>2213</v>
      </c>
      <c r="R542" t="s">
        <v>237</v>
      </c>
      <c r="S542" t="s">
        <v>550</v>
      </c>
      <c r="T542" t="s">
        <v>550</v>
      </c>
      <c r="U542" t="s">
        <v>550</v>
      </c>
      <c r="V542" t="s">
        <v>2572</v>
      </c>
      <c r="W542" t="s">
        <v>1014</v>
      </c>
      <c r="X542" t="s">
        <v>870</v>
      </c>
      <c r="Y542" t="s">
        <v>1462</v>
      </c>
      <c r="Z542" t="s">
        <v>2570</v>
      </c>
    </row>
    <row r="543" spans="1:26" x14ac:dyDescent="0.3">
      <c r="A543" t="s">
        <v>525</v>
      </c>
      <c r="B543" t="s">
        <v>2573</v>
      </c>
      <c r="C543" t="s">
        <v>2574</v>
      </c>
      <c r="D543" t="s">
        <v>2498</v>
      </c>
      <c r="E543" t="s">
        <v>2575</v>
      </c>
      <c r="F543" t="s">
        <v>2576</v>
      </c>
      <c r="G543" s="1">
        <v>43102</v>
      </c>
      <c r="H543" s="1">
        <v>43465</v>
      </c>
      <c r="I543" t="s">
        <v>665</v>
      </c>
      <c r="J543" t="s">
        <v>2577</v>
      </c>
      <c r="K543" t="s">
        <v>24</v>
      </c>
      <c r="L543" t="s">
        <v>863</v>
      </c>
      <c r="M543" t="s">
        <v>1369</v>
      </c>
      <c r="N543" t="s">
        <v>1370</v>
      </c>
      <c r="O543" t="s">
        <v>1369</v>
      </c>
      <c r="P543" t="s">
        <v>1370</v>
      </c>
      <c r="Q543" t="s">
        <v>2213</v>
      </c>
      <c r="R543" t="s">
        <v>237</v>
      </c>
      <c r="S543" t="s">
        <v>550</v>
      </c>
      <c r="T543" t="s">
        <v>550</v>
      </c>
      <c r="U543" t="s">
        <v>550</v>
      </c>
      <c r="V543" t="s">
        <v>2578</v>
      </c>
      <c r="W543" t="s">
        <v>1014</v>
      </c>
      <c r="X543" t="s">
        <v>870</v>
      </c>
      <c r="Y543" t="s">
        <v>1462</v>
      </c>
      <c r="Z543" t="s">
        <v>2573</v>
      </c>
    </row>
    <row r="544" spans="1:26" x14ac:dyDescent="0.3">
      <c r="A544" t="s">
        <v>525</v>
      </c>
      <c r="B544" t="s">
        <v>2579</v>
      </c>
      <c r="C544" t="s">
        <v>2580</v>
      </c>
      <c r="D544" t="s">
        <v>2498</v>
      </c>
      <c r="E544" t="s">
        <v>2581</v>
      </c>
      <c r="F544" t="s">
        <v>2582</v>
      </c>
      <c r="G544" s="1">
        <v>43102</v>
      </c>
      <c r="H544" s="1">
        <v>43465</v>
      </c>
      <c r="I544" t="s">
        <v>665</v>
      </c>
      <c r="J544" t="s">
        <v>2583</v>
      </c>
      <c r="K544" t="s">
        <v>24</v>
      </c>
      <c r="L544" t="s">
        <v>863</v>
      </c>
      <c r="M544" t="s">
        <v>1369</v>
      </c>
      <c r="N544" t="s">
        <v>1370</v>
      </c>
      <c r="O544" t="s">
        <v>1369</v>
      </c>
      <c r="P544" t="s">
        <v>1370</v>
      </c>
      <c r="Q544" t="s">
        <v>2213</v>
      </c>
      <c r="R544" t="s">
        <v>237</v>
      </c>
      <c r="S544" t="s">
        <v>550</v>
      </c>
      <c r="T544" t="s">
        <v>550</v>
      </c>
      <c r="U544" t="s">
        <v>550</v>
      </c>
      <c r="V544" t="s">
        <v>2584</v>
      </c>
      <c r="W544" t="s">
        <v>1014</v>
      </c>
      <c r="X544" t="s">
        <v>870</v>
      </c>
      <c r="Y544" t="s">
        <v>1462</v>
      </c>
      <c r="Z544" t="s">
        <v>2579</v>
      </c>
    </row>
    <row r="545" spans="1:26" x14ac:dyDescent="0.3">
      <c r="A545" t="s">
        <v>525</v>
      </c>
      <c r="B545" t="s">
        <v>2585</v>
      </c>
      <c r="C545" t="s">
        <v>2586</v>
      </c>
      <c r="D545" t="s">
        <v>2498</v>
      </c>
      <c r="E545" t="s">
        <v>2587</v>
      </c>
      <c r="F545" t="s">
        <v>2588</v>
      </c>
      <c r="G545" s="1">
        <v>43102</v>
      </c>
      <c r="H545" s="1">
        <v>43465</v>
      </c>
      <c r="I545" t="s">
        <v>665</v>
      </c>
      <c r="J545" t="s">
        <v>2589</v>
      </c>
      <c r="K545" t="s">
        <v>24</v>
      </c>
      <c r="L545" t="s">
        <v>863</v>
      </c>
      <c r="M545" t="s">
        <v>1369</v>
      </c>
      <c r="N545" t="s">
        <v>1370</v>
      </c>
      <c r="O545" t="s">
        <v>1369</v>
      </c>
      <c r="P545" t="s">
        <v>1370</v>
      </c>
      <c r="Q545" t="s">
        <v>2213</v>
      </c>
      <c r="R545" t="s">
        <v>237</v>
      </c>
      <c r="S545" t="s">
        <v>550</v>
      </c>
      <c r="T545" t="s">
        <v>550</v>
      </c>
      <c r="U545" t="s">
        <v>550</v>
      </c>
      <c r="V545" t="s">
        <v>2590</v>
      </c>
      <c r="W545" t="s">
        <v>1014</v>
      </c>
      <c r="X545" t="s">
        <v>870</v>
      </c>
      <c r="Y545" t="s">
        <v>1462</v>
      </c>
      <c r="Z545" t="s">
        <v>2585</v>
      </c>
    </row>
    <row r="546" spans="1:26" x14ac:dyDescent="0.3">
      <c r="A546" t="s">
        <v>525</v>
      </c>
      <c r="B546" t="s">
        <v>2591</v>
      </c>
      <c r="C546" t="s">
        <v>2592</v>
      </c>
      <c r="D546" t="s">
        <v>550</v>
      </c>
      <c r="E546" t="s">
        <v>664</v>
      </c>
      <c r="F546" t="s">
        <v>27</v>
      </c>
      <c r="G546" s="1">
        <v>42737</v>
      </c>
      <c r="H546" s="1">
        <v>44196</v>
      </c>
      <c r="I546" t="s">
        <v>665</v>
      </c>
      <c r="J546" t="s">
        <v>666</v>
      </c>
      <c r="K546" t="s">
        <v>958</v>
      </c>
      <c r="L546" t="s">
        <v>863</v>
      </c>
      <c r="M546" t="s">
        <v>1369</v>
      </c>
      <c r="N546" t="s">
        <v>1370</v>
      </c>
      <c r="O546" t="s">
        <v>1369</v>
      </c>
      <c r="P546" t="s">
        <v>1370</v>
      </c>
      <c r="Q546" t="s">
        <v>2213</v>
      </c>
      <c r="R546" t="s">
        <v>237</v>
      </c>
      <c r="S546" t="s">
        <v>550</v>
      </c>
      <c r="T546" t="s">
        <v>550</v>
      </c>
      <c r="U546" t="s">
        <v>550</v>
      </c>
      <c r="V546" t="s">
        <v>2593</v>
      </c>
      <c r="W546" t="s">
        <v>1014</v>
      </c>
      <c r="X546" t="s">
        <v>870</v>
      </c>
      <c r="Y546" t="s">
        <v>1462</v>
      </c>
      <c r="Z546" t="s">
        <v>2591</v>
      </c>
    </row>
    <row r="547" spans="1:26" x14ac:dyDescent="0.3">
      <c r="A547" t="s">
        <v>525</v>
      </c>
      <c r="B547" t="s">
        <v>2594</v>
      </c>
      <c r="C547" t="s">
        <v>2595</v>
      </c>
      <c r="D547" t="s">
        <v>2591</v>
      </c>
      <c r="E547" t="s">
        <v>664</v>
      </c>
      <c r="F547" t="s">
        <v>27</v>
      </c>
      <c r="G547" s="1">
        <v>43102</v>
      </c>
      <c r="H547" s="1">
        <v>43465</v>
      </c>
      <c r="I547" t="s">
        <v>665</v>
      </c>
      <c r="J547" t="s">
        <v>666</v>
      </c>
      <c r="K547" t="s">
        <v>958</v>
      </c>
      <c r="L547" t="s">
        <v>863</v>
      </c>
      <c r="M547" t="s">
        <v>1369</v>
      </c>
      <c r="N547" t="s">
        <v>1370</v>
      </c>
      <c r="O547" t="s">
        <v>1369</v>
      </c>
      <c r="P547" t="s">
        <v>1370</v>
      </c>
      <c r="Q547" t="s">
        <v>2213</v>
      </c>
      <c r="R547" t="s">
        <v>237</v>
      </c>
      <c r="S547" t="s">
        <v>550</v>
      </c>
      <c r="T547" t="s">
        <v>550</v>
      </c>
      <c r="U547" t="s">
        <v>550</v>
      </c>
      <c r="V547" t="s">
        <v>2596</v>
      </c>
      <c r="W547" t="s">
        <v>1014</v>
      </c>
      <c r="X547" t="s">
        <v>870</v>
      </c>
      <c r="Y547" t="s">
        <v>1462</v>
      </c>
      <c r="Z547" t="s">
        <v>2594</v>
      </c>
    </row>
    <row r="548" spans="1:26" x14ac:dyDescent="0.3">
      <c r="A548" t="s">
        <v>525</v>
      </c>
      <c r="B548" t="s">
        <v>2597</v>
      </c>
      <c r="C548" t="s">
        <v>2598</v>
      </c>
      <c r="D548" t="s">
        <v>2594</v>
      </c>
      <c r="E548" t="s">
        <v>664</v>
      </c>
      <c r="F548" t="s">
        <v>27</v>
      </c>
      <c r="G548" s="1">
        <v>43102</v>
      </c>
      <c r="H548" s="1">
        <v>43465</v>
      </c>
      <c r="I548" t="s">
        <v>665</v>
      </c>
      <c r="J548" t="s">
        <v>666</v>
      </c>
      <c r="K548" t="s">
        <v>958</v>
      </c>
      <c r="L548" t="s">
        <v>863</v>
      </c>
      <c r="M548" t="s">
        <v>1369</v>
      </c>
      <c r="N548" t="s">
        <v>1370</v>
      </c>
      <c r="O548" t="s">
        <v>1369</v>
      </c>
      <c r="P548" t="s">
        <v>1370</v>
      </c>
      <c r="Q548" t="s">
        <v>2213</v>
      </c>
      <c r="R548" t="s">
        <v>237</v>
      </c>
      <c r="S548" t="s">
        <v>550</v>
      </c>
      <c r="T548" t="s">
        <v>550</v>
      </c>
      <c r="U548" t="s">
        <v>550</v>
      </c>
      <c r="V548" t="s">
        <v>2599</v>
      </c>
      <c r="W548" t="s">
        <v>1014</v>
      </c>
      <c r="X548" t="s">
        <v>870</v>
      </c>
      <c r="Y548" t="s">
        <v>1462</v>
      </c>
      <c r="Z548" t="s">
        <v>2597</v>
      </c>
    </row>
    <row r="549" spans="1:26" x14ac:dyDescent="0.3">
      <c r="A549" t="s">
        <v>525</v>
      </c>
      <c r="B549" t="s">
        <v>2600</v>
      </c>
      <c r="C549" t="s">
        <v>2601</v>
      </c>
      <c r="D549" t="s">
        <v>2594</v>
      </c>
      <c r="E549" t="s">
        <v>2602</v>
      </c>
      <c r="F549" t="s">
        <v>2603</v>
      </c>
      <c r="G549" s="1">
        <v>43102</v>
      </c>
      <c r="H549" s="1">
        <v>43465</v>
      </c>
      <c r="I549" t="s">
        <v>665</v>
      </c>
      <c r="J549" t="s">
        <v>2604</v>
      </c>
      <c r="K549" t="s">
        <v>958</v>
      </c>
      <c r="L549" t="s">
        <v>863</v>
      </c>
      <c r="M549" t="s">
        <v>1369</v>
      </c>
      <c r="N549" t="s">
        <v>1370</v>
      </c>
      <c r="O549" t="s">
        <v>1369</v>
      </c>
      <c r="P549" t="s">
        <v>1370</v>
      </c>
      <c r="Q549" t="s">
        <v>2213</v>
      </c>
      <c r="R549" t="s">
        <v>237</v>
      </c>
      <c r="S549" t="s">
        <v>550</v>
      </c>
      <c r="T549" t="s">
        <v>550</v>
      </c>
      <c r="U549" t="s">
        <v>550</v>
      </c>
      <c r="V549" t="s">
        <v>2605</v>
      </c>
      <c r="W549" t="s">
        <v>1014</v>
      </c>
      <c r="X549" t="s">
        <v>870</v>
      </c>
      <c r="Y549" t="s">
        <v>1462</v>
      </c>
      <c r="Z549" t="s">
        <v>2600</v>
      </c>
    </row>
    <row r="550" spans="1:26" x14ac:dyDescent="0.3">
      <c r="A550" t="s">
        <v>525</v>
      </c>
      <c r="B550" t="s">
        <v>2606</v>
      </c>
      <c r="C550" t="s">
        <v>2607</v>
      </c>
      <c r="D550" t="s">
        <v>2594</v>
      </c>
      <c r="E550" t="s">
        <v>2608</v>
      </c>
      <c r="F550" t="s">
        <v>2609</v>
      </c>
      <c r="G550" s="1">
        <v>43102</v>
      </c>
      <c r="H550" s="1">
        <v>43465</v>
      </c>
      <c r="I550" t="s">
        <v>665</v>
      </c>
      <c r="J550" t="s">
        <v>2610</v>
      </c>
      <c r="K550" t="s">
        <v>958</v>
      </c>
      <c r="L550" t="s">
        <v>863</v>
      </c>
      <c r="M550" t="s">
        <v>1369</v>
      </c>
      <c r="N550" t="s">
        <v>1370</v>
      </c>
      <c r="O550" t="s">
        <v>1369</v>
      </c>
      <c r="P550" t="s">
        <v>1370</v>
      </c>
      <c r="Q550" t="s">
        <v>2213</v>
      </c>
      <c r="R550" t="s">
        <v>237</v>
      </c>
      <c r="S550" t="s">
        <v>550</v>
      </c>
      <c r="T550" t="s">
        <v>550</v>
      </c>
      <c r="U550" t="s">
        <v>550</v>
      </c>
      <c r="V550" t="s">
        <v>2611</v>
      </c>
      <c r="W550" t="s">
        <v>1014</v>
      </c>
      <c r="X550" t="s">
        <v>870</v>
      </c>
      <c r="Y550" t="s">
        <v>1462</v>
      </c>
      <c r="Z550" t="s">
        <v>2606</v>
      </c>
    </row>
    <row r="551" spans="1:26" x14ac:dyDescent="0.3">
      <c r="A551" t="s">
        <v>525</v>
      </c>
      <c r="B551" t="s">
        <v>2612</v>
      </c>
      <c r="C551" t="s">
        <v>2613</v>
      </c>
      <c r="D551" t="s">
        <v>2594</v>
      </c>
      <c r="E551" t="s">
        <v>2467</v>
      </c>
      <c r="F551" t="s">
        <v>2468</v>
      </c>
      <c r="G551" s="1">
        <v>43102</v>
      </c>
      <c r="H551" s="1">
        <v>43465</v>
      </c>
      <c r="I551" t="s">
        <v>665</v>
      </c>
      <c r="J551" t="s">
        <v>2614</v>
      </c>
      <c r="K551" t="s">
        <v>958</v>
      </c>
      <c r="L551" t="s">
        <v>863</v>
      </c>
      <c r="M551" t="s">
        <v>1369</v>
      </c>
      <c r="N551" t="s">
        <v>1370</v>
      </c>
      <c r="O551" t="s">
        <v>1369</v>
      </c>
      <c r="P551" t="s">
        <v>1370</v>
      </c>
      <c r="Q551" t="s">
        <v>2213</v>
      </c>
      <c r="R551" t="s">
        <v>237</v>
      </c>
      <c r="S551" t="s">
        <v>550</v>
      </c>
      <c r="T551" t="s">
        <v>550</v>
      </c>
      <c r="U551" t="s">
        <v>550</v>
      </c>
      <c r="V551" t="s">
        <v>2615</v>
      </c>
      <c r="W551" t="s">
        <v>1014</v>
      </c>
      <c r="X551" t="s">
        <v>870</v>
      </c>
      <c r="Y551" t="s">
        <v>1462</v>
      </c>
      <c r="Z551" t="s">
        <v>2612</v>
      </c>
    </row>
    <row r="552" spans="1:26" x14ac:dyDescent="0.3">
      <c r="A552" t="s">
        <v>525</v>
      </c>
      <c r="B552" t="s">
        <v>2616</v>
      </c>
      <c r="C552" t="s">
        <v>2617</v>
      </c>
      <c r="D552" t="s">
        <v>2594</v>
      </c>
      <c r="E552" t="s">
        <v>2618</v>
      </c>
      <c r="F552" t="s">
        <v>2619</v>
      </c>
      <c r="G552" s="1">
        <v>43102</v>
      </c>
      <c r="H552" s="1">
        <v>43465</v>
      </c>
      <c r="I552" t="s">
        <v>665</v>
      </c>
      <c r="J552" t="s">
        <v>2620</v>
      </c>
      <c r="K552" t="s">
        <v>958</v>
      </c>
      <c r="L552" t="s">
        <v>863</v>
      </c>
      <c r="M552" t="s">
        <v>1369</v>
      </c>
      <c r="N552" t="s">
        <v>1370</v>
      </c>
      <c r="O552" t="s">
        <v>1369</v>
      </c>
      <c r="P552" t="s">
        <v>1370</v>
      </c>
      <c r="Q552" t="s">
        <v>2213</v>
      </c>
      <c r="R552" t="s">
        <v>237</v>
      </c>
      <c r="S552" t="s">
        <v>550</v>
      </c>
      <c r="T552" t="s">
        <v>550</v>
      </c>
      <c r="U552" t="s">
        <v>550</v>
      </c>
      <c r="V552" t="s">
        <v>2621</v>
      </c>
      <c r="W552" t="s">
        <v>1014</v>
      </c>
      <c r="X552" t="s">
        <v>870</v>
      </c>
      <c r="Y552" t="s">
        <v>1462</v>
      </c>
      <c r="Z552" t="s">
        <v>2616</v>
      </c>
    </row>
    <row r="553" spans="1:26" x14ac:dyDescent="0.3">
      <c r="A553" t="s">
        <v>525</v>
      </c>
      <c r="B553" t="s">
        <v>2622</v>
      </c>
      <c r="C553" t="s">
        <v>2623</v>
      </c>
      <c r="D553" t="s">
        <v>2594</v>
      </c>
      <c r="E553" t="s">
        <v>2624</v>
      </c>
      <c r="F553" t="s">
        <v>2625</v>
      </c>
      <c r="G553" s="1">
        <v>43102</v>
      </c>
      <c r="H553" s="1">
        <v>43465</v>
      </c>
      <c r="I553" t="s">
        <v>665</v>
      </c>
      <c r="J553" t="s">
        <v>2626</v>
      </c>
      <c r="K553" t="s">
        <v>958</v>
      </c>
      <c r="L553" t="s">
        <v>863</v>
      </c>
      <c r="M553" t="s">
        <v>1369</v>
      </c>
      <c r="N553" t="s">
        <v>1370</v>
      </c>
      <c r="O553" t="s">
        <v>1369</v>
      </c>
      <c r="P553" t="s">
        <v>1370</v>
      </c>
      <c r="Q553" t="s">
        <v>2213</v>
      </c>
      <c r="R553" t="s">
        <v>237</v>
      </c>
      <c r="S553" t="s">
        <v>550</v>
      </c>
      <c r="T553" t="s">
        <v>550</v>
      </c>
      <c r="U553" t="s">
        <v>550</v>
      </c>
      <c r="V553" t="s">
        <v>2627</v>
      </c>
      <c r="W553" t="s">
        <v>1014</v>
      </c>
      <c r="X553" t="s">
        <v>870</v>
      </c>
      <c r="Y553" t="s">
        <v>1462</v>
      </c>
      <c r="Z553" t="s">
        <v>2622</v>
      </c>
    </row>
    <row r="554" spans="1:26" x14ac:dyDescent="0.3">
      <c r="A554" t="s">
        <v>525</v>
      </c>
      <c r="B554" t="s">
        <v>2628</v>
      </c>
      <c r="C554" t="s">
        <v>2629</v>
      </c>
      <c r="D554" t="s">
        <v>2594</v>
      </c>
      <c r="E554" t="s">
        <v>2630</v>
      </c>
      <c r="F554" t="s">
        <v>2631</v>
      </c>
      <c r="G554" s="1">
        <v>43102</v>
      </c>
      <c r="H554" s="1">
        <v>43465</v>
      </c>
      <c r="I554" t="s">
        <v>665</v>
      </c>
      <c r="J554" t="s">
        <v>2632</v>
      </c>
      <c r="K554" t="s">
        <v>958</v>
      </c>
      <c r="L554" t="s">
        <v>863</v>
      </c>
      <c r="M554" t="s">
        <v>1369</v>
      </c>
      <c r="N554" t="s">
        <v>1370</v>
      </c>
      <c r="O554" t="s">
        <v>1369</v>
      </c>
      <c r="P554" t="s">
        <v>1370</v>
      </c>
      <c r="Q554" t="s">
        <v>2213</v>
      </c>
      <c r="R554" t="s">
        <v>237</v>
      </c>
      <c r="S554" t="s">
        <v>550</v>
      </c>
      <c r="T554" t="s">
        <v>550</v>
      </c>
      <c r="U554" t="s">
        <v>550</v>
      </c>
      <c r="V554" t="s">
        <v>2633</v>
      </c>
      <c r="W554" t="s">
        <v>1014</v>
      </c>
      <c r="X554" t="s">
        <v>870</v>
      </c>
      <c r="Y554" t="s">
        <v>1462</v>
      </c>
      <c r="Z554" t="s">
        <v>2628</v>
      </c>
    </row>
    <row r="555" spans="1:26" x14ac:dyDescent="0.3">
      <c r="A555" t="s">
        <v>525</v>
      </c>
      <c r="B555" t="s">
        <v>2634</v>
      </c>
      <c r="C555" t="s">
        <v>2635</v>
      </c>
      <c r="D555" t="s">
        <v>2594</v>
      </c>
      <c r="E555" t="s">
        <v>2636</v>
      </c>
      <c r="F555" t="s">
        <v>2637</v>
      </c>
      <c r="G555" s="1">
        <v>43102</v>
      </c>
      <c r="H555" s="1">
        <v>43465</v>
      </c>
      <c r="I555" t="s">
        <v>665</v>
      </c>
      <c r="J555" t="s">
        <v>2638</v>
      </c>
      <c r="K555" t="s">
        <v>958</v>
      </c>
      <c r="L555" t="s">
        <v>863</v>
      </c>
      <c r="M555" t="s">
        <v>1369</v>
      </c>
      <c r="N555" t="s">
        <v>1370</v>
      </c>
      <c r="O555" t="s">
        <v>1369</v>
      </c>
      <c r="P555" t="s">
        <v>1370</v>
      </c>
      <c r="Q555" t="s">
        <v>2213</v>
      </c>
      <c r="R555" t="s">
        <v>237</v>
      </c>
      <c r="S555" t="s">
        <v>550</v>
      </c>
      <c r="T555" t="s">
        <v>550</v>
      </c>
      <c r="U555" t="s">
        <v>550</v>
      </c>
      <c r="V555" t="s">
        <v>2639</v>
      </c>
      <c r="W555" t="s">
        <v>1014</v>
      </c>
      <c r="X555" t="s">
        <v>870</v>
      </c>
      <c r="Y555" t="s">
        <v>1462</v>
      </c>
      <c r="Z555" t="s">
        <v>2634</v>
      </c>
    </row>
    <row r="556" spans="1:26" x14ac:dyDescent="0.3">
      <c r="A556" t="s">
        <v>525</v>
      </c>
      <c r="B556" t="s">
        <v>2640</v>
      </c>
      <c r="C556" t="s">
        <v>2641</v>
      </c>
      <c r="D556" t="s">
        <v>2594</v>
      </c>
      <c r="E556" t="s">
        <v>2642</v>
      </c>
      <c r="F556" t="s">
        <v>2643</v>
      </c>
      <c r="G556" s="1">
        <v>43102</v>
      </c>
      <c r="H556" s="1">
        <v>43465</v>
      </c>
      <c r="I556" t="s">
        <v>665</v>
      </c>
      <c r="J556" t="s">
        <v>2644</v>
      </c>
      <c r="K556" t="s">
        <v>958</v>
      </c>
      <c r="L556" t="s">
        <v>863</v>
      </c>
      <c r="M556" t="s">
        <v>1369</v>
      </c>
      <c r="N556" t="s">
        <v>1370</v>
      </c>
      <c r="O556" t="s">
        <v>1369</v>
      </c>
      <c r="P556" t="s">
        <v>1370</v>
      </c>
      <c r="Q556" t="s">
        <v>2213</v>
      </c>
      <c r="R556" t="s">
        <v>237</v>
      </c>
      <c r="S556" t="s">
        <v>550</v>
      </c>
      <c r="T556" t="s">
        <v>550</v>
      </c>
      <c r="U556" t="s">
        <v>550</v>
      </c>
      <c r="V556" t="s">
        <v>2645</v>
      </c>
      <c r="W556" t="s">
        <v>1014</v>
      </c>
      <c r="X556" t="s">
        <v>870</v>
      </c>
      <c r="Y556" t="s">
        <v>1462</v>
      </c>
      <c r="Z556" t="s">
        <v>2640</v>
      </c>
    </row>
    <row r="557" spans="1:26" x14ac:dyDescent="0.3">
      <c r="A557" t="s">
        <v>525</v>
      </c>
      <c r="B557" t="s">
        <v>2646</v>
      </c>
      <c r="C557" t="s">
        <v>2647</v>
      </c>
      <c r="D557" t="s">
        <v>2594</v>
      </c>
      <c r="E557" t="s">
        <v>2648</v>
      </c>
      <c r="F557" t="s">
        <v>2649</v>
      </c>
      <c r="G557" s="1">
        <v>43102</v>
      </c>
      <c r="H557" s="1">
        <v>43465</v>
      </c>
      <c r="I557" t="s">
        <v>665</v>
      </c>
      <c r="J557" t="s">
        <v>2650</v>
      </c>
      <c r="K557" t="s">
        <v>958</v>
      </c>
      <c r="L557" t="s">
        <v>863</v>
      </c>
      <c r="M557" t="s">
        <v>1369</v>
      </c>
      <c r="N557" t="s">
        <v>1370</v>
      </c>
      <c r="O557" t="s">
        <v>1369</v>
      </c>
      <c r="P557" t="s">
        <v>1370</v>
      </c>
      <c r="Q557" t="s">
        <v>2213</v>
      </c>
      <c r="R557" t="s">
        <v>237</v>
      </c>
      <c r="S557" t="s">
        <v>550</v>
      </c>
      <c r="T557" t="s">
        <v>550</v>
      </c>
      <c r="U557" t="s">
        <v>550</v>
      </c>
      <c r="V557" t="s">
        <v>2651</v>
      </c>
      <c r="W557" t="s">
        <v>1014</v>
      </c>
      <c r="X557" t="s">
        <v>870</v>
      </c>
      <c r="Y557" t="s">
        <v>1462</v>
      </c>
      <c r="Z557" t="s">
        <v>2646</v>
      </c>
    </row>
    <row r="558" spans="1:26" x14ac:dyDescent="0.3">
      <c r="A558" t="s">
        <v>525</v>
      </c>
      <c r="B558" t="s">
        <v>2652</v>
      </c>
      <c r="C558" t="s">
        <v>2653</v>
      </c>
      <c r="D558" t="s">
        <v>2594</v>
      </c>
      <c r="E558" t="s">
        <v>2654</v>
      </c>
      <c r="F558" t="s">
        <v>2655</v>
      </c>
      <c r="G558" s="1">
        <v>43102</v>
      </c>
      <c r="H558" s="1">
        <v>43465</v>
      </c>
      <c r="I558" t="s">
        <v>665</v>
      </c>
      <c r="J558" t="s">
        <v>2656</v>
      </c>
      <c r="K558" t="s">
        <v>958</v>
      </c>
      <c r="L558" t="s">
        <v>863</v>
      </c>
      <c r="M558" t="s">
        <v>1369</v>
      </c>
      <c r="N558" t="s">
        <v>1370</v>
      </c>
      <c r="O558" t="s">
        <v>1369</v>
      </c>
      <c r="P558" t="s">
        <v>1370</v>
      </c>
      <c r="Q558" t="s">
        <v>2213</v>
      </c>
      <c r="R558" t="s">
        <v>237</v>
      </c>
      <c r="S558" t="s">
        <v>550</v>
      </c>
      <c r="T558" t="s">
        <v>550</v>
      </c>
      <c r="U558" t="s">
        <v>550</v>
      </c>
      <c r="V558" t="s">
        <v>2657</v>
      </c>
      <c r="W558" t="s">
        <v>1014</v>
      </c>
      <c r="X558" t="s">
        <v>870</v>
      </c>
      <c r="Y558" t="s">
        <v>1462</v>
      </c>
      <c r="Z558" t="s">
        <v>2652</v>
      </c>
    </row>
    <row r="559" spans="1:26" x14ac:dyDescent="0.3">
      <c r="A559" t="s">
        <v>525</v>
      </c>
      <c r="B559" t="s">
        <v>2658</v>
      </c>
      <c r="C559" t="s">
        <v>2659</v>
      </c>
      <c r="D559" t="s">
        <v>2594</v>
      </c>
      <c r="E559" t="s">
        <v>2660</v>
      </c>
      <c r="F559" t="s">
        <v>2661</v>
      </c>
      <c r="G559" s="1">
        <v>43102</v>
      </c>
      <c r="H559" s="1">
        <v>43465</v>
      </c>
      <c r="I559" t="s">
        <v>665</v>
      </c>
      <c r="J559" t="s">
        <v>2662</v>
      </c>
      <c r="K559" t="s">
        <v>958</v>
      </c>
      <c r="L559" t="s">
        <v>863</v>
      </c>
      <c r="M559" t="s">
        <v>1369</v>
      </c>
      <c r="N559" t="s">
        <v>1370</v>
      </c>
      <c r="O559" t="s">
        <v>1369</v>
      </c>
      <c r="P559" t="s">
        <v>1370</v>
      </c>
      <c r="Q559" t="s">
        <v>2213</v>
      </c>
      <c r="R559" t="s">
        <v>237</v>
      </c>
      <c r="S559" t="s">
        <v>550</v>
      </c>
      <c r="T559" t="s">
        <v>550</v>
      </c>
      <c r="U559" t="s">
        <v>550</v>
      </c>
      <c r="V559" t="s">
        <v>2663</v>
      </c>
      <c r="W559" t="s">
        <v>1014</v>
      </c>
      <c r="X559" t="s">
        <v>870</v>
      </c>
      <c r="Y559" t="s">
        <v>1462</v>
      </c>
      <c r="Z559" t="s">
        <v>2658</v>
      </c>
    </row>
    <row r="560" spans="1:26" x14ac:dyDescent="0.3">
      <c r="A560" t="s">
        <v>525</v>
      </c>
      <c r="B560" t="s">
        <v>2664</v>
      </c>
      <c r="C560" t="s">
        <v>2665</v>
      </c>
      <c r="D560" t="s">
        <v>2594</v>
      </c>
      <c r="E560" t="s">
        <v>2666</v>
      </c>
      <c r="F560" t="s">
        <v>2667</v>
      </c>
      <c r="G560" s="1">
        <v>43102</v>
      </c>
      <c r="H560" s="1">
        <v>43465</v>
      </c>
      <c r="I560" t="s">
        <v>665</v>
      </c>
      <c r="J560" t="s">
        <v>2668</v>
      </c>
      <c r="K560" t="s">
        <v>958</v>
      </c>
      <c r="L560" t="s">
        <v>863</v>
      </c>
      <c r="M560" t="s">
        <v>1369</v>
      </c>
      <c r="N560" t="s">
        <v>1370</v>
      </c>
      <c r="O560" t="s">
        <v>1369</v>
      </c>
      <c r="P560" t="s">
        <v>1370</v>
      </c>
      <c r="Q560" t="s">
        <v>2213</v>
      </c>
      <c r="R560" t="s">
        <v>237</v>
      </c>
      <c r="S560" t="s">
        <v>550</v>
      </c>
      <c r="T560" t="s">
        <v>550</v>
      </c>
      <c r="U560" t="s">
        <v>550</v>
      </c>
      <c r="V560" t="s">
        <v>2669</v>
      </c>
      <c r="W560" t="s">
        <v>1014</v>
      </c>
      <c r="X560" t="s">
        <v>870</v>
      </c>
      <c r="Y560" t="s">
        <v>1462</v>
      </c>
      <c r="Z560" t="s">
        <v>2664</v>
      </c>
    </row>
    <row r="561" spans="1:26" x14ac:dyDescent="0.3">
      <c r="A561" t="s">
        <v>525</v>
      </c>
      <c r="B561" t="s">
        <v>2670</v>
      </c>
      <c r="C561" t="s">
        <v>2671</v>
      </c>
      <c r="D561" t="s">
        <v>2594</v>
      </c>
      <c r="E561" t="s">
        <v>2672</v>
      </c>
      <c r="F561" t="s">
        <v>2673</v>
      </c>
      <c r="G561" s="1">
        <v>43102</v>
      </c>
      <c r="H561" s="1">
        <v>43465</v>
      </c>
      <c r="I561" t="s">
        <v>665</v>
      </c>
      <c r="J561" t="s">
        <v>2674</v>
      </c>
      <c r="K561" t="s">
        <v>958</v>
      </c>
      <c r="L561" t="s">
        <v>863</v>
      </c>
      <c r="M561" t="s">
        <v>1369</v>
      </c>
      <c r="N561" t="s">
        <v>1370</v>
      </c>
      <c r="O561" t="s">
        <v>1369</v>
      </c>
      <c r="P561" t="s">
        <v>1370</v>
      </c>
      <c r="Q561" t="s">
        <v>2213</v>
      </c>
      <c r="R561" t="s">
        <v>237</v>
      </c>
      <c r="S561" t="s">
        <v>550</v>
      </c>
      <c r="T561" t="s">
        <v>550</v>
      </c>
      <c r="U561" t="s">
        <v>550</v>
      </c>
      <c r="V561" t="s">
        <v>2675</v>
      </c>
      <c r="W561" t="s">
        <v>1014</v>
      </c>
      <c r="X561" t="s">
        <v>870</v>
      </c>
      <c r="Y561" t="s">
        <v>1462</v>
      </c>
      <c r="Z561" t="s">
        <v>2670</v>
      </c>
    </row>
    <row r="562" spans="1:26" x14ac:dyDescent="0.3">
      <c r="A562" t="s">
        <v>525</v>
      </c>
      <c r="B562" t="s">
        <v>2676</v>
      </c>
      <c r="C562" t="s">
        <v>2677</v>
      </c>
      <c r="D562" t="s">
        <v>2594</v>
      </c>
      <c r="E562" t="s">
        <v>2678</v>
      </c>
      <c r="F562" t="s">
        <v>2679</v>
      </c>
      <c r="G562" s="1">
        <v>43102</v>
      </c>
      <c r="H562" s="1">
        <v>43465</v>
      </c>
      <c r="I562" t="s">
        <v>665</v>
      </c>
      <c r="J562" t="s">
        <v>2680</v>
      </c>
      <c r="K562" t="s">
        <v>958</v>
      </c>
      <c r="L562" t="s">
        <v>863</v>
      </c>
      <c r="M562" t="s">
        <v>1369</v>
      </c>
      <c r="N562" t="s">
        <v>1370</v>
      </c>
      <c r="O562" t="s">
        <v>1369</v>
      </c>
      <c r="P562" t="s">
        <v>1370</v>
      </c>
      <c r="Q562" t="s">
        <v>2213</v>
      </c>
      <c r="R562" t="s">
        <v>237</v>
      </c>
      <c r="S562" t="s">
        <v>550</v>
      </c>
      <c r="T562" t="s">
        <v>550</v>
      </c>
      <c r="U562" t="s">
        <v>550</v>
      </c>
      <c r="V562" t="s">
        <v>2681</v>
      </c>
      <c r="W562" t="s">
        <v>1014</v>
      </c>
      <c r="X562" t="s">
        <v>870</v>
      </c>
      <c r="Y562" t="s">
        <v>1462</v>
      </c>
      <c r="Z562" t="s">
        <v>2676</v>
      </c>
    </row>
    <row r="563" spans="1:26" x14ac:dyDescent="0.3">
      <c r="A563" t="s">
        <v>525</v>
      </c>
      <c r="B563" t="s">
        <v>2682</v>
      </c>
      <c r="C563" t="s">
        <v>2683</v>
      </c>
      <c r="D563" t="s">
        <v>2594</v>
      </c>
      <c r="E563" t="s">
        <v>2684</v>
      </c>
      <c r="F563" t="s">
        <v>2685</v>
      </c>
      <c r="G563" s="1">
        <v>43102</v>
      </c>
      <c r="H563" s="1">
        <v>43465</v>
      </c>
      <c r="I563" t="s">
        <v>665</v>
      </c>
      <c r="J563" t="s">
        <v>2686</v>
      </c>
      <c r="K563" t="s">
        <v>958</v>
      </c>
      <c r="L563" t="s">
        <v>863</v>
      </c>
      <c r="M563" t="s">
        <v>1369</v>
      </c>
      <c r="N563" t="s">
        <v>1370</v>
      </c>
      <c r="O563" t="s">
        <v>1369</v>
      </c>
      <c r="P563" t="s">
        <v>1370</v>
      </c>
      <c r="Q563" t="s">
        <v>2213</v>
      </c>
      <c r="R563" t="s">
        <v>237</v>
      </c>
      <c r="S563" t="s">
        <v>550</v>
      </c>
      <c r="T563" t="s">
        <v>550</v>
      </c>
      <c r="U563" t="s">
        <v>550</v>
      </c>
      <c r="V563" t="s">
        <v>2687</v>
      </c>
      <c r="W563" t="s">
        <v>1014</v>
      </c>
      <c r="X563" t="s">
        <v>870</v>
      </c>
      <c r="Y563" t="s">
        <v>1462</v>
      </c>
      <c r="Z563" t="s">
        <v>2682</v>
      </c>
    </row>
    <row r="564" spans="1:26" x14ac:dyDescent="0.3">
      <c r="A564" t="s">
        <v>525</v>
      </c>
      <c r="B564" t="s">
        <v>2688</v>
      </c>
      <c r="C564" t="s">
        <v>2689</v>
      </c>
      <c r="D564" t="s">
        <v>2594</v>
      </c>
      <c r="E564" t="s">
        <v>2690</v>
      </c>
      <c r="F564" t="s">
        <v>2691</v>
      </c>
      <c r="G564" s="1">
        <v>43102</v>
      </c>
      <c r="H564" s="1">
        <v>43465</v>
      </c>
      <c r="I564" t="s">
        <v>665</v>
      </c>
      <c r="J564" t="s">
        <v>2692</v>
      </c>
      <c r="K564" t="s">
        <v>958</v>
      </c>
      <c r="L564" t="s">
        <v>863</v>
      </c>
      <c r="M564" t="s">
        <v>1369</v>
      </c>
      <c r="N564" t="s">
        <v>1370</v>
      </c>
      <c r="O564" t="s">
        <v>1369</v>
      </c>
      <c r="P564" t="s">
        <v>1370</v>
      </c>
      <c r="Q564" t="s">
        <v>2213</v>
      </c>
      <c r="R564" t="s">
        <v>237</v>
      </c>
      <c r="S564" t="s">
        <v>550</v>
      </c>
      <c r="T564" t="s">
        <v>550</v>
      </c>
      <c r="U564" t="s">
        <v>550</v>
      </c>
      <c r="V564" t="s">
        <v>2693</v>
      </c>
      <c r="W564" t="s">
        <v>1014</v>
      </c>
      <c r="X564" t="s">
        <v>870</v>
      </c>
      <c r="Y564" t="s">
        <v>1462</v>
      </c>
      <c r="Z564" t="s">
        <v>2688</v>
      </c>
    </row>
    <row r="565" spans="1:26" x14ac:dyDescent="0.3">
      <c r="A565" t="s">
        <v>525</v>
      </c>
      <c r="B565" t="s">
        <v>2694</v>
      </c>
      <c r="C565" t="s">
        <v>2695</v>
      </c>
      <c r="D565" t="s">
        <v>2594</v>
      </c>
      <c r="E565" t="s">
        <v>2512</v>
      </c>
      <c r="F565" t="s">
        <v>2513</v>
      </c>
      <c r="G565" s="1">
        <v>43102</v>
      </c>
      <c r="H565" s="1">
        <v>43465</v>
      </c>
      <c r="I565" t="s">
        <v>665</v>
      </c>
      <c r="J565" t="s">
        <v>2696</v>
      </c>
      <c r="K565" t="s">
        <v>958</v>
      </c>
      <c r="L565" t="s">
        <v>863</v>
      </c>
      <c r="M565" t="s">
        <v>1369</v>
      </c>
      <c r="N565" t="s">
        <v>1370</v>
      </c>
      <c r="O565" t="s">
        <v>1369</v>
      </c>
      <c r="P565" t="s">
        <v>1370</v>
      </c>
      <c r="Q565" t="s">
        <v>2213</v>
      </c>
      <c r="R565" t="s">
        <v>237</v>
      </c>
      <c r="S565" t="s">
        <v>550</v>
      </c>
      <c r="T565" t="s">
        <v>550</v>
      </c>
      <c r="U565" t="s">
        <v>550</v>
      </c>
      <c r="V565" t="s">
        <v>2697</v>
      </c>
      <c r="W565" t="s">
        <v>1014</v>
      </c>
      <c r="X565" t="s">
        <v>870</v>
      </c>
      <c r="Y565" t="s">
        <v>1462</v>
      </c>
      <c r="Z565" t="s">
        <v>2694</v>
      </c>
    </row>
    <row r="566" spans="1:26" x14ac:dyDescent="0.3">
      <c r="A566" t="s">
        <v>525</v>
      </c>
      <c r="B566" t="s">
        <v>2698</v>
      </c>
      <c r="C566" t="s">
        <v>2699</v>
      </c>
      <c r="D566" t="s">
        <v>2594</v>
      </c>
      <c r="E566" t="s">
        <v>2700</v>
      </c>
      <c r="F566" t="s">
        <v>2701</v>
      </c>
      <c r="G566" s="1">
        <v>43102</v>
      </c>
      <c r="H566" s="1">
        <v>43465</v>
      </c>
      <c r="I566" t="s">
        <v>665</v>
      </c>
      <c r="J566" t="s">
        <v>2702</v>
      </c>
      <c r="K566" t="s">
        <v>958</v>
      </c>
      <c r="L566" t="s">
        <v>863</v>
      </c>
      <c r="M566" t="s">
        <v>1369</v>
      </c>
      <c r="N566" t="s">
        <v>1370</v>
      </c>
      <c r="O566" t="s">
        <v>1369</v>
      </c>
      <c r="P566" t="s">
        <v>1370</v>
      </c>
      <c r="Q566" t="s">
        <v>2213</v>
      </c>
      <c r="R566" t="s">
        <v>237</v>
      </c>
      <c r="S566" t="s">
        <v>550</v>
      </c>
      <c r="T566" t="s">
        <v>550</v>
      </c>
      <c r="U566" t="s">
        <v>550</v>
      </c>
      <c r="V566" t="s">
        <v>2703</v>
      </c>
      <c r="W566" t="s">
        <v>1014</v>
      </c>
      <c r="X566" t="s">
        <v>870</v>
      </c>
      <c r="Y566" t="s">
        <v>1462</v>
      </c>
      <c r="Z566" t="s">
        <v>2698</v>
      </c>
    </row>
    <row r="567" spans="1:26" x14ac:dyDescent="0.3">
      <c r="A567" t="s">
        <v>525</v>
      </c>
      <c r="B567" t="s">
        <v>2704</v>
      </c>
      <c r="C567" t="s">
        <v>2705</v>
      </c>
      <c r="D567" t="s">
        <v>2594</v>
      </c>
      <c r="E567" t="s">
        <v>2706</v>
      </c>
      <c r="F567" t="s">
        <v>2707</v>
      </c>
      <c r="G567" s="1">
        <v>43102</v>
      </c>
      <c r="H567" s="1">
        <v>43465</v>
      </c>
      <c r="I567" t="s">
        <v>665</v>
      </c>
      <c r="J567" t="s">
        <v>2708</v>
      </c>
      <c r="K567" t="s">
        <v>958</v>
      </c>
      <c r="L567" t="s">
        <v>863</v>
      </c>
      <c r="M567" t="s">
        <v>1369</v>
      </c>
      <c r="N567" t="s">
        <v>1370</v>
      </c>
      <c r="O567" t="s">
        <v>1369</v>
      </c>
      <c r="P567" t="s">
        <v>1370</v>
      </c>
      <c r="Q567" t="s">
        <v>2213</v>
      </c>
      <c r="R567" t="s">
        <v>237</v>
      </c>
      <c r="S567" t="s">
        <v>550</v>
      </c>
      <c r="T567" t="s">
        <v>550</v>
      </c>
      <c r="U567" t="s">
        <v>550</v>
      </c>
      <c r="V567" t="s">
        <v>2709</v>
      </c>
      <c r="W567" t="s">
        <v>1014</v>
      </c>
      <c r="X567" t="s">
        <v>870</v>
      </c>
      <c r="Y567" t="s">
        <v>1462</v>
      </c>
      <c r="Z567" t="s">
        <v>2704</v>
      </c>
    </row>
    <row r="568" spans="1:26" x14ac:dyDescent="0.3">
      <c r="A568" t="s">
        <v>525</v>
      </c>
      <c r="B568" t="s">
        <v>2710</v>
      </c>
      <c r="C568" t="s">
        <v>2711</v>
      </c>
      <c r="D568" t="s">
        <v>2594</v>
      </c>
      <c r="E568" t="s">
        <v>2712</v>
      </c>
      <c r="F568" t="s">
        <v>2649</v>
      </c>
      <c r="G568" s="1">
        <v>43102</v>
      </c>
      <c r="H568" s="1">
        <v>43465</v>
      </c>
      <c r="I568" t="s">
        <v>665</v>
      </c>
      <c r="J568" t="s">
        <v>2713</v>
      </c>
      <c r="K568" t="s">
        <v>958</v>
      </c>
      <c r="L568" t="s">
        <v>863</v>
      </c>
      <c r="M568" t="s">
        <v>1369</v>
      </c>
      <c r="N568" t="s">
        <v>1370</v>
      </c>
      <c r="O568" t="s">
        <v>1369</v>
      </c>
      <c r="P568" t="s">
        <v>1370</v>
      </c>
      <c r="Q568" t="s">
        <v>2213</v>
      </c>
      <c r="R568" t="s">
        <v>237</v>
      </c>
      <c r="S568" t="s">
        <v>550</v>
      </c>
      <c r="T568" t="s">
        <v>550</v>
      </c>
      <c r="U568" t="s">
        <v>550</v>
      </c>
      <c r="V568" t="s">
        <v>2714</v>
      </c>
      <c r="W568" t="s">
        <v>1014</v>
      </c>
      <c r="X568" t="s">
        <v>870</v>
      </c>
      <c r="Y568" t="s">
        <v>1462</v>
      </c>
      <c r="Z568" t="s">
        <v>2710</v>
      </c>
    </row>
    <row r="569" spans="1:26" x14ac:dyDescent="0.3">
      <c r="A569" t="s">
        <v>525</v>
      </c>
      <c r="B569" t="s">
        <v>2715</v>
      </c>
      <c r="C569" t="s">
        <v>2716</v>
      </c>
      <c r="D569" t="s">
        <v>2594</v>
      </c>
      <c r="E569" t="s">
        <v>2717</v>
      </c>
      <c r="F569" t="s">
        <v>2718</v>
      </c>
      <c r="G569" s="1">
        <v>43102</v>
      </c>
      <c r="H569" s="1">
        <v>43465</v>
      </c>
      <c r="I569" t="s">
        <v>665</v>
      </c>
      <c r="J569" t="s">
        <v>2719</v>
      </c>
      <c r="K569" t="s">
        <v>958</v>
      </c>
      <c r="L569" t="s">
        <v>863</v>
      </c>
      <c r="M569" t="s">
        <v>1369</v>
      </c>
      <c r="N569" t="s">
        <v>1370</v>
      </c>
      <c r="O569" t="s">
        <v>1369</v>
      </c>
      <c r="P569" t="s">
        <v>1370</v>
      </c>
      <c r="Q569" t="s">
        <v>2213</v>
      </c>
      <c r="R569" t="s">
        <v>237</v>
      </c>
      <c r="S569" t="s">
        <v>550</v>
      </c>
      <c r="T569" t="s">
        <v>550</v>
      </c>
      <c r="U569" t="s">
        <v>550</v>
      </c>
      <c r="V569" t="s">
        <v>2720</v>
      </c>
      <c r="W569" t="s">
        <v>1014</v>
      </c>
      <c r="X569" t="s">
        <v>870</v>
      </c>
      <c r="Y569" t="s">
        <v>1462</v>
      </c>
      <c r="Z569" t="s">
        <v>2715</v>
      </c>
    </row>
    <row r="570" spans="1:26" x14ac:dyDescent="0.3">
      <c r="A570" t="s">
        <v>525</v>
      </c>
      <c r="B570" t="s">
        <v>2721</v>
      </c>
      <c r="C570" t="s">
        <v>2722</v>
      </c>
      <c r="D570" t="s">
        <v>2594</v>
      </c>
      <c r="E570" t="s">
        <v>2723</v>
      </c>
      <c r="F570" t="s">
        <v>2724</v>
      </c>
      <c r="G570" s="1">
        <v>43102</v>
      </c>
      <c r="H570" s="1">
        <v>43465</v>
      </c>
      <c r="I570" t="s">
        <v>665</v>
      </c>
      <c r="J570" t="s">
        <v>2725</v>
      </c>
      <c r="K570" t="s">
        <v>958</v>
      </c>
      <c r="L570" t="s">
        <v>863</v>
      </c>
      <c r="M570" t="s">
        <v>1369</v>
      </c>
      <c r="N570" t="s">
        <v>1370</v>
      </c>
      <c r="O570" t="s">
        <v>1369</v>
      </c>
      <c r="P570" t="s">
        <v>1370</v>
      </c>
      <c r="Q570" t="s">
        <v>2213</v>
      </c>
      <c r="R570" t="s">
        <v>237</v>
      </c>
      <c r="S570" t="s">
        <v>550</v>
      </c>
      <c r="T570" t="s">
        <v>550</v>
      </c>
      <c r="U570" t="s">
        <v>550</v>
      </c>
      <c r="V570" t="s">
        <v>2726</v>
      </c>
      <c r="W570" t="s">
        <v>1014</v>
      </c>
      <c r="X570" t="s">
        <v>870</v>
      </c>
      <c r="Y570" t="s">
        <v>1462</v>
      </c>
      <c r="Z570" t="s">
        <v>2721</v>
      </c>
    </row>
    <row r="571" spans="1:26" x14ac:dyDescent="0.3">
      <c r="A571" t="s">
        <v>525</v>
      </c>
      <c r="B571" t="s">
        <v>2727</v>
      </c>
      <c r="C571" t="s">
        <v>2728</v>
      </c>
      <c r="D571" t="s">
        <v>2594</v>
      </c>
      <c r="E571" t="s">
        <v>2729</v>
      </c>
      <c r="F571" t="s">
        <v>2730</v>
      </c>
      <c r="G571" s="1">
        <v>43102</v>
      </c>
      <c r="H571" s="1">
        <v>43465</v>
      </c>
      <c r="I571" t="s">
        <v>665</v>
      </c>
      <c r="J571" t="s">
        <v>2731</v>
      </c>
      <c r="K571" t="s">
        <v>958</v>
      </c>
      <c r="L571" t="s">
        <v>863</v>
      </c>
      <c r="M571" t="s">
        <v>1369</v>
      </c>
      <c r="N571" t="s">
        <v>1370</v>
      </c>
      <c r="O571" t="s">
        <v>1369</v>
      </c>
      <c r="P571" t="s">
        <v>1370</v>
      </c>
      <c r="Q571" t="s">
        <v>2213</v>
      </c>
      <c r="R571" t="s">
        <v>237</v>
      </c>
      <c r="S571" t="s">
        <v>550</v>
      </c>
      <c r="T571" t="s">
        <v>550</v>
      </c>
      <c r="U571" t="s">
        <v>550</v>
      </c>
      <c r="V571" t="s">
        <v>2732</v>
      </c>
      <c r="W571" t="s">
        <v>1014</v>
      </c>
      <c r="X571" t="s">
        <v>870</v>
      </c>
      <c r="Y571" t="s">
        <v>1462</v>
      </c>
      <c r="Z571" t="s">
        <v>2727</v>
      </c>
    </row>
    <row r="572" spans="1:26" x14ac:dyDescent="0.3">
      <c r="A572" t="s">
        <v>525</v>
      </c>
      <c r="B572" t="s">
        <v>2733</v>
      </c>
      <c r="C572" t="s">
        <v>2734</v>
      </c>
      <c r="D572" t="s">
        <v>2594</v>
      </c>
      <c r="E572" t="s">
        <v>2735</v>
      </c>
      <c r="F572" t="s">
        <v>2736</v>
      </c>
      <c r="G572" s="1">
        <v>43102</v>
      </c>
      <c r="H572" s="1">
        <v>43465</v>
      </c>
      <c r="I572" t="s">
        <v>665</v>
      </c>
      <c r="J572" t="s">
        <v>2737</v>
      </c>
      <c r="K572" t="s">
        <v>958</v>
      </c>
      <c r="L572" t="s">
        <v>863</v>
      </c>
      <c r="M572" t="s">
        <v>1369</v>
      </c>
      <c r="N572" t="s">
        <v>1370</v>
      </c>
      <c r="O572" t="s">
        <v>1369</v>
      </c>
      <c r="P572" t="s">
        <v>1370</v>
      </c>
      <c r="Q572" t="s">
        <v>2213</v>
      </c>
      <c r="R572" t="s">
        <v>237</v>
      </c>
      <c r="S572" t="s">
        <v>550</v>
      </c>
      <c r="T572" t="s">
        <v>550</v>
      </c>
      <c r="U572" t="s">
        <v>550</v>
      </c>
      <c r="V572" t="s">
        <v>2738</v>
      </c>
      <c r="W572" t="s">
        <v>1014</v>
      </c>
      <c r="X572" t="s">
        <v>870</v>
      </c>
      <c r="Y572" t="s">
        <v>1462</v>
      </c>
      <c r="Z572" t="s">
        <v>2733</v>
      </c>
    </row>
    <row r="573" spans="1:26" x14ac:dyDescent="0.3">
      <c r="A573" t="s">
        <v>525</v>
      </c>
      <c r="B573" t="s">
        <v>2739</v>
      </c>
      <c r="C573" t="s">
        <v>2740</v>
      </c>
      <c r="D573" t="s">
        <v>2594</v>
      </c>
      <c r="E573" t="s">
        <v>2741</v>
      </c>
      <c r="F573" t="s">
        <v>2742</v>
      </c>
      <c r="G573" s="1">
        <v>43102</v>
      </c>
      <c r="H573" s="1">
        <v>43465</v>
      </c>
      <c r="I573" t="s">
        <v>665</v>
      </c>
      <c r="J573" t="s">
        <v>2743</v>
      </c>
      <c r="K573" t="s">
        <v>958</v>
      </c>
      <c r="L573" t="s">
        <v>863</v>
      </c>
      <c r="M573" t="s">
        <v>1369</v>
      </c>
      <c r="N573" t="s">
        <v>1370</v>
      </c>
      <c r="O573" t="s">
        <v>1369</v>
      </c>
      <c r="P573" t="s">
        <v>1370</v>
      </c>
      <c r="Q573" t="s">
        <v>2213</v>
      </c>
      <c r="R573" t="s">
        <v>237</v>
      </c>
      <c r="S573" t="s">
        <v>550</v>
      </c>
      <c r="T573" t="s">
        <v>550</v>
      </c>
      <c r="U573" t="s">
        <v>550</v>
      </c>
      <c r="V573" t="s">
        <v>2744</v>
      </c>
      <c r="W573" t="s">
        <v>1014</v>
      </c>
      <c r="X573" t="s">
        <v>870</v>
      </c>
      <c r="Y573" t="s">
        <v>1462</v>
      </c>
      <c r="Z573" t="s">
        <v>2739</v>
      </c>
    </row>
    <row r="574" spans="1:26" x14ac:dyDescent="0.3">
      <c r="A574" t="s">
        <v>525</v>
      </c>
      <c r="B574" t="s">
        <v>2745</v>
      </c>
      <c r="C574" t="s">
        <v>2746</v>
      </c>
      <c r="D574" t="s">
        <v>2594</v>
      </c>
      <c r="E574" t="s">
        <v>2747</v>
      </c>
      <c r="F574" t="s">
        <v>2748</v>
      </c>
      <c r="G574" s="1">
        <v>43102</v>
      </c>
      <c r="H574" s="1">
        <v>43465</v>
      </c>
      <c r="I574" t="s">
        <v>665</v>
      </c>
      <c r="J574" t="s">
        <v>2749</v>
      </c>
      <c r="K574" t="s">
        <v>958</v>
      </c>
      <c r="L574" t="s">
        <v>863</v>
      </c>
      <c r="M574" t="s">
        <v>1369</v>
      </c>
      <c r="N574" t="s">
        <v>1370</v>
      </c>
      <c r="O574" t="s">
        <v>1369</v>
      </c>
      <c r="P574" t="s">
        <v>1370</v>
      </c>
      <c r="Q574" t="s">
        <v>2213</v>
      </c>
      <c r="R574" t="s">
        <v>237</v>
      </c>
      <c r="S574" t="s">
        <v>550</v>
      </c>
      <c r="T574" t="s">
        <v>550</v>
      </c>
      <c r="U574" t="s">
        <v>550</v>
      </c>
      <c r="V574" t="s">
        <v>2750</v>
      </c>
      <c r="W574" t="s">
        <v>1014</v>
      </c>
      <c r="X574" t="s">
        <v>870</v>
      </c>
      <c r="Y574" t="s">
        <v>1462</v>
      </c>
      <c r="Z574" t="s">
        <v>2745</v>
      </c>
    </row>
    <row r="575" spans="1:26" x14ac:dyDescent="0.3">
      <c r="A575" t="s">
        <v>525</v>
      </c>
      <c r="B575" t="s">
        <v>2751</v>
      </c>
      <c r="C575" t="s">
        <v>2752</v>
      </c>
      <c r="D575" t="s">
        <v>2594</v>
      </c>
      <c r="E575" t="s">
        <v>2581</v>
      </c>
      <c r="F575" t="s">
        <v>2582</v>
      </c>
      <c r="G575" s="1">
        <v>43102</v>
      </c>
      <c r="H575" s="1">
        <v>43465</v>
      </c>
      <c r="I575" t="s">
        <v>665</v>
      </c>
      <c r="J575" t="s">
        <v>2753</v>
      </c>
      <c r="K575" t="s">
        <v>958</v>
      </c>
      <c r="L575" t="s">
        <v>863</v>
      </c>
      <c r="M575" t="s">
        <v>1369</v>
      </c>
      <c r="N575" t="s">
        <v>1370</v>
      </c>
      <c r="O575" t="s">
        <v>1369</v>
      </c>
      <c r="P575" t="s">
        <v>1370</v>
      </c>
      <c r="Q575" t="s">
        <v>2213</v>
      </c>
      <c r="R575" t="s">
        <v>237</v>
      </c>
      <c r="S575" t="s">
        <v>550</v>
      </c>
      <c r="T575" t="s">
        <v>550</v>
      </c>
      <c r="U575" t="s">
        <v>550</v>
      </c>
      <c r="V575" t="s">
        <v>2754</v>
      </c>
      <c r="W575" t="s">
        <v>1014</v>
      </c>
      <c r="X575" t="s">
        <v>870</v>
      </c>
      <c r="Y575" t="s">
        <v>1462</v>
      </c>
      <c r="Z575" t="s">
        <v>2751</v>
      </c>
    </row>
    <row r="576" spans="1:26" x14ac:dyDescent="0.3">
      <c r="A576" t="s">
        <v>525</v>
      </c>
      <c r="B576" t="s">
        <v>2755</v>
      </c>
      <c r="C576" t="s">
        <v>2623</v>
      </c>
      <c r="D576" t="s">
        <v>2594</v>
      </c>
      <c r="E576" t="s">
        <v>2756</v>
      </c>
      <c r="F576" t="s">
        <v>2757</v>
      </c>
      <c r="G576" s="1">
        <v>43102</v>
      </c>
      <c r="H576" s="1">
        <v>43465</v>
      </c>
      <c r="I576" t="s">
        <v>665</v>
      </c>
      <c r="J576" t="s">
        <v>2758</v>
      </c>
      <c r="K576" t="s">
        <v>958</v>
      </c>
      <c r="L576" t="s">
        <v>863</v>
      </c>
      <c r="M576" t="s">
        <v>1369</v>
      </c>
      <c r="N576" t="s">
        <v>1370</v>
      </c>
      <c r="O576" t="s">
        <v>1369</v>
      </c>
      <c r="P576" t="s">
        <v>1370</v>
      </c>
      <c r="Q576" t="s">
        <v>2213</v>
      </c>
      <c r="R576" t="s">
        <v>237</v>
      </c>
      <c r="S576" t="s">
        <v>550</v>
      </c>
      <c r="T576" t="s">
        <v>550</v>
      </c>
      <c r="U576" t="s">
        <v>550</v>
      </c>
      <c r="V576" t="s">
        <v>2759</v>
      </c>
      <c r="W576" t="s">
        <v>1014</v>
      </c>
      <c r="X576" t="s">
        <v>870</v>
      </c>
      <c r="Y576" t="s">
        <v>1462</v>
      </c>
      <c r="Z576" t="s">
        <v>2755</v>
      </c>
    </row>
    <row r="577" spans="1:26" x14ac:dyDescent="0.3">
      <c r="A577" t="s">
        <v>525</v>
      </c>
      <c r="B577" t="s">
        <v>2760</v>
      </c>
      <c r="C577" t="s">
        <v>2761</v>
      </c>
      <c r="D577" t="s">
        <v>2594</v>
      </c>
      <c r="E577" t="s">
        <v>2762</v>
      </c>
      <c r="F577" t="s">
        <v>2763</v>
      </c>
      <c r="G577" s="1">
        <v>43102</v>
      </c>
      <c r="H577" s="1">
        <v>43465</v>
      </c>
      <c r="I577" t="s">
        <v>665</v>
      </c>
      <c r="J577" t="s">
        <v>2764</v>
      </c>
      <c r="K577" t="s">
        <v>958</v>
      </c>
      <c r="L577" t="s">
        <v>863</v>
      </c>
      <c r="M577" t="s">
        <v>1369</v>
      </c>
      <c r="N577" t="s">
        <v>1370</v>
      </c>
      <c r="O577" t="s">
        <v>1369</v>
      </c>
      <c r="P577" t="s">
        <v>1370</v>
      </c>
      <c r="Q577" t="s">
        <v>2213</v>
      </c>
      <c r="R577" t="s">
        <v>237</v>
      </c>
      <c r="S577" t="s">
        <v>550</v>
      </c>
      <c r="T577" t="s">
        <v>550</v>
      </c>
      <c r="U577" t="s">
        <v>550</v>
      </c>
      <c r="V577" t="s">
        <v>2765</v>
      </c>
      <c r="W577" t="s">
        <v>1014</v>
      </c>
      <c r="X577" t="s">
        <v>870</v>
      </c>
      <c r="Y577" t="s">
        <v>1462</v>
      </c>
      <c r="Z577" t="s">
        <v>2760</v>
      </c>
    </row>
    <row r="578" spans="1:26" x14ac:dyDescent="0.3">
      <c r="A578" t="s">
        <v>525</v>
      </c>
      <c r="B578" t="s">
        <v>2766</v>
      </c>
      <c r="C578" t="s">
        <v>2767</v>
      </c>
      <c r="D578" t="s">
        <v>2594</v>
      </c>
      <c r="E578" t="s">
        <v>2491</v>
      </c>
      <c r="F578" t="s">
        <v>2492</v>
      </c>
      <c r="G578" s="1">
        <v>43102</v>
      </c>
      <c r="H578" s="1">
        <v>43465</v>
      </c>
      <c r="I578" t="s">
        <v>665</v>
      </c>
      <c r="J578" t="s">
        <v>2768</v>
      </c>
      <c r="K578" t="s">
        <v>958</v>
      </c>
      <c r="L578" t="s">
        <v>863</v>
      </c>
      <c r="M578" t="s">
        <v>1369</v>
      </c>
      <c r="N578" t="s">
        <v>1370</v>
      </c>
      <c r="O578" t="s">
        <v>1369</v>
      </c>
      <c r="P578" t="s">
        <v>1370</v>
      </c>
      <c r="Q578" t="s">
        <v>2213</v>
      </c>
      <c r="R578" t="s">
        <v>237</v>
      </c>
      <c r="S578" t="s">
        <v>550</v>
      </c>
      <c r="T578" t="s">
        <v>550</v>
      </c>
      <c r="U578" t="s">
        <v>550</v>
      </c>
      <c r="V578" t="s">
        <v>2769</v>
      </c>
      <c r="W578" t="s">
        <v>1014</v>
      </c>
      <c r="X578" t="s">
        <v>870</v>
      </c>
      <c r="Y578" t="s">
        <v>1462</v>
      </c>
      <c r="Z578" t="s">
        <v>2766</v>
      </c>
    </row>
    <row r="579" spans="1:26" x14ac:dyDescent="0.3">
      <c r="A579" t="s">
        <v>525</v>
      </c>
      <c r="B579" t="s">
        <v>2770</v>
      </c>
      <c r="C579" t="s">
        <v>2771</v>
      </c>
      <c r="D579" t="s">
        <v>2594</v>
      </c>
      <c r="E579" t="s">
        <v>2772</v>
      </c>
      <c r="F579" t="s">
        <v>2773</v>
      </c>
      <c r="G579" s="1">
        <v>43102</v>
      </c>
      <c r="H579" s="1">
        <v>43465</v>
      </c>
      <c r="I579" t="s">
        <v>665</v>
      </c>
      <c r="J579" t="s">
        <v>2774</v>
      </c>
      <c r="K579" t="s">
        <v>958</v>
      </c>
      <c r="L579" t="s">
        <v>863</v>
      </c>
      <c r="M579" t="s">
        <v>1369</v>
      </c>
      <c r="N579" t="s">
        <v>1370</v>
      </c>
      <c r="O579" t="s">
        <v>1369</v>
      </c>
      <c r="P579" t="s">
        <v>1370</v>
      </c>
      <c r="Q579" t="s">
        <v>2213</v>
      </c>
      <c r="R579" t="s">
        <v>237</v>
      </c>
      <c r="S579" t="s">
        <v>550</v>
      </c>
      <c r="T579" t="s">
        <v>550</v>
      </c>
      <c r="U579" t="s">
        <v>550</v>
      </c>
      <c r="V579" t="s">
        <v>2775</v>
      </c>
      <c r="W579" t="s">
        <v>1014</v>
      </c>
      <c r="X579" t="s">
        <v>870</v>
      </c>
      <c r="Y579" t="s">
        <v>1462</v>
      </c>
      <c r="Z579" t="s">
        <v>2770</v>
      </c>
    </row>
    <row r="580" spans="1:26" x14ac:dyDescent="0.3">
      <c r="A580" t="s">
        <v>525</v>
      </c>
      <c r="B580" t="s">
        <v>2776</v>
      </c>
      <c r="C580" t="s">
        <v>2777</v>
      </c>
      <c r="D580" t="s">
        <v>2594</v>
      </c>
      <c r="E580" t="s">
        <v>2473</v>
      </c>
      <c r="F580" t="s">
        <v>2474</v>
      </c>
      <c r="G580" s="1">
        <v>43102</v>
      </c>
      <c r="H580" s="1">
        <v>43465</v>
      </c>
      <c r="I580" t="s">
        <v>665</v>
      </c>
      <c r="J580" t="s">
        <v>2778</v>
      </c>
      <c r="K580" t="s">
        <v>958</v>
      </c>
      <c r="L580" t="s">
        <v>863</v>
      </c>
      <c r="M580" t="s">
        <v>1369</v>
      </c>
      <c r="N580" t="s">
        <v>1370</v>
      </c>
      <c r="O580" t="s">
        <v>1369</v>
      </c>
      <c r="P580" t="s">
        <v>1370</v>
      </c>
      <c r="Q580" t="s">
        <v>2213</v>
      </c>
      <c r="R580" t="s">
        <v>237</v>
      </c>
      <c r="S580" t="s">
        <v>550</v>
      </c>
      <c r="T580" t="s">
        <v>550</v>
      </c>
      <c r="U580" t="s">
        <v>550</v>
      </c>
      <c r="V580" t="s">
        <v>2779</v>
      </c>
      <c r="W580" t="s">
        <v>1014</v>
      </c>
      <c r="X580" t="s">
        <v>870</v>
      </c>
      <c r="Y580" t="s">
        <v>1462</v>
      </c>
      <c r="Z580" t="s">
        <v>2776</v>
      </c>
    </row>
    <row r="581" spans="1:26" x14ac:dyDescent="0.3">
      <c r="A581" t="s">
        <v>525</v>
      </c>
      <c r="B581" t="s">
        <v>2780</v>
      </c>
      <c r="C581" t="s">
        <v>2781</v>
      </c>
      <c r="D581" t="s">
        <v>2594</v>
      </c>
      <c r="E581" t="s">
        <v>2558</v>
      </c>
      <c r="F581" t="s">
        <v>2559</v>
      </c>
      <c r="G581" s="1">
        <v>43102</v>
      </c>
      <c r="H581" s="1">
        <v>43465</v>
      </c>
      <c r="I581" t="s">
        <v>665</v>
      </c>
      <c r="J581" t="s">
        <v>2782</v>
      </c>
      <c r="K581" t="s">
        <v>958</v>
      </c>
      <c r="L581" t="s">
        <v>863</v>
      </c>
      <c r="M581" t="s">
        <v>1369</v>
      </c>
      <c r="N581" t="s">
        <v>1370</v>
      </c>
      <c r="O581" t="s">
        <v>1369</v>
      </c>
      <c r="P581" t="s">
        <v>1370</v>
      </c>
      <c r="Q581" t="s">
        <v>2213</v>
      </c>
      <c r="R581" t="s">
        <v>237</v>
      </c>
      <c r="S581" t="s">
        <v>550</v>
      </c>
      <c r="T581" t="s">
        <v>550</v>
      </c>
      <c r="U581" t="s">
        <v>550</v>
      </c>
      <c r="V581" t="s">
        <v>2783</v>
      </c>
      <c r="W581" t="s">
        <v>1014</v>
      </c>
      <c r="X581" t="s">
        <v>870</v>
      </c>
      <c r="Y581" t="s">
        <v>1462</v>
      </c>
      <c r="Z581" t="s">
        <v>2780</v>
      </c>
    </row>
    <row r="582" spans="1:26" x14ac:dyDescent="0.3">
      <c r="A582" t="s">
        <v>525</v>
      </c>
      <c r="B582" t="s">
        <v>2784</v>
      </c>
      <c r="C582" t="s">
        <v>2785</v>
      </c>
      <c r="D582" t="s">
        <v>550</v>
      </c>
      <c r="E582" t="s">
        <v>2558</v>
      </c>
      <c r="F582" t="s">
        <v>2559</v>
      </c>
      <c r="G582" s="1">
        <v>43102</v>
      </c>
      <c r="H582" s="1">
        <v>43465</v>
      </c>
      <c r="I582" t="s">
        <v>665</v>
      </c>
      <c r="J582" t="s">
        <v>2786</v>
      </c>
      <c r="K582" t="s">
        <v>24</v>
      </c>
      <c r="L582" t="s">
        <v>216</v>
      </c>
      <c r="M582" t="s">
        <v>1369</v>
      </c>
      <c r="N582" t="s">
        <v>1370</v>
      </c>
      <c r="O582" t="s">
        <v>1369</v>
      </c>
      <c r="P582" t="s">
        <v>1370</v>
      </c>
      <c r="Q582" t="s">
        <v>2213</v>
      </c>
      <c r="R582" t="s">
        <v>237</v>
      </c>
      <c r="S582" t="s">
        <v>550</v>
      </c>
      <c r="T582" t="s">
        <v>550</v>
      </c>
      <c r="U582" t="s">
        <v>550</v>
      </c>
      <c r="V582" t="s">
        <v>2787</v>
      </c>
      <c r="W582" t="s">
        <v>1014</v>
      </c>
      <c r="X582" t="s">
        <v>870</v>
      </c>
      <c r="Y582" t="s">
        <v>1462</v>
      </c>
      <c r="Z582" t="s">
        <v>2784</v>
      </c>
    </row>
    <row r="583" spans="1:26" x14ac:dyDescent="0.3">
      <c r="A583" t="s">
        <v>525</v>
      </c>
      <c r="B583" t="s">
        <v>2788</v>
      </c>
      <c r="C583" t="s">
        <v>2789</v>
      </c>
      <c r="D583" t="s">
        <v>550</v>
      </c>
      <c r="E583" t="s">
        <v>1410</v>
      </c>
      <c r="F583" t="s">
        <v>1411</v>
      </c>
      <c r="G583" s="1">
        <v>43102</v>
      </c>
      <c r="H583" s="1">
        <v>43465</v>
      </c>
      <c r="I583" t="s">
        <v>665</v>
      </c>
      <c r="J583" t="s">
        <v>1412</v>
      </c>
      <c r="K583" t="s">
        <v>24</v>
      </c>
      <c r="L583" t="s">
        <v>216</v>
      </c>
      <c r="M583" t="s">
        <v>2790</v>
      </c>
      <c r="N583" t="s">
        <v>2791</v>
      </c>
      <c r="O583" t="s">
        <v>1031</v>
      </c>
      <c r="P583" t="s">
        <v>239</v>
      </c>
      <c r="Q583" t="s">
        <v>2213</v>
      </c>
      <c r="R583" t="s">
        <v>237</v>
      </c>
      <c r="S583" t="s">
        <v>550</v>
      </c>
      <c r="T583" t="s">
        <v>550</v>
      </c>
      <c r="U583" t="s">
        <v>550</v>
      </c>
      <c r="V583" t="s">
        <v>2792</v>
      </c>
      <c r="W583" t="s">
        <v>1021</v>
      </c>
      <c r="X583" t="s">
        <v>74</v>
      </c>
      <c r="Y583" t="s">
        <v>1033</v>
      </c>
      <c r="Z583" t="s">
        <v>2788</v>
      </c>
    </row>
    <row r="584" spans="1:26" x14ac:dyDescent="0.3">
      <c r="A584" t="s">
        <v>525</v>
      </c>
      <c r="B584" t="s">
        <v>2793</v>
      </c>
      <c r="C584" t="s">
        <v>2794</v>
      </c>
      <c r="D584" t="s">
        <v>2788</v>
      </c>
      <c r="E584" t="s">
        <v>664</v>
      </c>
      <c r="F584" t="s">
        <v>27</v>
      </c>
      <c r="G584" s="1">
        <v>43102</v>
      </c>
      <c r="H584" s="1">
        <v>43465</v>
      </c>
      <c r="I584" t="s">
        <v>665</v>
      </c>
      <c r="J584" t="s">
        <v>666</v>
      </c>
      <c r="K584" t="s">
        <v>24</v>
      </c>
      <c r="L584" t="s">
        <v>216</v>
      </c>
      <c r="M584" t="s">
        <v>2790</v>
      </c>
      <c r="N584" t="s">
        <v>2791</v>
      </c>
      <c r="O584" t="s">
        <v>1031</v>
      </c>
      <c r="P584" t="s">
        <v>239</v>
      </c>
      <c r="Q584" t="s">
        <v>2213</v>
      </c>
      <c r="R584" t="s">
        <v>237</v>
      </c>
      <c r="S584" t="s">
        <v>550</v>
      </c>
      <c r="T584" t="s">
        <v>550</v>
      </c>
      <c r="U584" t="s">
        <v>550</v>
      </c>
      <c r="V584" t="s">
        <v>2795</v>
      </c>
      <c r="W584" t="s">
        <v>1021</v>
      </c>
      <c r="X584" t="s">
        <v>74</v>
      </c>
      <c r="Y584" t="s">
        <v>1033</v>
      </c>
      <c r="Z584" t="s">
        <v>2793</v>
      </c>
    </row>
    <row r="585" spans="1:26" x14ac:dyDescent="0.3">
      <c r="A585" t="s">
        <v>525</v>
      </c>
      <c r="B585" t="s">
        <v>2796</v>
      </c>
      <c r="C585" t="s">
        <v>2797</v>
      </c>
      <c r="D585" t="s">
        <v>550</v>
      </c>
      <c r="E585" t="s">
        <v>1027</v>
      </c>
      <c r="F585" t="s">
        <v>1028</v>
      </c>
      <c r="G585" s="1">
        <v>43102</v>
      </c>
      <c r="H585" s="1">
        <v>43465</v>
      </c>
      <c r="I585" t="s">
        <v>665</v>
      </c>
      <c r="J585" t="s">
        <v>1029</v>
      </c>
      <c r="K585" t="s">
        <v>24</v>
      </c>
      <c r="L585" t="s">
        <v>216</v>
      </c>
      <c r="M585" t="s">
        <v>2790</v>
      </c>
      <c r="N585" t="s">
        <v>2791</v>
      </c>
      <c r="O585" t="s">
        <v>1031</v>
      </c>
      <c r="P585" t="s">
        <v>239</v>
      </c>
      <c r="Q585" t="s">
        <v>2213</v>
      </c>
      <c r="R585" t="s">
        <v>237</v>
      </c>
      <c r="S585" t="s">
        <v>550</v>
      </c>
      <c r="T585" t="s">
        <v>550</v>
      </c>
      <c r="U585" t="s">
        <v>550</v>
      </c>
      <c r="V585" t="s">
        <v>2798</v>
      </c>
      <c r="W585" t="s">
        <v>1021</v>
      </c>
      <c r="X585" t="s">
        <v>74</v>
      </c>
      <c r="Y585" t="s">
        <v>1033</v>
      </c>
      <c r="Z585" t="s">
        <v>2796</v>
      </c>
    </row>
    <row r="586" spans="1:26" x14ac:dyDescent="0.3">
      <c r="A586" t="s">
        <v>525</v>
      </c>
      <c r="B586" t="s">
        <v>2799</v>
      </c>
      <c r="C586" t="s">
        <v>2800</v>
      </c>
      <c r="D586" t="s">
        <v>550</v>
      </c>
      <c r="E586" t="s">
        <v>1027</v>
      </c>
      <c r="F586" t="s">
        <v>1028</v>
      </c>
      <c r="G586" s="1">
        <v>43284</v>
      </c>
      <c r="H586" s="1">
        <v>43284</v>
      </c>
      <c r="I586" t="s">
        <v>665</v>
      </c>
      <c r="J586" t="s">
        <v>1029</v>
      </c>
      <c r="K586" t="s">
        <v>24</v>
      </c>
      <c r="L586" t="s">
        <v>216</v>
      </c>
      <c r="M586" t="s">
        <v>2790</v>
      </c>
      <c r="N586" t="s">
        <v>2791</v>
      </c>
      <c r="O586" t="s">
        <v>1031</v>
      </c>
      <c r="P586" t="s">
        <v>239</v>
      </c>
      <c r="Q586" t="s">
        <v>2213</v>
      </c>
      <c r="R586" t="s">
        <v>237</v>
      </c>
      <c r="S586" t="s">
        <v>550</v>
      </c>
      <c r="T586" t="s">
        <v>550</v>
      </c>
      <c r="U586" t="s">
        <v>550</v>
      </c>
      <c r="V586" t="s">
        <v>2801</v>
      </c>
      <c r="W586" t="s">
        <v>1021</v>
      </c>
      <c r="X586" t="s">
        <v>74</v>
      </c>
      <c r="Y586" t="s">
        <v>1033</v>
      </c>
      <c r="Z586" t="s">
        <v>2799</v>
      </c>
    </row>
    <row r="587" spans="1:26" x14ac:dyDescent="0.3">
      <c r="A587" t="s">
        <v>525</v>
      </c>
      <c r="B587" t="s">
        <v>2802</v>
      </c>
      <c r="C587" t="s">
        <v>2803</v>
      </c>
      <c r="D587" t="s">
        <v>2799</v>
      </c>
      <c r="E587" t="s">
        <v>1027</v>
      </c>
      <c r="F587" t="s">
        <v>1028</v>
      </c>
      <c r="G587" s="1">
        <v>43102</v>
      </c>
      <c r="H587" s="1">
        <v>43102</v>
      </c>
      <c r="I587" t="s">
        <v>665</v>
      </c>
      <c r="J587" t="s">
        <v>1029</v>
      </c>
      <c r="K587" t="s">
        <v>24</v>
      </c>
      <c r="L587" t="s">
        <v>216</v>
      </c>
      <c r="M587" t="s">
        <v>2790</v>
      </c>
      <c r="N587" t="s">
        <v>2791</v>
      </c>
      <c r="O587" t="s">
        <v>1031</v>
      </c>
      <c r="P587" t="s">
        <v>239</v>
      </c>
      <c r="Q587" t="s">
        <v>2213</v>
      </c>
      <c r="R587" t="s">
        <v>237</v>
      </c>
      <c r="S587" t="s">
        <v>550</v>
      </c>
      <c r="T587" t="s">
        <v>550</v>
      </c>
      <c r="U587" t="s">
        <v>550</v>
      </c>
      <c r="V587" t="s">
        <v>2804</v>
      </c>
      <c r="W587" t="s">
        <v>1021</v>
      </c>
      <c r="X587" t="s">
        <v>74</v>
      </c>
      <c r="Y587" t="s">
        <v>1033</v>
      </c>
      <c r="Z587" t="s">
        <v>2802</v>
      </c>
    </row>
    <row r="588" spans="1:26" x14ac:dyDescent="0.3">
      <c r="A588" t="s">
        <v>525</v>
      </c>
      <c r="B588" t="s">
        <v>2805</v>
      </c>
      <c r="C588" t="s">
        <v>2806</v>
      </c>
      <c r="D588" t="s">
        <v>550</v>
      </c>
      <c r="E588" t="s">
        <v>664</v>
      </c>
      <c r="F588" t="s">
        <v>27</v>
      </c>
      <c r="G588" s="1">
        <v>43831</v>
      </c>
      <c r="H588" s="1">
        <v>43844</v>
      </c>
      <c r="I588" t="s">
        <v>665</v>
      </c>
      <c r="J588" t="s">
        <v>666</v>
      </c>
      <c r="K588" t="s">
        <v>24</v>
      </c>
      <c r="L588" t="s">
        <v>1010</v>
      </c>
      <c r="M588" t="s">
        <v>1011</v>
      </c>
      <c r="N588" t="s">
        <v>1012</v>
      </c>
      <c r="O588" t="s">
        <v>1031</v>
      </c>
      <c r="P588" t="s">
        <v>239</v>
      </c>
      <c r="Q588" t="s">
        <v>2213</v>
      </c>
      <c r="R588" t="s">
        <v>237</v>
      </c>
      <c r="S588" t="s">
        <v>550</v>
      </c>
      <c r="T588" t="s">
        <v>550</v>
      </c>
      <c r="U588" t="s">
        <v>550</v>
      </c>
      <c r="V588" t="s">
        <v>2807</v>
      </c>
      <c r="W588" t="s">
        <v>1021</v>
      </c>
      <c r="X588" t="s">
        <v>74</v>
      </c>
      <c r="Y588" t="s">
        <v>803</v>
      </c>
      <c r="Z588" t="s">
        <v>2805</v>
      </c>
    </row>
    <row r="589" spans="1:26" x14ac:dyDescent="0.3">
      <c r="A589" t="s">
        <v>525</v>
      </c>
      <c r="B589" t="s">
        <v>2808</v>
      </c>
      <c r="C589" t="s">
        <v>2809</v>
      </c>
      <c r="D589" t="s">
        <v>2810</v>
      </c>
      <c r="E589" t="s">
        <v>2811</v>
      </c>
      <c r="F589" t="s">
        <v>2812</v>
      </c>
      <c r="G589" s="1">
        <v>45847</v>
      </c>
      <c r="H589" s="1">
        <v>45864</v>
      </c>
      <c r="I589" t="s">
        <v>665</v>
      </c>
      <c r="J589" t="s">
        <v>2813</v>
      </c>
      <c r="K589" t="s">
        <v>24</v>
      </c>
      <c r="L589" t="s">
        <v>216</v>
      </c>
      <c r="M589" t="s">
        <v>2299</v>
      </c>
      <c r="N589" t="s">
        <v>265</v>
      </c>
      <c r="O589" t="s">
        <v>1031</v>
      </c>
      <c r="P589" t="s">
        <v>239</v>
      </c>
      <c r="Q589" t="s">
        <v>2213</v>
      </c>
      <c r="R589" t="s">
        <v>237</v>
      </c>
      <c r="S589" t="s">
        <v>783</v>
      </c>
      <c r="T589" t="s">
        <v>550</v>
      </c>
      <c r="U589" t="s">
        <v>550</v>
      </c>
      <c r="V589" t="s">
        <v>2814</v>
      </c>
      <c r="W589" t="s">
        <v>613</v>
      </c>
      <c r="X589" t="s">
        <v>281</v>
      </c>
      <c r="Y589" t="s">
        <v>309</v>
      </c>
      <c r="Z589" t="s">
        <v>2808</v>
      </c>
    </row>
    <row r="590" spans="1:26" x14ac:dyDescent="0.3">
      <c r="A590" t="s">
        <v>525</v>
      </c>
      <c r="B590" t="s">
        <v>2815</v>
      </c>
      <c r="C590" t="s">
        <v>2816</v>
      </c>
      <c r="D590" t="s">
        <v>2810</v>
      </c>
      <c r="E590" t="s">
        <v>2811</v>
      </c>
      <c r="F590" t="s">
        <v>2812</v>
      </c>
      <c r="G590" s="1">
        <v>46023</v>
      </c>
      <c r="H590" s="1">
        <v>46023</v>
      </c>
      <c r="I590" t="s">
        <v>551</v>
      </c>
      <c r="J590" t="s">
        <v>2813</v>
      </c>
      <c r="K590" t="s">
        <v>24</v>
      </c>
      <c r="L590" t="s">
        <v>216</v>
      </c>
      <c r="M590" t="s">
        <v>2299</v>
      </c>
      <c r="N590" t="s">
        <v>265</v>
      </c>
      <c r="O590" t="s">
        <v>1031</v>
      </c>
      <c r="P590" t="s">
        <v>239</v>
      </c>
      <c r="Q590" t="s">
        <v>2213</v>
      </c>
      <c r="R590" t="s">
        <v>237</v>
      </c>
      <c r="S590" t="s">
        <v>783</v>
      </c>
      <c r="T590" t="s">
        <v>550</v>
      </c>
      <c r="U590" t="s">
        <v>550</v>
      </c>
      <c r="V590" t="s">
        <v>2817</v>
      </c>
      <c r="W590" t="s">
        <v>613</v>
      </c>
      <c r="X590" t="s">
        <v>281</v>
      </c>
      <c r="Y590" t="s">
        <v>309</v>
      </c>
      <c r="Z590" t="s">
        <v>2815</v>
      </c>
    </row>
    <row r="591" spans="1:26" x14ac:dyDescent="0.3">
      <c r="A591" t="s">
        <v>525</v>
      </c>
      <c r="B591" t="s">
        <v>1812</v>
      </c>
      <c r="C591" t="s">
        <v>2818</v>
      </c>
      <c r="D591" t="s">
        <v>550</v>
      </c>
      <c r="E591" t="s">
        <v>1813</v>
      </c>
      <c r="F591" t="s">
        <v>1339</v>
      </c>
      <c r="G591" s="1">
        <v>43467</v>
      </c>
      <c r="H591" s="1">
        <v>43467</v>
      </c>
      <c r="I591" t="s">
        <v>665</v>
      </c>
      <c r="J591" t="s">
        <v>1814</v>
      </c>
      <c r="K591" t="s">
        <v>958</v>
      </c>
      <c r="L591" t="s">
        <v>216</v>
      </c>
      <c r="M591" t="s">
        <v>1293</v>
      </c>
      <c r="N591" t="s">
        <v>256</v>
      </c>
      <c r="O591" t="s">
        <v>1031</v>
      </c>
      <c r="P591" t="s">
        <v>239</v>
      </c>
      <c r="Q591" t="s">
        <v>2213</v>
      </c>
      <c r="R591" t="s">
        <v>237</v>
      </c>
      <c r="S591" t="s">
        <v>550</v>
      </c>
      <c r="T591" t="s">
        <v>550</v>
      </c>
      <c r="U591" t="s">
        <v>550</v>
      </c>
      <c r="V591" t="s">
        <v>2819</v>
      </c>
      <c r="W591" t="s">
        <v>1021</v>
      </c>
      <c r="X591" t="s">
        <v>74</v>
      </c>
      <c r="Y591" t="s">
        <v>803</v>
      </c>
      <c r="Z591" t="s">
        <v>1812</v>
      </c>
    </row>
    <row r="592" spans="1:26" x14ac:dyDescent="0.3">
      <c r="A592" t="s">
        <v>525</v>
      </c>
      <c r="B592" t="s">
        <v>1822</v>
      </c>
      <c r="C592" t="s">
        <v>2820</v>
      </c>
      <c r="D592" t="s">
        <v>550</v>
      </c>
      <c r="E592" t="s">
        <v>1813</v>
      </c>
      <c r="F592" t="s">
        <v>1339</v>
      </c>
      <c r="G592" s="1">
        <v>43739</v>
      </c>
      <c r="H592" s="1">
        <v>43739</v>
      </c>
      <c r="I592" t="s">
        <v>780</v>
      </c>
      <c r="J592" t="s">
        <v>1814</v>
      </c>
      <c r="K592" t="s">
        <v>958</v>
      </c>
      <c r="L592" t="s">
        <v>216</v>
      </c>
      <c r="M592" t="s">
        <v>1293</v>
      </c>
      <c r="N592" t="s">
        <v>256</v>
      </c>
      <c r="O592" t="s">
        <v>1031</v>
      </c>
      <c r="P592" t="s">
        <v>239</v>
      </c>
      <c r="Q592" t="s">
        <v>2213</v>
      </c>
      <c r="R592" t="s">
        <v>237</v>
      </c>
      <c r="S592" t="s">
        <v>550</v>
      </c>
      <c r="T592" t="s">
        <v>550</v>
      </c>
      <c r="U592" t="s">
        <v>550</v>
      </c>
      <c r="V592" t="s">
        <v>2821</v>
      </c>
      <c r="W592" t="s">
        <v>1021</v>
      </c>
      <c r="X592" t="s">
        <v>74</v>
      </c>
      <c r="Y592" t="s">
        <v>803</v>
      </c>
      <c r="Z592" t="s">
        <v>1822</v>
      </c>
    </row>
    <row r="593" spans="1:26" x14ac:dyDescent="0.3">
      <c r="A593" t="s">
        <v>525</v>
      </c>
      <c r="B593" t="s">
        <v>2822</v>
      </c>
      <c r="C593" t="s">
        <v>2823</v>
      </c>
      <c r="D593" t="s">
        <v>2824</v>
      </c>
      <c r="E593" t="s">
        <v>2825</v>
      </c>
      <c r="F593" t="s">
        <v>2826</v>
      </c>
      <c r="G593" s="1">
        <v>46023</v>
      </c>
      <c r="H593" s="1">
        <v>46023</v>
      </c>
      <c r="I593" t="s">
        <v>780</v>
      </c>
      <c r="J593" t="s">
        <v>2827</v>
      </c>
      <c r="K593" t="s">
        <v>958</v>
      </c>
      <c r="L593" t="s">
        <v>216</v>
      </c>
      <c r="M593" t="s">
        <v>1293</v>
      </c>
      <c r="N593" t="s">
        <v>256</v>
      </c>
      <c r="O593" t="s">
        <v>1031</v>
      </c>
      <c r="P593" t="s">
        <v>239</v>
      </c>
      <c r="Q593" t="s">
        <v>2213</v>
      </c>
      <c r="R593" t="s">
        <v>237</v>
      </c>
      <c r="S593" t="s">
        <v>783</v>
      </c>
      <c r="T593" t="s">
        <v>550</v>
      </c>
      <c r="U593" t="s">
        <v>550</v>
      </c>
      <c r="V593" t="s">
        <v>2828</v>
      </c>
      <c r="W593" t="s">
        <v>613</v>
      </c>
      <c r="X593" t="s">
        <v>272</v>
      </c>
      <c r="Y593" t="s">
        <v>273</v>
      </c>
      <c r="Z593" t="s">
        <v>2822</v>
      </c>
    </row>
    <row r="594" spans="1:26" x14ac:dyDescent="0.3">
      <c r="A594" t="s">
        <v>525</v>
      </c>
      <c r="B594" t="s">
        <v>2829</v>
      </c>
      <c r="C594" t="s">
        <v>2830</v>
      </c>
      <c r="D594" t="s">
        <v>2831</v>
      </c>
      <c r="E594" t="s">
        <v>1065</v>
      </c>
      <c r="F594" t="s">
        <v>1066</v>
      </c>
      <c r="G594" s="1">
        <v>43102</v>
      </c>
      <c r="H594" s="1">
        <v>43465</v>
      </c>
      <c r="I594" t="s">
        <v>665</v>
      </c>
      <c r="J594" t="s">
        <v>1067</v>
      </c>
      <c r="K594" t="s">
        <v>808</v>
      </c>
      <c r="L594" t="s">
        <v>1045</v>
      </c>
      <c r="M594" t="s">
        <v>1030</v>
      </c>
      <c r="N594" t="s">
        <v>255</v>
      </c>
      <c r="O594" t="s">
        <v>1031</v>
      </c>
      <c r="P594" t="s">
        <v>239</v>
      </c>
      <c r="Q594" t="s">
        <v>2213</v>
      </c>
      <c r="R594" t="s">
        <v>237</v>
      </c>
      <c r="S594" t="s">
        <v>550</v>
      </c>
      <c r="T594" t="s">
        <v>550</v>
      </c>
      <c r="U594" t="s">
        <v>550</v>
      </c>
      <c r="V594" t="s">
        <v>2832</v>
      </c>
      <c r="W594" t="s">
        <v>1021</v>
      </c>
      <c r="X594" t="s">
        <v>74</v>
      </c>
      <c r="Y594" t="s">
        <v>1033</v>
      </c>
      <c r="Z594" t="s">
        <v>2829</v>
      </c>
    </row>
    <row r="595" spans="1:26" x14ac:dyDescent="0.3">
      <c r="A595" t="s">
        <v>525</v>
      </c>
      <c r="B595" t="s">
        <v>2833</v>
      </c>
      <c r="C595" t="s">
        <v>2834</v>
      </c>
      <c r="D595" t="s">
        <v>550</v>
      </c>
      <c r="E595" t="s">
        <v>664</v>
      </c>
      <c r="F595" t="s">
        <v>27</v>
      </c>
      <c r="G595" s="1">
        <v>43831</v>
      </c>
      <c r="H595" s="1">
        <v>43831</v>
      </c>
      <c r="I595" t="s">
        <v>665</v>
      </c>
      <c r="J595" t="s">
        <v>666</v>
      </c>
      <c r="K595" t="s">
        <v>24</v>
      </c>
      <c r="L595" t="s">
        <v>667</v>
      </c>
      <c r="M595" t="s">
        <v>1030</v>
      </c>
      <c r="N595" t="s">
        <v>255</v>
      </c>
      <c r="O595" t="s">
        <v>1031</v>
      </c>
      <c r="P595" t="s">
        <v>239</v>
      </c>
      <c r="Q595" t="s">
        <v>2213</v>
      </c>
      <c r="R595" t="s">
        <v>237</v>
      </c>
      <c r="S595" t="s">
        <v>550</v>
      </c>
      <c r="T595" t="s">
        <v>550</v>
      </c>
      <c r="U595" t="s">
        <v>550</v>
      </c>
      <c r="V595" t="s">
        <v>2835</v>
      </c>
      <c r="W595" t="s">
        <v>613</v>
      </c>
      <c r="X595" t="s">
        <v>74</v>
      </c>
      <c r="Y595" t="s">
        <v>803</v>
      </c>
      <c r="Z595" t="s">
        <v>2833</v>
      </c>
    </row>
    <row r="596" spans="1:26" x14ac:dyDescent="0.3">
      <c r="A596" t="s">
        <v>525</v>
      </c>
      <c r="B596" t="s">
        <v>2836</v>
      </c>
      <c r="C596" t="s">
        <v>2837</v>
      </c>
      <c r="D596" t="s">
        <v>550</v>
      </c>
      <c r="E596" t="s">
        <v>1921</v>
      </c>
      <c r="F596" t="s">
        <v>1922</v>
      </c>
      <c r="G596" s="1">
        <v>43831</v>
      </c>
      <c r="H596" s="1">
        <v>43893</v>
      </c>
      <c r="I596" t="s">
        <v>665</v>
      </c>
      <c r="J596" t="s">
        <v>1923</v>
      </c>
      <c r="K596" t="s">
        <v>862</v>
      </c>
      <c r="L596" t="s">
        <v>863</v>
      </c>
      <c r="M596" t="s">
        <v>1377</v>
      </c>
      <c r="N596" t="s">
        <v>1378</v>
      </c>
      <c r="O596" t="s">
        <v>1369</v>
      </c>
      <c r="P596" t="s">
        <v>1370</v>
      </c>
      <c r="Q596" t="s">
        <v>2213</v>
      </c>
      <c r="R596" t="s">
        <v>237</v>
      </c>
      <c r="S596" t="s">
        <v>550</v>
      </c>
      <c r="T596" t="s">
        <v>550</v>
      </c>
      <c r="U596" t="s">
        <v>550</v>
      </c>
      <c r="V596" t="s">
        <v>2838</v>
      </c>
      <c r="W596" t="s">
        <v>869</v>
      </c>
      <c r="X596" t="s">
        <v>870</v>
      </c>
      <c r="Y596" t="s">
        <v>847</v>
      </c>
      <c r="Z596" t="s">
        <v>2836</v>
      </c>
    </row>
    <row r="597" spans="1:26" x14ac:dyDescent="0.3">
      <c r="A597" t="s">
        <v>525</v>
      </c>
      <c r="B597" t="s">
        <v>2839</v>
      </c>
      <c r="C597" t="s">
        <v>2840</v>
      </c>
      <c r="D597" t="s">
        <v>550</v>
      </c>
      <c r="E597" t="s">
        <v>664</v>
      </c>
      <c r="F597" t="s">
        <v>27</v>
      </c>
      <c r="G597" s="1">
        <v>43831</v>
      </c>
      <c r="H597" s="1">
        <v>43831</v>
      </c>
      <c r="I597" t="s">
        <v>665</v>
      </c>
      <c r="J597" t="s">
        <v>666</v>
      </c>
      <c r="K597" t="s">
        <v>958</v>
      </c>
      <c r="L597" t="s">
        <v>863</v>
      </c>
      <c r="M597" t="s">
        <v>1377</v>
      </c>
      <c r="N597" t="s">
        <v>1378</v>
      </c>
      <c r="O597" t="s">
        <v>1369</v>
      </c>
      <c r="P597" t="s">
        <v>1370</v>
      </c>
      <c r="Q597" t="s">
        <v>2213</v>
      </c>
      <c r="R597" t="s">
        <v>237</v>
      </c>
      <c r="S597" t="s">
        <v>550</v>
      </c>
      <c r="T597" t="s">
        <v>550</v>
      </c>
      <c r="U597" t="s">
        <v>550</v>
      </c>
      <c r="V597" t="s">
        <v>2841</v>
      </c>
      <c r="W597" t="s">
        <v>869</v>
      </c>
      <c r="X597" t="s">
        <v>870</v>
      </c>
      <c r="Y597" t="s">
        <v>847</v>
      </c>
      <c r="Z597" t="s">
        <v>2839</v>
      </c>
    </row>
    <row r="598" spans="1:26" x14ac:dyDescent="0.3">
      <c r="A598" t="s">
        <v>525</v>
      </c>
      <c r="B598" t="s">
        <v>2842</v>
      </c>
      <c r="C598" t="s">
        <v>2843</v>
      </c>
      <c r="D598" t="s">
        <v>2839</v>
      </c>
      <c r="E598" t="s">
        <v>2844</v>
      </c>
      <c r="F598" t="s">
        <v>2845</v>
      </c>
      <c r="G598" s="1">
        <v>43864</v>
      </c>
      <c r="H598" s="1">
        <v>43866</v>
      </c>
      <c r="I598" t="s">
        <v>665</v>
      </c>
      <c r="J598" t="s">
        <v>2846</v>
      </c>
      <c r="K598" t="s">
        <v>862</v>
      </c>
      <c r="L598" t="s">
        <v>863</v>
      </c>
      <c r="M598" t="s">
        <v>1377</v>
      </c>
      <c r="N598" t="s">
        <v>1378</v>
      </c>
      <c r="O598" t="s">
        <v>1369</v>
      </c>
      <c r="P598" t="s">
        <v>1370</v>
      </c>
      <c r="Q598" t="s">
        <v>2213</v>
      </c>
      <c r="R598" t="s">
        <v>237</v>
      </c>
      <c r="S598" t="s">
        <v>550</v>
      </c>
      <c r="T598" t="s">
        <v>550</v>
      </c>
      <c r="U598" t="s">
        <v>550</v>
      </c>
      <c r="V598" t="s">
        <v>2847</v>
      </c>
      <c r="W598" t="s">
        <v>869</v>
      </c>
      <c r="X598" t="s">
        <v>870</v>
      </c>
      <c r="Y598" t="s">
        <v>847</v>
      </c>
      <c r="Z598" t="s">
        <v>2842</v>
      </c>
    </row>
    <row r="599" spans="1:26" x14ac:dyDescent="0.3">
      <c r="A599" t="s">
        <v>525</v>
      </c>
      <c r="B599" t="s">
        <v>2848</v>
      </c>
      <c r="C599" t="s">
        <v>2849</v>
      </c>
      <c r="D599" t="s">
        <v>2829</v>
      </c>
      <c r="E599" t="s">
        <v>1065</v>
      </c>
      <c r="F599" t="s">
        <v>1066</v>
      </c>
      <c r="G599" s="1">
        <v>43102</v>
      </c>
      <c r="H599" s="1">
        <v>43465</v>
      </c>
      <c r="I599" t="s">
        <v>665</v>
      </c>
      <c r="J599" t="s">
        <v>1067</v>
      </c>
      <c r="K599" t="s">
        <v>808</v>
      </c>
      <c r="L599" t="s">
        <v>1045</v>
      </c>
      <c r="M599" t="s">
        <v>1030</v>
      </c>
      <c r="N599" t="s">
        <v>255</v>
      </c>
      <c r="O599" t="s">
        <v>1369</v>
      </c>
      <c r="P599" t="s">
        <v>1370</v>
      </c>
      <c r="Q599" t="s">
        <v>2213</v>
      </c>
      <c r="R599" t="s">
        <v>237</v>
      </c>
      <c r="S599" t="s">
        <v>550</v>
      </c>
      <c r="T599" t="s">
        <v>550</v>
      </c>
      <c r="U599" t="s">
        <v>550</v>
      </c>
      <c r="V599" t="s">
        <v>2850</v>
      </c>
      <c r="W599" t="s">
        <v>1021</v>
      </c>
      <c r="X599" t="s">
        <v>74</v>
      </c>
      <c r="Y599" t="s">
        <v>1033</v>
      </c>
      <c r="Z599" t="s">
        <v>2848</v>
      </c>
    </row>
    <row r="600" spans="1:26" x14ac:dyDescent="0.3">
      <c r="A600" t="s">
        <v>525</v>
      </c>
      <c r="B600" t="s">
        <v>2851</v>
      </c>
      <c r="C600" t="s">
        <v>2849</v>
      </c>
      <c r="D600" t="s">
        <v>2829</v>
      </c>
      <c r="E600" t="s">
        <v>2852</v>
      </c>
      <c r="F600" t="s">
        <v>2853</v>
      </c>
      <c r="G600" s="1">
        <v>43102</v>
      </c>
      <c r="H600" s="1">
        <v>43465</v>
      </c>
      <c r="I600" t="s">
        <v>665</v>
      </c>
      <c r="J600" t="s">
        <v>982</v>
      </c>
      <c r="K600" t="s">
        <v>808</v>
      </c>
      <c r="L600" t="s">
        <v>1045</v>
      </c>
      <c r="M600" t="s">
        <v>1030</v>
      </c>
      <c r="N600" t="s">
        <v>255</v>
      </c>
      <c r="O600" t="s">
        <v>1369</v>
      </c>
      <c r="P600" t="s">
        <v>1370</v>
      </c>
      <c r="Q600" t="s">
        <v>2213</v>
      </c>
      <c r="R600" t="s">
        <v>237</v>
      </c>
      <c r="S600" t="s">
        <v>550</v>
      </c>
      <c r="T600" t="s">
        <v>550</v>
      </c>
      <c r="U600" t="s">
        <v>550</v>
      </c>
      <c r="V600" t="s">
        <v>2854</v>
      </c>
      <c r="W600" t="s">
        <v>1021</v>
      </c>
      <c r="X600" t="s">
        <v>74</v>
      </c>
      <c r="Y600" t="s">
        <v>1033</v>
      </c>
      <c r="Z600" t="s">
        <v>2851</v>
      </c>
    </row>
    <row r="601" spans="1:26" x14ac:dyDescent="0.3">
      <c r="A601" t="s">
        <v>525</v>
      </c>
      <c r="B601" t="s">
        <v>2855</v>
      </c>
      <c r="C601" t="s">
        <v>2856</v>
      </c>
      <c r="D601" t="s">
        <v>550</v>
      </c>
      <c r="E601" t="s">
        <v>664</v>
      </c>
      <c r="F601" t="s">
        <v>27</v>
      </c>
      <c r="G601" s="1">
        <v>43831</v>
      </c>
      <c r="H601" s="1">
        <v>43831</v>
      </c>
      <c r="I601" t="s">
        <v>665</v>
      </c>
      <c r="J601" t="s">
        <v>666</v>
      </c>
      <c r="K601" t="s">
        <v>24</v>
      </c>
      <c r="L601" t="s">
        <v>1010</v>
      </c>
      <c r="M601" t="s">
        <v>1369</v>
      </c>
      <c r="N601" t="s">
        <v>1370</v>
      </c>
      <c r="O601" t="s">
        <v>1369</v>
      </c>
      <c r="P601" t="s">
        <v>1370</v>
      </c>
      <c r="Q601" t="s">
        <v>2213</v>
      </c>
      <c r="R601" t="s">
        <v>237</v>
      </c>
      <c r="S601" t="s">
        <v>550</v>
      </c>
      <c r="T601" t="s">
        <v>550</v>
      </c>
      <c r="U601" t="s">
        <v>550</v>
      </c>
      <c r="V601" t="s">
        <v>2857</v>
      </c>
      <c r="W601" t="s">
        <v>1014</v>
      </c>
      <c r="X601" t="s">
        <v>870</v>
      </c>
      <c r="Y601" t="s">
        <v>803</v>
      </c>
      <c r="Z601" t="s">
        <v>2855</v>
      </c>
    </row>
    <row r="602" spans="1:26" x14ac:dyDescent="0.3">
      <c r="A602" t="s">
        <v>525</v>
      </c>
      <c r="B602" t="s">
        <v>2858</v>
      </c>
      <c r="C602" t="s">
        <v>2859</v>
      </c>
      <c r="D602" t="s">
        <v>550</v>
      </c>
      <c r="E602" t="s">
        <v>664</v>
      </c>
      <c r="F602" t="s">
        <v>27</v>
      </c>
      <c r="G602" s="1">
        <v>42371</v>
      </c>
      <c r="H602" s="1">
        <v>43465</v>
      </c>
      <c r="I602" t="s">
        <v>665</v>
      </c>
      <c r="J602" t="s">
        <v>666</v>
      </c>
      <c r="K602" t="s">
        <v>958</v>
      </c>
      <c r="L602" t="s">
        <v>863</v>
      </c>
      <c r="M602" t="s">
        <v>1369</v>
      </c>
      <c r="N602" t="s">
        <v>1370</v>
      </c>
      <c r="O602" t="s">
        <v>1369</v>
      </c>
      <c r="P602" t="s">
        <v>1370</v>
      </c>
      <c r="Q602" t="s">
        <v>2213</v>
      </c>
      <c r="R602" t="s">
        <v>237</v>
      </c>
      <c r="S602" t="s">
        <v>550</v>
      </c>
      <c r="T602" t="s">
        <v>550</v>
      </c>
      <c r="U602" t="s">
        <v>550</v>
      </c>
      <c r="V602" t="s">
        <v>2860</v>
      </c>
      <c r="W602" t="s">
        <v>1014</v>
      </c>
      <c r="X602" t="s">
        <v>870</v>
      </c>
      <c r="Y602" t="s">
        <v>1281</v>
      </c>
      <c r="Z602" t="s">
        <v>2858</v>
      </c>
    </row>
    <row r="603" spans="1:26" x14ac:dyDescent="0.3">
      <c r="A603" t="s">
        <v>525</v>
      </c>
      <c r="B603" t="s">
        <v>2861</v>
      </c>
      <c r="C603" t="s">
        <v>2862</v>
      </c>
      <c r="D603" t="s">
        <v>2858</v>
      </c>
      <c r="E603" t="s">
        <v>2863</v>
      </c>
      <c r="F603" t="s">
        <v>2864</v>
      </c>
      <c r="G603" s="1">
        <v>43102</v>
      </c>
      <c r="H603" s="1">
        <v>43465</v>
      </c>
      <c r="I603" t="s">
        <v>665</v>
      </c>
      <c r="J603" t="s">
        <v>2865</v>
      </c>
      <c r="K603" t="s">
        <v>958</v>
      </c>
      <c r="L603" t="s">
        <v>863</v>
      </c>
      <c r="M603" t="s">
        <v>1369</v>
      </c>
      <c r="N603" t="s">
        <v>1370</v>
      </c>
      <c r="O603" t="s">
        <v>1369</v>
      </c>
      <c r="P603" t="s">
        <v>1370</v>
      </c>
      <c r="Q603" t="s">
        <v>2213</v>
      </c>
      <c r="R603" t="s">
        <v>237</v>
      </c>
      <c r="S603" t="s">
        <v>550</v>
      </c>
      <c r="T603" t="s">
        <v>550</v>
      </c>
      <c r="U603" t="s">
        <v>550</v>
      </c>
      <c r="V603" t="s">
        <v>2866</v>
      </c>
      <c r="W603" t="s">
        <v>1014</v>
      </c>
      <c r="X603" t="s">
        <v>870</v>
      </c>
      <c r="Y603" t="s">
        <v>1281</v>
      </c>
      <c r="Z603" t="s">
        <v>2861</v>
      </c>
    </row>
    <row r="604" spans="1:26" x14ac:dyDescent="0.3">
      <c r="A604" t="s">
        <v>525</v>
      </c>
      <c r="B604" t="s">
        <v>2867</v>
      </c>
      <c r="C604" t="s">
        <v>2868</v>
      </c>
      <c r="D604" t="s">
        <v>550</v>
      </c>
      <c r="E604" t="s">
        <v>664</v>
      </c>
      <c r="F604" t="s">
        <v>27</v>
      </c>
      <c r="G604" s="1">
        <v>42371</v>
      </c>
      <c r="H604" s="1">
        <v>43465</v>
      </c>
      <c r="I604" t="s">
        <v>665</v>
      </c>
      <c r="J604" t="s">
        <v>666</v>
      </c>
      <c r="K604" t="s">
        <v>958</v>
      </c>
      <c r="L604" t="s">
        <v>1045</v>
      </c>
      <c r="M604" t="s">
        <v>1369</v>
      </c>
      <c r="N604" t="s">
        <v>1370</v>
      </c>
      <c r="O604" t="s">
        <v>1369</v>
      </c>
      <c r="P604" t="s">
        <v>1370</v>
      </c>
      <c r="Q604" t="s">
        <v>2213</v>
      </c>
      <c r="R604" t="s">
        <v>237</v>
      </c>
      <c r="S604" t="s">
        <v>550</v>
      </c>
      <c r="T604" t="s">
        <v>550</v>
      </c>
      <c r="U604" t="s">
        <v>550</v>
      </c>
      <c r="V604" t="s">
        <v>2869</v>
      </c>
      <c r="W604" t="s">
        <v>1014</v>
      </c>
      <c r="X604" t="s">
        <v>870</v>
      </c>
      <c r="Y604" t="s">
        <v>1281</v>
      </c>
      <c r="Z604" t="s">
        <v>2867</v>
      </c>
    </row>
    <row r="605" spans="1:26" x14ac:dyDescent="0.3">
      <c r="A605" t="s">
        <v>525</v>
      </c>
      <c r="B605" t="s">
        <v>2870</v>
      </c>
      <c r="C605" t="s">
        <v>2871</v>
      </c>
      <c r="D605" t="s">
        <v>2867</v>
      </c>
      <c r="E605" t="s">
        <v>2872</v>
      </c>
      <c r="F605" t="s">
        <v>2873</v>
      </c>
      <c r="G605" s="1">
        <v>43102</v>
      </c>
      <c r="H605" s="1">
        <v>43465</v>
      </c>
      <c r="I605" t="s">
        <v>665</v>
      </c>
      <c r="J605" t="s">
        <v>2874</v>
      </c>
      <c r="K605" t="s">
        <v>958</v>
      </c>
      <c r="L605" t="s">
        <v>863</v>
      </c>
      <c r="M605" t="s">
        <v>1369</v>
      </c>
      <c r="N605" t="s">
        <v>1370</v>
      </c>
      <c r="O605" t="s">
        <v>1369</v>
      </c>
      <c r="P605" t="s">
        <v>1370</v>
      </c>
      <c r="Q605" t="s">
        <v>2213</v>
      </c>
      <c r="R605" t="s">
        <v>237</v>
      </c>
      <c r="S605" t="s">
        <v>550</v>
      </c>
      <c r="T605" t="s">
        <v>550</v>
      </c>
      <c r="U605" t="s">
        <v>550</v>
      </c>
      <c r="V605" t="s">
        <v>2875</v>
      </c>
      <c r="W605" t="s">
        <v>1014</v>
      </c>
      <c r="X605" t="s">
        <v>870</v>
      </c>
      <c r="Y605" t="s">
        <v>1281</v>
      </c>
      <c r="Z605" t="s">
        <v>2870</v>
      </c>
    </row>
    <row r="606" spans="1:26" x14ac:dyDescent="0.3">
      <c r="A606" t="s">
        <v>525</v>
      </c>
      <c r="B606" t="s">
        <v>2876</v>
      </c>
      <c r="C606" t="s">
        <v>2877</v>
      </c>
      <c r="D606" t="s">
        <v>550</v>
      </c>
      <c r="E606" t="s">
        <v>664</v>
      </c>
      <c r="F606" t="s">
        <v>27</v>
      </c>
      <c r="G606" s="1">
        <v>42371</v>
      </c>
      <c r="H606" s="1">
        <v>43465</v>
      </c>
      <c r="I606" t="s">
        <v>665</v>
      </c>
      <c r="J606" t="s">
        <v>666</v>
      </c>
      <c r="K606" t="s">
        <v>958</v>
      </c>
      <c r="L606" t="s">
        <v>863</v>
      </c>
      <c r="M606" t="s">
        <v>1369</v>
      </c>
      <c r="N606" t="s">
        <v>1370</v>
      </c>
      <c r="O606" t="s">
        <v>1369</v>
      </c>
      <c r="P606" t="s">
        <v>1370</v>
      </c>
      <c r="Q606" t="s">
        <v>2213</v>
      </c>
      <c r="R606" t="s">
        <v>237</v>
      </c>
      <c r="S606" t="s">
        <v>550</v>
      </c>
      <c r="T606" t="s">
        <v>550</v>
      </c>
      <c r="U606" t="s">
        <v>550</v>
      </c>
      <c r="V606" t="s">
        <v>2878</v>
      </c>
      <c r="W606" t="s">
        <v>1014</v>
      </c>
      <c r="X606" t="s">
        <v>870</v>
      </c>
      <c r="Y606" t="s">
        <v>1281</v>
      </c>
      <c r="Z606" t="s">
        <v>2876</v>
      </c>
    </row>
    <row r="607" spans="1:26" x14ac:dyDescent="0.3">
      <c r="A607" t="s">
        <v>525</v>
      </c>
      <c r="B607" t="s">
        <v>2879</v>
      </c>
      <c r="C607" t="s">
        <v>2880</v>
      </c>
      <c r="D607" t="s">
        <v>2876</v>
      </c>
      <c r="E607" t="s">
        <v>2872</v>
      </c>
      <c r="F607" t="s">
        <v>2873</v>
      </c>
      <c r="G607" s="1">
        <v>43102</v>
      </c>
      <c r="H607" s="1">
        <v>43465</v>
      </c>
      <c r="I607" t="s">
        <v>665</v>
      </c>
      <c r="J607" t="s">
        <v>2874</v>
      </c>
      <c r="K607" t="s">
        <v>958</v>
      </c>
      <c r="L607" t="s">
        <v>863</v>
      </c>
      <c r="M607" t="s">
        <v>1369</v>
      </c>
      <c r="N607" t="s">
        <v>1370</v>
      </c>
      <c r="O607" t="s">
        <v>1369</v>
      </c>
      <c r="P607" t="s">
        <v>1370</v>
      </c>
      <c r="Q607" t="s">
        <v>2213</v>
      </c>
      <c r="R607" t="s">
        <v>237</v>
      </c>
      <c r="S607" t="s">
        <v>550</v>
      </c>
      <c r="T607" t="s">
        <v>550</v>
      </c>
      <c r="U607" t="s">
        <v>550</v>
      </c>
      <c r="V607" t="s">
        <v>2881</v>
      </c>
      <c r="W607" t="s">
        <v>1014</v>
      </c>
      <c r="X607" t="s">
        <v>870</v>
      </c>
      <c r="Y607" t="s">
        <v>1281</v>
      </c>
      <c r="Z607" t="s">
        <v>2879</v>
      </c>
    </row>
    <row r="608" spans="1:26" x14ac:dyDescent="0.3">
      <c r="A608" t="s">
        <v>525</v>
      </c>
      <c r="B608" t="s">
        <v>2882</v>
      </c>
      <c r="C608" t="s">
        <v>2883</v>
      </c>
      <c r="D608" t="s">
        <v>550</v>
      </c>
      <c r="E608" t="s">
        <v>664</v>
      </c>
      <c r="F608" t="s">
        <v>27</v>
      </c>
      <c r="G608" s="1">
        <v>42371</v>
      </c>
      <c r="H608" s="1">
        <v>43465</v>
      </c>
      <c r="I608" t="s">
        <v>665</v>
      </c>
      <c r="J608" t="s">
        <v>666</v>
      </c>
      <c r="K608" t="s">
        <v>24</v>
      </c>
      <c r="L608" t="s">
        <v>1045</v>
      </c>
      <c r="M608" t="s">
        <v>1369</v>
      </c>
      <c r="N608" t="s">
        <v>1370</v>
      </c>
      <c r="O608" t="s">
        <v>1369</v>
      </c>
      <c r="P608" t="s">
        <v>1370</v>
      </c>
      <c r="Q608" t="s">
        <v>2213</v>
      </c>
      <c r="R608" t="s">
        <v>237</v>
      </c>
      <c r="S608" t="s">
        <v>550</v>
      </c>
      <c r="T608" t="s">
        <v>550</v>
      </c>
      <c r="U608" t="s">
        <v>550</v>
      </c>
      <c r="V608" t="s">
        <v>2884</v>
      </c>
      <c r="W608" t="s">
        <v>1014</v>
      </c>
      <c r="X608" t="s">
        <v>870</v>
      </c>
      <c r="Y608" t="s">
        <v>1281</v>
      </c>
      <c r="Z608" t="s">
        <v>2882</v>
      </c>
    </row>
    <row r="609" spans="1:26" x14ac:dyDescent="0.3">
      <c r="A609" t="s">
        <v>525</v>
      </c>
      <c r="B609" t="s">
        <v>2885</v>
      </c>
      <c r="C609" t="s">
        <v>2886</v>
      </c>
      <c r="D609" t="s">
        <v>2882</v>
      </c>
      <c r="E609" t="s">
        <v>2887</v>
      </c>
      <c r="F609" t="s">
        <v>2888</v>
      </c>
      <c r="G609" s="1">
        <v>43102</v>
      </c>
      <c r="H609" s="1">
        <v>43465</v>
      </c>
      <c r="I609" t="s">
        <v>665</v>
      </c>
      <c r="J609" t="s">
        <v>2889</v>
      </c>
      <c r="K609" t="s">
        <v>24</v>
      </c>
      <c r="L609" t="s">
        <v>863</v>
      </c>
      <c r="M609" t="s">
        <v>1369</v>
      </c>
      <c r="N609" t="s">
        <v>1370</v>
      </c>
      <c r="O609" t="s">
        <v>1369</v>
      </c>
      <c r="P609" t="s">
        <v>1370</v>
      </c>
      <c r="Q609" t="s">
        <v>2213</v>
      </c>
      <c r="R609" t="s">
        <v>237</v>
      </c>
      <c r="S609" t="s">
        <v>550</v>
      </c>
      <c r="T609" t="s">
        <v>550</v>
      </c>
      <c r="U609" t="s">
        <v>550</v>
      </c>
      <c r="V609" t="s">
        <v>2890</v>
      </c>
      <c r="W609" t="s">
        <v>1014</v>
      </c>
      <c r="X609" t="s">
        <v>870</v>
      </c>
      <c r="Y609" t="s">
        <v>1281</v>
      </c>
      <c r="Z609" t="s">
        <v>2885</v>
      </c>
    </row>
    <row r="610" spans="1:26" x14ac:dyDescent="0.3">
      <c r="A610" t="s">
        <v>525</v>
      </c>
      <c r="B610" t="s">
        <v>2891</v>
      </c>
      <c r="C610" t="s">
        <v>2892</v>
      </c>
      <c r="D610" t="s">
        <v>550</v>
      </c>
      <c r="E610" t="s">
        <v>664</v>
      </c>
      <c r="F610" t="s">
        <v>27</v>
      </c>
      <c r="G610" s="1">
        <v>42371</v>
      </c>
      <c r="H610" s="1">
        <v>43465</v>
      </c>
      <c r="I610" t="s">
        <v>665</v>
      </c>
      <c r="J610" t="s">
        <v>666</v>
      </c>
      <c r="K610" t="s">
        <v>24</v>
      </c>
      <c r="L610" t="s">
        <v>216</v>
      </c>
      <c r="M610" t="s">
        <v>1369</v>
      </c>
      <c r="N610" t="s">
        <v>1370</v>
      </c>
      <c r="O610" t="s">
        <v>1369</v>
      </c>
      <c r="P610" t="s">
        <v>1370</v>
      </c>
      <c r="Q610" t="s">
        <v>2213</v>
      </c>
      <c r="R610" t="s">
        <v>237</v>
      </c>
      <c r="S610" t="s">
        <v>550</v>
      </c>
      <c r="T610" t="s">
        <v>550</v>
      </c>
      <c r="U610" t="s">
        <v>550</v>
      </c>
      <c r="V610" t="s">
        <v>2893</v>
      </c>
      <c r="W610" t="s">
        <v>1021</v>
      </c>
      <c r="X610" t="s">
        <v>74</v>
      </c>
      <c r="Y610" t="s">
        <v>1033</v>
      </c>
      <c r="Z610" t="s">
        <v>2891</v>
      </c>
    </row>
    <row r="611" spans="1:26" x14ac:dyDescent="0.3">
      <c r="A611" t="s">
        <v>525</v>
      </c>
      <c r="B611" t="s">
        <v>2894</v>
      </c>
      <c r="C611" t="s">
        <v>2895</v>
      </c>
      <c r="D611" t="s">
        <v>550</v>
      </c>
      <c r="E611" t="s">
        <v>2896</v>
      </c>
      <c r="F611" t="s">
        <v>2897</v>
      </c>
      <c r="G611" s="1">
        <v>43374</v>
      </c>
      <c r="H611" s="1">
        <v>43375</v>
      </c>
      <c r="I611" t="s">
        <v>665</v>
      </c>
      <c r="J611" t="s">
        <v>2898</v>
      </c>
      <c r="K611" t="s">
        <v>841</v>
      </c>
      <c r="L611" t="s">
        <v>863</v>
      </c>
      <c r="M611" t="s">
        <v>1369</v>
      </c>
      <c r="N611" t="s">
        <v>1370</v>
      </c>
      <c r="O611" t="s">
        <v>1369</v>
      </c>
      <c r="P611" t="s">
        <v>1370</v>
      </c>
      <c r="Q611" t="s">
        <v>2213</v>
      </c>
      <c r="R611" t="s">
        <v>237</v>
      </c>
      <c r="S611" t="s">
        <v>550</v>
      </c>
      <c r="T611" t="s">
        <v>550</v>
      </c>
      <c r="U611" t="s">
        <v>550</v>
      </c>
      <c r="V611" t="s">
        <v>2899</v>
      </c>
      <c r="W611" t="s">
        <v>869</v>
      </c>
      <c r="X611" t="s">
        <v>870</v>
      </c>
      <c r="Y611" t="s">
        <v>847</v>
      </c>
      <c r="Z611" t="s">
        <v>2894</v>
      </c>
    </row>
    <row r="612" spans="1:26" x14ac:dyDescent="0.3">
      <c r="A612" t="s">
        <v>525</v>
      </c>
      <c r="B612" t="s">
        <v>2900</v>
      </c>
      <c r="C612" t="s">
        <v>2901</v>
      </c>
      <c r="D612" t="s">
        <v>550</v>
      </c>
      <c r="E612" t="s">
        <v>664</v>
      </c>
      <c r="F612" t="s">
        <v>27</v>
      </c>
      <c r="G612" s="1">
        <v>42371</v>
      </c>
      <c r="H612" s="1">
        <v>43465</v>
      </c>
      <c r="I612" t="s">
        <v>665</v>
      </c>
      <c r="J612" t="s">
        <v>666</v>
      </c>
      <c r="K612" t="s">
        <v>24</v>
      </c>
      <c r="L612" t="s">
        <v>1045</v>
      </c>
      <c r="M612" t="s">
        <v>2790</v>
      </c>
      <c r="N612" t="s">
        <v>2791</v>
      </c>
      <c r="O612" t="s">
        <v>1369</v>
      </c>
      <c r="P612" t="s">
        <v>1370</v>
      </c>
      <c r="Q612" t="s">
        <v>2213</v>
      </c>
      <c r="R612" t="s">
        <v>237</v>
      </c>
      <c r="S612" t="s">
        <v>550</v>
      </c>
      <c r="T612" t="s">
        <v>550</v>
      </c>
      <c r="U612" t="s">
        <v>550</v>
      </c>
      <c r="V612" t="s">
        <v>2902</v>
      </c>
      <c r="W612" t="s">
        <v>1021</v>
      </c>
      <c r="X612" t="s">
        <v>74</v>
      </c>
      <c r="Y612" t="s">
        <v>1075</v>
      </c>
      <c r="Z612" t="s">
        <v>2900</v>
      </c>
    </row>
    <row r="613" spans="1:26" x14ac:dyDescent="0.3">
      <c r="A613" t="s">
        <v>525</v>
      </c>
      <c r="B613" t="s">
        <v>2903</v>
      </c>
      <c r="C613" t="s">
        <v>2904</v>
      </c>
      <c r="D613" t="s">
        <v>550</v>
      </c>
      <c r="E613" t="s">
        <v>664</v>
      </c>
      <c r="F613" t="s">
        <v>27</v>
      </c>
      <c r="G613" s="1">
        <v>42371</v>
      </c>
      <c r="H613" s="1">
        <v>43465</v>
      </c>
      <c r="I613" t="s">
        <v>665</v>
      </c>
      <c r="J613" t="s">
        <v>666</v>
      </c>
      <c r="K613" t="s">
        <v>24</v>
      </c>
      <c r="L613" t="s">
        <v>1045</v>
      </c>
      <c r="M613" t="s">
        <v>2790</v>
      </c>
      <c r="N613" t="s">
        <v>2791</v>
      </c>
      <c r="O613" t="s">
        <v>1369</v>
      </c>
      <c r="P613" t="s">
        <v>1370</v>
      </c>
      <c r="Q613" t="s">
        <v>2213</v>
      </c>
      <c r="R613" t="s">
        <v>237</v>
      </c>
      <c r="S613" t="s">
        <v>550</v>
      </c>
      <c r="T613" t="s">
        <v>550</v>
      </c>
      <c r="U613" t="s">
        <v>550</v>
      </c>
      <c r="V613" t="s">
        <v>2905</v>
      </c>
      <c r="W613" t="s">
        <v>1021</v>
      </c>
      <c r="X613" t="s">
        <v>74</v>
      </c>
      <c r="Y613" t="s">
        <v>1075</v>
      </c>
      <c r="Z613" t="s">
        <v>2903</v>
      </c>
    </row>
    <row r="614" spans="1:26" x14ac:dyDescent="0.3">
      <c r="A614" t="s">
        <v>525</v>
      </c>
      <c r="B614" t="s">
        <v>2906</v>
      </c>
      <c r="C614" t="s">
        <v>2907</v>
      </c>
      <c r="D614" t="s">
        <v>550</v>
      </c>
      <c r="E614" t="s">
        <v>664</v>
      </c>
      <c r="F614" t="s">
        <v>27</v>
      </c>
      <c r="G614" s="1">
        <v>42371</v>
      </c>
      <c r="H614" s="1">
        <v>43465</v>
      </c>
      <c r="I614" t="s">
        <v>665</v>
      </c>
      <c r="J614" t="s">
        <v>666</v>
      </c>
      <c r="K614" t="s">
        <v>24</v>
      </c>
      <c r="L614" t="s">
        <v>1045</v>
      </c>
      <c r="M614" t="s">
        <v>2790</v>
      </c>
      <c r="N614" t="s">
        <v>2791</v>
      </c>
      <c r="O614" t="s">
        <v>1369</v>
      </c>
      <c r="P614" t="s">
        <v>1370</v>
      </c>
      <c r="Q614" t="s">
        <v>2213</v>
      </c>
      <c r="R614" t="s">
        <v>237</v>
      </c>
      <c r="S614" t="s">
        <v>550</v>
      </c>
      <c r="T614" t="s">
        <v>550</v>
      </c>
      <c r="U614" t="s">
        <v>550</v>
      </c>
      <c r="V614" t="s">
        <v>2908</v>
      </c>
      <c r="W614" t="s">
        <v>1021</v>
      </c>
      <c r="X614" t="s">
        <v>74</v>
      </c>
      <c r="Y614" t="s">
        <v>1075</v>
      </c>
      <c r="Z614" t="s">
        <v>2906</v>
      </c>
    </row>
    <row r="615" spans="1:26" x14ac:dyDescent="0.3">
      <c r="A615" t="s">
        <v>525</v>
      </c>
      <c r="B615" t="s">
        <v>2909</v>
      </c>
      <c r="C615" t="s">
        <v>2910</v>
      </c>
      <c r="D615" t="s">
        <v>550</v>
      </c>
      <c r="E615" t="s">
        <v>664</v>
      </c>
      <c r="F615" t="s">
        <v>27</v>
      </c>
      <c r="G615" s="1">
        <v>42371</v>
      </c>
      <c r="H615" s="1">
        <v>43465</v>
      </c>
      <c r="I615" t="s">
        <v>665</v>
      </c>
      <c r="J615" t="s">
        <v>666</v>
      </c>
      <c r="K615" t="s">
        <v>24</v>
      </c>
      <c r="L615" t="s">
        <v>1045</v>
      </c>
      <c r="M615" t="s">
        <v>2790</v>
      </c>
      <c r="N615" t="s">
        <v>2791</v>
      </c>
      <c r="O615" t="s">
        <v>1369</v>
      </c>
      <c r="P615" t="s">
        <v>1370</v>
      </c>
      <c r="Q615" t="s">
        <v>2213</v>
      </c>
      <c r="R615" t="s">
        <v>237</v>
      </c>
      <c r="S615" t="s">
        <v>550</v>
      </c>
      <c r="T615" t="s">
        <v>550</v>
      </c>
      <c r="U615" t="s">
        <v>550</v>
      </c>
      <c r="V615" t="s">
        <v>2911</v>
      </c>
      <c r="W615" t="s">
        <v>1021</v>
      </c>
      <c r="X615" t="s">
        <v>74</v>
      </c>
      <c r="Y615" t="s">
        <v>1033</v>
      </c>
      <c r="Z615" t="s">
        <v>2909</v>
      </c>
    </row>
    <row r="616" spans="1:26" x14ac:dyDescent="0.3">
      <c r="A616" t="s">
        <v>525</v>
      </c>
      <c r="B616" t="s">
        <v>2912</v>
      </c>
      <c r="C616" t="s">
        <v>2913</v>
      </c>
      <c r="D616" t="s">
        <v>550</v>
      </c>
      <c r="E616" t="s">
        <v>664</v>
      </c>
      <c r="F616" t="s">
        <v>27</v>
      </c>
      <c r="G616" s="1">
        <v>42371</v>
      </c>
      <c r="H616" s="1">
        <v>43465</v>
      </c>
      <c r="I616" t="s">
        <v>665</v>
      </c>
      <c r="J616" t="s">
        <v>666</v>
      </c>
      <c r="K616" t="s">
        <v>24</v>
      </c>
      <c r="L616" t="s">
        <v>1045</v>
      </c>
      <c r="M616" t="s">
        <v>2790</v>
      </c>
      <c r="N616" t="s">
        <v>2791</v>
      </c>
      <c r="O616" t="s">
        <v>1369</v>
      </c>
      <c r="P616" t="s">
        <v>1370</v>
      </c>
      <c r="Q616" t="s">
        <v>2213</v>
      </c>
      <c r="R616" t="s">
        <v>237</v>
      </c>
      <c r="S616" t="s">
        <v>550</v>
      </c>
      <c r="T616" t="s">
        <v>550</v>
      </c>
      <c r="U616" t="s">
        <v>550</v>
      </c>
      <c r="V616" t="s">
        <v>2914</v>
      </c>
      <c r="W616" t="s">
        <v>1021</v>
      </c>
      <c r="X616" t="s">
        <v>74</v>
      </c>
      <c r="Y616" t="s">
        <v>1033</v>
      </c>
      <c r="Z616" t="s">
        <v>2912</v>
      </c>
    </row>
    <row r="617" spans="1:26" x14ac:dyDescent="0.3">
      <c r="A617" t="s">
        <v>525</v>
      </c>
      <c r="B617" t="s">
        <v>2915</v>
      </c>
      <c r="C617" t="s">
        <v>2916</v>
      </c>
      <c r="D617" t="s">
        <v>550</v>
      </c>
      <c r="E617" t="s">
        <v>664</v>
      </c>
      <c r="F617" t="s">
        <v>27</v>
      </c>
      <c r="G617" s="1">
        <v>42371</v>
      </c>
      <c r="H617" s="1">
        <v>43465</v>
      </c>
      <c r="I617" t="s">
        <v>665</v>
      </c>
      <c r="J617" t="s">
        <v>666</v>
      </c>
      <c r="K617" t="s">
        <v>24</v>
      </c>
      <c r="L617" t="s">
        <v>1045</v>
      </c>
      <c r="M617" t="s">
        <v>1030</v>
      </c>
      <c r="N617" t="s">
        <v>255</v>
      </c>
      <c r="O617" t="s">
        <v>1369</v>
      </c>
      <c r="P617" t="s">
        <v>1370</v>
      </c>
      <c r="Q617" t="s">
        <v>2213</v>
      </c>
      <c r="R617" t="s">
        <v>237</v>
      </c>
      <c r="S617" t="s">
        <v>550</v>
      </c>
      <c r="T617" t="s">
        <v>550</v>
      </c>
      <c r="U617" t="s">
        <v>550</v>
      </c>
      <c r="V617" t="s">
        <v>2917</v>
      </c>
      <c r="W617" t="s">
        <v>1021</v>
      </c>
      <c r="X617" t="s">
        <v>74</v>
      </c>
      <c r="Y617" t="s">
        <v>1033</v>
      </c>
      <c r="Z617" t="s">
        <v>2915</v>
      </c>
    </row>
    <row r="618" spans="1:26" x14ac:dyDescent="0.3">
      <c r="A618" t="s">
        <v>525</v>
      </c>
      <c r="B618" t="s">
        <v>2831</v>
      </c>
      <c r="C618" t="s">
        <v>2918</v>
      </c>
      <c r="D618" t="s">
        <v>550</v>
      </c>
      <c r="E618" t="s">
        <v>664</v>
      </c>
      <c r="F618" t="s">
        <v>27</v>
      </c>
      <c r="G618" s="1">
        <v>42371</v>
      </c>
      <c r="H618" s="1">
        <v>43465</v>
      </c>
      <c r="I618" t="s">
        <v>665</v>
      </c>
      <c r="J618" t="s">
        <v>666</v>
      </c>
      <c r="K618" t="s">
        <v>24</v>
      </c>
      <c r="L618" t="s">
        <v>1045</v>
      </c>
      <c r="M618" t="s">
        <v>2919</v>
      </c>
      <c r="N618" t="s">
        <v>2920</v>
      </c>
      <c r="O618" t="s">
        <v>1369</v>
      </c>
      <c r="P618" t="s">
        <v>1370</v>
      </c>
      <c r="Q618" t="s">
        <v>2213</v>
      </c>
      <c r="R618" t="s">
        <v>237</v>
      </c>
      <c r="S618" t="s">
        <v>550</v>
      </c>
      <c r="T618" t="s">
        <v>550</v>
      </c>
      <c r="U618" t="s">
        <v>550</v>
      </c>
      <c r="V618" t="s">
        <v>2921</v>
      </c>
      <c r="W618" t="s">
        <v>1021</v>
      </c>
      <c r="X618" t="s">
        <v>74</v>
      </c>
      <c r="Y618" t="s">
        <v>1033</v>
      </c>
      <c r="Z618" t="s">
        <v>2831</v>
      </c>
    </row>
    <row r="619" spans="1:26" x14ac:dyDescent="0.3">
      <c r="A619" t="s">
        <v>525</v>
      </c>
      <c r="B619" t="s">
        <v>2922</v>
      </c>
      <c r="C619" t="s">
        <v>2923</v>
      </c>
      <c r="D619" t="s">
        <v>550</v>
      </c>
      <c r="E619" t="s">
        <v>664</v>
      </c>
      <c r="F619" t="s">
        <v>27</v>
      </c>
      <c r="G619" s="1">
        <v>42737</v>
      </c>
      <c r="H619" s="1">
        <v>44196</v>
      </c>
      <c r="I619" t="s">
        <v>665</v>
      </c>
      <c r="J619" t="s">
        <v>666</v>
      </c>
      <c r="K619" t="s">
        <v>24</v>
      </c>
      <c r="L619" t="s">
        <v>1045</v>
      </c>
      <c r="M619" t="s">
        <v>2790</v>
      </c>
      <c r="N619" t="s">
        <v>2791</v>
      </c>
      <c r="O619" t="s">
        <v>1369</v>
      </c>
      <c r="P619" t="s">
        <v>1370</v>
      </c>
      <c r="Q619" t="s">
        <v>2213</v>
      </c>
      <c r="R619" t="s">
        <v>237</v>
      </c>
      <c r="S619" t="s">
        <v>550</v>
      </c>
      <c r="T619" t="s">
        <v>550</v>
      </c>
      <c r="U619" t="s">
        <v>550</v>
      </c>
      <c r="V619" t="s">
        <v>2924</v>
      </c>
      <c r="W619" t="s">
        <v>1021</v>
      </c>
      <c r="X619" t="s">
        <v>74</v>
      </c>
      <c r="Y619" t="s">
        <v>1033</v>
      </c>
      <c r="Z619" t="s">
        <v>2922</v>
      </c>
    </row>
    <row r="620" spans="1:26" x14ac:dyDescent="0.3">
      <c r="A620" t="s">
        <v>525</v>
      </c>
      <c r="B620" t="s">
        <v>2925</v>
      </c>
      <c r="C620" t="s">
        <v>2926</v>
      </c>
      <c r="D620" t="s">
        <v>550</v>
      </c>
      <c r="E620" t="s">
        <v>664</v>
      </c>
      <c r="F620" t="s">
        <v>27</v>
      </c>
      <c r="G620" s="1">
        <v>42371</v>
      </c>
      <c r="H620" s="1">
        <v>43465</v>
      </c>
      <c r="I620" t="s">
        <v>665</v>
      </c>
      <c r="J620" t="s">
        <v>666</v>
      </c>
      <c r="K620" t="s">
        <v>24</v>
      </c>
      <c r="L620" t="s">
        <v>216</v>
      </c>
      <c r="M620" t="s">
        <v>2790</v>
      </c>
      <c r="N620" t="s">
        <v>2791</v>
      </c>
      <c r="O620" t="s">
        <v>1369</v>
      </c>
      <c r="P620" t="s">
        <v>1370</v>
      </c>
      <c r="Q620" t="s">
        <v>2213</v>
      </c>
      <c r="R620" t="s">
        <v>237</v>
      </c>
      <c r="S620" t="s">
        <v>550</v>
      </c>
      <c r="T620" t="s">
        <v>550</v>
      </c>
      <c r="U620" t="s">
        <v>550</v>
      </c>
      <c r="V620" t="s">
        <v>2927</v>
      </c>
      <c r="W620" t="s">
        <v>1021</v>
      </c>
      <c r="X620" t="s">
        <v>74</v>
      </c>
      <c r="Y620" t="s">
        <v>1033</v>
      </c>
      <c r="Z620" t="s">
        <v>2925</v>
      </c>
    </row>
    <row r="621" spans="1:26" x14ac:dyDescent="0.3">
      <c r="A621" t="s">
        <v>525</v>
      </c>
      <c r="B621" t="s">
        <v>2928</v>
      </c>
      <c r="C621" t="s">
        <v>2929</v>
      </c>
      <c r="D621" t="s">
        <v>550</v>
      </c>
      <c r="E621" t="s">
        <v>664</v>
      </c>
      <c r="F621" t="s">
        <v>27</v>
      </c>
      <c r="G621" s="1">
        <v>42371</v>
      </c>
      <c r="H621" s="1">
        <v>43465</v>
      </c>
      <c r="I621" t="s">
        <v>665</v>
      </c>
      <c r="J621" t="s">
        <v>666</v>
      </c>
      <c r="K621" t="s">
        <v>24</v>
      </c>
      <c r="L621" t="s">
        <v>1045</v>
      </c>
      <c r="M621" t="s">
        <v>2790</v>
      </c>
      <c r="N621" t="s">
        <v>2791</v>
      </c>
      <c r="O621" t="s">
        <v>1369</v>
      </c>
      <c r="P621" t="s">
        <v>1370</v>
      </c>
      <c r="Q621" t="s">
        <v>2213</v>
      </c>
      <c r="R621" t="s">
        <v>237</v>
      </c>
      <c r="S621" t="s">
        <v>550</v>
      </c>
      <c r="T621" t="s">
        <v>550</v>
      </c>
      <c r="U621" t="s">
        <v>550</v>
      </c>
      <c r="V621" t="s">
        <v>2930</v>
      </c>
      <c r="W621" t="s">
        <v>1021</v>
      </c>
      <c r="X621" t="s">
        <v>74</v>
      </c>
      <c r="Y621" t="s">
        <v>1033</v>
      </c>
      <c r="Z621" t="s">
        <v>2928</v>
      </c>
    </row>
    <row r="622" spans="1:26" x14ac:dyDescent="0.3">
      <c r="A622" t="s">
        <v>525</v>
      </c>
      <c r="B622" t="s">
        <v>2931</v>
      </c>
      <c r="C622" t="s">
        <v>2932</v>
      </c>
      <c r="D622" t="s">
        <v>550</v>
      </c>
      <c r="E622" t="s">
        <v>664</v>
      </c>
      <c r="F622" t="s">
        <v>27</v>
      </c>
      <c r="G622" s="1">
        <v>42371</v>
      </c>
      <c r="H622" s="1">
        <v>43465</v>
      </c>
      <c r="I622" t="s">
        <v>665</v>
      </c>
      <c r="J622" t="s">
        <v>666</v>
      </c>
      <c r="K622" t="s">
        <v>24</v>
      </c>
      <c r="L622" t="s">
        <v>667</v>
      </c>
      <c r="M622" t="s">
        <v>2790</v>
      </c>
      <c r="N622" t="s">
        <v>2791</v>
      </c>
      <c r="O622" t="s">
        <v>1369</v>
      </c>
      <c r="P622" t="s">
        <v>1370</v>
      </c>
      <c r="Q622" t="s">
        <v>2213</v>
      </c>
      <c r="R622" t="s">
        <v>237</v>
      </c>
      <c r="S622" t="s">
        <v>550</v>
      </c>
      <c r="T622" t="s">
        <v>550</v>
      </c>
      <c r="U622" t="s">
        <v>550</v>
      </c>
      <c r="V622" t="s">
        <v>2933</v>
      </c>
      <c r="W622" t="s">
        <v>1021</v>
      </c>
      <c r="X622" t="s">
        <v>74</v>
      </c>
      <c r="Y622" t="s">
        <v>803</v>
      </c>
      <c r="Z622" t="s">
        <v>2931</v>
      </c>
    </row>
    <row r="623" spans="1:26" x14ac:dyDescent="0.3">
      <c r="A623" t="s">
        <v>525</v>
      </c>
      <c r="B623" t="s">
        <v>2934</v>
      </c>
      <c r="C623" t="s">
        <v>2935</v>
      </c>
      <c r="D623" t="s">
        <v>550</v>
      </c>
      <c r="E623" t="s">
        <v>664</v>
      </c>
      <c r="F623" t="s">
        <v>27</v>
      </c>
      <c r="G623" s="1">
        <v>42371</v>
      </c>
      <c r="H623" s="1">
        <v>43465</v>
      </c>
      <c r="I623" t="s">
        <v>665</v>
      </c>
      <c r="J623" t="s">
        <v>666</v>
      </c>
      <c r="K623" t="s">
        <v>24</v>
      </c>
      <c r="L623" t="s">
        <v>1045</v>
      </c>
      <c r="M623" t="s">
        <v>1030</v>
      </c>
      <c r="N623" t="s">
        <v>255</v>
      </c>
      <c r="O623" t="s">
        <v>1369</v>
      </c>
      <c r="P623" t="s">
        <v>1370</v>
      </c>
      <c r="Q623" t="s">
        <v>2213</v>
      </c>
      <c r="R623" t="s">
        <v>237</v>
      </c>
      <c r="S623" t="s">
        <v>550</v>
      </c>
      <c r="T623" t="s">
        <v>550</v>
      </c>
      <c r="U623" t="s">
        <v>550</v>
      </c>
      <c r="V623" t="s">
        <v>2936</v>
      </c>
      <c r="W623" t="s">
        <v>1021</v>
      </c>
      <c r="X623" t="s">
        <v>74</v>
      </c>
      <c r="Y623" t="s">
        <v>1059</v>
      </c>
      <c r="Z623" t="s">
        <v>2934</v>
      </c>
    </row>
    <row r="624" spans="1:26" x14ac:dyDescent="0.3">
      <c r="A624" t="s">
        <v>525</v>
      </c>
      <c r="B624" t="s">
        <v>2937</v>
      </c>
      <c r="C624" t="s">
        <v>2938</v>
      </c>
      <c r="D624" t="s">
        <v>550</v>
      </c>
      <c r="E624" t="s">
        <v>664</v>
      </c>
      <c r="F624" t="s">
        <v>27</v>
      </c>
      <c r="G624" s="1">
        <v>42371</v>
      </c>
      <c r="H624" s="1">
        <v>43465</v>
      </c>
      <c r="I624" t="s">
        <v>665</v>
      </c>
      <c r="J624" t="s">
        <v>666</v>
      </c>
      <c r="K624" t="s">
        <v>24</v>
      </c>
      <c r="L624" t="s">
        <v>1045</v>
      </c>
      <c r="M624" t="s">
        <v>1030</v>
      </c>
      <c r="N624" t="s">
        <v>255</v>
      </c>
      <c r="O624" t="s">
        <v>1369</v>
      </c>
      <c r="P624" t="s">
        <v>1370</v>
      </c>
      <c r="Q624" t="s">
        <v>2213</v>
      </c>
      <c r="R624" t="s">
        <v>237</v>
      </c>
      <c r="S624" t="s">
        <v>550</v>
      </c>
      <c r="T624" t="s">
        <v>550</v>
      </c>
      <c r="U624" t="s">
        <v>550</v>
      </c>
      <c r="V624" t="s">
        <v>2939</v>
      </c>
      <c r="W624" t="s">
        <v>1021</v>
      </c>
      <c r="X624" t="s">
        <v>74</v>
      </c>
      <c r="Y624" t="s">
        <v>1059</v>
      </c>
      <c r="Z624" t="s">
        <v>2937</v>
      </c>
    </row>
    <row r="625" spans="1:26" x14ac:dyDescent="0.3">
      <c r="A625" t="s">
        <v>525</v>
      </c>
      <c r="B625" t="s">
        <v>2940</v>
      </c>
      <c r="C625" t="s">
        <v>2941</v>
      </c>
      <c r="D625" t="s">
        <v>550</v>
      </c>
      <c r="E625" t="s">
        <v>664</v>
      </c>
      <c r="F625" t="s">
        <v>27</v>
      </c>
      <c r="G625" s="1">
        <v>43831</v>
      </c>
      <c r="H625" s="1">
        <v>43831</v>
      </c>
      <c r="I625" t="s">
        <v>665</v>
      </c>
      <c r="J625" t="s">
        <v>666</v>
      </c>
      <c r="K625" t="s">
        <v>862</v>
      </c>
      <c r="L625" t="s">
        <v>863</v>
      </c>
      <c r="M625" t="s">
        <v>971</v>
      </c>
      <c r="N625" t="s">
        <v>972</v>
      </c>
      <c r="O625" t="s">
        <v>1369</v>
      </c>
      <c r="P625" t="s">
        <v>1370</v>
      </c>
      <c r="Q625" t="s">
        <v>2213</v>
      </c>
      <c r="R625" t="s">
        <v>237</v>
      </c>
      <c r="S625" t="s">
        <v>550</v>
      </c>
      <c r="T625" t="s">
        <v>550</v>
      </c>
      <c r="U625" t="s">
        <v>550</v>
      </c>
      <c r="V625" t="s">
        <v>2942</v>
      </c>
      <c r="W625" t="s">
        <v>869</v>
      </c>
      <c r="X625" t="s">
        <v>870</v>
      </c>
      <c r="Y625" t="s">
        <v>847</v>
      </c>
      <c r="Z625" t="s">
        <v>2940</v>
      </c>
    </row>
    <row r="626" spans="1:26" x14ac:dyDescent="0.3">
      <c r="A626" t="s">
        <v>525</v>
      </c>
      <c r="B626" t="s">
        <v>2943</v>
      </c>
      <c r="C626" t="s">
        <v>1914</v>
      </c>
      <c r="D626" t="s">
        <v>550</v>
      </c>
      <c r="E626" t="s">
        <v>664</v>
      </c>
      <c r="F626" t="s">
        <v>27</v>
      </c>
      <c r="G626" s="1">
        <v>43831</v>
      </c>
      <c r="H626" s="1">
        <v>43840</v>
      </c>
      <c r="I626" t="s">
        <v>665</v>
      </c>
      <c r="J626" t="s">
        <v>666</v>
      </c>
      <c r="K626" t="s">
        <v>900</v>
      </c>
      <c r="L626" t="s">
        <v>863</v>
      </c>
      <c r="M626" t="s">
        <v>971</v>
      </c>
      <c r="N626" t="s">
        <v>972</v>
      </c>
      <c r="O626" t="s">
        <v>1369</v>
      </c>
      <c r="P626" t="s">
        <v>1370</v>
      </c>
      <c r="Q626" t="s">
        <v>2213</v>
      </c>
      <c r="R626" t="s">
        <v>237</v>
      </c>
      <c r="S626" t="s">
        <v>550</v>
      </c>
      <c r="T626" t="s">
        <v>550</v>
      </c>
      <c r="U626" t="s">
        <v>550</v>
      </c>
      <c r="V626" t="s">
        <v>2944</v>
      </c>
      <c r="W626" t="s">
        <v>869</v>
      </c>
      <c r="X626" t="s">
        <v>870</v>
      </c>
      <c r="Y626" t="s">
        <v>847</v>
      </c>
      <c r="Z626" t="s">
        <v>2943</v>
      </c>
    </row>
    <row r="627" spans="1:26" x14ac:dyDescent="0.3">
      <c r="A627" t="s">
        <v>525</v>
      </c>
      <c r="B627" t="s">
        <v>2945</v>
      </c>
      <c r="C627" t="s">
        <v>2946</v>
      </c>
      <c r="D627" t="s">
        <v>550</v>
      </c>
      <c r="E627" t="s">
        <v>664</v>
      </c>
      <c r="F627" t="s">
        <v>27</v>
      </c>
      <c r="G627" s="1">
        <v>43831</v>
      </c>
      <c r="H627" s="1">
        <v>43865</v>
      </c>
      <c r="I627" t="s">
        <v>665</v>
      </c>
      <c r="J627" t="s">
        <v>666</v>
      </c>
      <c r="K627" t="s">
        <v>900</v>
      </c>
      <c r="L627" t="s">
        <v>863</v>
      </c>
      <c r="M627" t="s">
        <v>971</v>
      </c>
      <c r="N627" t="s">
        <v>972</v>
      </c>
      <c r="O627" t="s">
        <v>1369</v>
      </c>
      <c r="P627" t="s">
        <v>1370</v>
      </c>
      <c r="Q627" t="s">
        <v>2213</v>
      </c>
      <c r="R627" t="s">
        <v>237</v>
      </c>
      <c r="S627" t="s">
        <v>550</v>
      </c>
      <c r="T627" t="s">
        <v>550</v>
      </c>
      <c r="U627" t="s">
        <v>550</v>
      </c>
      <c r="V627" t="s">
        <v>2947</v>
      </c>
      <c r="W627" t="s">
        <v>869</v>
      </c>
      <c r="X627" t="s">
        <v>870</v>
      </c>
      <c r="Y627" t="s">
        <v>847</v>
      </c>
      <c r="Z627" t="s">
        <v>2945</v>
      </c>
    </row>
    <row r="628" spans="1:26" x14ac:dyDescent="0.3">
      <c r="A628" t="s">
        <v>525</v>
      </c>
      <c r="B628" t="s">
        <v>2948</v>
      </c>
      <c r="C628" t="s">
        <v>1399</v>
      </c>
      <c r="D628" t="s">
        <v>550</v>
      </c>
      <c r="E628" t="s">
        <v>664</v>
      </c>
      <c r="F628" t="s">
        <v>27</v>
      </c>
      <c r="G628" s="1">
        <v>42371</v>
      </c>
      <c r="H628" s="1">
        <v>44196</v>
      </c>
      <c r="I628" t="s">
        <v>665</v>
      </c>
      <c r="J628" t="s">
        <v>666</v>
      </c>
      <c r="K628" t="s">
        <v>24</v>
      </c>
      <c r="L628" t="s">
        <v>667</v>
      </c>
      <c r="M628" t="s">
        <v>1030</v>
      </c>
      <c r="N628" t="s">
        <v>255</v>
      </c>
      <c r="O628" t="s">
        <v>1369</v>
      </c>
      <c r="P628" t="s">
        <v>1370</v>
      </c>
      <c r="Q628" t="s">
        <v>2213</v>
      </c>
      <c r="R628" t="s">
        <v>237</v>
      </c>
      <c r="S628" t="s">
        <v>550</v>
      </c>
      <c r="T628" t="s">
        <v>550</v>
      </c>
      <c r="U628" t="s">
        <v>550</v>
      </c>
      <c r="V628" t="s">
        <v>2949</v>
      </c>
      <c r="W628" t="s">
        <v>1021</v>
      </c>
      <c r="X628" t="s">
        <v>74</v>
      </c>
      <c r="Y628" t="s">
        <v>1033</v>
      </c>
      <c r="Z628" t="s">
        <v>2948</v>
      </c>
    </row>
    <row r="629" spans="1:26" x14ac:dyDescent="0.3">
      <c r="A629" t="s">
        <v>525</v>
      </c>
      <c r="B629" t="s">
        <v>2950</v>
      </c>
      <c r="C629" t="s">
        <v>2951</v>
      </c>
      <c r="D629" t="s">
        <v>550</v>
      </c>
      <c r="E629" t="s">
        <v>664</v>
      </c>
      <c r="F629" t="s">
        <v>27</v>
      </c>
      <c r="G629" s="1">
        <v>42371</v>
      </c>
      <c r="H629" s="1">
        <v>43465</v>
      </c>
      <c r="I629" t="s">
        <v>665</v>
      </c>
      <c r="J629" t="s">
        <v>666</v>
      </c>
      <c r="K629" t="s">
        <v>24</v>
      </c>
      <c r="L629" t="s">
        <v>1045</v>
      </c>
      <c r="M629" t="s">
        <v>1030</v>
      </c>
      <c r="N629" t="s">
        <v>255</v>
      </c>
      <c r="O629" t="s">
        <v>1369</v>
      </c>
      <c r="P629" t="s">
        <v>1370</v>
      </c>
      <c r="Q629" t="s">
        <v>2213</v>
      </c>
      <c r="R629" t="s">
        <v>237</v>
      </c>
      <c r="S629" t="s">
        <v>550</v>
      </c>
      <c r="T629" t="s">
        <v>550</v>
      </c>
      <c r="U629" t="s">
        <v>550</v>
      </c>
      <c r="V629" t="s">
        <v>2952</v>
      </c>
      <c r="W629" t="s">
        <v>1021</v>
      </c>
      <c r="X629" t="s">
        <v>74</v>
      </c>
      <c r="Y629" t="s">
        <v>1033</v>
      </c>
      <c r="Z629" t="s">
        <v>2950</v>
      </c>
    </row>
    <row r="630" spans="1:26" x14ac:dyDescent="0.3">
      <c r="A630" t="s">
        <v>525</v>
      </c>
      <c r="B630" t="s">
        <v>2953</v>
      </c>
      <c r="C630" t="s">
        <v>2954</v>
      </c>
      <c r="D630" t="s">
        <v>550</v>
      </c>
      <c r="E630" t="s">
        <v>859</v>
      </c>
      <c r="F630" t="s">
        <v>860</v>
      </c>
      <c r="G630" s="1">
        <v>43831</v>
      </c>
      <c r="H630" s="1">
        <v>43865</v>
      </c>
      <c r="I630" t="s">
        <v>665</v>
      </c>
      <c r="J630" t="s">
        <v>861</v>
      </c>
      <c r="K630" t="s">
        <v>862</v>
      </c>
      <c r="L630" t="s">
        <v>863</v>
      </c>
      <c r="M630" t="s">
        <v>864</v>
      </c>
      <c r="N630" t="s">
        <v>865</v>
      </c>
      <c r="O630" t="s">
        <v>1369</v>
      </c>
      <c r="P630" t="s">
        <v>1370</v>
      </c>
      <c r="Q630" t="s">
        <v>2213</v>
      </c>
      <c r="R630" t="s">
        <v>237</v>
      </c>
      <c r="S630" t="s">
        <v>550</v>
      </c>
      <c r="T630" t="s">
        <v>550</v>
      </c>
      <c r="U630" t="s">
        <v>162</v>
      </c>
      <c r="V630" t="s">
        <v>2955</v>
      </c>
      <c r="W630" t="s">
        <v>869</v>
      </c>
      <c r="X630" t="s">
        <v>870</v>
      </c>
      <c r="Y630" t="s">
        <v>847</v>
      </c>
      <c r="Z630" t="s">
        <v>2953</v>
      </c>
    </row>
    <row r="631" spans="1:26" x14ac:dyDescent="0.3">
      <c r="A631" t="s">
        <v>525</v>
      </c>
      <c r="B631" t="s">
        <v>2956</v>
      </c>
      <c r="C631" t="s">
        <v>2957</v>
      </c>
      <c r="D631" t="s">
        <v>550</v>
      </c>
      <c r="E631" t="s">
        <v>859</v>
      </c>
      <c r="F631" t="s">
        <v>860</v>
      </c>
      <c r="G631" s="1">
        <v>43831</v>
      </c>
      <c r="H631" s="1">
        <v>43847</v>
      </c>
      <c r="I631" t="s">
        <v>665</v>
      </c>
      <c r="J631" t="s">
        <v>861</v>
      </c>
      <c r="K631" t="s">
        <v>862</v>
      </c>
      <c r="L631" t="s">
        <v>863</v>
      </c>
      <c r="M631" t="s">
        <v>864</v>
      </c>
      <c r="N631" t="s">
        <v>865</v>
      </c>
      <c r="O631" t="s">
        <v>1369</v>
      </c>
      <c r="P631" t="s">
        <v>1370</v>
      </c>
      <c r="Q631" t="s">
        <v>2213</v>
      </c>
      <c r="R631" t="s">
        <v>237</v>
      </c>
      <c r="S631" t="s">
        <v>550</v>
      </c>
      <c r="T631" t="s">
        <v>550</v>
      </c>
      <c r="U631" t="s">
        <v>550</v>
      </c>
      <c r="V631" t="s">
        <v>2958</v>
      </c>
      <c r="W631" t="s">
        <v>869</v>
      </c>
      <c r="X631" t="s">
        <v>870</v>
      </c>
      <c r="Y631" t="s">
        <v>847</v>
      </c>
      <c r="Z631" t="s">
        <v>2956</v>
      </c>
    </row>
    <row r="632" spans="1:26" x14ac:dyDescent="0.3">
      <c r="A632" t="s">
        <v>525</v>
      </c>
      <c r="B632" t="s">
        <v>2959</v>
      </c>
      <c r="C632" t="s">
        <v>2960</v>
      </c>
      <c r="D632" t="s">
        <v>550</v>
      </c>
      <c r="E632" t="s">
        <v>859</v>
      </c>
      <c r="F632" t="s">
        <v>860</v>
      </c>
      <c r="G632" s="1">
        <v>43831</v>
      </c>
      <c r="H632" s="1">
        <v>43927</v>
      </c>
      <c r="I632" t="s">
        <v>665</v>
      </c>
      <c r="J632" t="s">
        <v>861</v>
      </c>
      <c r="K632" t="s">
        <v>862</v>
      </c>
      <c r="L632" t="s">
        <v>863</v>
      </c>
      <c r="M632" t="s">
        <v>864</v>
      </c>
      <c r="N632" t="s">
        <v>865</v>
      </c>
      <c r="O632" t="s">
        <v>1369</v>
      </c>
      <c r="P632" t="s">
        <v>1370</v>
      </c>
      <c r="Q632" t="s">
        <v>2213</v>
      </c>
      <c r="R632" t="s">
        <v>237</v>
      </c>
      <c r="S632" t="s">
        <v>550</v>
      </c>
      <c r="T632" t="s">
        <v>550</v>
      </c>
      <c r="U632" t="s">
        <v>550</v>
      </c>
      <c r="V632" t="s">
        <v>2961</v>
      </c>
      <c r="W632" t="s">
        <v>869</v>
      </c>
      <c r="X632" t="s">
        <v>870</v>
      </c>
      <c r="Y632" t="s">
        <v>847</v>
      </c>
      <c r="Z632" t="s">
        <v>2959</v>
      </c>
    </row>
    <row r="633" spans="1:26" x14ac:dyDescent="0.3">
      <c r="A633" t="s">
        <v>525</v>
      </c>
      <c r="B633" t="s">
        <v>2962</v>
      </c>
      <c r="C633" t="s">
        <v>2963</v>
      </c>
      <c r="D633" t="s">
        <v>1822</v>
      </c>
      <c r="E633" t="s">
        <v>1813</v>
      </c>
      <c r="F633" t="s">
        <v>1339</v>
      </c>
      <c r="G633" s="1">
        <v>43831</v>
      </c>
      <c r="H633" s="1">
        <v>43861</v>
      </c>
      <c r="I633" t="s">
        <v>665</v>
      </c>
      <c r="J633" t="s">
        <v>1814</v>
      </c>
      <c r="K633" t="s">
        <v>958</v>
      </c>
      <c r="L633" t="s">
        <v>216</v>
      </c>
      <c r="M633" t="s">
        <v>1293</v>
      </c>
      <c r="N633" t="s">
        <v>256</v>
      </c>
      <c r="O633" t="s">
        <v>1301</v>
      </c>
      <c r="P633" t="s">
        <v>1302</v>
      </c>
      <c r="Q633" t="s">
        <v>2213</v>
      </c>
      <c r="R633" t="s">
        <v>237</v>
      </c>
      <c r="S633" t="s">
        <v>550</v>
      </c>
      <c r="T633" t="s">
        <v>550</v>
      </c>
      <c r="U633" t="s">
        <v>162</v>
      </c>
      <c r="V633" t="s">
        <v>2964</v>
      </c>
      <c r="W633" t="s">
        <v>1021</v>
      </c>
      <c r="X633" t="s">
        <v>74</v>
      </c>
      <c r="Y633" t="s">
        <v>803</v>
      </c>
      <c r="Z633" t="s">
        <v>2962</v>
      </c>
    </row>
    <row r="634" spans="1:26" x14ac:dyDescent="0.3">
      <c r="A634" t="s">
        <v>525</v>
      </c>
      <c r="B634" t="s">
        <v>2965</v>
      </c>
      <c r="C634" t="s">
        <v>2966</v>
      </c>
      <c r="D634" t="s">
        <v>550</v>
      </c>
      <c r="E634" t="s">
        <v>2811</v>
      </c>
      <c r="F634" t="s">
        <v>2812</v>
      </c>
      <c r="G634" s="1">
        <v>43831</v>
      </c>
      <c r="H634" s="1">
        <v>43831</v>
      </c>
      <c r="I634" t="s">
        <v>665</v>
      </c>
      <c r="J634" t="s">
        <v>2813</v>
      </c>
      <c r="K634" t="s">
        <v>24</v>
      </c>
      <c r="L634" t="s">
        <v>216</v>
      </c>
      <c r="M634" t="s">
        <v>1030</v>
      </c>
      <c r="N634" t="s">
        <v>255</v>
      </c>
      <c r="O634" t="s">
        <v>1301</v>
      </c>
      <c r="P634" t="s">
        <v>1302</v>
      </c>
      <c r="Q634" t="s">
        <v>2213</v>
      </c>
      <c r="R634" t="s">
        <v>237</v>
      </c>
      <c r="S634" t="s">
        <v>550</v>
      </c>
      <c r="T634" t="s">
        <v>550</v>
      </c>
      <c r="U634" t="s">
        <v>550</v>
      </c>
      <c r="V634" t="s">
        <v>2967</v>
      </c>
      <c r="W634" t="s">
        <v>1021</v>
      </c>
      <c r="X634" t="s">
        <v>74</v>
      </c>
      <c r="Y634" t="s">
        <v>803</v>
      </c>
      <c r="Z634" t="s">
        <v>2965</v>
      </c>
    </row>
    <row r="635" spans="1:26" x14ac:dyDescent="0.3">
      <c r="A635" t="s">
        <v>525</v>
      </c>
      <c r="B635" t="s">
        <v>2968</v>
      </c>
      <c r="C635" t="s">
        <v>2969</v>
      </c>
      <c r="D635" t="s">
        <v>550</v>
      </c>
      <c r="E635" t="s">
        <v>664</v>
      </c>
      <c r="F635" t="s">
        <v>27</v>
      </c>
      <c r="G635" s="1">
        <v>43831</v>
      </c>
      <c r="H635" s="1">
        <v>43987</v>
      </c>
      <c r="I635" t="s">
        <v>665</v>
      </c>
      <c r="J635" t="s">
        <v>666</v>
      </c>
      <c r="K635" t="s">
        <v>24</v>
      </c>
      <c r="L635" t="s">
        <v>667</v>
      </c>
      <c r="M635" t="s">
        <v>797</v>
      </c>
      <c r="N635" t="s">
        <v>313</v>
      </c>
      <c r="O635" t="s">
        <v>1168</v>
      </c>
      <c r="P635" t="s">
        <v>1169</v>
      </c>
      <c r="Q635" t="s">
        <v>2213</v>
      </c>
      <c r="R635" t="s">
        <v>237</v>
      </c>
      <c r="S635" t="s">
        <v>550</v>
      </c>
      <c r="T635" t="s">
        <v>550</v>
      </c>
      <c r="U635" t="s">
        <v>550</v>
      </c>
      <c r="V635" t="s">
        <v>2970</v>
      </c>
      <c r="W635" t="s">
        <v>554</v>
      </c>
      <c r="X635" t="s">
        <v>669</v>
      </c>
      <c r="Y635" t="s">
        <v>799</v>
      </c>
      <c r="Z635" t="s">
        <v>2968</v>
      </c>
    </row>
    <row r="636" spans="1:26" x14ac:dyDescent="0.3">
      <c r="A636" t="s">
        <v>525</v>
      </c>
      <c r="B636" t="s">
        <v>2971</v>
      </c>
      <c r="C636" t="s">
        <v>2972</v>
      </c>
      <c r="D636" t="s">
        <v>550</v>
      </c>
      <c r="E636" t="s">
        <v>664</v>
      </c>
      <c r="F636" t="s">
        <v>27</v>
      </c>
      <c r="G636" s="1">
        <v>43831</v>
      </c>
      <c r="H636" s="1">
        <v>43874</v>
      </c>
      <c r="I636" t="s">
        <v>665</v>
      </c>
      <c r="J636" t="s">
        <v>666</v>
      </c>
      <c r="K636" t="s">
        <v>24</v>
      </c>
      <c r="L636" t="s">
        <v>216</v>
      </c>
      <c r="M636" t="s">
        <v>797</v>
      </c>
      <c r="N636" t="s">
        <v>313</v>
      </c>
      <c r="O636" t="s">
        <v>1168</v>
      </c>
      <c r="P636" t="s">
        <v>1169</v>
      </c>
      <c r="Q636" t="s">
        <v>2213</v>
      </c>
      <c r="R636" t="s">
        <v>237</v>
      </c>
      <c r="S636" t="s">
        <v>550</v>
      </c>
      <c r="T636" t="s">
        <v>550</v>
      </c>
      <c r="U636" t="s">
        <v>550</v>
      </c>
      <c r="V636" t="s">
        <v>2973</v>
      </c>
      <c r="W636" t="s">
        <v>554</v>
      </c>
      <c r="X636" t="s">
        <v>669</v>
      </c>
      <c r="Y636" t="s">
        <v>799</v>
      </c>
      <c r="Z636" t="s">
        <v>2971</v>
      </c>
    </row>
    <row r="637" spans="1:26" x14ac:dyDescent="0.3">
      <c r="A637" t="s">
        <v>525</v>
      </c>
      <c r="B637" t="s">
        <v>2974</v>
      </c>
      <c r="C637" t="s">
        <v>2975</v>
      </c>
      <c r="D637" t="s">
        <v>550</v>
      </c>
      <c r="E637" t="s">
        <v>664</v>
      </c>
      <c r="F637" t="s">
        <v>27</v>
      </c>
      <c r="G637" s="1">
        <v>43831</v>
      </c>
      <c r="H637" s="1">
        <v>43914</v>
      </c>
      <c r="I637" t="s">
        <v>665</v>
      </c>
      <c r="J637" t="s">
        <v>666</v>
      </c>
      <c r="K637" t="s">
        <v>24</v>
      </c>
      <c r="L637" t="s">
        <v>1010</v>
      </c>
      <c r="M637" t="s">
        <v>797</v>
      </c>
      <c r="N637" t="s">
        <v>313</v>
      </c>
      <c r="O637" t="s">
        <v>1168</v>
      </c>
      <c r="P637" t="s">
        <v>1169</v>
      </c>
      <c r="Q637" t="s">
        <v>2213</v>
      </c>
      <c r="R637" t="s">
        <v>237</v>
      </c>
      <c r="S637" t="s">
        <v>550</v>
      </c>
      <c r="T637" t="s">
        <v>550</v>
      </c>
      <c r="U637" t="s">
        <v>550</v>
      </c>
      <c r="V637" t="s">
        <v>2976</v>
      </c>
      <c r="W637" t="s">
        <v>554</v>
      </c>
      <c r="X637" t="s">
        <v>669</v>
      </c>
      <c r="Y637" t="s">
        <v>799</v>
      </c>
      <c r="Z637" t="s">
        <v>2974</v>
      </c>
    </row>
    <row r="638" spans="1:26" x14ac:dyDescent="0.3">
      <c r="A638" t="s">
        <v>525</v>
      </c>
      <c r="B638" t="s">
        <v>2977</v>
      </c>
      <c r="C638" t="s">
        <v>2978</v>
      </c>
      <c r="D638" t="s">
        <v>550</v>
      </c>
      <c r="E638" t="s">
        <v>664</v>
      </c>
      <c r="F638" t="s">
        <v>27</v>
      </c>
      <c r="G638" s="1">
        <v>43831</v>
      </c>
      <c r="H638" s="1">
        <v>44091</v>
      </c>
      <c r="I638" t="s">
        <v>665</v>
      </c>
      <c r="J638" t="s">
        <v>666</v>
      </c>
      <c r="K638" t="s">
        <v>24</v>
      </c>
      <c r="L638" t="s">
        <v>667</v>
      </c>
      <c r="M638" t="s">
        <v>797</v>
      </c>
      <c r="N638" t="s">
        <v>313</v>
      </c>
      <c r="O638" t="s">
        <v>1168</v>
      </c>
      <c r="P638" t="s">
        <v>1169</v>
      </c>
      <c r="Q638" t="s">
        <v>2213</v>
      </c>
      <c r="R638" t="s">
        <v>237</v>
      </c>
      <c r="S638" t="s">
        <v>550</v>
      </c>
      <c r="T638" t="s">
        <v>893</v>
      </c>
      <c r="U638" t="s">
        <v>550</v>
      </c>
      <c r="V638" t="s">
        <v>2979</v>
      </c>
      <c r="W638" t="s">
        <v>554</v>
      </c>
      <c r="X638" t="s">
        <v>669</v>
      </c>
      <c r="Y638" t="s">
        <v>799</v>
      </c>
      <c r="Z638" t="s">
        <v>2977</v>
      </c>
    </row>
    <row r="639" spans="1:26" x14ac:dyDescent="0.3">
      <c r="A639" t="s">
        <v>525</v>
      </c>
      <c r="B639" t="s">
        <v>2980</v>
      </c>
      <c r="C639" t="s">
        <v>2981</v>
      </c>
      <c r="D639" t="s">
        <v>550</v>
      </c>
      <c r="E639" t="s">
        <v>664</v>
      </c>
      <c r="F639" t="s">
        <v>27</v>
      </c>
      <c r="G639" s="1">
        <v>43831</v>
      </c>
      <c r="H639" s="1">
        <v>43903</v>
      </c>
      <c r="I639" t="s">
        <v>665</v>
      </c>
      <c r="J639" t="s">
        <v>666</v>
      </c>
      <c r="K639" t="s">
        <v>24</v>
      </c>
      <c r="L639" t="s">
        <v>667</v>
      </c>
      <c r="M639" t="s">
        <v>797</v>
      </c>
      <c r="N639" t="s">
        <v>313</v>
      </c>
      <c r="O639" t="s">
        <v>1168</v>
      </c>
      <c r="P639" t="s">
        <v>1169</v>
      </c>
      <c r="Q639" t="s">
        <v>2213</v>
      </c>
      <c r="R639" t="s">
        <v>237</v>
      </c>
      <c r="S639" t="s">
        <v>550</v>
      </c>
      <c r="T639" t="s">
        <v>550</v>
      </c>
      <c r="U639" t="s">
        <v>550</v>
      </c>
      <c r="V639" t="s">
        <v>2982</v>
      </c>
      <c r="W639" t="s">
        <v>554</v>
      </c>
      <c r="X639" t="s">
        <v>669</v>
      </c>
      <c r="Y639" t="s">
        <v>799</v>
      </c>
      <c r="Z639" t="s">
        <v>2980</v>
      </c>
    </row>
    <row r="640" spans="1:26" x14ac:dyDescent="0.3">
      <c r="A640" t="s">
        <v>525</v>
      </c>
      <c r="B640" t="s">
        <v>2983</v>
      </c>
      <c r="C640" t="s">
        <v>2984</v>
      </c>
      <c r="D640" t="s">
        <v>550</v>
      </c>
      <c r="E640" t="s">
        <v>664</v>
      </c>
      <c r="F640" t="s">
        <v>27</v>
      </c>
      <c r="G640" s="1">
        <v>43831</v>
      </c>
      <c r="H640" s="1">
        <v>43927</v>
      </c>
      <c r="I640" t="s">
        <v>665</v>
      </c>
      <c r="J640" t="s">
        <v>666</v>
      </c>
      <c r="K640" t="s">
        <v>24</v>
      </c>
      <c r="L640" t="s">
        <v>667</v>
      </c>
      <c r="M640" t="s">
        <v>797</v>
      </c>
      <c r="N640" t="s">
        <v>313</v>
      </c>
      <c r="O640" t="s">
        <v>1168</v>
      </c>
      <c r="P640" t="s">
        <v>1169</v>
      </c>
      <c r="Q640" t="s">
        <v>2213</v>
      </c>
      <c r="R640" t="s">
        <v>237</v>
      </c>
      <c r="S640" t="s">
        <v>550</v>
      </c>
      <c r="T640" t="s">
        <v>550</v>
      </c>
      <c r="U640" t="s">
        <v>550</v>
      </c>
      <c r="V640" t="s">
        <v>2985</v>
      </c>
      <c r="W640" t="s">
        <v>554</v>
      </c>
      <c r="X640" t="s">
        <v>669</v>
      </c>
      <c r="Y640" t="s">
        <v>799</v>
      </c>
      <c r="Z640" t="s">
        <v>2983</v>
      </c>
    </row>
    <row r="641" spans="1:26" x14ac:dyDescent="0.3">
      <c r="A641" t="s">
        <v>525</v>
      </c>
      <c r="B641" t="s">
        <v>2986</v>
      </c>
      <c r="C641" t="s">
        <v>2987</v>
      </c>
      <c r="D641" t="s">
        <v>550</v>
      </c>
      <c r="E641" t="s">
        <v>664</v>
      </c>
      <c r="F641" t="s">
        <v>27</v>
      </c>
      <c r="G641" s="1">
        <v>43831</v>
      </c>
      <c r="H641" s="1">
        <v>44263</v>
      </c>
      <c r="I641" t="s">
        <v>665</v>
      </c>
      <c r="J641" t="s">
        <v>666</v>
      </c>
      <c r="K641" t="s">
        <v>24</v>
      </c>
      <c r="L641" t="s">
        <v>667</v>
      </c>
      <c r="M641" t="s">
        <v>797</v>
      </c>
      <c r="N641" t="s">
        <v>313</v>
      </c>
      <c r="O641" t="s">
        <v>1168</v>
      </c>
      <c r="P641" t="s">
        <v>1169</v>
      </c>
      <c r="Q641" t="s">
        <v>2213</v>
      </c>
      <c r="R641" t="s">
        <v>237</v>
      </c>
      <c r="S641" t="s">
        <v>550</v>
      </c>
      <c r="T641" t="s">
        <v>893</v>
      </c>
      <c r="U641" t="s">
        <v>550</v>
      </c>
      <c r="V641" t="s">
        <v>2988</v>
      </c>
      <c r="W641" t="s">
        <v>554</v>
      </c>
      <c r="X641" t="s">
        <v>669</v>
      </c>
      <c r="Y641" t="s">
        <v>799</v>
      </c>
      <c r="Z641" t="s">
        <v>2986</v>
      </c>
    </row>
    <row r="642" spans="1:26" x14ac:dyDescent="0.3">
      <c r="A642" t="s">
        <v>525</v>
      </c>
      <c r="B642" t="s">
        <v>2989</v>
      </c>
      <c r="C642" t="s">
        <v>2990</v>
      </c>
      <c r="D642" t="s">
        <v>2991</v>
      </c>
      <c r="E642" t="s">
        <v>664</v>
      </c>
      <c r="F642" t="s">
        <v>27</v>
      </c>
      <c r="G642" s="1">
        <v>43102</v>
      </c>
      <c r="H642" s="1">
        <v>43203</v>
      </c>
      <c r="I642" t="s">
        <v>665</v>
      </c>
      <c r="J642" t="s">
        <v>666</v>
      </c>
      <c r="K642" t="s">
        <v>24</v>
      </c>
      <c r="L642" t="s">
        <v>667</v>
      </c>
      <c r="M642" t="s">
        <v>797</v>
      </c>
      <c r="N642" t="s">
        <v>313</v>
      </c>
      <c r="O642" t="s">
        <v>1168</v>
      </c>
      <c r="P642" t="s">
        <v>1169</v>
      </c>
      <c r="Q642" t="s">
        <v>2213</v>
      </c>
      <c r="R642" t="s">
        <v>237</v>
      </c>
      <c r="S642" t="s">
        <v>550</v>
      </c>
      <c r="T642" t="s">
        <v>550</v>
      </c>
      <c r="U642" t="s">
        <v>550</v>
      </c>
      <c r="V642" t="s">
        <v>2992</v>
      </c>
      <c r="W642" t="s">
        <v>554</v>
      </c>
      <c r="X642" t="s">
        <v>669</v>
      </c>
      <c r="Y642" t="s">
        <v>799</v>
      </c>
      <c r="Z642" t="s">
        <v>2989</v>
      </c>
    </row>
    <row r="643" spans="1:26" x14ac:dyDescent="0.3">
      <c r="A643" t="s">
        <v>525</v>
      </c>
      <c r="B643" t="s">
        <v>2993</v>
      </c>
      <c r="C643" t="s">
        <v>2994</v>
      </c>
      <c r="D643" t="s">
        <v>550</v>
      </c>
      <c r="E643" t="s">
        <v>664</v>
      </c>
      <c r="F643" t="s">
        <v>27</v>
      </c>
      <c r="G643" s="1">
        <v>43831</v>
      </c>
      <c r="H643" s="1">
        <v>44081</v>
      </c>
      <c r="I643" t="s">
        <v>665</v>
      </c>
      <c r="J643" t="s">
        <v>666</v>
      </c>
      <c r="K643" t="s">
        <v>24</v>
      </c>
      <c r="L643" t="s">
        <v>667</v>
      </c>
      <c r="M643" t="s">
        <v>1230</v>
      </c>
      <c r="N643" t="s">
        <v>1231</v>
      </c>
      <c r="O643" t="s">
        <v>1168</v>
      </c>
      <c r="P643" t="s">
        <v>1169</v>
      </c>
      <c r="Q643" t="s">
        <v>2213</v>
      </c>
      <c r="R643" t="s">
        <v>237</v>
      </c>
      <c r="S643" t="s">
        <v>550</v>
      </c>
      <c r="T643" t="s">
        <v>550</v>
      </c>
      <c r="U643" t="s">
        <v>550</v>
      </c>
      <c r="V643" t="s">
        <v>2995</v>
      </c>
      <c r="W643" t="s">
        <v>554</v>
      </c>
      <c r="X643" t="s">
        <v>669</v>
      </c>
      <c r="Y643" t="s">
        <v>799</v>
      </c>
      <c r="Z643" t="s">
        <v>2993</v>
      </c>
    </row>
    <row r="644" spans="1:26" x14ac:dyDescent="0.3">
      <c r="A644" t="s">
        <v>525</v>
      </c>
      <c r="B644" t="s">
        <v>2996</v>
      </c>
      <c r="C644" t="s">
        <v>2997</v>
      </c>
      <c r="D644" t="s">
        <v>550</v>
      </c>
      <c r="E644" t="s">
        <v>664</v>
      </c>
      <c r="F644" t="s">
        <v>27</v>
      </c>
      <c r="G644" s="1">
        <v>43831</v>
      </c>
      <c r="H644" s="1">
        <v>44161</v>
      </c>
      <c r="I644" t="s">
        <v>665</v>
      </c>
      <c r="J644" t="s">
        <v>666</v>
      </c>
      <c r="K644" t="s">
        <v>24</v>
      </c>
      <c r="L644" t="s">
        <v>667</v>
      </c>
      <c r="M644" t="s">
        <v>1230</v>
      </c>
      <c r="N644" t="s">
        <v>1231</v>
      </c>
      <c r="O644" t="s">
        <v>1168</v>
      </c>
      <c r="P644" t="s">
        <v>1169</v>
      </c>
      <c r="Q644" t="s">
        <v>2213</v>
      </c>
      <c r="R644" t="s">
        <v>237</v>
      </c>
      <c r="S644" t="s">
        <v>550</v>
      </c>
      <c r="T644" t="s">
        <v>550</v>
      </c>
      <c r="U644" t="s">
        <v>550</v>
      </c>
      <c r="V644" t="s">
        <v>2998</v>
      </c>
      <c r="W644" t="s">
        <v>554</v>
      </c>
      <c r="X644" t="s">
        <v>669</v>
      </c>
      <c r="Y644" t="s">
        <v>799</v>
      </c>
      <c r="Z644" t="s">
        <v>2996</v>
      </c>
    </row>
    <row r="645" spans="1:26" x14ac:dyDescent="0.3">
      <c r="A645" t="s">
        <v>525</v>
      </c>
      <c r="B645" t="s">
        <v>2999</v>
      </c>
      <c r="C645" t="s">
        <v>2794</v>
      </c>
      <c r="D645" t="s">
        <v>3000</v>
      </c>
      <c r="E645" t="s">
        <v>664</v>
      </c>
      <c r="F645" t="s">
        <v>27</v>
      </c>
      <c r="G645" s="1">
        <v>43102</v>
      </c>
      <c r="H645" s="1">
        <v>43465</v>
      </c>
      <c r="I645" t="s">
        <v>665</v>
      </c>
      <c r="J645" t="s">
        <v>666</v>
      </c>
      <c r="K645" t="s">
        <v>24</v>
      </c>
      <c r="L645" t="s">
        <v>863</v>
      </c>
      <c r="M645" t="s">
        <v>1030</v>
      </c>
      <c r="N645" t="s">
        <v>255</v>
      </c>
      <c r="O645" t="s">
        <v>1168</v>
      </c>
      <c r="P645" t="s">
        <v>1169</v>
      </c>
      <c r="Q645" t="s">
        <v>2213</v>
      </c>
      <c r="R645" t="s">
        <v>237</v>
      </c>
      <c r="S645" t="s">
        <v>550</v>
      </c>
      <c r="T645" t="s">
        <v>550</v>
      </c>
      <c r="U645" t="s">
        <v>550</v>
      </c>
      <c r="V645" t="s">
        <v>3001</v>
      </c>
      <c r="W645" t="s">
        <v>613</v>
      </c>
      <c r="X645" t="s">
        <v>74</v>
      </c>
      <c r="Y645" t="s">
        <v>786</v>
      </c>
      <c r="Z645" t="s">
        <v>2999</v>
      </c>
    </row>
    <row r="646" spans="1:26" x14ac:dyDescent="0.3">
      <c r="A646" t="s">
        <v>525</v>
      </c>
      <c r="B646" t="s">
        <v>3002</v>
      </c>
      <c r="C646" t="s">
        <v>3003</v>
      </c>
      <c r="D646" t="s">
        <v>550</v>
      </c>
      <c r="E646" t="s">
        <v>664</v>
      </c>
      <c r="F646" t="s">
        <v>27</v>
      </c>
      <c r="G646" s="1">
        <v>42371</v>
      </c>
      <c r="H646" s="1">
        <v>43465</v>
      </c>
      <c r="I646" t="s">
        <v>665</v>
      </c>
      <c r="J646" t="s">
        <v>666</v>
      </c>
      <c r="K646" t="s">
        <v>24</v>
      </c>
      <c r="L646" t="s">
        <v>216</v>
      </c>
      <c r="M646" t="s">
        <v>1030</v>
      </c>
      <c r="N646" t="s">
        <v>255</v>
      </c>
      <c r="O646" t="s">
        <v>1168</v>
      </c>
      <c r="P646" t="s">
        <v>1169</v>
      </c>
      <c r="Q646" t="s">
        <v>2213</v>
      </c>
      <c r="R646" t="s">
        <v>237</v>
      </c>
      <c r="S646" t="s">
        <v>550</v>
      </c>
      <c r="T646" t="s">
        <v>550</v>
      </c>
      <c r="U646" t="s">
        <v>550</v>
      </c>
      <c r="V646" t="s">
        <v>3004</v>
      </c>
      <c r="W646" t="s">
        <v>613</v>
      </c>
      <c r="X646" t="s">
        <v>74</v>
      </c>
      <c r="Y646" t="s">
        <v>786</v>
      </c>
      <c r="Z646" t="s">
        <v>3002</v>
      </c>
    </row>
    <row r="647" spans="1:26" x14ac:dyDescent="0.3">
      <c r="A647" t="s">
        <v>525</v>
      </c>
      <c r="B647" t="s">
        <v>3005</v>
      </c>
      <c r="C647" t="s">
        <v>3006</v>
      </c>
      <c r="D647" t="s">
        <v>550</v>
      </c>
      <c r="E647" t="s">
        <v>664</v>
      </c>
      <c r="F647" t="s">
        <v>27</v>
      </c>
      <c r="G647" s="1">
        <v>42371</v>
      </c>
      <c r="H647" s="1">
        <v>43465</v>
      </c>
      <c r="I647" t="s">
        <v>665</v>
      </c>
      <c r="J647" t="s">
        <v>666</v>
      </c>
      <c r="K647" t="s">
        <v>24</v>
      </c>
      <c r="L647" t="s">
        <v>216</v>
      </c>
      <c r="M647" t="s">
        <v>1030</v>
      </c>
      <c r="N647" t="s">
        <v>255</v>
      </c>
      <c r="O647" t="s">
        <v>1168</v>
      </c>
      <c r="P647" t="s">
        <v>1169</v>
      </c>
      <c r="Q647" t="s">
        <v>2213</v>
      </c>
      <c r="R647" t="s">
        <v>237</v>
      </c>
      <c r="S647" t="s">
        <v>550</v>
      </c>
      <c r="T647" t="s">
        <v>550</v>
      </c>
      <c r="U647" t="s">
        <v>550</v>
      </c>
      <c r="V647" t="s">
        <v>3007</v>
      </c>
      <c r="W647" t="s">
        <v>613</v>
      </c>
      <c r="X647" t="s">
        <v>74</v>
      </c>
      <c r="Y647" t="s">
        <v>786</v>
      </c>
      <c r="Z647" t="s">
        <v>3005</v>
      </c>
    </row>
    <row r="648" spans="1:26" x14ac:dyDescent="0.3">
      <c r="A648" t="s">
        <v>525</v>
      </c>
      <c r="B648" t="s">
        <v>3008</v>
      </c>
      <c r="C648" t="s">
        <v>3009</v>
      </c>
      <c r="D648" t="s">
        <v>3005</v>
      </c>
      <c r="E648" t="s">
        <v>664</v>
      </c>
      <c r="F648" t="s">
        <v>27</v>
      </c>
      <c r="G648" s="1">
        <v>43424</v>
      </c>
      <c r="H648" s="1">
        <v>43501</v>
      </c>
      <c r="I648" t="s">
        <v>665</v>
      </c>
      <c r="J648" t="s">
        <v>666</v>
      </c>
      <c r="K648" t="s">
        <v>24</v>
      </c>
      <c r="L648" t="s">
        <v>216</v>
      </c>
      <c r="M648" t="s">
        <v>1030</v>
      </c>
      <c r="N648" t="s">
        <v>255</v>
      </c>
      <c r="O648" t="s">
        <v>1168</v>
      </c>
      <c r="P648" t="s">
        <v>1169</v>
      </c>
      <c r="Q648" t="s">
        <v>2213</v>
      </c>
      <c r="R648" t="s">
        <v>237</v>
      </c>
      <c r="S648" t="s">
        <v>550</v>
      </c>
      <c r="T648" t="s">
        <v>550</v>
      </c>
      <c r="U648" t="s">
        <v>550</v>
      </c>
      <c r="V648" t="s">
        <v>3010</v>
      </c>
      <c r="W648" t="s">
        <v>613</v>
      </c>
      <c r="X648" t="s">
        <v>74</v>
      </c>
      <c r="Y648" t="s">
        <v>786</v>
      </c>
      <c r="Z648" t="s">
        <v>3008</v>
      </c>
    </row>
    <row r="649" spans="1:26" x14ac:dyDescent="0.3">
      <c r="A649" t="s">
        <v>525</v>
      </c>
      <c r="B649" t="s">
        <v>3011</v>
      </c>
      <c r="C649" t="s">
        <v>3012</v>
      </c>
      <c r="D649" t="s">
        <v>3005</v>
      </c>
      <c r="E649" t="s">
        <v>1039</v>
      </c>
      <c r="F649" t="s">
        <v>1040</v>
      </c>
      <c r="G649" s="1">
        <v>43424</v>
      </c>
      <c r="H649" s="1">
        <v>43501</v>
      </c>
      <c r="I649" t="s">
        <v>665</v>
      </c>
      <c r="J649" t="s">
        <v>1041</v>
      </c>
      <c r="K649" t="s">
        <v>24</v>
      </c>
      <c r="L649" t="s">
        <v>216</v>
      </c>
      <c r="M649" t="s">
        <v>1030</v>
      </c>
      <c r="N649" t="s">
        <v>255</v>
      </c>
      <c r="O649" t="s">
        <v>1168</v>
      </c>
      <c r="P649" t="s">
        <v>1169</v>
      </c>
      <c r="Q649" t="s">
        <v>2213</v>
      </c>
      <c r="R649" t="s">
        <v>237</v>
      </c>
      <c r="S649" t="s">
        <v>550</v>
      </c>
      <c r="T649" t="s">
        <v>550</v>
      </c>
      <c r="U649" t="s">
        <v>550</v>
      </c>
      <c r="V649" t="s">
        <v>3013</v>
      </c>
      <c r="W649" t="s">
        <v>613</v>
      </c>
      <c r="X649" t="s">
        <v>74</v>
      </c>
      <c r="Y649" t="s">
        <v>786</v>
      </c>
      <c r="Z649" t="s">
        <v>3011</v>
      </c>
    </row>
    <row r="650" spans="1:26" x14ac:dyDescent="0.3">
      <c r="A650" t="s">
        <v>525</v>
      </c>
      <c r="B650" t="s">
        <v>3014</v>
      </c>
      <c r="C650" t="s">
        <v>3015</v>
      </c>
      <c r="D650" t="s">
        <v>550</v>
      </c>
      <c r="E650" t="s">
        <v>664</v>
      </c>
      <c r="F650" t="s">
        <v>27</v>
      </c>
      <c r="G650" s="1">
        <v>42371</v>
      </c>
      <c r="H650" s="1">
        <v>43465</v>
      </c>
      <c r="I650" t="s">
        <v>665</v>
      </c>
      <c r="J650" t="s">
        <v>666</v>
      </c>
      <c r="K650" t="s">
        <v>24</v>
      </c>
      <c r="L650" t="s">
        <v>863</v>
      </c>
      <c r="M650" t="s">
        <v>1030</v>
      </c>
      <c r="N650" t="s">
        <v>255</v>
      </c>
      <c r="O650" t="s">
        <v>1168</v>
      </c>
      <c r="P650" t="s">
        <v>1169</v>
      </c>
      <c r="Q650" t="s">
        <v>2213</v>
      </c>
      <c r="R650" t="s">
        <v>237</v>
      </c>
      <c r="S650" t="s">
        <v>550</v>
      </c>
      <c r="T650" t="s">
        <v>550</v>
      </c>
      <c r="U650" t="s">
        <v>550</v>
      </c>
      <c r="V650" t="s">
        <v>3016</v>
      </c>
      <c r="W650" t="s">
        <v>613</v>
      </c>
      <c r="X650" t="s">
        <v>74</v>
      </c>
      <c r="Y650" t="s">
        <v>786</v>
      </c>
      <c r="Z650" t="s">
        <v>3014</v>
      </c>
    </row>
    <row r="651" spans="1:26" x14ac:dyDescent="0.3">
      <c r="A651" t="s">
        <v>525</v>
      </c>
      <c r="B651" t="s">
        <v>3017</v>
      </c>
      <c r="C651" t="s">
        <v>3018</v>
      </c>
      <c r="D651" t="s">
        <v>550</v>
      </c>
      <c r="E651" t="s">
        <v>664</v>
      </c>
      <c r="F651" t="s">
        <v>27</v>
      </c>
      <c r="G651" s="1">
        <v>42371</v>
      </c>
      <c r="H651" s="1">
        <v>43465</v>
      </c>
      <c r="I651" t="s">
        <v>665</v>
      </c>
      <c r="J651" t="s">
        <v>666</v>
      </c>
      <c r="K651" t="s">
        <v>24</v>
      </c>
      <c r="L651" t="s">
        <v>1045</v>
      </c>
      <c r="M651" t="s">
        <v>1030</v>
      </c>
      <c r="N651" t="s">
        <v>255</v>
      </c>
      <c r="O651" t="s">
        <v>1168</v>
      </c>
      <c r="P651" t="s">
        <v>1169</v>
      </c>
      <c r="Q651" t="s">
        <v>2213</v>
      </c>
      <c r="R651" t="s">
        <v>237</v>
      </c>
      <c r="S651" t="s">
        <v>550</v>
      </c>
      <c r="T651" t="s">
        <v>550</v>
      </c>
      <c r="U651" t="s">
        <v>550</v>
      </c>
      <c r="V651" t="s">
        <v>3019</v>
      </c>
      <c r="W651" t="s">
        <v>613</v>
      </c>
      <c r="X651" t="s">
        <v>74</v>
      </c>
      <c r="Y651" t="s">
        <v>786</v>
      </c>
      <c r="Z651" t="s">
        <v>3017</v>
      </c>
    </row>
    <row r="652" spans="1:26" x14ac:dyDescent="0.3">
      <c r="A652" t="s">
        <v>525</v>
      </c>
      <c r="B652" t="s">
        <v>3020</v>
      </c>
      <c r="C652" t="s">
        <v>3021</v>
      </c>
      <c r="D652" t="s">
        <v>550</v>
      </c>
      <c r="E652" t="s">
        <v>664</v>
      </c>
      <c r="F652" t="s">
        <v>27</v>
      </c>
      <c r="G652" s="1">
        <v>43831</v>
      </c>
      <c r="H652" s="1">
        <v>44189</v>
      </c>
      <c r="I652" t="s">
        <v>665</v>
      </c>
      <c r="J652" t="s">
        <v>666</v>
      </c>
      <c r="K652" t="s">
        <v>24</v>
      </c>
      <c r="L652" t="s">
        <v>667</v>
      </c>
      <c r="M652" t="s">
        <v>797</v>
      </c>
      <c r="N652" t="s">
        <v>313</v>
      </c>
      <c r="O652" t="s">
        <v>1168</v>
      </c>
      <c r="P652" t="s">
        <v>1169</v>
      </c>
      <c r="Q652" t="s">
        <v>2213</v>
      </c>
      <c r="R652" t="s">
        <v>237</v>
      </c>
      <c r="S652" t="s">
        <v>550</v>
      </c>
      <c r="T652" t="s">
        <v>550</v>
      </c>
      <c r="U652" t="s">
        <v>550</v>
      </c>
      <c r="V652" t="s">
        <v>3022</v>
      </c>
      <c r="W652" t="s">
        <v>554</v>
      </c>
      <c r="X652" t="s">
        <v>669</v>
      </c>
      <c r="Y652" t="s">
        <v>799</v>
      </c>
      <c r="Z652" t="s">
        <v>3020</v>
      </c>
    </row>
    <row r="653" spans="1:26" x14ac:dyDescent="0.3">
      <c r="A653" t="s">
        <v>525</v>
      </c>
      <c r="B653" t="s">
        <v>3023</v>
      </c>
      <c r="C653" t="s">
        <v>3024</v>
      </c>
      <c r="D653" t="s">
        <v>550</v>
      </c>
      <c r="E653" t="s">
        <v>664</v>
      </c>
      <c r="F653" t="s">
        <v>27</v>
      </c>
      <c r="G653" s="1">
        <v>43831</v>
      </c>
      <c r="H653" s="1">
        <v>44803</v>
      </c>
      <c r="I653" t="s">
        <v>665</v>
      </c>
      <c r="J653" t="s">
        <v>666</v>
      </c>
      <c r="K653" t="s">
        <v>24</v>
      </c>
      <c r="L653" t="s">
        <v>667</v>
      </c>
      <c r="M653" t="s">
        <v>797</v>
      </c>
      <c r="N653" t="s">
        <v>313</v>
      </c>
      <c r="O653" t="s">
        <v>1168</v>
      </c>
      <c r="P653" t="s">
        <v>1169</v>
      </c>
      <c r="Q653" t="s">
        <v>2213</v>
      </c>
      <c r="R653" t="s">
        <v>237</v>
      </c>
      <c r="S653" t="s">
        <v>550</v>
      </c>
      <c r="T653" t="s">
        <v>893</v>
      </c>
      <c r="U653" t="s">
        <v>550</v>
      </c>
      <c r="V653" t="s">
        <v>3025</v>
      </c>
      <c r="W653" t="s">
        <v>554</v>
      </c>
      <c r="X653" t="s">
        <v>669</v>
      </c>
      <c r="Y653" t="s">
        <v>799</v>
      </c>
      <c r="Z653" t="s">
        <v>3023</v>
      </c>
    </row>
    <row r="654" spans="1:26" x14ac:dyDescent="0.3">
      <c r="A654" t="s">
        <v>525</v>
      </c>
      <c r="B654" t="s">
        <v>3026</v>
      </c>
      <c r="C654" t="s">
        <v>3027</v>
      </c>
      <c r="D654" t="s">
        <v>550</v>
      </c>
      <c r="E654" t="s">
        <v>664</v>
      </c>
      <c r="F654" t="s">
        <v>27</v>
      </c>
      <c r="G654" s="1">
        <v>43831</v>
      </c>
      <c r="H654" s="1">
        <v>43865</v>
      </c>
      <c r="I654" t="s">
        <v>665</v>
      </c>
      <c r="J654" t="s">
        <v>666</v>
      </c>
      <c r="K654" t="s">
        <v>24</v>
      </c>
      <c r="L654" t="s">
        <v>667</v>
      </c>
      <c r="M654" t="s">
        <v>1230</v>
      </c>
      <c r="N654" t="s">
        <v>1231</v>
      </c>
      <c r="O654" t="s">
        <v>1168</v>
      </c>
      <c r="P654" t="s">
        <v>1169</v>
      </c>
      <c r="Q654" t="s">
        <v>2213</v>
      </c>
      <c r="R654" t="s">
        <v>237</v>
      </c>
      <c r="S654" t="s">
        <v>550</v>
      </c>
      <c r="T654" t="s">
        <v>550</v>
      </c>
      <c r="U654" t="s">
        <v>550</v>
      </c>
      <c r="V654" t="s">
        <v>3028</v>
      </c>
      <c r="W654" t="s">
        <v>554</v>
      </c>
      <c r="X654" t="s">
        <v>669</v>
      </c>
      <c r="Y654" t="s">
        <v>799</v>
      </c>
      <c r="Z654" t="s">
        <v>3026</v>
      </c>
    </row>
    <row r="655" spans="1:26" x14ac:dyDescent="0.3">
      <c r="A655" t="s">
        <v>525</v>
      </c>
      <c r="B655" t="s">
        <v>3029</v>
      </c>
      <c r="C655" t="s">
        <v>3030</v>
      </c>
      <c r="D655" t="s">
        <v>550</v>
      </c>
      <c r="E655" t="s">
        <v>664</v>
      </c>
      <c r="F655" t="s">
        <v>27</v>
      </c>
      <c r="G655" s="1">
        <v>43831</v>
      </c>
      <c r="H655" s="1">
        <v>44078</v>
      </c>
      <c r="I655" t="s">
        <v>665</v>
      </c>
      <c r="J655" t="s">
        <v>666</v>
      </c>
      <c r="K655" t="s">
        <v>24</v>
      </c>
      <c r="L655" t="s">
        <v>667</v>
      </c>
      <c r="M655" t="s">
        <v>1230</v>
      </c>
      <c r="N655" t="s">
        <v>1231</v>
      </c>
      <c r="O655" t="s">
        <v>1168</v>
      </c>
      <c r="P655" t="s">
        <v>1169</v>
      </c>
      <c r="Q655" t="s">
        <v>2213</v>
      </c>
      <c r="R655" t="s">
        <v>237</v>
      </c>
      <c r="S655" t="s">
        <v>550</v>
      </c>
      <c r="T655" t="s">
        <v>550</v>
      </c>
      <c r="U655" t="s">
        <v>550</v>
      </c>
      <c r="V655" t="s">
        <v>3031</v>
      </c>
      <c r="W655" t="s">
        <v>554</v>
      </c>
      <c r="X655" t="s">
        <v>669</v>
      </c>
      <c r="Y655" t="s">
        <v>799</v>
      </c>
      <c r="Z655" t="s">
        <v>3029</v>
      </c>
    </row>
    <row r="656" spans="1:26" x14ac:dyDescent="0.3">
      <c r="A656" t="s">
        <v>525</v>
      </c>
      <c r="B656" t="s">
        <v>3032</v>
      </c>
      <c r="C656" t="s">
        <v>3033</v>
      </c>
      <c r="D656" t="s">
        <v>550</v>
      </c>
      <c r="E656" t="s">
        <v>664</v>
      </c>
      <c r="F656" t="s">
        <v>27</v>
      </c>
      <c r="G656" s="1">
        <v>43831</v>
      </c>
      <c r="H656" s="1">
        <v>44099</v>
      </c>
      <c r="I656" t="s">
        <v>665</v>
      </c>
      <c r="J656" t="s">
        <v>666</v>
      </c>
      <c r="K656" t="s">
        <v>24</v>
      </c>
      <c r="L656" t="s">
        <v>667</v>
      </c>
      <c r="M656" t="s">
        <v>1230</v>
      </c>
      <c r="N656" t="s">
        <v>1231</v>
      </c>
      <c r="O656" t="s">
        <v>1168</v>
      </c>
      <c r="P656" t="s">
        <v>1169</v>
      </c>
      <c r="Q656" t="s">
        <v>2213</v>
      </c>
      <c r="R656" t="s">
        <v>237</v>
      </c>
      <c r="S656" t="s">
        <v>550</v>
      </c>
      <c r="T656" t="s">
        <v>550</v>
      </c>
      <c r="U656" t="s">
        <v>550</v>
      </c>
      <c r="V656" t="s">
        <v>3034</v>
      </c>
      <c r="W656" t="s">
        <v>554</v>
      </c>
      <c r="X656" t="s">
        <v>669</v>
      </c>
      <c r="Y656" t="s">
        <v>799</v>
      </c>
      <c r="Z656" t="s">
        <v>3032</v>
      </c>
    </row>
    <row r="657" spans="1:26" x14ac:dyDescent="0.3">
      <c r="A657" t="s">
        <v>525</v>
      </c>
      <c r="B657" t="s">
        <v>3035</v>
      </c>
      <c r="C657" t="s">
        <v>3036</v>
      </c>
      <c r="D657" t="s">
        <v>550</v>
      </c>
      <c r="E657" t="s">
        <v>664</v>
      </c>
      <c r="F657" t="s">
        <v>27</v>
      </c>
      <c r="G657" s="1">
        <v>42371</v>
      </c>
      <c r="H657" s="1">
        <v>43465</v>
      </c>
      <c r="I657" t="s">
        <v>665</v>
      </c>
      <c r="J657" t="s">
        <v>666</v>
      </c>
      <c r="K657" t="s">
        <v>862</v>
      </c>
      <c r="L657" t="s">
        <v>863</v>
      </c>
      <c r="M657" t="s">
        <v>1946</v>
      </c>
      <c r="N657" t="s">
        <v>1947</v>
      </c>
      <c r="O657" t="s">
        <v>3037</v>
      </c>
      <c r="P657" t="s">
        <v>3038</v>
      </c>
      <c r="Q657" t="s">
        <v>2213</v>
      </c>
      <c r="R657" t="s">
        <v>237</v>
      </c>
      <c r="S657" t="s">
        <v>550</v>
      </c>
      <c r="T657" t="s">
        <v>550</v>
      </c>
      <c r="U657" t="s">
        <v>550</v>
      </c>
      <c r="V657" t="s">
        <v>3039</v>
      </c>
      <c r="W657" t="s">
        <v>869</v>
      </c>
      <c r="X657" t="s">
        <v>870</v>
      </c>
      <c r="Y657" t="s">
        <v>847</v>
      </c>
      <c r="Z657" t="s">
        <v>3035</v>
      </c>
    </row>
    <row r="658" spans="1:26" x14ac:dyDescent="0.3">
      <c r="A658" t="s">
        <v>525</v>
      </c>
      <c r="B658" t="s">
        <v>3040</v>
      </c>
      <c r="C658" t="s">
        <v>3041</v>
      </c>
      <c r="D658" t="s">
        <v>550</v>
      </c>
      <c r="E658" t="s">
        <v>664</v>
      </c>
      <c r="F658" t="s">
        <v>27</v>
      </c>
      <c r="G658" s="1">
        <v>42371</v>
      </c>
      <c r="H658" s="1">
        <v>43465</v>
      </c>
      <c r="I658" t="s">
        <v>665</v>
      </c>
      <c r="J658" t="s">
        <v>666</v>
      </c>
      <c r="K658" t="s">
        <v>862</v>
      </c>
      <c r="L658" t="s">
        <v>863</v>
      </c>
      <c r="M658" t="s">
        <v>866</v>
      </c>
      <c r="N658" t="s">
        <v>867</v>
      </c>
      <c r="O658" t="s">
        <v>3037</v>
      </c>
      <c r="P658" t="s">
        <v>3038</v>
      </c>
      <c r="Q658" t="s">
        <v>2213</v>
      </c>
      <c r="R658" t="s">
        <v>237</v>
      </c>
      <c r="S658" t="s">
        <v>550</v>
      </c>
      <c r="T658" t="s">
        <v>550</v>
      </c>
      <c r="U658" t="s">
        <v>550</v>
      </c>
      <c r="V658" t="s">
        <v>3042</v>
      </c>
      <c r="W658" t="s">
        <v>869</v>
      </c>
      <c r="X658" t="s">
        <v>870</v>
      </c>
      <c r="Y658" t="s">
        <v>847</v>
      </c>
      <c r="Z658" t="s">
        <v>3040</v>
      </c>
    </row>
    <row r="659" spans="1:26" x14ac:dyDescent="0.3">
      <c r="A659" t="s">
        <v>525</v>
      </c>
      <c r="B659" t="s">
        <v>3043</v>
      </c>
      <c r="C659" t="s">
        <v>3044</v>
      </c>
      <c r="D659" t="s">
        <v>550</v>
      </c>
      <c r="E659" t="s">
        <v>664</v>
      </c>
      <c r="F659" t="s">
        <v>27</v>
      </c>
      <c r="G659" s="1">
        <v>42371</v>
      </c>
      <c r="H659" s="1">
        <v>43465</v>
      </c>
      <c r="I659" t="s">
        <v>665</v>
      </c>
      <c r="J659" t="s">
        <v>666</v>
      </c>
      <c r="K659" t="s">
        <v>808</v>
      </c>
      <c r="L659" t="s">
        <v>863</v>
      </c>
      <c r="M659" t="s">
        <v>866</v>
      </c>
      <c r="N659" t="s">
        <v>867</v>
      </c>
      <c r="O659" t="s">
        <v>3037</v>
      </c>
      <c r="P659" t="s">
        <v>3038</v>
      </c>
      <c r="Q659" t="s">
        <v>2213</v>
      </c>
      <c r="R659" t="s">
        <v>237</v>
      </c>
      <c r="S659" t="s">
        <v>550</v>
      </c>
      <c r="T659" t="s">
        <v>550</v>
      </c>
      <c r="U659" t="s">
        <v>550</v>
      </c>
      <c r="V659" t="s">
        <v>3045</v>
      </c>
      <c r="W659" t="s">
        <v>869</v>
      </c>
      <c r="X659" t="s">
        <v>870</v>
      </c>
      <c r="Y659" t="s">
        <v>847</v>
      </c>
      <c r="Z659" t="s">
        <v>3043</v>
      </c>
    </row>
    <row r="660" spans="1:26" x14ac:dyDescent="0.3">
      <c r="A660" t="s">
        <v>525</v>
      </c>
      <c r="B660" t="s">
        <v>3046</v>
      </c>
      <c r="C660" t="s">
        <v>3047</v>
      </c>
      <c r="D660" t="s">
        <v>550</v>
      </c>
      <c r="E660" t="s">
        <v>3048</v>
      </c>
      <c r="F660" t="s">
        <v>3049</v>
      </c>
      <c r="G660" s="1">
        <v>43102</v>
      </c>
      <c r="H660" s="1">
        <v>44196</v>
      </c>
      <c r="I660" t="s">
        <v>665</v>
      </c>
      <c r="J660" t="s">
        <v>3050</v>
      </c>
      <c r="K660" t="s">
        <v>24</v>
      </c>
      <c r="L660" t="s">
        <v>216</v>
      </c>
      <c r="M660" t="s">
        <v>3037</v>
      </c>
      <c r="N660" t="s">
        <v>3038</v>
      </c>
      <c r="O660" t="s">
        <v>3037</v>
      </c>
      <c r="P660" t="s">
        <v>3038</v>
      </c>
      <c r="Q660" t="s">
        <v>2213</v>
      </c>
      <c r="R660" t="s">
        <v>237</v>
      </c>
      <c r="S660" t="s">
        <v>550</v>
      </c>
      <c r="T660" t="s">
        <v>550</v>
      </c>
      <c r="U660" t="s">
        <v>550</v>
      </c>
      <c r="V660" t="s">
        <v>3051</v>
      </c>
      <c r="W660" t="s">
        <v>613</v>
      </c>
      <c r="X660" t="s">
        <v>74</v>
      </c>
      <c r="Y660" t="s">
        <v>1281</v>
      </c>
      <c r="Z660" t="s">
        <v>3046</v>
      </c>
    </row>
    <row r="661" spans="1:26" x14ac:dyDescent="0.3">
      <c r="A661" t="s">
        <v>525</v>
      </c>
      <c r="B661" t="s">
        <v>3052</v>
      </c>
      <c r="C661" t="s">
        <v>2794</v>
      </c>
      <c r="D661" t="s">
        <v>3046</v>
      </c>
      <c r="E661" t="s">
        <v>664</v>
      </c>
      <c r="F661" t="s">
        <v>27</v>
      </c>
      <c r="G661" s="1">
        <v>43102</v>
      </c>
      <c r="H661" s="1">
        <v>43465</v>
      </c>
      <c r="I661" t="s">
        <v>665</v>
      </c>
      <c r="J661" t="s">
        <v>666</v>
      </c>
      <c r="K661" t="s">
        <v>24</v>
      </c>
      <c r="L661" t="s">
        <v>216</v>
      </c>
      <c r="M661" t="s">
        <v>3037</v>
      </c>
      <c r="N661" t="s">
        <v>3038</v>
      </c>
      <c r="O661" t="s">
        <v>3037</v>
      </c>
      <c r="P661" t="s">
        <v>3038</v>
      </c>
      <c r="Q661" t="s">
        <v>2213</v>
      </c>
      <c r="R661" t="s">
        <v>237</v>
      </c>
      <c r="S661" t="s">
        <v>550</v>
      </c>
      <c r="T661" t="s">
        <v>550</v>
      </c>
      <c r="U661" t="s">
        <v>550</v>
      </c>
      <c r="V661" t="s">
        <v>3053</v>
      </c>
      <c r="W661" t="s">
        <v>613</v>
      </c>
      <c r="X661" t="s">
        <v>74</v>
      </c>
      <c r="Y661" t="s">
        <v>1281</v>
      </c>
      <c r="Z661" t="s">
        <v>3052</v>
      </c>
    </row>
    <row r="662" spans="1:26" x14ac:dyDescent="0.3">
      <c r="A662" t="s">
        <v>525</v>
      </c>
      <c r="B662" t="s">
        <v>3054</v>
      </c>
      <c r="C662" t="s">
        <v>3055</v>
      </c>
      <c r="D662" t="s">
        <v>550</v>
      </c>
      <c r="E662" t="s">
        <v>3056</v>
      </c>
      <c r="F662" t="s">
        <v>3057</v>
      </c>
      <c r="G662" s="1">
        <v>43102</v>
      </c>
      <c r="H662" s="1">
        <v>44561</v>
      </c>
      <c r="I662" t="s">
        <v>665</v>
      </c>
      <c r="J662" t="s">
        <v>666</v>
      </c>
      <c r="K662" t="s">
        <v>24</v>
      </c>
      <c r="L662" t="s">
        <v>216</v>
      </c>
      <c r="M662" t="s">
        <v>3037</v>
      </c>
      <c r="N662" t="s">
        <v>3038</v>
      </c>
      <c r="O662" t="s">
        <v>3037</v>
      </c>
      <c r="P662" t="s">
        <v>3038</v>
      </c>
      <c r="Q662" t="s">
        <v>2213</v>
      </c>
      <c r="R662" t="s">
        <v>237</v>
      </c>
      <c r="S662" t="s">
        <v>550</v>
      </c>
      <c r="T662" t="s">
        <v>550</v>
      </c>
      <c r="U662" t="s">
        <v>550</v>
      </c>
      <c r="V662" t="s">
        <v>3058</v>
      </c>
      <c r="W662" t="s">
        <v>613</v>
      </c>
      <c r="X662" t="s">
        <v>74</v>
      </c>
      <c r="Y662" t="s">
        <v>1281</v>
      </c>
      <c r="Z662" t="s">
        <v>3054</v>
      </c>
    </row>
    <row r="663" spans="1:26" x14ac:dyDescent="0.3">
      <c r="A663" t="s">
        <v>525</v>
      </c>
      <c r="B663" t="s">
        <v>3059</v>
      </c>
      <c r="C663" t="s">
        <v>3060</v>
      </c>
      <c r="D663" t="s">
        <v>3061</v>
      </c>
      <c r="E663" t="s">
        <v>664</v>
      </c>
      <c r="F663" t="s">
        <v>27</v>
      </c>
      <c r="G663" s="1">
        <v>46023</v>
      </c>
      <c r="H663" s="1">
        <v>46229</v>
      </c>
      <c r="I663" t="s">
        <v>551</v>
      </c>
      <c r="J663" t="s">
        <v>666</v>
      </c>
      <c r="K663" t="s">
        <v>24</v>
      </c>
      <c r="L663" t="s">
        <v>19</v>
      </c>
      <c r="M663" t="s">
        <v>873</v>
      </c>
      <c r="N663" t="s">
        <v>244</v>
      </c>
      <c r="O663" t="s">
        <v>1884</v>
      </c>
      <c r="P663" t="s">
        <v>223</v>
      </c>
      <c r="Q663" t="s">
        <v>2213</v>
      </c>
      <c r="R663" t="s">
        <v>237</v>
      </c>
      <c r="S663" t="s">
        <v>783</v>
      </c>
      <c r="T663" t="s">
        <v>550</v>
      </c>
      <c r="U663" t="s">
        <v>550</v>
      </c>
      <c r="V663" t="s">
        <v>3062</v>
      </c>
      <c r="W663" t="s">
        <v>565</v>
      </c>
      <c r="Z663" t="s">
        <v>3059</v>
      </c>
    </row>
    <row r="664" spans="1:26" x14ac:dyDescent="0.3">
      <c r="A664" t="s">
        <v>525</v>
      </c>
      <c r="B664" t="s">
        <v>3063</v>
      </c>
      <c r="C664" t="s">
        <v>3064</v>
      </c>
      <c r="D664" t="s">
        <v>3065</v>
      </c>
      <c r="E664" t="s">
        <v>3066</v>
      </c>
      <c r="F664" t="s">
        <v>3067</v>
      </c>
      <c r="G664" s="1">
        <v>45772</v>
      </c>
      <c r="H664" s="1">
        <v>45772</v>
      </c>
      <c r="I664" t="s">
        <v>665</v>
      </c>
      <c r="J664" t="s">
        <v>3068</v>
      </c>
      <c r="K664" t="s">
        <v>24</v>
      </c>
      <c r="L664" t="s">
        <v>216</v>
      </c>
      <c r="M664" t="s">
        <v>782</v>
      </c>
      <c r="N664" t="s">
        <v>287</v>
      </c>
      <c r="O664" t="s">
        <v>3069</v>
      </c>
      <c r="Q664" t="s">
        <v>2213</v>
      </c>
      <c r="R664" t="s">
        <v>237</v>
      </c>
      <c r="S664" t="s">
        <v>783</v>
      </c>
      <c r="T664" t="s">
        <v>550</v>
      </c>
      <c r="U664" t="s">
        <v>550</v>
      </c>
      <c r="V664" t="s">
        <v>3070</v>
      </c>
      <c r="W664" t="s">
        <v>613</v>
      </c>
      <c r="X664" t="s">
        <v>276</v>
      </c>
      <c r="Y664" t="s">
        <v>286</v>
      </c>
      <c r="Z664" t="s">
        <v>3063</v>
      </c>
    </row>
    <row r="665" spans="1:26" x14ac:dyDescent="0.3">
      <c r="A665" t="s">
        <v>525</v>
      </c>
      <c r="B665" t="s">
        <v>3071</v>
      </c>
      <c r="C665" t="s">
        <v>3072</v>
      </c>
      <c r="D665" t="s">
        <v>550</v>
      </c>
      <c r="E665" t="s">
        <v>1039</v>
      </c>
      <c r="F665" t="s">
        <v>1040</v>
      </c>
      <c r="G665" s="1">
        <v>43831</v>
      </c>
      <c r="H665" s="1">
        <v>43853</v>
      </c>
      <c r="I665" t="s">
        <v>665</v>
      </c>
      <c r="J665" t="s">
        <v>1041</v>
      </c>
      <c r="K665" t="s">
        <v>24</v>
      </c>
      <c r="L665" t="s">
        <v>216</v>
      </c>
      <c r="M665" t="s">
        <v>1030</v>
      </c>
      <c r="N665" t="s">
        <v>255</v>
      </c>
      <c r="O665" t="s">
        <v>1839</v>
      </c>
      <c r="P665" t="s">
        <v>222</v>
      </c>
      <c r="Q665" t="s">
        <v>2213</v>
      </c>
      <c r="R665" t="s">
        <v>237</v>
      </c>
      <c r="S665" t="s">
        <v>550</v>
      </c>
      <c r="T665" t="s">
        <v>550</v>
      </c>
      <c r="U665" t="s">
        <v>550</v>
      </c>
      <c r="V665" t="s">
        <v>3073</v>
      </c>
      <c r="W665" t="s">
        <v>613</v>
      </c>
      <c r="X665" t="s">
        <v>74</v>
      </c>
      <c r="Y665" t="s">
        <v>786</v>
      </c>
      <c r="Z665" t="s">
        <v>3071</v>
      </c>
    </row>
    <row r="666" spans="1:26" x14ac:dyDescent="0.3">
      <c r="A666" t="s">
        <v>525</v>
      </c>
      <c r="B666" t="s">
        <v>3074</v>
      </c>
      <c r="C666" t="s">
        <v>3075</v>
      </c>
      <c r="D666" t="s">
        <v>550</v>
      </c>
      <c r="E666" t="s">
        <v>1039</v>
      </c>
      <c r="F666" t="s">
        <v>1040</v>
      </c>
      <c r="G666" s="1">
        <v>43831</v>
      </c>
      <c r="H666" s="1">
        <v>43844</v>
      </c>
      <c r="I666" t="s">
        <v>665</v>
      </c>
      <c r="J666" t="s">
        <v>1041</v>
      </c>
      <c r="K666" t="s">
        <v>24</v>
      </c>
      <c r="L666" t="s">
        <v>216</v>
      </c>
      <c r="M666" t="s">
        <v>1030</v>
      </c>
      <c r="N666" t="s">
        <v>255</v>
      </c>
      <c r="O666" t="s">
        <v>1839</v>
      </c>
      <c r="P666" t="s">
        <v>222</v>
      </c>
      <c r="Q666" t="s">
        <v>2213</v>
      </c>
      <c r="R666" t="s">
        <v>237</v>
      </c>
      <c r="S666" t="s">
        <v>550</v>
      </c>
      <c r="T666" t="s">
        <v>550</v>
      </c>
      <c r="U666" t="s">
        <v>550</v>
      </c>
      <c r="V666" t="s">
        <v>3076</v>
      </c>
      <c r="W666" t="s">
        <v>613</v>
      </c>
      <c r="X666" t="s">
        <v>74</v>
      </c>
      <c r="Y666" t="s">
        <v>786</v>
      </c>
      <c r="Z666" t="s">
        <v>3074</v>
      </c>
    </row>
    <row r="667" spans="1:26" x14ac:dyDescent="0.3">
      <c r="A667" t="s">
        <v>525</v>
      </c>
      <c r="B667" t="s">
        <v>3077</v>
      </c>
      <c r="C667" t="s">
        <v>3078</v>
      </c>
      <c r="D667" t="s">
        <v>550</v>
      </c>
      <c r="E667" t="s">
        <v>1039</v>
      </c>
      <c r="F667" t="s">
        <v>1040</v>
      </c>
      <c r="G667" s="1">
        <v>43831</v>
      </c>
      <c r="H667" s="1">
        <v>43917</v>
      </c>
      <c r="I667" t="s">
        <v>665</v>
      </c>
      <c r="J667" t="s">
        <v>1041</v>
      </c>
      <c r="K667" t="s">
        <v>24</v>
      </c>
      <c r="L667" t="s">
        <v>1045</v>
      </c>
      <c r="M667" t="s">
        <v>1030</v>
      </c>
      <c r="N667" t="s">
        <v>255</v>
      </c>
      <c r="O667" t="s">
        <v>1839</v>
      </c>
      <c r="P667" t="s">
        <v>222</v>
      </c>
      <c r="Q667" t="s">
        <v>2213</v>
      </c>
      <c r="R667" t="s">
        <v>237</v>
      </c>
      <c r="S667" t="s">
        <v>550</v>
      </c>
      <c r="T667" t="s">
        <v>550</v>
      </c>
      <c r="U667" t="s">
        <v>550</v>
      </c>
      <c r="V667" t="s">
        <v>3079</v>
      </c>
      <c r="W667" t="s">
        <v>613</v>
      </c>
      <c r="X667" t="s">
        <v>74</v>
      </c>
      <c r="Y667" t="s">
        <v>786</v>
      </c>
      <c r="Z667" t="s">
        <v>3077</v>
      </c>
    </row>
    <row r="668" spans="1:26" x14ac:dyDescent="0.3">
      <c r="A668" t="s">
        <v>525</v>
      </c>
      <c r="B668" t="s">
        <v>3080</v>
      </c>
      <c r="C668" t="s">
        <v>3081</v>
      </c>
      <c r="D668" t="s">
        <v>550</v>
      </c>
      <c r="E668" t="s">
        <v>1039</v>
      </c>
      <c r="F668" t="s">
        <v>1040</v>
      </c>
      <c r="G668" s="1">
        <v>43831</v>
      </c>
      <c r="H668" s="1">
        <v>44062</v>
      </c>
      <c r="I668" t="s">
        <v>665</v>
      </c>
      <c r="J668" t="s">
        <v>1041</v>
      </c>
      <c r="K668" t="s">
        <v>24</v>
      </c>
      <c r="L668" t="s">
        <v>216</v>
      </c>
      <c r="M668" t="s">
        <v>1030</v>
      </c>
      <c r="N668" t="s">
        <v>255</v>
      </c>
      <c r="O668" t="s">
        <v>1839</v>
      </c>
      <c r="P668" t="s">
        <v>222</v>
      </c>
      <c r="Q668" t="s">
        <v>2213</v>
      </c>
      <c r="R668" t="s">
        <v>237</v>
      </c>
      <c r="S668" t="s">
        <v>550</v>
      </c>
      <c r="T668" t="s">
        <v>550</v>
      </c>
      <c r="U668" t="s">
        <v>550</v>
      </c>
      <c r="V668" t="s">
        <v>3082</v>
      </c>
      <c r="W668" t="s">
        <v>613</v>
      </c>
      <c r="X668" t="s">
        <v>74</v>
      </c>
      <c r="Y668" t="s">
        <v>786</v>
      </c>
      <c r="Z668" t="s">
        <v>3080</v>
      </c>
    </row>
    <row r="669" spans="1:26" x14ac:dyDescent="0.3">
      <c r="A669" t="s">
        <v>525</v>
      </c>
      <c r="B669" t="s">
        <v>3083</v>
      </c>
      <c r="C669" t="s">
        <v>3084</v>
      </c>
      <c r="D669" t="s">
        <v>550</v>
      </c>
      <c r="E669" t="s">
        <v>1039</v>
      </c>
      <c r="F669" t="s">
        <v>1040</v>
      </c>
      <c r="G669" s="1">
        <v>43831</v>
      </c>
      <c r="H669" s="1">
        <v>43887</v>
      </c>
      <c r="I669" t="s">
        <v>665</v>
      </c>
      <c r="J669" t="s">
        <v>1041</v>
      </c>
      <c r="K669" t="s">
        <v>24</v>
      </c>
      <c r="L669" t="s">
        <v>216</v>
      </c>
      <c r="M669" t="s">
        <v>1030</v>
      </c>
      <c r="N669" t="s">
        <v>255</v>
      </c>
      <c r="O669" t="s">
        <v>1839</v>
      </c>
      <c r="P669" t="s">
        <v>222</v>
      </c>
      <c r="Q669" t="s">
        <v>2213</v>
      </c>
      <c r="R669" t="s">
        <v>237</v>
      </c>
      <c r="S669" t="s">
        <v>550</v>
      </c>
      <c r="T669" t="s">
        <v>550</v>
      </c>
      <c r="U669" t="s">
        <v>550</v>
      </c>
      <c r="V669" t="s">
        <v>3085</v>
      </c>
      <c r="W669" t="s">
        <v>613</v>
      </c>
      <c r="X669" t="s">
        <v>74</v>
      </c>
      <c r="Y669" t="s">
        <v>786</v>
      </c>
      <c r="Z669" t="s">
        <v>3083</v>
      </c>
    </row>
    <row r="670" spans="1:26" x14ac:dyDescent="0.3">
      <c r="A670" t="s">
        <v>525</v>
      </c>
      <c r="B670" t="s">
        <v>3086</v>
      </c>
      <c r="C670" t="s">
        <v>3087</v>
      </c>
      <c r="D670" t="s">
        <v>550</v>
      </c>
      <c r="E670" t="s">
        <v>1039</v>
      </c>
      <c r="F670" t="s">
        <v>1040</v>
      </c>
      <c r="G670" s="1">
        <v>43831</v>
      </c>
      <c r="H670" s="1">
        <v>44297</v>
      </c>
      <c r="I670" t="s">
        <v>665</v>
      </c>
      <c r="J670" t="s">
        <v>1041</v>
      </c>
      <c r="K670" t="s">
        <v>24</v>
      </c>
      <c r="L670" t="s">
        <v>216</v>
      </c>
      <c r="M670" t="s">
        <v>1030</v>
      </c>
      <c r="N670" t="s">
        <v>255</v>
      </c>
      <c r="O670" t="s">
        <v>1839</v>
      </c>
      <c r="P670" t="s">
        <v>222</v>
      </c>
      <c r="Q670" t="s">
        <v>2213</v>
      </c>
      <c r="R670" t="s">
        <v>237</v>
      </c>
      <c r="S670" t="s">
        <v>550</v>
      </c>
      <c r="T670" t="s">
        <v>550</v>
      </c>
      <c r="U670" t="s">
        <v>550</v>
      </c>
      <c r="V670" t="s">
        <v>3088</v>
      </c>
      <c r="W670" t="s">
        <v>613</v>
      </c>
      <c r="X670" t="s">
        <v>74</v>
      </c>
      <c r="Y670" t="s">
        <v>786</v>
      </c>
      <c r="Z670" t="s">
        <v>3086</v>
      </c>
    </row>
    <row r="671" spans="1:26" x14ac:dyDescent="0.3">
      <c r="A671" t="s">
        <v>525</v>
      </c>
      <c r="B671" t="s">
        <v>3089</v>
      </c>
      <c r="C671" t="s">
        <v>3090</v>
      </c>
      <c r="D671" t="s">
        <v>550</v>
      </c>
      <c r="E671" t="s">
        <v>664</v>
      </c>
      <c r="F671" t="s">
        <v>27</v>
      </c>
      <c r="G671" s="1">
        <v>42371</v>
      </c>
      <c r="H671" s="1">
        <v>43465</v>
      </c>
      <c r="I671" t="s">
        <v>665</v>
      </c>
      <c r="J671" t="s">
        <v>666</v>
      </c>
      <c r="K671" t="s">
        <v>862</v>
      </c>
      <c r="L671" t="s">
        <v>863</v>
      </c>
      <c r="M671" t="s">
        <v>1377</v>
      </c>
      <c r="N671" t="s">
        <v>1378</v>
      </c>
      <c r="O671" t="s">
        <v>3037</v>
      </c>
      <c r="P671" t="s">
        <v>3038</v>
      </c>
      <c r="Q671" t="s">
        <v>2213</v>
      </c>
      <c r="R671" t="s">
        <v>237</v>
      </c>
      <c r="S671" t="s">
        <v>550</v>
      </c>
      <c r="T671" t="s">
        <v>550</v>
      </c>
      <c r="U671" t="s">
        <v>550</v>
      </c>
      <c r="V671" t="s">
        <v>3091</v>
      </c>
      <c r="W671" t="s">
        <v>869</v>
      </c>
      <c r="X671" t="s">
        <v>870</v>
      </c>
      <c r="Y671" t="s">
        <v>847</v>
      </c>
      <c r="Z671" t="s">
        <v>3089</v>
      </c>
    </row>
    <row r="672" spans="1:26" x14ac:dyDescent="0.3">
      <c r="A672" t="s">
        <v>525</v>
      </c>
      <c r="B672" t="s">
        <v>3092</v>
      </c>
      <c r="C672" t="s">
        <v>3093</v>
      </c>
      <c r="D672" t="s">
        <v>550</v>
      </c>
      <c r="E672" t="s">
        <v>664</v>
      </c>
      <c r="F672" t="s">
        <v>27</v>
      </c>
      <c r="G672" s="1">
        <v>42371</v>
      </c>
      <c r="H672" s="1">
        <v>43465</v>
      </c>
      <c r="I672" t="s">
        <v>665</v>
      </c>
      <c r="J672" t="s">
        <v>666</v>
      </c>
      <c r="K672" t="s">
        <v>862</v>
      </c>
      <c r="L672" t="s">
        <v>863</v>
      </c>
      <c r="M672" t="s">
        <v>3094</v>
      </c>
      <c r="N672" t="s">
        <v>3095</v>
      </c>
      <c r="O672" t="s">
        <v>3037</v>
      </c>
      <c r="P672" t="s">
        <v>3038</v>
      </c>
      <c r="Q672" t="s">
        <v>2213</v>
      </c>
      <c r="R672" t="s">
        <v>237</v>
      </c>
      <c r="S672" t="s">
        <v>550</v>
      </c>
      <c r="T672" t="s">
        <v>550</v>
      </c>
      <c r="U672" t="s">
        <v>550</v>
      </c>
      <c r="V672" t="s">
        <v>3096</v>
      </c>
      <c r="W672" t="s">
        <v>869</v>
      </c>
      <c r="X672" t="s">
        <v>870</v>
      </c>
      <c r="Y672" t="s">
        <v>847</v>
      </c>
      <c r="Z672" t="s">
        <v>3092</v>
      </c>
    </row>
    <row r="673" spans="1:26" x14ac:dyDescent="0.3">
      <c r="A673" t="s">
        <v>525</v>
      </c>
      <c r="B673" t="s">
        <v>3097</v>
      </c>
      <c r="C673" t="s">
        <v>3098</v>
      </c>
      <c r="D673" t="s">
        <v>550</v>
      </c>
      <c r="E673" t="s">
        <v>3099</v>
      </c>
      <c r="F673" t="s">
        <v>3100</v>
      </c>
      <c r="G673" s="1">
        <v>43102</v>
      </c>
      <c r="H673" s="1">
        <v>43465</v>
      </c>
      <c r="I673" t="s">
        <v>665</v>
      </c>
      <c r="J673" t="s">
        <v>3101</v>
      </c>
      <c r="K673" t="s">
        <v>808</v>
      </c>
      <c r="L673" t="s">
        <v>863</v>
      </c>
      <c r="M673" t="s">
        <v>971</v>
      </c>
      <c r="N673" t="s">
        <v>972</v>
      </c>
      <c r="O673" t="s">
        <v>866</v>
      </c>
      <c r="P673" t="s">
        <v>867</v>
      </c>
      <c r="Q673" t="s">
        <v>2213</v>
      </c>
      <c r="R673" t="s">
        <v>237</v>
      </c>
      <c r="S673" t="s">
        <v>550</v>
      </c>
      <c r="T673" t="s">
        <v>550</v>
      </c>
      <c r="U673" t="s">
        <v>550</v>
      </c>
      <c r="V673" t="s">
        <v>3102</v>
      </c>
      <c r="W673" t="s">
        <v>869</v>
      </c>
      <c r="X673" t="s">
        <v>870</v>
      </c>
      <c r="Y673" t="s">
        <v>847</v>
      </c>
      <c r="Z673" t="s">
        <v>3097</v>
      </c>
    </row>
    <row r="674" spans="1:26" x14ac:dyDescent="0.3">
      <c r="A674" t="s">
        <v>525</v>
      </c>
      <c r="B674" t="s">
        <v>3103</v>
      </c>
      <c r="C674" t="s">
        <v>3104</v>
      </c>
      <c r="D674" t="s">
        <v>3097</v>
      </c>
      <c r="E674" t="s">
        <v>664</v>
      </c>
      <c r="F674" t="s">
        <v>27</v>
      </c>
      <c r="G674" s="1">
        <v>43102</v>
      </c>
      <c r="H674" s="1">
        <v>43465</v>
      </c>
      <c r="I674" t="s">
        <v>665</v>
      </c>
      <c r="J674" t="s">
        <v>666</v>
      </c>
      <c r="K674" t="s">
        <v>808</v>
      </c>
      <c r="L674" t="s">
        <v>863</v>
      </c>
      <c r="M674" t="s">
        <v>971</v>
      </c>
      <c r="N674" t="s">
        <v>972</v>
      </c>
      <c r="O674" t="s">
        <v>866</v>
      </c>
      <c r="P674" t="s">
        <v>867</v>
      </c>
      <c r="Q674" t="s">
        <v>2213</v>
      </c>
      <c r="R674" t="s">
        <v>237</v>
      </c>
      <c r="S674" t="s">
        <v>550</v>
      </c>
      <c r="T674" t="s">
        <v>550</v>
      </c>
      <c r="U674" t="s">
        <v>550</v>
      </c>
      <c r="V674" t="s">
        <v>3105</v>
      </c>
      <c r="W674" t="s">
        <v>869</v>
      </c>
      <c r="X674" t="s">
        <v>870</v>
      </c>
      <c r="Y674" t="s">
        <v>847</v>
      </c>
      <c r="Z674" t="s">
        <v>3103</v>
      </c>
    </row>
    <row r="675" spans="1:26" x14ac:dyDescent="0.3">
      <c r="A675" t="s">
        <v>525</v>
      </c>
      <c r="B675" t="s">
        <v>3106</v>
      </c>
      <c r="C675" t="s">
        <v>3107</v>
      </c>
      <c r="D675" t="s">
        <v>550</v>
      </c>
      <c r="E675" t="s">
        <v>3108</v>
      </c>
      <c r="F675" t="s">
        <v>3109</v>
      </c>
      <c r="G675" s="1">
        <v>43102</v>
      </c>
      <c r="H675" s="1">
        <v>43465</v>
      </c>
      <c r="I675" t="s">
        <v>665</v>
      </c>
      <c r="J675" t="s">
        <v>3110</v>
      </c>
      <c r="K675" t="s">
        <v>862</v>
      </c>
      <c r="L675" t="s">
        <v>863</v>
      </c>
      <c r="M675" t="s">
        <v>971</v>
      </c>
      <c r="N675" t="s">
        <v>972</v>
      </c>
      <c r="O675" t="s">
        <v>866</v>
      </c>
      <c r="P675" t="s">
        <v>867</v>
      </c>
      <c r="Q675" t="s">
        <v>2213</v>
      </c>
      <c r="R675" t="s">
        <v>237</v>
      </c>
      <c r="S675" t="s">
        <v>550</v>
      </c>
      <c r="T675" t="s">
        <v>550</v>
      </c>
      <c r="U675" t="s">
        <v>550</v>
      </c>
      <c r="V675" t="s">
        <v>3111</v>
      </c>
      <c r="W675" t="s">
        <v>869</v>
      </c>
      <c r="X675" t="s">
        <v>870</v>
      </c>
      <c r="Y675" t="s">
        <v>847</v>
      </c>
      <c r="Z675" t="s">
        <v>3106</v>
      </c>
    </row>
    <row r="676" spans="1:26" x14ac:dyDescent="0.3">
      <c r="A676" t="s">
        <v>525</v>
      </c>
      <c r="B676" t="s">
        <v>3112</v>
      </c>
      <c r="C676" t="s">
        <v>3104</v>
      </c>
      <c r="D676" t="s">
        <v>3106</v>
      </c>
      <c r="E676" t="s">
        <v>664</v>
      </c>
      <c r="F676" t="s">
        <v>27</v>
      </c>
      <c r="G676" s="1">
        <v>43102</v>
      </c>
      <c r="H676" s="1">
        <v>43465</v>
      </c>
      <c r="I676" t="s">
        <v>665</v>
      </c>
      <c r="J676" t="s">
        <v>666</v>
      </c>
      <c r="K676" t="s">
        <v>862</v>
      </c>
      <c r="L676" t="s">
        <v>863</v>
      </c>
      <c r="M676" t="s">
        <v>971</v>
      </c>
      <c r="N676" t="s">
        <v>972</v>
      </c>
      <c r="O676" t="s">
        <v>866</v>
      </c>
      <c r="P676" t="s">
        <v>867</v>
      </c>
      <c r="Q676" t="s">
        <v>2213</v>
      </c>
      <c r="R676" t="s">
        <v>237</v>
      </c>
      <c r="S676" t="s">
        <v>550</v>
      </c>
      <c r="T676" t="s">
        <v>550</v>
      </c>
      <c r="U676" t="s">
        <v>550</v>
      </c>
      <c r="V676" t="s">
        <v>3113</v>
      </c>
      <c r="W676" t="s">
        <v>869</v>
      </c>
      <c r="X676" t="s">
        <v>870</v>
      </c>
      <c r="Y676" t="s">
        <v>847</v>
      </c>
      <c r="Z676" t="s">
        <v>3112</v>
      </c>
    </row>
    <row r="677" spans="1:26" x14ac:dyDescent="0.3">
      <c r="A677" t="s">
        <v>525</v>
      </c>
      <c r="B677" t="s">
        <v>3114</v>
      </c>
      <c r="C677" t="s">
        <v>3115</v>
      </c>
      <c r="D677" t="s">
        <v>550</v>
      </c>
      <c r="E677" t="s">
        <v>1374</v>
      </c>
      <c r="F677" t="s">
        <v>1375</v>
      </c>
      <c r="G677" s="1">
        <v>43102</v>
      </c>
      <c r="H677" s="1">
        <v>43465</v>
      </c>
      <c r="I677" t="s">
        <v>665</v>
      </c>
      <c r="J677" t="s">
        <v>1376</v>
      </c>
      <c r="K677" t="s">
        <v>862</v>
      </c>
      <c r="L677" t="s">
        <v>863</v>
      </c>
      <c r="M677" t="s">
        <v>971</v>
      </c>
      <c r="N677" t="s">
        <v>972</v>
      </c>
      <c r="O677" t="s">
        <v>866</v>
      </c>
      <c r="P677" t="s">
        <v>867</v>
      </c>
      <c r="Q677" t="s">
        <v>2213</v>
      </c>
      <c r="R677" t="s">
        <v>237</v>
      </c>
      <c r="S677" t="s">
        <v>550</v>
      </c>
      <c r="T677" t="s">
        <v>550</v>
      </c>
      <c r="U677" t="s">
        <v>550</v>
      </c>
      <c r="V677" t="s">
        <v>3116</v>
      </c>
      <c r="W677" t="s">
        <v>869</v>
      </c>
      <c r="X677" t="s">
        <v>870</v>
      </c>
      <c r="Y677" t="s">
        <v>847</v>
      </c>
      <c r="Z677" t="s">
        <v>3114</v>
      </c>
    </row>
    <row r="678" spans="1:26" x14ac:dyDescent="0.3">
      <c r="A678" t="s">
        <v>525</v>
      </c>
      <c r="B678" t="s">
        <v>3117</v>
      </c>
      <c r="C678" t="s">
        <v>3118</v>
      </c>
      <c r="D678" t="s">
        <v>3114</v>
      </c>
      <c r="E678" t="s">
        <v>664</v>
      </c>
      <c r="F678" t="s">
        <v>27</v>
      </c>
      <c r="G678" s="1">
        <v>43102</v>
      </c>
      <c r="H678" s="1">
        <v>43465</v>
      </c>
      <c r="I678" t="s">
        <v>665</v>
      </c>
      <c r="J678" t="s">
        <v>666</v>
      </c>
      <c r="K678" t="s">
        <v>862</v>
      </c>
      <c r="L678" t="s">
        <v>863</v>
      </c>
      <c r="M678" t="s">
        <v>971</v>
      </c>
      <c r="N678" t="s">
        <v>972</v>
      </c>
      <c r="O678" t="s">
        <v>866</v>
      </c>
      <c r="P678" t="s">
        <v>867</v>
      </c>
      <c r="Q678" t="s">
        <v>2213</v>
      </c>
      <c r="R678" t="s">
        <v>237</v>
      </c>
      <c r="S678" t="s">
        <v>550</v>
      </c>
      <c r="T678" t="s">
        <v>550</v>
      </c>
      <c r="U678" t="s">
        <v>550</v>
      </c>
      <c r="V678" t="s">
        <v>3119</v>
      </c>
      <c r="W678" t="s">
        <v>869</v>
      </c>
      <c r="X678" t="s">
        <v>870</v>
      </c>
      <c r="Y678" t="s">
        <v>847</v>
      </c>
      <c r="Z678" t="s">
        <v>3117</v>
      </c>
    </row>
    <row r="679" spans="1:26" x14ac:dyDescent="0.3">
      <c r="A679" t="s">
        <v>525</v>
      </c>
      <c r="B679" t="s">
        <v>3120</v>
      </c>
      <c r="C679" t="s">
        <v>3121</v>
      </c>
      <c r="D679" t="s">
        <v>550</v>
      </c>
      <c r="E679" t="s">
        <v>3122</v>
      </c>
      <c r="F679" t="s">
        <v>3123</v>
      </c>
      <c r="G679" s="1">
        <v>43102</v>
      </c>
      <c r="H679" s="1">
        <v>43465</v>
      </c>
      <c r="I679" t="s">
        <v>665</v>
      </c>
      <c r="J679" t="s">
        <v>3124</v>
      </c>
      <c r="K679" t="s">
        <v>862</v>
      </c>
      <c r="L679" t="s">
        <v>863</v>
      </c>
      <c r="M679" t="s">
        <v>971</v>
      </c>
      <c r="N679" t="s">
        <v>972</v>
      </c>
      <c r="O679" t="s">
        <v>866</v>
      </c>
      <c r="P679" t="s">
        <v>867</v>
      </c>
      <c r="Q679" t="s">
        <v>2213</v>
      </c>
      <c r="R679" t="s">
        <v>237</v>
      </c>
      <c r="S679" t="s">
        <v>550</v>
      </c>
      <c r="T679" t="s">
        <v>550</v>
      </c>
      <c r="U679" t="s">
        <v>550</v>
      </c>
      <c r="V679" t="s">
        <v>3125</v>
      </c>
      <c r="W679" t="s">
        <v>869</v>
      </c>
      <c r="X679" t="s">
        <v>870</v>
      </c>
      <c r="Y679" t="s">
        <v>847</v>
      </c>
      <c r="Z679" t="s">
        <v>3120</v>
      </c>
    </row>
    <row r="680" spans="1:26" x14ac:dyDescent="0.3">
      <c r="A680" t="s">
        <v>525</v>
      </c>
      <c r="B680" t="s">
        <v>3126</v>
      </c>
      <c r="C680" t="s">
        <v>2794</v>
      </c>
      <c r="D680" t="s">
        <v>3120</v>
      </c>
      <c r="E680" t="s">
        <v>664</v>
      </c>
      <c r="F680" t="s">
        <v>27</v>
      </c>
      <c r="G680" s="1">
        <v>43102</v>
      </c>
      <c r="H680" s="1">
        <v>43465</v>
      </c>
      <c r="I680" t="s">
        <v>665</v>
      </c>
      <c r="J680" t="s">
        <v>666</v>
      </c>
      <c r="K680" t="s">
        <v>862</v>
      </c>
      <c r="L680" t="s">
        <v>863</v>
      </c>
      <c r="M680" t="s">
        <v>971</v>
      </c>
      <c r="N680" t="s">
        <v>972</v>
      </c>
      <c r="O680" t="s">
        <v>866</v>
      </c>
      <c r="P680" t="s">
        <v>867</v>
      </c>
      <c r="Q680" t="s">
        <v>2213</v>
      </c>
      <c r="R680" t="s">
        <v>237</v>
      </c>
      <c r="S680" t="s">
        <v>550</v>
      </c>
      <c r="T680" t="s">
        <v>550</v>
      </c>
      <c r="U680" t="s">
        <v>550</v>
      </c>
      <c r="V680" t="s">
        <v>3127</v>
      </c>
      <c r="W680" t="s">
        <v>869</v>
      </c>
      <c r="X680" t="s">
        <v>870</v>
      </c>
      <c r="Y680" t="s">
        <v>847</v>
      </c>
      <c r="Z680" t="s">
        <v>3126</v>
      </c>
    </row>
    <row r="681" spans="1:26" x14ac:dyDescent="0.3">
      <c r="A681" t="s">
        <v>525</v>
      </c>
      <c r="B681" t="s">
        <v>3128</v>
      </c>
      <c r="C681" t="s">
        <v>3129</v>
      </c>
      <c r="D681" t="s">
        <v>550</v>
      </c>
      <c r="E681" t="s">
        <v>859</v>
      </c>
      <c r="F681" t="s">
        <v>860</v>
      </c>
      <c r="G681" s="1">
        <v>43102</v>
      </c>
      <c r="H681" s="1">
        <v>43465</v>
      </c>
      <c r="I681" t="s">
        <v>665</v>
      </c>
      <c r="J681" t="s">
        <v>861</v>
      </c>
      <c r="K681" t="s">
        <v>862</v>
      </c>
      <c r="L681" t="s">
        <v>863</v>
      </c>
      <c r="M681" t="s">
        <v>971</v>
      </c>
      <c r="N681" t="s">
        <v>972</v>
      </c>
      <c r="O681" t="s">
        <v>866</v>
      </c>
      <c r="P681" t="s">
        <v>867</v>
      </c>
      <c r="Q681" t="s">
        <v>2213</v>
      </c>
      <c r="R681" t="s">
        <v>237</v>
      </c>
      <c r="S681" t="s">
        <v>550</v>
      </c>
      <c r="T681" t="s">
        <v>550</v>
      </c>
      <c r="U681" t="s">
        <v>550</v>
      </c>
      <c r="V681" t="s">
        <v>3130</v>
      </c>
      <c r="W681" t="s">
        <v>869</v>
      </c>
      <c r="X681" t="s">
        <v>870</v>
      </c>
      <c r="Y681" t="s">
        <v>847</v>
      </c>
      <c r="Z681" t="s">
        <v>3128</v>
      </c>
    </row>
    <row r="682" spans="1:26" x14ac:dyDescent="0.3">
      <c r="A682" t="s">
        <v>525</v>
      </c>
      <c r="B682" t="s">
        <v>3131</v>
      </c>
      <c r="C682" t="s">
        <v>3118</v>
      </c>
      <c r="D682" t="s">
        <v>3128</v>
      </c>
      <c r="E682" t="s">
        <v>664</v>
      </c>
      <c r="F682" t="s">
        <v>27</v>
      </c>
      <c r="G682" s="1">
        <v>43102</v>
      </c>
      <c r="H682" s="1">
        <v>43465</v>
      </c>
      <c r="I682" t="s">
        <v>665</v>
      </c>
      <c r="J682" t="s">
        <v>666</v>
      </c>
      <c r="K682" t="s">
        <v>862</v>
      </c>
      <c r="L682" t="s">
        <v>863</v>
      </c>
      <c r="M682" t="s">
        <v>971</v>
      </c>
      <c r="N682" t="s">
        <v>972</v>
      </c>
      <c r="O682" t="s">
        <v>866</v>
      </c>
      <c r="P682" t="s">
        <v>867</v>
      </c>
      <c r="Q682" t="s">
        <v>2213</v>
      </c>
      <c r="R682" t="s">
        <v>237</v>
      </c>
      <c r="S682" t="s">
        <v>550</v>
      </c>
      <c r="T682" t="s">
        <v>550</v>
      </c>
      <c r="U682" t="s">
        <v>550</v>
      </c>
      <c r="V682" t="s">
        <v>3132</v>
      </c>
      <c r="W682" t="s">
        <v>869</v>
      </c>
      <c r="X682" t="s">
        <v>870</v>
      </c>
      <c r="Y682" t="s">
        <v>847</v>
      </c>
      <c r="Z682" t="s">
        <v>3131</v>
      </c>
    </row>
    <row r="683" spans="1:26" x14ac:dyDescent="0.3">
      <c r="A683" t="s">
        <v>525</v>
      </c>
      <c r="B683" t="s">
        <v>3133</v>
      </c>
      <c r="C683" t="s">
        <v>3134</v>
      </c>
      <c r="D683" t="s">
        <v>550</v>
      </c>
      <c r="E683" t="s">
        <v>664</v>
      </c>
      <c r="F683" t="s">
        <v>27</v>
      </c>
      <c r="G683" s="1">
        <v>43102</v>
      </c>
      <c r="H683" s="1">
        <v>43465</v>
      </c>
      <c r="I683" t="s">
        <v>665</v>
      </c>
      <c r="J683" t="s">
        <v>666</v>
      </c>
      <c r="K683" t="s">
        <v>958</v>
      </c>
      <c r="L683" t="s">
        <v>863</v>
      </c>
      <c r="M683" t="s">
        <v>971</v>
      </c>
      <c r="N683" t="s">
        <v>972</v>
      </c>
      <c r="O683" t="s">
        <v>866</v>
      </c>
      <c r="P683" t="s">
        <v>867</v>
      </c>
      <c r="Q683" t="s">
        <v>2213</v>
      </c>
      <c r="R683" t="s">
        <v>237</v>
      </c>
      <c r="S683" t="s">
        <v>550</v>
      </c>
      <c r="T683" t="s">
        <v>550</v>
      </c>
      <c r="U683" t="s">
        <v>550</v>
      </c>
      <c r="V683" t="s">
        <v>3135</v>
      </c>
      <c r="W683" t="s">
        <v>869</v>
      </c>
      <c r="X683" t="s">
        <v>870</v>
      </c>
      <c r="Y683" t="s">
        <v>847</v>
      </c>
      <c r="Z683" t="s">
        <v>3133</v>
      </c>
    </row>
    <row r="684" spans="1:26" x14ac:dyDescent="0.3">
      <c r="A684" t="s">
        <v>525</v>
      </c>
      <c r="B684" t="s">
        <v>3136</v>
      </c>
      <c r="C684" t="s">
        <v>3137</v>
      </c>
      <c r="D684" t="s">
        <v>3133</v>
      </c>
      <c r="E684" t="s">
        <v>3138</v>
      </c>
      <c r="F684" t="s">
        <v>3139</v>
      </c>
      <c r="G684" s="1">
        <v>43102</v>
      </c>
      <c r="H684" s="1">
        <v>43465</v>
      </c>
      <c r="I684" t="s">
        <v>665</v>
      </c>
      <c r="J684" t="s">
        <v>3140</v>
      </c>
      <c r="K684" t="s">
        <v>958</v>
      </c>
      <c r="L684" t="s">
        <v>863</v>
      </c>
      <c r="M684" t="s">
        <v>971</v>
      </c>
      <c r="N684" t="s">
        <v>972</v>
      </c>
      <c r="O684" t="s">
        <v>866</v>
      </c>
      <c r="P684" t="s">
        <v>867</v>
      </c>
      <c r="Q684" t="s">
        <v>2213</v>
      </c>
      <c r="R684" t="s">
        <v>237</v>
      </c>
      <c r="S684" t="s">
        <v>550</v>
      </c>
      <c r="T684" t="s">
        <v>550</v>
      </c>
      <c r="U684" t="s">
        <v>550</v>
      </c>
      <c r="V684" t="s">
        <v>3141</v>
      </c>
      <c r="W684" t="s">
        <v>869</v>
      </c>
      <c r="X684" t="s">
        <v>870</v>
      </c>
      <c r="Y684" t="s">
        <v>847</v>
      </c>
      <c r="Z684" t="s">
        <v>3136</v>
      </c>
    </row>
    <row r="685" spans="1:26" x14ac:dyDescent="0.3">
      <c r="A685" t="s">
        <v>525</v>
      </c>
      <c r="B685" t="s">
        <v>3142</v>
      </c>
      <c r="C685" t="s">
        <v>3143</v>
      </c>
      <c r="D685" t="s">
        <v>3144</v>
      </c>
      <c r="E685" t="s">
        <v>982</v>
      </c>
      <c r="F685" t="s">
        <v>983</v>
      </c>
      <c r="G685" s="1">
        <v>43102</v>
      </c>
      <c r="H685" s="1">
        <v>43465</v>
      </c>
      <c r="I685" t="s">
        <v>665</v>
      </c>
      <c r="J685" t="s">
        <v>984</v>
      </c>
      <c r="K685" t="s">
        <v>900</v>
      </c>
      <c r="L685" t="s">
        <v>901</v>
      </c>
      <c r="M685" t="s">
        <v>971</v>
      </c>
      <c r="N685" t="s">
        <v>972</v>
      </c>
      <c r="O685" t="s">
        <v>866</v>
      </c>
      <c r="P685" t="s">
        <v>867</v>
      </c>
      <c r="Q685" t="s">
        <v>2213</v>
      </c>
      <c r="R685" t="s">
        <v>237</v>
      </c>
      <c r="S685" t="s">
        <v>550</v>
      </c>
      <c r="T685" t="s">
        <v>550</v>
      </c>
      <c r="U685" t="s">
        <v>550</v>
      </c>
      <c r="V685" t="s">
        <v>3145</v>
      </c>
      <c r="W685" t="s">
        <v>869</v>
      </c>
      <c r="X685" t="s">
        <v>870</v>
      </c>
      <c r="Y685" t="s">
        <v>847</v>
      </c>
      <c r="Z685" t="s">
        <v>3142</v>
      </c>
    </row>
    <row r="686" spans="1:26" x14ac:dyDescent="0.3">
      <c r="A686" t="s">
        <v>525</v>
      </c>
      <c r="B686" t="s">
        <v>3146</v>
      </c>
      <c r="C686" t="s">
        <v>3147</v>
      </c>
      <c r="D686" t="s">
        <v>550</v>
      </c>
      <c r="E686" t="s">
        <v>859</v>
      </c>
      <c r="F686" t="s">
        <v>860</v>
      </c>
      <c r="G686" s="1">
        <v>43102</v>
      </c>
      <c r="H686" s="1">
        <v>43465</v>
      </c>
      <c r="I686" t="s">
        <v>665</v>
      </c>
      <c r="J686" t="s">
        <v>861</v>
      </c>
      <c r="K686" t="s">
        <v>862</v>
      </c>
      <c r="L686" t="s">
        <v>863</v>
      </c>
      <c r="M686" t="s">
        <v>971</v>
      </c>
      <c r="N686" t="s">
        <v>972</v>
      </c>
      <c r="O686" t="s">
        <v>866</v>
      </c>
      <c r="P686" t="s">
        <v>867</v>
      </c>
      <c r="Q686" t="s">
        <v>2213</v>
      </c>
      <c r="R686" t="s">
        <v>237</v>
      </c>
      <c r="S686" t="s">
        <v>550</v>
      </c>
      <c r="T686" t="s">
        <v>550</v>
      </c>
      <c r="U686" t="s">
        <v>550</v>
      </c>
      <c r="V686" t="s">
        <v>3148</v>
      </c>
      <c r="W686" t="s">
        <v>869</v>
      </c>
      <c r="X686" t="s">
        <v>870</v>
      </c>
      <c r="Y686" t="s">
        <v>847</v>
      </c>
      <c r="Z686" t="s">
        <v>3146</v>
      </c>
    </row>
    <row r="687" spans="1:26" x14ac:dyDescent="0.3">
      <c r="A687" t="s">
        <v>525</v>
      </c>
      <c r="B687" t="s">
        <v>3149</v>
      </c>
      <c r="C687" t="s">
        <v>3150</v>
      </c>
      <c r="D687" t="s">
        <v>550</v>
      </c>
      <c r="E687" t="s">
        <v>3151</v>
      </c>
      <c r="F687" t="s">
        <v>3152</v>
      </c>
      <c r="G687" s="1">
        <v>43102</v>
      </c>
      <c r="H687" s="1">
        <v>43465</v>
      </c>
      <c r="I687" t="s">
        <v>665</v>
      </c>
      <c r="J687" t="s">
        <v>3153</v>
      </c>
      <c r="K687" t="s">
        <v>24</v>
      </c>
      <c r="L687" t="s">
        <v>863</v>
      </c>
      <c r="M687" t="s">
        <v>971</v>
      </c>
      <c r="N687" t="s">
        <v>972</v>
      </c>
      <c r="O687" t="s">
        <v>866</v>
      </c>
      <c r="P687" t="s">
        <v>867</v>
      </c>
      <c r="Q687" t="s">
        <v>2213</v>
      </c>
      <c r="R687" t="s">
        <v>237</v>
      </c>
      <c r="S687" t="s">
        <v>550</v>
      </c>
      <c r="T687" t="s">
        <v>550</v>
      </c>
      <c r="U687" t="s">
        <v>550</v>
      </c>
      <c r="V687" t="s">
        <v>3154</v>
      </c>
      <c r="W687" t="s">
        <v>869</v>
      </c>
      <c r="X687" t="s">
        <v>870</v>
      </c>
      <c r="Y687" t="s">
        <v>847</v>
      </c>
      <c r="Z687" t="s">
        <v>3149</v>
      </c>
    </row>
    <row r="688" spans="1:26" x14ac:dyDescent="0.3">
      <c r="A688" t="s">
        <v>525</v>
      </c>
      <c r="B688" t="s">
        <v>3155</v>
      </c>
      <c r="C688" t="s">
        <v>3156</v>
      </c>
      <c r="D688" t="s">
        <v>3133</v>
      </c>
      <c r="E688" t="s">
        <v>3157</v>
      </c>
      <c r="F688" t="s">
        <v>3158</v>
      </c>
      <c r="G688" s="1">
        <v>43102</v>
      </c>
      <c r="H688" s="1">
        <v>43465</v>
      </c>
      <c r="I688" t="s">
        <v>665</v>
      </c>
      <c r="J688" t="s">
        <v>3159</v>
      </c>
      <c r="K688" t="s">
        <v>958</v>
      </c>
      <c r="L688" t="s">
        <v>863</v>
      </c>
      <c r="M688" t="s">
        <v>971</v>
      </c>
      <c r="N688" t="s">
        <v>972</v>
      </c>
      <c r="O688" t="s">
        <v>866</v>
      </c>
      <c r="P688" t="s">
        <v>867</v>
      </c>
      <c r="Q688" t="s">
        <v>2213</v>
      </c>
      <c r="R688" t="s">
        <v>237</v>
      </c>
      <c r="S688" t="s">
        <v>550</v>
      </c>
      <c r="T688" t="s">
        <v>550</v>
      </c>
      <c r="U688" t="s">
        <v>550</v>
      </c>
      <c r="V688" t="s">
        <v>3160</v>
      </c>
      <c r="W688" t="s">
        <v>869</v>
      </c>
      <c r="X688" t="s">
        <v>870</v>
      </c>
      <c r="Y688" t="s">
        <v>847</v>
      </c>
      <c r="Z688" t="s">
        <v>3155</v>
      </c>
    </row>
    <row r="689" spans="1:26" x14ac:dyDescent="0.3">
      <c r="A689" t="s">
        <v>525</v>
      </c>
      <c r="B689" t="s">
        <v>3161</v>
      </c>
      <c r="C689" t="s">
        <v>3162</v>
      </c>
      <c r="D689" t="s">
        <v>3133</v>
      </c>
      <c r="E689" t="s">
        <v>1374</v>
      </c>
      <c r="F689" t="s">
        <v>1375</v>
      </c>
      <c r="G689" s="1">
        <v>43102</v>
      </c>
      <c r="H689" s="1">
        <v>43465</v>
      </c>
      <c r="I689" t="s">
        <v>665</v>
      </c>
      <c r="J689" t="s">
        <v>1376</v>
      </c>
      <c r="K689" t="s">
        <v>862</v>
      </c>
      <c r="L689" t="s">
        <v>863</v>
      </c>
      <c r="M689" t="s">
        <v>971</v>
      </c>
      <c r="N689" t="s">
        <v>972</v>
      </c>
      <c r="O689" t="s">
        <v>866</v>
      </c>
      <c r="P689" t="s">
        <v>867</v>
      </c>
      <c r="Q689" t="s">
        <v>2213</v>
      </c>
      <c r="R689" t="s">
        <v>237</v>
      </c>
      <c r="S689" t="s">
        <v>550</v>
      </c>
      <c r="T689" t="s">
        <v>550</v>
      </c>
      <c r="U689" t="s">
        <v>550</v>
      </c>
      <c r="V689" t="s">
        <v>3163</v>
      </c>
      <c r="W689" t="s">
        <v>869</v>
      </c>
      <c r="X689" t="s">
        <v>870</v>
      </c>
      <c r="Y689" t="s">
        <v>847</v>
      </c>
      <c r="Z689" t="s">
        <v>3161</v>
      </c>
    </row>
    <row r="690" spans="1:26" x14ac:dyDescent="0.3">
      <c r="A690" t="s">
        <v>525</v>
      </c>
      <c r="B690" t="s">
        <v>3164</v>
      </c>
      <c r="C690" t="s">
        <v>3165</v>
      </c>
      <c r="D690" t="s">
        <v>3133</v>
      </c>
      <c r="E690" t="s">
        <v>3166</v>
      </c>
      <c r="F690" t="s">
        <v>3167</v>
      </c>
      <c r="G690" s="1">
        <v>43102</v>
      </c>
      <c r="H690" s="1">
        <v>43465</v>
      </c>
      <c r="I690" t="s">
        <v>665</v>
      </c>
      <c r="J690" t="s">
        <v>3168</v>
      </c>
      <c r="K690" t="s">
        <v>862</v>
      </c>
      <c r="L690" t="s">
        <v>863</v>
      </c>
      <c r="M690" t="s">
        <v>971</v>
      </c>
      <c r="N690" t="s">
        <v>972</v>
      </c>
      <c r="O690" t="s">
        <v>866</v>
      </c>
      <c r="P690" t="s">
        <v>867</v>
      </c>
      <c r="Q690" t="s">
        <v>2213</v>
      </c>
      <c r="R690" t="s">
        <v>237</v>
      </c>
      <c r="S690" t="s">
        <v>550</v>
      </c>
      <c r="T690" t="s">
        <v>550</v>
      </c>
      <c r="U690" t="s">
        <v>550</v>
      </c>
      <c r="V690" t="s">
        <v>3169</v>
      </c>
      <c r="W690" t="s">
        <v>869</v>
      </c>
      <c r="X690" t="s">
        <v>870</v>
      </c>
      <c r="Y690" t="s">
        <v>847</v>
      </c>
      <c r="Z690" t="s">
        <v>3164</v>
      </c>
    </row>
    <row r="691" spans="1:26" x14ac:dyDescent="0.3">
      <c r="A691" t="s">
        <v>525</v>
      </c>
      <c r="B691" t="s">
        <v>3170</v>
      </c>
      <c r="C691" t="s">
        <v>3171</v>
      </c>
      <c r="D691" t="s">
        <v>3133</v>
      </c>
      <c r="E691" t="s">
        <v>3172</v>
      </c>
      <c r="F691" t="s">
        <v>3173</v>
      </c>
      <c r="G691" s="1">
        <v>43102</v>
      </c>
      <c r="H691" s="1">
        <v>43465</v>
      </c>
      <c r="I691" t="s">
        <v>665</v>
      </c>
      <c r="J691" t="s">
        <v>3174</v>
      </c>
      <c r="K691" t="s">
        <v>958</v>
      </c>
      <c r="L691" t="s">
        <v>863</v>
      </c>
      <c r="M691" t="s">
        <v>971</v>
      </c>
      <c r="N691" t="s">
        <v>972</v>
      </c>
      <c r="O691" t="s">
        <v>866</v>
      </c>
      <c r="P691" t="s">
        <v>867</v>
      </c>
      <c r="Q691" t="s">
        <v>2213</v>
      </c>
      <c r="R691" t="s">
        <v>237</v>
      </c>
      <c r="S691" t="s">
        <v>550</v>
      </c>
      <c r="T691" t="s">
        <v>550</v>
      </c>
      <c r="U691" t="s">
        <v>550</v>
      </c>
      <c r="V691" t="s">
        <v>3175</v>
      </c>
      <c r="W691" t="s">
        <v>869</v>
      </c>
      <c r="X691" t="s">
        <v>870</v>
      </c>
      <c r="Y691" t="s">
        <v>847</v>
      </c>
      <c r="Z691" t="s">
        <v>3170</v>
      </c>
    </row>
    <row r="692" spans="1:26" x14ac:dyDescent="0.3">
      <c r="A692" t="s">
        <v>525</v>
      </c>
      <c r="B692" t="s">
        <v>3176</v>
      </c>
      <c r="C692" t="s">
        <v>3177</v>
      </c>
      <c r="D692" t="s">
        <v>3040</v>
      </c>
      <c r="E692" t="s">
        <v>1878</v>
      </c>
      <c r="F692" t="s">
        <v>1879</v>
      </c>
      <c r="G692" s="1">
        <v>43102</v>
      </c>
      <c r="H692" s="1">
        <v>43465</v>
      </c>
      <c r="I692" t="s">
        <v>665</v>
      </c>
      <c r="J692" t="s">
        <v>1880</v>
      </c>
      <c r="K692" t="s">
        <v>862</v>
      </c>
      <c r="L692" t="s">
        <v>863</v>
      </c>
      <c r="M692" t="s">
        <v>866</v>
      </c>
      <c r="N692" t="s">
        <v>867</v>
      </c>
      <c r="O692" t="s">
        <v>866</v>
      </c>
      <c r="P692" t="s">
        <v>867</v>
      </c>
      <c r="Q692" t="s">
        <v>2213</v>
      </c>
      <c r="R692" t="s">
        <v>237</v>
      </c>
      <c r="S692" t="s">
        <v>550</v>
      </c>
      <c r="T692" t="s">
        <v>550</v>
      </c>
      <c r="U692" t="s">
        <v>550</v>
      </c>
      <c r="V692" t="s">
        <v>3178</v>
      </c>
      <c r="W692" t="s">
        <v>869</v>
      </c>
      <c r="X692" t="s">
        <v>870</v>
      </c>
      <c r="Y692" t="s">
        <v>847</v>
      </c>
      <c r="Z692" t="s">
        <v>3176</v>
      </c>
    </row>
    <row r="693" spans="1:26" x14ac:dyDescent="0.3">
      <c r="A693" t="s">
        <v>525</v>
      </c>
      <c r="B693" t="s">
        <v>3179</v>
      </c>
      <c r="C693" t="s">
        <v>3180</v>
      </c>
      <c r="D693" t="s">
        <v>3043</v>
      </c>
      <c r="E693" t="s">
        <v>2050</v>
      </c>
      <c r="F693" t="s">
        <v>2051</v>
      </c>
      <c r="G693" s="1">
        <v>43102</v>
      </c>
      <c r="H693" s="1">
        <v>43465</v>
      </c>
      <c r="I693" t="s">
        <v>665</v>
      </c>
      <c r="J693" t="s">
        <v>2052</v>
      </c>
      <c r="K693" t="s">
        <v>3181</v>
      </c>
      <c r="L693" t="s">
        <v>863</v>
      </c>
      <c r="M693" t="s">
        <v>866</v>
      </c>
      <c r="N693" t="s">
        <v>867</v>
      </c>
      <c r="O693" t="s">
        <v>866</v>
      </c>
      <c r="P693" t="s">
        <v>867</v>
      </c>
      <c r="Q693" t="s">
        <v>2213</v>
      </c>
      <c r="R693" t="s">
        <v>237</v>
      </c>
      <c r="S693" t="s">
        <v>550</v>
      </c>
      <c r="T693" t="s">
        <v>550</v>
      </c>
      <c r="U693" t="s">
        <v>550</v>
      </c>
      <c r="V693" t="s">
        <v>3182</v>
      </c>
      <c r="W693" t="s">
        <v>869</v>
      </c>
      <c r="X693" t="s">
        <v>870</v>
      </c>
      <c r="Y693" t="s">
        <v>847</v>
      </c>
      <c r="Z693" t="s">
        <v>3179</v>
      </c>
    </row>
    <row r="694" spans="1:26" x14ac:dyDescent="0.3">
      <c r="A694" t="s">
        <v>525</v>
      </c>
      <c r="B694" t="s">
        <v>3183</v>
      </c>
      <c r="C694" t="s">
        <v>3184</v>
      </c>
      <c r="D694" t="s">
        <v>550</v>
      </c>
      <c r="E694" t="s">
        <v>2128</v>
      </c>
      <c r="F694" t="s">
        <v>2129</v>
      </c>
      <c r="G694" s="1">
        <v>43102</v>
      </c>
      <c r="H694" s="1">
        <v>44196</v>
      </c>
      <c r="I694" t="s">
        <v>665</v>
      </c>
      <c r="J694" t="s">
        <v>2130</v>
      </c>
      <c r="K694" t="s">
        <v>808</v>
      </c>
      <c r="L694" t="s">
        <v>863</v>
      </c>
      <c r="M694" t="s">
        <v>866</v>
      </c>
      <c r="N694" t="s">
        <v>867</v>
      </c>
      <c r="O694" t="s">
        <v>866</v>
      </c>
      <c r="P694" t="s">
        <v>867</v>
      </c>
      <c r="Q694" t="s">
        <v>2213</v>
      </c>
      <c r="R694" t="s">
        <v>237</v>
      </c>
      <c r="S694" t="s">
        <v>550</v>
      </c>
      <c r="T694" t="s">
        <v>550</v>
      </c>
      <c r="U694" t="s">
        <v>550</v>
      </c>
      <c r="V694" t="s">
        <v>3185</v>
      </c>
      <c r="W694" t="s">
        <v>869</v>
      </c>
      <c r="X694" t="s">
        <v>870</v>
      </c>
      <c r="Y694" t="s">
        <v>847</v>
      </c>
      <c r="Z694" t="s">
        <v>3183</v>
      </c>
    </row>
    <row r="695" spans="1:26" x14ac:dyDescent="0.3">
      <c r="A695" t="s">
        <v>525</v>
      </c>
      <c r="B695" t="s">
        <v>3186</v>
      </c>
      <c r="C695" t="s">
        <v>3118</v>
      </c>
      <c r="D695" t="s">
        <v>3183</v>
      </c>
      <c r="E695" t="s">
        <v>664</v>
      </c>
      <c r="F695" t="s">
        <v>27</v>
      </c>
      <c r="G695" s="1">
        <v>43102</v>
      </c>
      <c r="H695" s="1">
        <v>43465</v>
      </c>
      <c r="I695" t="s">
        <v>665</v>
      </c>
      <c r="J695" t="s">
        <v>666</v>
      </c>
      <c r="K695" t="s">
        <v>808</v>
      </c>
      <c r="L695" t="s">
        <v>863</v>
      </c>
      <c r="M695" t="s">
        <v>866</v>
      </c>
      <c r="N695" t="s">
        <v>867</v>
      </c>
      <c r="O695" t="s">
        <v>866</v>
      </c>
      <c r="P695" t="s">
        <v>867</v>
      </c>
      <c r="Q695" t="s">
        <v>2213</v>
      </c>
      <c r="R695" t="s">
        <v>237</v>
      </c>
      <c r="S695" t="s">
        <v>550</v>
      </c>
      <c r="T695" t="s">
        <v>550</v>
      </c>
      <c r="U695" t="s">
        <v>550</v>
      </c>
      <c r="V695" t="s">
        <v>3187</v>
      </c>
      <c r="W695" t="s">
        <v>869</v>
      </c>
      <c r="X695" t="s">
        <v>870</v>
      </c>
      <c r="Y695" t="s">
        <v>847</v>
      </c>
      <c r="Z695" t="s">
        <v>3186</v>
      </c>
    </row>
    <row r="696" spans="1:26" x14ac:dyDescent="0.3">
      <c r="A696" t="s">
        <v>525</v>
      </c>
      <c r="B696" t="s">
        <v>3188</v>
      </c>
      <c r="C696" t="s">
        <v>3189</v>
      </c>
      <c r="D696" t="s">
        <v>550</v>
      </c>
      <c r="E696" t="s">
        <v>2140</v>
      </c>
      <c r="F696" t="s">
        <v>2141</v>
      </c>
      <c r="G696" s="1">
        <v>43102</v>
      </c>
      <c r="H696" s="1">
        <v>43465</v>
      </c>
      <c r="I696" t="s">
        <v>665</v>
      </c>
      <c r="J696" t="s">
        <v>3190</v>
      </c>
      <c r="K696" t="s">
        <v>808</v>
      </c>
      <c r="L696" t="s">
        <v>863</v>
      </c>
      <c r="M696" t="s">
        <v>866</v>
      </c>
      <c r="N696" t="s">
        <v>867</v>
      </c>
      <c r="O696" t="s">
        <v>866</v>
      </c>
      <c r="P696" t="s">
        <v>867</v>
      </c>
      <c r="Q696" t="s">
        <v>2213</v>
      </c>
      <c r="R696" t="s">
        <v>237</v>
      </c>
      <c r="S696" t="s">
        <v>550</v>
      </c>
      <c r="T696" t="s">
        <v>550</v>
      </c>
      <c r="U696" t="s">
        <v>550</v>
      </c>
      <c r="V696" t="s">
        <v>3191</v>
      </c>
      <c r="W696" t="s">
        <v>869</v>
      </c>
      <c r="X696" t="s">
        <v>870</v>
      </c>
      <c r="Y696" t="s">
        <v>847</v>
      </c>
      <c r="Z696" t="s">
        <v>3188</v>
      </c>
    </row>
    <row r="697" spans="1:26" x14ac:dyDescent="0.3">
      <c r="A697" t="s">
        <v>525</v>
      </c>
      <c r="B697" t="s">
        <v>3192</v>
      </c>
      <c r="C697" t="s">
        <v>3104</v>
      </c>
      <c r="D697" t="s">
        <v>3188</v>
      </c>
      <c r="E697" t="s">
        <v>664</v>
      </c>
      <c r="F697" t="s">
        <v>27</v>
      </c>
      <c r="G697" s="1">
        <v>43102</v>
      </c>
      <c r="H697" s="1">
        <v>43465</v>
      </c>
      <c r="I697" t="s">
        <v>665</v>
      </c>
      <c r="J697" t="s">
        <v>666</v>
      </c>
      <c r="K697" t="s">
        <v>808</v>
      </c>
      <c r="L697" t="s">
        <v>863</v>
      </c>
      <c r="M697" t="s">
        <v>866</v>
      </c>
      <c r="N697" t="s">
        <v>867</v>
      </c>
      <c r="O697" t="s">
        <v>866</v>
      </c>
      <c r="P697" t="s">
        <v>867</v>
      </c>
      <c r="Q697" t="s">
        <v>2213</v>
      </c>
      <c r="R697" t="s">
        <v>237</v>
      </c>
      <c r="S697" t="s">
        <v>550</v>
      </c>
      <c r="T697" t="s">
        <v>550</v>
      </c>
      <c r="U697" t="s">
        <v>550</v>
      </c>
      <c r="V697" t="s">
        <v>3193</v>
      </c>
      <c r="W697" t="s">
        <v>869</v>
      </c>
      <c r="X697" t="s">
        <v>870</v>
      </c>
      <c r="Y697" t="s">
        <v>847</v>
      </c>
      <c r="Z697" t="s">
        <v>3192</v>
      </c>
    </row>
    <row r="698" spans="1:26" x14ac:dyDescent="0.3">
      <c r="A698" t="s">
        <v>525</v>
      </c>
      <c r="B698" t="s">
        <v>3144</v>
      </c>
      <c r="C698" t="s">
        <v>3194</v>
      </c>
      <c r="D698" t="s">
        <v>550</v>
      </c>
      <c r="E698" t="s">
        <v>982</v>
      </c>
      <c r="F698" t="s">
        <v>983</v>
      </c>
      <c r="G698" s="1">
        <v>43102</v>
      </c>
      <c r="H698" s="1">
        <v>43465</v>
      </c>
      <c r="I698" t="s">
        <v>665</v>
      </c>
      <c r="J698" t="s">
        <v>984</v>
      </c>
      <c r="K698" t="s">
        <v>900</v>
      </c>
      <c r="L698" t="s">
        <v>901</v>
      </c>
      <c r="M698" t="s">
        <v>866</v>
      </c>
      <c r="N698" t="s">
        <v>867</v>
      </c>
      <c r="O698" t="s">
        <v>866</v>
      </c>
      <c r="P698" t="s">
        <v>867</v>
      </c>
      <c r="Q698" t="s">
        <v>2213</v>
      </c>
      <c r="R698" t="s">
        <v>237</v>
      </c>
      <c r="S698" t="s">
        <v>550</v>
      </c>
      <c r="T698" t="s">
        <v>550</v>
      </c>
      <c r="U698" t="s">
        <v>550</v>
      </c>
      <c r="V698" t="s">
        <v>3195</v>
      </c>
      <c r="W698" t="s">
        <v>869</v>
      </c>
      <c r="X698" t="s">
        <v>870</v>
      </c>
      <c r="Y698" t="s">
        <v>847</v>
      </c>
      <c r="Z698" t="s">
        <v>3144</v>
      </c>
    </row>
    <row r="699" spans="1:26" x14ac:dyDescent="0.3">
      <c r="A699" t="s">
        <v>525</v>
      </c>
      <c r="B699" t="s">
        <v>3196</v>
      </c>
      <c r="C699" t="s">
        <v>3197</v>
      </c>
      <c r="D699" t="s">
        <v>550</v>
      </c>
      <c r="E699" t="s">
        <v>982</v>
      </c>
      <c r="F699" t="s">
        <v>983</v>
      </c>
      <c r="G699" s="1">
        <v>43102</v>
      </c>
      <c r="H699" s="1">
        <v>43465</v>
      </c>
      <c r="I699" t="s">
        <v>665</v>
      </c>
      <c r="J699" t="s">
        <v>984</v>
      </c>
      <c r="K699" t="s">
        <v>900</v>
      </c>
      <c r="L699" t="s">
        <v>901</v>
      </c>
      <c r="M699" t="s">
        <v>866</v>
      </c>
      <c r="N699" t="s">
        <v>867</v>
      </c>
      <c r="O699" t="s">
        <v>866</v>
      </c>
      <c r="P699" t="s">
        <v>867</v>
      </c>
      <c r="Q699" t="s">
        <v>2213</v>
      </c>
      <c r="R699" t="s">
        <v>237</v>
      </c>
      <c r="S699" t="s">
        <v>550</v>
      </c>
      <c r="T699" t="s">
        <v>550</v>
      </c>
      <c r="U699" t="s">
        <v>550</v>
      </c>
      <c r="V699" t="s">
        <v>3198</v>
      </c>
      <c r="W699" t="s">
        <v>869</v>
      </c>
      <c r="X699" t="s">
        <v>870</v>
      </c>
      <c r="Y699" t="s">
        <v>847</v>
      </c>
      <c r="Z699" t="s">
        <v>3196</v>
      </c>
    </row>
    <row r="700" spans="1:26" x14ac:dyDescent="0.3">
      <c r="A700" t="s">
        <v>525</v>
      </c>
      <c r="B700" t="s">
        <v>3199</v>
      </c>
      <c r="C700" t="s">
        <v>3200</v>
      </c>
      <c r="D700" t="s">
        <v>3196</v>
      </c>
      <c r="E700" t="s">
        <v>982</v>
      </c>
      <c r="F700" t="s">
        <v>983</v>
      </c>
      <c r="G700" s="1">
        <v>43102</v>
      </c>
      <c r="H700" s="1">
        <v>43465</v>
      </c>
      <c r="I700" t="s">
        <v>665</v>
      </c>
      <c r="J700" t="s">
        <v>984</v>
      </c>
      <c r="K700" t="s">
        <v>900</v>
      </c>
      <c r="L700" t="s">
        <v>901</v>
      </c>
      <c r="M700" t="s">
        <v>866</v>
      </c>
      <c r="N700" t="s">
        <v>867</v>
      </c>
      <c r="O700" t="s">
        <v>866</v>
      </c>
      <c r="P700" t="s">
        <v>867</v>
      </c>
      <c r="Q700" t="s">
        <v>2213</v>
      </c>
      <c r="R700" t="s">
        <v>237</v>
      </c>
      <c r="S700" t="s">
        <v>550</v>
      </c>
      <c r="T700" t="s">
        <v>550</v>
      </c>
      <c r="U700" t="s">
        <v>550</v>
      </c>
      <c r="V700" t="s">
        <v>3201</v>
      </c>
      <c r="W700" t="s">
        <v>869</v>
      </c>
      <c r="X700" t="s">
        <v>870</v>
      </c>
      <c r="Y700" t="s">
        <v>847</v>
      </c>
      <c r="Z700" t="s">
        <v>3199</v>
      </c>
    </row>
    <row r="701" spans="1:26" x14ac:dyDescent="0.3">
      <c r="A701" t="s">
        <v>525</v>
      </c>
      <c r="B701" t="s">
        <v>3202</v>
      </c>
      <c r="C701" t="s">
        <v>3203</v>
      </c>
      <c r="D701" t="s">
        <v>3196</v>
      </c>
      <c r="E701" t="s">
        <v>982</v>
      </c>
      <c r="F701" t="s">
        <v>983</v>
      </c>
      <c r="G701" s="1">
        <v>43102</v>
      </c>
      <c r="H701" s="1">
        <v>43465</v>
      </c>
      <c r="I701" t="s">
        <v>665</v>
      </c>
      <c r="J701" t="s">
        <v>984</v>
      </c>
      <c r="K701" t="s">
        <v>900</v>
      </c>
      <c r="L701" t="s">
        <v>901</v>
      </c>
      <c r="M701" t="s">
        <v>866</v>
      </c>
      <c r="N701" t="s">
        <v>867</v>
      </c>
      <c r="O701" t="s">
        <v>866</v>
      </c>
      <c r="P701" t="s">
        <v>867</v>
      </c>
      <c r="Q701" t="s">
        <v>2213</v>
      </c>
      <c r="R701" t="s">
        <v>237</v>
      </c>
      <c r="S701" t="s">
        <v>550</v>
      </c>
      <c r="T701" t="s">
        <v>550</v>
      </c>
      <c r="U701" t="s">
        <v>550</v>
      </c>
      <c r="V701" t="s">
        <v>3204</v>
      </c>
      <c r="W701" t="s">
        <v>869</v>
      </c>
      <c r="X701" t="s">
        <v>870</v>
      </c>
      <c r="Y701" t="s">
        <v>847</v>
      </c>
      <c r="Z701" t="s">
        <v>3202</v>
      </c>
    </row>
    <row r="702" spans="1:26" x14ac:dyDescent="0.3">
      <c r="A702" t="s">
        <v>525</v>
      </c>
      <c r="B702" t="s">
        <v>3205</v>
      </c>
      <c r="C702" t="s">
        <v>3206</v>
      </c>
      <c r="D702" t="s">
        <v>3196</v>
      </c>
      <c r="E702" t="s">
        <v>982</v>
      </c>
      <c r="F702" t="s">
        <v>983</v>
      </c>
      <c r="G702" s="1">
        <v>43102</v>
      </c>
      <c r="H702" s="1">
        <v>43465</v>
      </c>
      <c r="I702" t="s">
        <v>665</v>
      </c>
      <c r="J702" t="s">
        <v>984</v>
      </c>
      <c r="K702" t="s">
        <v>900</v>
      </c>
      <c r="L702" t="s">
        <v>901</v>
      </c>
      <c r="M702" t="s">
        <v>866</v>
      </c>
      <c r="N702" t="s">
        <v>867</v>
      </c>
      <c r="O702" t="s">
        <v>866</v>
      </c>
      <c r="P702" t="s">
        <v>867</v>
      </c>
      <c r="Q702" t="s">
        <v>2213</v>
      </c>
      <c r="R702" t="s">
        <v>237</v>
      </c>
      <c r="S702" t="s">
        <v>550</v>
      </c>
      <c r="T702" t="s">
        <v>550</v>
      </c>
      <c r="U702" t="s">
        <v>550</v>
      </c>
      <c r="V702" t="s">
        <v>3207</v>
      </c>
      <c r="W702" t="s">
        <v>869</v>
      </c>
      <c r="X702" t="s">
        <v>870</v>
      </c>
      <c r="Y702" t="s">
        <v>847</v>
      </c>
      <c r="Z702" t="s">
        <v>3205</v>
      </c>
    </row>
    <row r="703" spans="1:26" x14ac:dyDescent="0.3">
      <c r="A703" t="s">
        <v>525</v>
      </c>
      <c r="B703" t="s">
        <v>3208</v>
      </c>
      <c r="C703" t="s">
        <v>3209</v>
      </c>
      <c r="D703" t="s">
        <v>3196</v>
      </c>
      <c r="E703" t="s">
        <v>982</v>
      </c>
      <c r="F703" t="s">
        <v>983</v>
      </c>
      <c r="G703" s="1">
        <v>43102</v>
      </c>
      <c r="H703" s="1">
        <v>43465</v>
      </c>
      <c r="I703" t="s">
        <v>665</v>
      </c>
      <c r="J703" t="s">
        <v>984</v>
      </c>
      <c r="K703" t="s">
        <v>900</v>
      </c>
      <c r="L703" t="s">
        <v>901</v>
      </c>
      <c r="M703" t="s">
        <v>866</v>
      </c>
      <c r="N703" t="s">
        <v>867</v>
      </c>
      <c r="O703" t="s">
        <v>866</v>
      </c>
      <c r="P703" t="s">
        <v>867</v>
      </c>
      <c r="Q703" t="s">
        <v>2213</v>
      </c>
      <c r="R703" t="s">
        <v>237</v>
      </c>
      <c r="S703" t="s">
        <v>550</v>
      </c>
      <c r="T703" t="s">
        <v>550</v>
      </c>
      <c r="U703" t="s">
        <v>550</v>
      </c>
      <c r="V703" t="s">
        <v>3210</v>
      </c>
      <c r="W703" t="s">
        <v>869</v>
      </c>
      <c r="X703" t="s">
        <v>870</v>
      </c>
      <c r="Y703" t="s">
        <v>847</v>
      </c>
      <c r="Z703" t="s">
        <v>3208</v>
      </c>
    </row>
    <row r="704" spans="1:26" x14ac:dyDescent="0.3">
      <c r="A704" t="s">
        <v>525</v>
      </c>
      <c r="B704" t="s">
        <v>3211</v>
      </c>
      <c r="C704" t="s">
        <v>3212</v>
      </c>
      <c r="D704" t="s">
        <v>3196</v>
      </c>
      <c r="E704" t="s">
        <v>982</v>
      </c>
      <c r="F704" t="s">
        <v>983</v>
      </c>
      <c r="G704" s="1">
        <v>43102</v>
      </c>
      <c r="H704" s="1">
        <v>43465</v>
      </c>
      <c r="I704" t="s">
        <v>665</v>
      </c>
      <c r="J704" t="s">
        <v>984</v>
      </c>
      <c r="K704" t="s">
        <v>900</v>
      </c>
      <c r="L704" t="s">
        <v>901</v>
      </c>
      <c r="M704" t="s">
        <v>866</v>
      </c>
      <c r="N704" t="s">
        <v>867</v>
      </c>
      <c r="O704" t="s">
        <v>866</v>
      </c>
      <c r="P704" t="s">
        <v>867</v>
      </c>
      <c r="Q704" t="s">
        <v>2213</v>
      </c>
      <c r="R704" t="s">
        <v>237</v>
      </c>
      <c r="S704" t="s">
        <v>550</v>
      </c>
      <c r="T704" t="s">
        <v>550</v>
      </c>
      <c r="U704" t="s">
        <v>550</v>
      </c>
      <c r="V704" t="s">
        <v>3213</v>
      </c>
      <c r="W704" t="s">
        <v>869</v>
      </c>
      <c r="X704" t="s">
        <v>870</v>
      </c>
      <c r="Y704" t="s">
        <v>847</v>
      </c>
      <c r="Z704" t="s">
        <v>3211</v>
      </c>
    </row>
    <row r="705" spans="1:26" x14ac:dyDescent="0.3">
      <c r="A705" t="s">
        <v>525</v>
      </c>
      <c r="B705" t="s">
        <v>3214</v>
      </c>
      <c r="C705" t="s">
        <v>3215</v>
      </c>
      <c r="D705" t="s">
        <v>3133</v>
      </c>
      <c r="E705" t="s">
        <v>3216</v>
      </c>
      <c r="F705" t="s">
        <v>3217</v>
      </c>
      <c r="G705" s="1">
        <v>43102</v>
      </c>
      <c r="H705" s="1">
        <v>43465</v>
      </c>
      <c r="I705" t="s">
        <v>665</v>
      </c>
      <c r="J705" t="s">
        <v>3218</v>
      </c>
      <c r="K705" t="s">
        <v>808</v>
      </c>
      <c r="L705" t="s">
        <v>863</v>
      </c>
      <c r="M705" t="s">
        <v>866</v>
      </c>
      <c r="N705" t="s">
        <v>867</v>
      </c>
      <c r="O705" t="s">
        <v>866</v>
      </c>
      <c r="P705" t="s">
        <v>867</v>
      </c>
      <c r="Q705" t="s">
        <v>2213</v>
      </c>
      <c r="R705" t="s">
        <v>237</v>
      </c>
      <c r="S705" t="s">
        <v>550</v>
      </c>
      <c r="T705" t="s">
        <v>550</v>
      </c>
      <c r="U705" t="s">
        <v>550</v>
      </c>
      <c r="V705" t="s">
        <v>3219</v>
      </c>
      <c r="W705" t="s">
        <v>869</v>
      </c>
      <c r="X705" t="s">
        <v>870</v>
      </c>
      <c r="Y705" t="s">
        <v>847</v>
      </c>
      <c r="Z705" t="s">
        <v>3214</v>
      </c>
    </row>
    <row r="706" spans="1:26" x14ac:dyDescent="0.3">
      <c r="A706" t="s">
        <v>525</v>
      </c>
      <c r="B706" t="s">
        <v>3220</v>
      </c>
      <c r="C706" t="s">
        <v>3221</v>
      </c>
      <c r="D706" t="s">
        <v>3133</v>
      </c>
      <c r="E706" t="s">
        <v>3222</v>
      </c>
      <c r="F706" t="s">
        <v>3223</v>
      </c>
      <c r="G706" s="1">
        <v>43299</v>
      </c>
      <c r="H706" s="1">
        <v>43312</v>
      </c>
      <c r="I706" t="s">
        <v>665</v>
      </c>
      <c r="J706" t="s">
        <v>3224</v>
      </c>
      <c r="K706" t="s">
        <v>3225</v>
      </c>
      <c r="L706" t="s">
        <v>863</v>
      </c>
      <c r="M706" t="s">
        <v>866</v>
      </c>
      <c r="N706" t="s">
        <v>867</v>
      </c>
      <c r="O706" t="s">
        <v>866</v>
      </c>
      <c r="P706" t="s">
        <v>867</v>
      </c>
      <c r="Q706" t="s">
        <v>2213</v>
      </c>
      <c r="R706" t="s">
        <v>237</v>
      </c>
      <c r="S706" t="s">
        <v>550</v>
      </c>
      <c r="T706" t="s">
        <v>550</v>
      </c>
      <c r="U706" t="s">
        <v>550</v>
      </c>
      <c r="V706" t="s">
        <v>3226</v>
      </c>
      <c r="W706" t="s">
        <v>869</v>
      </c>
      <c r="X706" t="s">
        <v>870</v>
      </c>
      <c r="Y706" t="s">
        <v>847</v>
      </c>
      <c r="Z706" t="s">
        <v>3220</v>
      </c>
    </row>
    <row r="707" spans="1:26" x14ac:dyDescent="0.3">
      <c r="A707" t="s">
        <v>525</v>
      </c>
      <c r="B707" t="s">
        <v>3227</v>
      </c>
      <c r="C707" t="s">
        <v>3228</v>
      </c>
      <c r="D707" t="s">
        <v>3133</v>
      </c>
      <c r="E707" t="s">
        <v>3229</v>
      </c>
      <c r="F707" t="s">
        <v>3230</v>
      </c>
      <c r="G707" s="1">
        <v>43347</v>
      </c>
      <c r="H707" s="1">
        <v>43349</v>
      </c>
      <c r="I707" t="s">
        <v>665</v>
      </c>
      <c r="J707" t="s">
        <v>3231</v>
      </c>
      <c r="K707" t="s">
        <v>3232</v>
      </c>
      <c r="L707" t="s">
        <v>863</v>
      </c>
      <c r="M707" t="s">
        <v>866</v>
      </c>
      <c r="N707" t="s">
        <v>867</v>
      </c>
      <c r="O707" t="s">
        <v>866</v>
      </c>
      <c r="P707" t="s">
        <v>867</v>
      </c>
      <c r="Q707" t="s">
        <v>2213</v>
      </c>
      <c r="R707" t="s">
        <v>237</v>
      </c>
      <c r="S707" t="s">
        <v>550</v>
      </c>
      <c r="T707" t="s">
        <v>550</v>
      </c>
      <c r="U707" t="s">
        <v>550</v>
      </c>
      <c r="V707" t="s">
        <v>3233</v>
      </c>
      <c r="W707" t="s">
        <v>869</v>
      </c>
      <c r="X707" t="s">
        <v>870</v>
      </c>
      <c r="Y707" t="s">
        <v>847</v>
      </c>
      <c r="Z707" t="s">
        <v>3227</v>
      </c>
    </row>
    <row r="708" spans="1:26" x14ac:dyDescent="0.3">
      <c r="A708" t="s">
        <v>525</v>
      </c>
      <c r="B708" t="s">
        <v>3234</v>
      </c>
      <c r="C708" t="s">
        <v>3235</v>
      </c>
      <c r="D708" t="s">
        <v>3089</v>
      </c>
      <c r="E708" t="s">
        <v>1374</v>
      </c>
      <c r="F708" t="s">
        <v>1375</v>
      </c>
      <c r="G708" s="1">
        <v>43102</v>
      </c>
      <c r="H708" s="1">
        <v>43465</v>
      </c>
      <c r="I708" t="s">
        <v>665</v>
      </c>
      <c r="J708" t="s">
        <v>1376</v>
      </c>
      <c r="K708" t="s">
        <v>862</v>
      </c>
      <c r="L708" t="s">
        <v>863</v>
      </c>
      <c r="M708" t="s">
        <v>1377</v>
      </c>
      <c r="N708" t="s">
        <v>1378</v>
      </c>
      <c r="O708" t="s">
        <v>866</v>
      </c>
      <c r="P708" t="s">
        <v>867</v>
      </c>
      <c r="Q708" t="s">
        <v>2213</v>
      </c>
      <c r="R708" t="s">
        <v>237</v>
      </c>
      <c r="S708" t="s">
        <v>550</v>
      </c>
      <c r="T708" t="s">
        <v>550</v>
      </c>
      <c r="U708" t="s">
        <v>550</v>
      </c>
      <c r="V708" t="s">
        <v>3236</v>
      </c>
      <c r="W708" t="s">
        <v>869</v>
      </c>
      <c r="X708" t="s">
        <v>870</v>
      </c>
      <c r="Y708" t="s">
        <v>847</v>
      </c>
      <c r="Z708" t="s">
        <v>3234</v>
      </c>
    </row>
    <row r="709" spans="1:26" x14ac:dyDescent="0.3">
      <c r="A709" t="s">
        <v>525</v>
      </c>
      <c r="B709" t="s">
        <v>3237</v>
      </c>
      <c r="C709" t="s">
        <v>3238</v>
      </c>
      <c r="D709" t="s">
        <v>550</v>
      </c>
      <c r="E709" t="s">
        <v>3239</v>
      </c>
      <c r="F709" t="s">
        <v>3240</v>
      </c>
      <c r="G709" s="1">
        <v>43102</v>
      </c>
      <c r="H709" s="1">
        <v>43830</v>
      </c>
      <c r="I709" t="s">
        <v>665</v>
      </c>
      <c r="J709" t="s">
        <v>3241</v>
      </c>
      <c r="K709" t="s">
        <v>862</v>
      </c>
      <c r="L709" t="s">
        <v>863</v>
      </c>
      <c r="M709" t="s">
        <v>1377</v>
      </c>
      <c r="N709" t="s">
        <v>1378</v>
      </c>
      <c r="O709" t="s">
        <v>866</v>
      </c>
      <c r="P709" t="s">
        <v>867</v>
      </c>
      <c r="Q709" t="s">
        <v>2213</v>
      </c>
      <c r="R709" t="s">
        <v>237</v>
      </c>
      <c r="S709" t="s">
        <v>550</v>
      </c>
      <c r="T709" t="s">
        <v>550</v>
      </c>
      <c r="U709" t="s">
        <v>550</v>
      </c>
      <c r="V709" t="s">
        <v>3242</v>
      </c>
      <c r="W709" t="s">
        <v>869</v>
      </c>
      <c r="X709" t="s">
        <v>870</v>
      </c>
      <c r="Y709" t="s">
        <v>847</v>
      </c>
      <c r="Z709" t="s">
        <v>3237</v>
      </c>
    </row>
    <row r="710" spans="1:26" x14ac:dyDescent="0.3">
      <c r="A710" t="s">
        <v>525</v>
      </c>
      <c r="B710" t="s">
        <v>3243</v>
      </c>
      <c r="C710" t="s">
        <v>3244</v>
      </c>
      <c r="D710" t="s">
        <v>550</v>
      </c>
      <c r="E710" t="s">
        <v>859</v>
      </c>
      <c r="F710" t="s">
        <v>860</v>
      </c>
      <c r="G710" s="1">
        <v>43102</v>
      </c>
      <c r="H710" s="1">
        <v>43465</v>
      </c>
      <c r="I710" t="s">
        <v>665</v>
      </c>
      <c r="J710" t="s">
        <v>861</v>
      </c>
      <c r="K710" t="s">
        <v>862</v>
      </c>
      <c r="L710" t="s">
        <v>863</v>
      </c>
      <c r="M710" t="s">
        <v>864</v>
      </c>
      <c r="N710" t="s">
        <v>865</v>
      </c>
      <c r="O710" t="s">
        <v>866</v>
      </c>
      <c r="P710" t="s">
        <v>867</v>
      </c>
      <c r="Q710" t="s">
        <v>2213</v>
      </c>
      <c r="R710" t="s">
        <v>237</v>
      </c>
      <c r="S710" t="s">
        <v>550</v>
      </c>
      <c r="T710" t="s">
        <v>550</v>
      </c>
      <c r="U710" t="s">
        <v>550</v>
      </c>
      <c r="V710" t="s">
        <v>3245</v>
      </c>
      <c r="W710" t="s">
        <v>869</v>
      </c>
      <c r="X710" t="s">
        <v>870</v>
      </c>
      <c r="Y710" t="s">
        <v>847</v>
      </c>
      <c r="Z710" t="s">
        <v>3243</v>
      </c>
    </row>
    <row r="711" spans="1:26" x14ac:dyDescent="0.3">
      <c r="A711" t="s">
        <v>525</v>
      </c>
      <c r="B711" t="s">
        <v>3246</v>
      </c>
      <c r="C711" t="s">
        <v>3247</v>
      </c>
      <c r="D711" t="s">
        <v>3035</v>
      </c>
      <c r="E711" t="s">
        <v>1374</v>
      </c>
      <c r="F711" t="s">
        <v>1375</v>
      </c>
      <c r="G711" s="1">
        <v>43102</v>
      </c>
      <c r="H711" s="1">
        <v>43465</v>
      </c>
      <c r="I711" t="s">
        <v>665</v>
      </c>
      <c r="J711" t="s">
        <v>1376</v>
      </c>
      <c r="K711" t="s">
        <v>862</v>
      </c>
      <c r="L711" t="s">
        <v>863</v>
      </c>
      <c r="M711" t="s">
        <v>1377</v>
      </c>
      <c r="N711" t="s">
        <v>1378</v>
      </c>
      <c r="O711" t="s">
        <v>866</v>
      </c>
      <c r="P711" t="s">
        <v>867</v>
      </c>
      <c r="Q711" t="s">
        <v>2213</v>
      </c>
      <c r="R711" t="s">
        <v>237</v>
      </c>
      <c r="S711" t="s">
        <v>550</v>
      </c>
      <c r="T711" t="s">
        <v>550</v>
      </c>
      <c r="U711" t="s">
        <v>550</v>
      </c>
      <c r="V711" t="s">
        <v>3248</v>
      </c>
      <c r="W711" t="s">
        <v>869</v>
      </c>
      <c r="X711" t="s">
        <v>870</v>
      </c>
      <c r="Y711" t="s">
        <v>847</v>
      </c>
      <c r="Z711" t="s">
        <v>3246</v>
      </c>
    </row>
    <row r="712" spans="1:26" x14ac:dyDescent="0.3">
      <c r="A712" t="s">
        <v>525</v>
      </c>
      <c r="B712" t="s">
        <v>3249</v>
      </c>
      <c r="C712" t="s">
        <v>1475</v>
      </c>
      <c r="D712" t="s">
        <v>550</v>
      </c>
      <c r="E712" t="s">
        <v>664</v>
      </c>
      <c r="F712" t="s">
        <v>27</v>
      </c>
      <c r="G712" s="1">
        <v>43831</v>
      </c>
      <c r="H712" s="1">
        <v>44084</v>
      </c>
      <c r="I712" t="s">
        <v>665</v>
      </c>
      <c r="J712" t="s">
        <v>666</v>
      </c>
      <c r="K712" t="s">
        <v>24</v>
      </c>
      <c r="L712" t="s">
        <v>667</v>
      </c>
      <c r="M712" t="s">
        <v>873</v>
      </c>
      <c r="N712" t="s">
        <v>244</v>
      </c>
      <c r="O712" t="s">
        <v>1818</v>
      </c>
      <c r="Q712" t="s">
        <v>2213</v>
      </c>
      <c r="R712" t="s">
        <v>237</v>
      </c>
      <c r="S712" t="s">
        <v>550</v>
      </c>
      <c r="T712" t="s">
        <v>550</v>
      </c>
      <c r="U712" t="s">
        <v>550</v>
      </c>
      <c r="V712" t="s">
        <v>3250</v>
      </c>
      <c r="W712" t="s">
        <v>565</v>
      </c>
      <c r="X712" t="s">
        <v>669</v>
      </c>
      <c r="Y712" t="s">
        <v>856</v>
      </c>
      <c r="Z712" t="s">
        <v>3249</v>
      </c>
    </row>
    <row r="713" spans="1:26" x14ac:dyDescent="0.3">
      <c r="A713" t="s">
        <v>525</v>
      </c>
      <c r="B713" t="s">
        <v>3251</v>
      </c>
      <c r="C713" t="s">
        <v>3252</v>
      </c>
      <c r="D713" t="s">
        <v>550</v>
      </c>
      <c r="E713" t="s">
        <v>664</v>
      </c>
      <c r="F713" t="s">
        <v>27</v>
      </c>
      <c r="G713" s="1">
        <v>43346</v>
      </c>
      <c r="H713" s="1">
        <v>43357</v>
      </c>
      <c r="I713" t="s">
        <v>665</v>
      </c>
      <c r="J713" t="s">
        <v>666</v>
      </c>
      <c r="K713" t="s">
        <v>24</v>
      </c>
      <c r="L713" t="s">
        <v>667</v>
      </c>
      <c r="M713" t="s">
        <v>873</v>
      </c>
      <c r="N713" t="s">
        <v>244</v>
      </c>
      <c r="O713" t="s">
        <v>1818</v>
      </c>
      <c r="Q713" t="s">
        <v>2213</v>
      </c>
      <c r="R713" t="s">
        <v>237</v>
      </c>
      <c r="S713" t="s">
        <v>550</v>
      </c>
      <c r="T713" t="s">
        <v>550</v>
      </c>
      <c r="U713" t="s">
        <v>550</v>
      </c>
      <c r="V713" t="s">
        <v>3253</v>
      </c>
      <c r="W713" t="s">
        <v>875</v>
      </c>
      <c r="X713" t="s">
        <v>669</v>
      </c>
      <c r="Y713" t="s">
        <v>856</v>
      </c>
      <c r="Z713" t="s">
        <v>3251</v>
      </c>
    </row>
    <row r="714" spans="1:26" x14ac:dyDescent="0.3">
      <c r="A714" t="s">
        <v>525</v>
      </c>
      <c r="B714" t="s">
        <v>3254</v>
      </c>
      <c r="C714" t="s">
        <v>3255</v>
      </c>
      <c r="D714" t="s">
        <v>550</v>
      </c>
      <c r="E714" t="s">
        <v>859</v>
      </c>
      <c r="F714" t="s">
        <v>860</v>
      </c>
      <c r="G714" s="1">
        <v>43102</v>
      </c>
      <c r="H714" s="1">
        <v>43465</v>
      </c>
      <c r="I714" t="s">
        <v>665</v>
      </c>
      <c r="J714" t="s">
        <v>861</v>
      </c>
      <c r="K714" t="s">
        <v>862</v>
      </c>
      <c r="L714" t="s">
        <v>863</v>
      </c>
      <c r="M714" t="s">
        <v>864</v>
      </c>
      <c r="N714" t="s">
        <v>865</v>
      </c>
      <c r="O714" t="s">
        <v>866</v>
      </c>
      <c r="P714" t="s">
        <v>867</v>
      </c>
      <c r="Q714" t="s">
        <v>2213</v>
      </c>
      <c r="R714" t="s">
        <v>237</v>
      </c>
      <c r="S714" t="s">
        <v>550</v>
      </c>
      <c r="T714" t="s">
        <v>550</v>
      </c>
      <c r="U714" t="s">
        <v>550</v>
      </c>
      <c r="V714" t="s">
        <v>3256</v>
      </c>
      <c r="W714" t="s">
        <v>869</v>
      </c>
      <c r="X714" t="s">
        <v>870</v>
      </c>
      <c r="Y714" t="s">
        <v>847</v>
      </c>
      <c r="Z714" t="s">
        <v>3254</v>
      </c>
    </row>
    <row r="715" spans="1:26" x14ac:dyDescent="0.3">
      <c r="A715" t="s">
        <v>525</v>
      </c>
      <c r="B715" t="s">
        <v>3257</v>
      </c>
      <c r="C715" t="s">
        <v>3118</v>
      </c>
      <c r="D715" t="s">
        <v>3254</v>
      </c>
      <c r="E715" t="s">
        <v>664</v>
      </c>
      <c r="F715" t="s">
        <v>27</v>
      </c>
      <c r="G715" s="1">
        <v>43102</v>
      </c>
      <c r="H715" s="1">
        <v>43465</v>
      </c>
      <c r="I715" t="s">
        <v>665</v>
      </c>
      <c r="J715" t="s">
        <v>666</v>
      </c>
      <c r="K715" t="s">
        <v>862</v>
      </c>
      <c r="L715" t="s">
        <v>863</v>
      </c>
      <c r="M715" t="s">
        <v>864</v>
      </c>
      <c r="N715" t="s">
        <v>865</v>
      </c>
      <c r="O715" t="s">
        <v>866</v>
      </c>
      <c r="P715" t="s">
        <v>867</v>
      </c>
      <c r="Q715" t="s">
        <v>2213</v>
      </c>
      <c r="R715" t="s">
        <v>237</v>
      </c>
      <c r="S715" t="s">
        <v>550</v>
      </c>
      <c r="T715" t="s">
        <v>550</v>
      </c>
      <c r="U715" t="s">
        <v>550</v>
      </c>
      <c r="V715" t="s">
        <v>3258</v>
      </c>
      <c r="W715" t="s">
        <v>869</v>
      </c>
      <c r="X715" t="s">
        <v>870</v>
      </c>
      <c r="Y715" t="s">
        <v>847</v>
      </c>
      <c r="Z715" t="s">
        <v>3257</v>
      </c>
    </row>
    <row r="716" spans="1:26" x14ac:dyDescent="0.3">
      <c r="A716" t="s">
        <v>525</v>
      </c>
      <c r="B716" t="s">
        <v>3259</v>
      </c>
      <c r="C716" t="s">
        <v>3260</v>
      </c>
      <c r="D716" t="s">
        <v>550</v>
      </c>
      <c r="E716" t="s">
        <v>859</v>
      </c>
      <c r="F716" t="s">
        <v>860</v>
      </c>
      <c r="G716" s="1">
        <v>43102</v>
      </c>
      <c r="H716" s="1">
        <v>43465</v>
      </c>
      <c r="I716" t="s">
        <v>665</v>
      </c>
      <c r="J716" t="s">
        <v>861</v>
      </c>
      <c r="K716" t="s">
        <v>862</v>
      </c>
      <c r="L716" t="s">
        <v>863</v>
      </c>
      <c r="M716" t="s">
        <v>864</v>
      </c>
      <c r="N716" t="s">
        <v>865</v>
      </c>
      <c r="O716" t="s">
        <v>866</v>
      </c>
      <c r="P716" t="s">
        <v>867</v>
      </c>
      <c r="Q716" t="s">
        <v>2213</v>
      </c>
      <c r="R716" t="s">
        <v>237</v>
      </c>
      <c r="S716" t="s">
        <v>550</v>
      </c>
      <c r="T716" t="s">
        <v>550</v>
      </c>
      <c r="U716" t="s">
        <v>550</v>
      </c>
      <c r="V716" t="s">
        <v>3261</v>
      </c>
      <c r="W716" t="s">
        <v>869</v>
      </c>
      <c r="X716" t="s">
        <v>870</v>
      </c>
      <c r="Y716" t="s">
        <v>847</v>
      </c>
      <c r="Z716" t="s">
        <v>3259</v>
      </c>
    </row>
    <row r="717" spans="1:26" x14ac:dyDescent="0.3">
      <c r="A717" t="s">
        <v>525</v>
      </c>
      <c r="B717" t="s">
        <v>3262</v>
      </c>
      <c r="C717" t="s">
        <v>3118</v>
      </c>
      <c r="D717" t="s">
        <v>3259</v>
      </c>
      <c r="E717" t="s">
        <v>664</v>
      </c>
      <c r="F717" t="s">
        <v>27</v>
      </c>
      <c r="G717" s="1">
        <v>43102</v>
      </c>
      <c r="H717" s="1">
        <v>43465</v>
      </c>
      <c r="I717" t="s">
        <v>665</v>
      </c>
      <c r="J717" t="s">
        <v>666</v>
      </c>
      <c r="K717" t="s">
        <v>862</v>
      </c>
      <c r="L717" t="s">
        <v>863</v>
      </c>
      <c r="M717" t="s">
        <v>864</v>
      </c>
      <c r="N717" t="s">
        <v>865</v>
      </c>
      <c r="O717" t="s">
        <v>866</v>
      </c>
      <c r="P717" t="s">
        <v>867</v>
      </c>
      <c r="Q717" t="s">
        <v>2213</v>
      </c>
      <c r="R717" t="s">
        <v>237</v>
      </c>
      <c r="S717" t="s">
        <v>550</v>
      </c>
      <c r="T717" t="s">
        <v>550</v>
      </c>
      <c r="U717" t="s">
        <v>550</v>
      </c>
      <c r="V717" t="s">
        <v>3263</v>
      </c>
      <c r="W717" t="s">
        <v>869</v>
      </c>
      <c r="X717" t="s">
        <v>870</v>
      </c>
      <c r="Y717" t="s">
        <v>847</v>
      </c>
      <c r="Z717" t="s">
        <v>3262</v>
      </c>
    </row>
    <row r="718" spans="1:26" x14ac:dyDescent="0.3">
      <c r="A718" t="s">
        <v>525</v>
      </c>
      <c r="B718" t="s">
        <v>3264</v>
      </c>
      <c r="C718" t="s">
        <v>3265</v>
      </c>
      <c r="D718" t="s">
        <v>3092</v>
      </c>
      <c r="E718" t="s">
        <v>1374</v>
      </c>
      <c r="F718" t="s">
        <v>1375</v>
      </c>
      <c r="G718" s="1">
        <v>43102</v>
      </c>
      <c r="H718" s="1">
        <v>43465</v>
      </c>
      <c r="I718" t="s">
        <v>665</v>
      </c>
      <c r="J718" t="s">
        <v>1376</v>
      </c>
      <c r="K718" t="s">
        <v>862</v>
      </c>
      <c r="L718" t="s">
        <v>863</v>
      </c>
      <c r="M718" t="s">
        <v>1988</v>
      </c>
      <c r="N718" t="s">
        <v>1989</v>
      </c>
      <c r="O718" t="s">
        <v>866</v>
      </c>
      <c r="P718" t="s">
        <v>867</v>
      </c>
      <c r="Q718" t="s">
        <v>2213</v>
      </c>
      <c r="R718" t="s">
        <v>237</v>
      </c>
      <c r="S718" t="s">
        <v>550</v>
      </c>
      <c r="T718" t="s">
        <v>550</v>
      </c>
      <c r="U718" t="s">
        <v>550</v>
      </c>
      <c r="V718" t="s">
        <v>3266</v>
      </c>
      <c r="W718" t="s">
        <v>869</v>
      </c>
      <c r="X718" t="s">
        <v>870</v>
      </c>
      <c r="Y718" t="s">
        <v>847</v>
      </c>
      <c r="Z718" t="s">
        <v>3264</v>
      </c>
    </row>
    <row r="719" spans="1:26" x14ac:dyDescent="0.3">
      <c r="A719" t="s">
        <v>525</v>
      </c>
      <c r="B719" t="s">
        <v>3267</v>
      </c>
      <c r="C719" t="s">
        <v>1929</v>
      </c>
      <c r="D719" t="s">
        <v>550</v>
      </c>
      <c r="E719" t="s">
        <v>1930</v>
      </c>
      <c r="F719" t="s">
        <v>1931</v>
      </c>
      <c r="G719" s="1">
        <v>43102</v>
      </c>
      <c r="H719" s="1">
        <v>43465</v>
      </c>
      <c r="I719" t="s">
        <v>665</v>
      </c>
      <c r="J719" t="s">
        <v>1932</v>
      </c>
      <c r="K719" t="s">
        <v>862</v>
      </c>
      <c r="L719" t="s">
        <v>863</v>
      </c>
      <c r="M719" t="s">
        <v>1988</v>
      </c>
      <c r="N719" t="s">
        <v>1989</v>
      </c>
      <c r="O719" t="s">
        <v>866</v>
      </c>
      <c r="P719" t="s">
        <v>867</v>
      </c>
      <c r="Q719" t="s">
        <v>2213</v>
      </c>
      <c r="R719" t="s">
        <v>237</v>
      </c>
      <c r="S719" t="s">
        <v>550</v>
      </c>
      <c r="T719" t="s">
        <v>550</v>
      </c>
      <c r="U719" t="s">
        <v>550</v>
      </c>
      <c r="V719" t="s">
        <v>3268</v>
      </c>
      <c r="W719" t="s">
        <v>869</v>
      </c>
      <c r="X719" t="s">
        <v>870</v>
      </c>
      <c r="Y719" t="s">
        <v>847</v>
      </c>
      <c r="Z719" t="s">
        <v>3267</v>
      </c>
    </row>
    <row r="720" spans="1:26" x14ac:dyDescent="0.3">
      <c r="A720" t="s">
        <v>525</v>
      </c>
      <c r="B720" t="s">
        <v>3269</v>
      </c>
      <c r="C720" t="s">
        <v>3270</v>
      </c>
      <c r="D720" t="s">
        <v>3133</v>
      </c>
      <c r="E720" t="s">
        <v>3271</v>
      </c>
      <c r="F720" t="s">
        <v>3272</v>
      </c>
      <c r="G720" s="1">
        <v>43437</v>
      </c>
      <c r="H720" s="1">
        <v>43437</v>
      </c>
      <c r="I720" t="s">
        <v>665</v>
      </c>
      <c r="J720" t="s">
        <v>3273</v>
      </c>
      <c r="K720" t="s">
        <v>841</v>
      </c>
      <c r="L720" t="s">
        <v>863</v>
      </c>
      <c r="M720" t="s">
        <v>1369</v>
      </c>
      <c r="N720" t="s">
        <v>1370</v>
      </c>
      <c r="O720" t="s">
        <v>866</v>
      </c>
      <c r="P720" t="s">
        <v>867</v>
      </c>
      <c r="Q720" t="s">
        <v>2213</v>
      </c>
      <c r="R720" t="s">
        <v>237</v>
      </c>
      <c r="S720" t="s">
        <v>550</v>
      </c>
      <c r="T720" t="s">
        <v>550</v>
      </c>
      <c r="U720" t="s">
        <v>550</v>
      </c>
      <c r="V720" t="s">
        <v>3274</v>
      </c>
      <c r="W720" t="s">
        <v>869</v>
      </c>
      <c r="X720" t="s">
        <v>870</v>
      </c>
      <c r="Y720" t="s">
        <v>847</v>
      </c>
      <c r="Z720" t="s">
        <v>3269</v>
      </c>
    </row>
    <row r="721" spans="1:26" x14ac:dyDescent="0.3">
      <c r="A721" t="s">
        <v>525</v>
      </c>
      <c r="B721" t="s">
        <v>3275</v>
      </c>
      <c r="C721" t="s">
        <v>3276</v>
      </c>
      <c r="D721" t="s">
        <v>550</v>
      </c>
      <c r="E721" t="s">
        <v>664</v>
      </c>
      <c r="F721" t="s">
        <v>27</v>
      </c>
      <c r="G721" s="1">
        <v>43831</v>
      </c>
      <c r="H721" s="1">
        <v>44049</v>
      </c>
      <c r="I721" t="s">
        <v>665</v>
      </c>
      <c r="J721" t="s">
        <v>666</v>
      </c>
      <c r="K721" t="s">
        <v>24</v>
      </c>
      <c r="L721" t="s">
        <v>1010</v>
      </c>
      <c r="M721" t="s">
        <v>873</v>
      </c>
      <c r="N721" t="s">
        <v>244</v>
      </c>
      <c r="O721" t="s">
        <v>853</v>
      </c>
      <c r="P721" t="s">
        <v>854</v>
      </c>
      <c r="Q721" t="s">
        <v>2213</v>
      </c>
      <c r="R721" t="s">
        <v>237</v>
      </c>
      <c r="S721" t="s">
        <v>550</v>
      </c>
      <c r="T721" t="s">
        <v>550</v>
      </c>
      <c r="U721" t="s">
        <v>550</v>
      </c>
      <c r="V721" t="s">
        <v>3277</v>
      </c>
      <c r="W721" t="s">
        <v>565</v>
      </c>
      <c r="X721" t="s">
        <v>669</v>
      </c>
      <c r="Y721" t="s">
        <v>856</v>
      </c>
      <c r="Z721" t="s">
        <v>3275</v>
      </c>
    </row>
    <row r="722" spans="1:26" x14ac:dyDescent="0.3">
      <c r="A722" t="s">
        <v>525</v>
      </c>
      <c r="B722" t="s">
        <v>3278</v>
      </c>
      <c r="C722" t="s">
        <v>1475</v>
      </c>
      <c r="D722" t="s">
        <v>550</v>
      </c>
      <c r="E722" t="s">
        <v>664</v>
      </c>
      <c r="F722" t="s">
        <v>27</v>
      </c>
      <c r="G722" s="1">
        <v>43831</v>
      </c>
      <c r="H722" s="1">
        <v>44049</v>
      </c>
      <c r="I722" t="s">
        <v>665</v>
      </c>
      <c r="J722" t="s">
        <v>666</v>
      </c>
      <c r="K722" t="s">
        <v>24</v>
      </c>
      <c r="L722" t="s">
        <v>667</v>
      </c>
      <c r="M722" t="s">
        <v>873</v>
      </c>
      <c r="N722" t="s">
        <v>244</v>
      </c>
      <c r="O722" t="s">
        <v>853</v>
      </c>
      <c r="P722" t="s">
        <v>854</v>
      </c>
      <c r="Q722" t="s">
        <v>2213</v>
      </c>
      <c r="R722" t="s">
        <v>237</v>
      </c>
      <c r="S722" t="s">
        <v>550</v>
      </c>
      <c r="T722" t="s">
        <v>550</v>
      </c>
      <c r="U722" t="s">
        <v>550</v>
      </c>
      <c r="V722" t="s">
        <v>3279</v>
      </c>
      <c r="W722" t="s">
        <v>565</v>
      </c>
      <c r="X722" t="s">
        <v>669</v>
      </c>
      <c r="Y722" t="s">
        <v>856</v>
      </c>
      <c r="Z722" t="s">
        <v>3278</v>
      </c>
    </row>
    <row r="723" spans="1:26" x14ac:dyDescent="0.3">
      <c r="A723" t="s">
        <v>525</v>
      </c>
      <c r="B723" t="s">
        <v>3280</v>
      </c>
      <c r="C723" t="s">
        <v>3281</v>
      </c>
      <c r="D723" t="s">
        <v>550</v>
      </c>
      <c r="E723" t="s">
        <v>664</v>
      </c>
      <c r="F723" t="s">
        <v>27</v>
      </c>
      <c r="G723" s="1">
        <v>43831</v>
      </c>
      <c r="H723" s="1">
        <v>43987</v>
      </c>
      <c r="I723" t="s">
        <v>665</v>
      </c>
      <c r="J723" t="s">
        <v>666</v>
      </c>
      <c r="K723" t="s">
        <v>24</v>
      </c>
      <c r="L723" t="s">
        <v>667</v>
      </c>
      <c r="M723" t="s">
        <v>873</v>
      </c>
      <c r="N723" t="s">
        <v>244</v>
      </c>
      <c r="O723" t="s">
        <v>853</v>
      </c>
      <c r="P723" t="s">
        <v>854</v>
      </c>
      <c r="Q723" t="s">
        <v>2213</v>
      </c>
      <c r="R723" t="s">
        <v>237</v>
      </c>
      <c r="S723" t="s">
        <v>550</v>
      </c>
      <c r="T723" t="s">
        <v>893</v>
      </c>
      <c r="U723" t="s">
        <v>550</v>
      </c>
      <c r="V723" t="s">
        <v>3282</v>
      </c>
      <c r="W723" t="s">
        <v>565</v>
      </c>
      <c r="X723" t="s">
        <v>669</v>
      </c>
      <c r="Y723" t="s">
        <v>856</v>
      </c>
      <c r="Z723" t="s">
        <v>3280</v>
      </c>
    </row>
    <row r="724" spans="1:26" x14ac:dyDescent="0.3">
      <c r="A724" t="s">
        <v>525</v>
      </c>
      <c r="B724" t="s">
        <v>3283</v>
      </c>
      <c r="C724" t="s">
        <v>3284</v>
      </c>
      <c r="D724" t="s">
        <v>550</v>
      </c>
      <c r="E724" t="s">
        <v>664</v>
      </c>
      <c r="F724" t="s">
        <v>27</v>
      </c>
      <c r="G724" s="1">
        <v>42371</v>
      </c>
      <c r="H724" s="1">
        <v>43465</v>
      </c>
      <c r="I724" t="s">
        <v>665</v>
      </c>
      <c r="J724" t="s">
        <v>666</v>
      </c>
      <c r="K724" t="s">
        <v>24</v>
      </c>
      <c r="L724" t="s">
        <v>1045</v>
      </c>
      <c r="M724" t="s">
        <v>1805</v>
      </c>
      <c r="N724" t="s">
        <v>1806</v>
      </c>
      <c r="O724" t="s">
        <v>1818</v>
      </c>
      <c r="Q724" t="s">
        <v>2213</v>
      </c>
      <c r="R724" t="s">
        <v>237</v>
      </c>
      <c r="S724" t="s">
        <v>550</v>
      </c>
      <c r="T724" t="s">
        <v>550</v>
      </c>
      <c r="U724" t="s">
        <v>550</v>
      </c>
      <c r="V724" t="s">
        <v>3285</v>
      </c>
      <c r="W724" t="s">
        <v>1021</v>
      </c>
      <c r="X724" t="s">
        <v>74</v>
      </c>
      <c r="Y724" t="s">
        <v>1059</v>
      </c>
      <c r="Z724" t="s">
        <v>3283</v>
      </c>
    </row>
    <row r="725" spans="1:26" x14ac:dyDescent="0.3">
      <c r="A725" t="s">
        <v>525</v>
      </c>
      <c r="B725" t="s">
        <v>3286</v>
      </c>
      <c r="C725" t="s">
        <v>3287</v>
      </c>
      <c r="D725" t="s">
        <v>550</v>
      </c>
      <c r="E725" t="s">
        <v>3288</v>
      </c>
      <c r="F725" t="s">
        <v>3289</v>
      </c>
      <c r="G725" s="1">
        <v>43102</v>
      </c>
      <c r="H725" s="1">
        <v>43465</v>
      </c>
      <c r="I725" t="s">
        <v>665</v>
      </c>
      <c r="J725" t="s">
        <v>3290</v>
      </c>
      <c r="K725" t="s">
        <v>3232</v>
      </c>
      <c r="L725" t="s">
        <v>863</v>
      </c>
      <c r="M725" t="s">
        <v>971</v>
      </c>
      <c r="N725" t="s">
        <v>972</v>
      </c>
      <c r="O725" t="s">
        <v>1818</v>
      </c>
      <c r="Q725" t="s">
        <v>2213</v>
      </c>
      <c r="R725" t="s">
        <v>237</v>
      </c>
      <c r="S725" t="s">
        <v>550</v>
      </c>
      <c r="T725" t="s">
        <v>550</v>
      </c>
      <c r="U725" t="s">
        <v>550</v>
      </c>
      <c r="V725" t="s">
        <v>3291</v>
      </c>
      <c r="W725" t="s">
        <v>869</v>
      </c>
      <c r="X725" t="s">
        <v>870</v>
      </c>
      <c r="Y725" t="s">
        <v>847</v>
      </c>
      <c r="Z725" t="s">
        <v>3286</v>
      </c>
    </row>
    <row r="726" spans="1:26" x14ac:dyDescent="0.3">
      <c r="A726" t="s">
        <v>525</v>
      </c>
      <c r="B726" t="s">
        <v>3292</v>
      </c>
      <c r="C726" t="s">
        <v>2794</v>
      </c>
      <c r="D726" t="s">
        <v>3286</v>
      </c>
      <c r="E726" t="s">
        <v>664</v>
      </c>
      <c r="F726" t="s">
        <v>27</v>
      </c>
      <c r="G726" s="1">
        <v>43102</v>
      </c>
      <c r="H726" s="1">
        <v>43465</v>
      </c>
      <c r="I726" t="s">
        <v>665</v>
      </c>
      <c r="J726" t="s">
        <v>666</v>
      </c>
      <c r="K726" t="s">
        <v>862</v>
      </c>
      <c r="L726" t="s">
        <v>863</v>
      </c>
      <c r="M726" t="s">
        <v>971</v>
      </c>
      <c r="N726" t="s">
        <v>972</v>
      </c>
      <c r="O726" t="s">
        <v>1818</v>
      </c>
      <c r="Q726" t="s">
        <v>2213</v>
      </c>
      <c r="R726" t="s">
        <v>237</v>
      </c>
      <c r="S726" t="s">
        <v>550</v>
      </c>
      <c r="T726" t="s">
        <v>550</v>
      </c>
      <c r="U726" t="s">
        <v>550</v>
      </c>
      <c r="V726" t="s">
        <v>3293</v>
      </c>
      <c r="W726" t="s">
        <v>869</v>
      </c>
      <c r="X726" t="s">
        <v>870</v>
      </c>
      <c r="Y726" t="s">
        <v>847</v>
      </c>
      <c r="Z726" t="s">
        <v>3292</v>
      </c>
    </row>
    <row r="727" spans="1:26" x14ac:dyDescent="0.3">
      <c r="A727" t="s">
        <v>525</v>
      </c>
      <c r="B727" t="s">
        <v>3294</v>
      </c>
      <c r="C727" t="s">
        <v>3295</v>
      </c>
      <c r="D727" t="s">
        <v>550</v>
      </c>
      <c r="E727" t="s">
        <v>664</v>
      </c>
      <c r="F727" t="s">
        <v>27</v>
      </c>
      <c r="G727" s="1">
        <v>43831</v>
      </c>
      <c r="H727" s="1">
        <v>44213</v>
      </c>
      <c r="I727" t="s">
        <v>665</v>
      </c>
      <c r="J727" t="s">
        <v>666</v>
      </c>
      <c r="K727" t="s">
        <v>24</v>
      </c>
      <c r="L727" t="s">
        <v>667</v>
      </c>
      <c r="M727" t="s">
        <v>873</v>
      </c>
      <c r="N727" t="s">
        <v>244</v>
      </c>
      <c r="O727" t="s">
        <v>853</v>
      </c>
      <c r="P727" t="s">
        <v>854</v>
      </c>
      <c r="Q727" t="s">
        <v>2213</v>
      </c>
      <c r="R727" t="s">
        <v>237</v>
      </c>
      <c r="S727" t="s">
        <v>550</v>
      </c>
      <c r="T727" t="s">
        <v>550</v>
      </c>
      <c r="U727" t="s">
        <v>550</v>
      </c>
      <c r="V727" t="s">
        <v>3296</v>
      </c>
      <c r="W727" t="s">
        <v>875</v>
      </c>
      <c r="X727" t="s">
        <v>669</v>
      </c>
      <c r="Y727" t="s">
        <v>856</v>
      </c>
      <c r="Z727" t="s">
        <v>3294</v>
      </c>
    </row>
    <row r="728" spans="1:26" x14ac:dyDescent="0.3">
      <c r="A728" t="s">
        <v>525</v>
      </c>
      <c r="B728" t="s">
        <v>3297</v>
      </c>
      <c r="C728" t="s">
        <v>3298</v>
      </c>
      <c r="D728" t="s">
        <v>550</v>
      </c>
      <c r="E728" t="s">
        <v>664</v>
      </c>
      <c r="F728" t="s">
        <v>27</v>
      </c>
      <c r="G728" s="1">
        <v>43831</v>
      </c>
      <c r="H728" s="1">
        <v>44153</v>
      </c>
      <c r="I728" t="s">
        <v>665</v>
      </c>
      <c r="J728" t="s">
        <v>666</v>
      </c>
      <c r="K728" t="s">
        <v>24</v>
      </c>
      <c r="L728" t="s">
        <v>667</v>
      </c>
      <c r="M728" t="s">
        <v>873</v>
      </c>
      <c r="N728" t="s">
        <v>244</v>
      </c>
      <c r="O728" t="s">
        <v>853</v>
      </c>
      <c r="P728" t="s">
        <v>854</v>
      </c>
      <c r="Q728" t="s">
        <v>2213</v>
      </c>
      <c r="R728" t="s">
        <v>237</v>
      </c>
      <c r="S728" t="s">
        <v>550</v>
      </c>
      <c r="T728" t="s">
        <v>550</v>
      </c>
      <c r="U728" t="s">
        <v>550</v>
      </c>
      <c r="V728" t="s">
        <v>3299</v>
      </c>
      <c r="W728" t="s">
        <v>875</v>
      </c>
      <c r="X728" t="s">
        <v>669</v>
      </c>
      <c r="Y728" t="s">
        <v>856</v>
      </c>
      <c r="Z728" t="s">
        <v>3297</v>
      </c>
    </row>
    <row r="729" spans="1:26" x14ac:dyDescent="0.3">
      <c r="A729" t="s">
        <v>525</v>
      </c>
      <c r="B729" t="s">
        <v>3300</v>
      </c>
      <c r="C729" t="s">
        <v>3301</v>
      </c>
      <c r="D729" t="s">
        <v>550</v>
      </c>
      <c r="E729" t="s">
        <v>664</v>
      </c>
      <c r="F729" t="s">
        <v>27</v>
      </c>
      <c r="G729" s="1">
        <v>43831</v>
      </c>
      <c r="H729" s="1">
        <v>44202</v>
      </c>
      <c r="I729" t="s">
        <v>665</v>
      </c>
      <c r="J729" t="s">
        <v>666</v>
      </c>
      <c r="K729" t="s">
        <v>24</v>
      </c>
      <c r="L729" t="s">
        <v>667</v>
      </c>
      <c r="M729" t="s">
        <v>873</v>
      </c>
      <c r="N729" t="s">
        <v>244</v>
      </c>
      <c r="O729" t="s">
        <v>853</v>
      </c>
      <c r="P729" t="s">
        <v>854</v>
      </c>
      <c r="Q729" t="s">
        <v>2213</v>
      </c>
      <c r="R729" t="s">
        <v>237</v>
      </c>
      <c r="S729" t="s">
        <v>550</v>
      </c>
      <c r="T729" t="s">
        <v>550</v>
      </c>
      <c r="U729" t="s">
        <v>550</v>
      </c>
      <c r="V729" t="s">
        <v>3302</v>
      </c>
      <c r="W729" t="s">
        <v>875</v>
      </c>
      <c r="X729" t="s">
        <v>669</v>
      </c>
      <c r="Y729" t="s">
        <v>856</v>
      </c>
      <c r="Z729" t="s">
        <v>3300</v>
      </c>
    </row>
    <row r="730" spans="1:26" x14ac:dyDescent="0.3">
      <c r="A730" t="s">
        <v>525</v>
      </c>
      <c r="B730" t="s">
        <v>3303</v>
      </c>
      <c r="C730" t="s">
        <v>3304</v>
      </c>
      <c r="D730" t="s">
        <v>550</v>
      </c>
      <c r="E730" t="s">
        <v>664</v>
      </c>
      <c r="F730" t="s">
        <v>27</v>
      </c>
      <c r="G730" s="1">
        <v>43831</v>
      </c>
      <c r="H730" s="1">
        <v>44004</v>
      </c>
      <c r="I730" t="s">
        <v>665</v>
      </c>
      <c r="J730" t="s">
        <v>666</v>
      </c>
      <c r="K730" t="s">
        <v>24</v>
      </c>
      <c r="L730" t="s">
        <v>667</v>
      </c>
      <c r="M730" t="s">
        <v>873</v>
      </c>
      <c r="N730" t="s">
        <v>244</v>
      </c>
      <c r="O730" t="s">
        <v>853</v>
      </c>
      <c r="P730" t="s">
        <v>854</v>
      </c>
      <c r="Q730" t="s">
        <v>2213</v>
      </c>
      <c r="R730" t="s">
        <v>237</v>
      </c>
      <c r="S730" t="s">
        <v>550</v>
      </c>
      <c r="T730" t="s">
        <v>550</v>
      </c>
      <c r="U730" t="s">
        <v>550</v>
      </c>
      <c r="V730" t="s">
        <v>3305</v>
      </c>
      <c r="W730" t="s">
        <v>875</v>
      </c>
      <c r="X730" t="s">
        <v>669</v>
      </c>
      <c r="Y730" t="s">
        <v>856</v>
      </c>
      <c r="Z730" t="s">
        <v>3303</v>
      </c>
    </row>
    <row r="731" spans="1:26" x14ac:dyDescent="0.3">
      <c r="A731" t="s">
        <v>525</v>
      </c>
      <c r="B731" t="s">
        <v>3306</v>
      </c>
      <c r="C731" t="s">
        <v>3307</v>
      </c>
      <c r="D731" t="s">
        <v>550</v>
      </c>
      <c r="E731" t="s">
        <v>664</v>
      </c>
      <c r="F731" t="s">
        <v>27</v>
      </c>
      <c r="G731" s="1">
        <v>43831</v>
      </c>
      <c r="H731" s="1">
        <v>43836</v>
      </c>
      <c r="I731" t="s">
        <v>665</v>
      </c>
      <c r="J731" t="s">
        <v>666</v>
      </c>
      <c r="K731" t="s">
        <v>24</v>
      </c>
      <c r="L731" t="s">
        <v>667</v>
      </c>
      <c r="M731" t="s">
        <v>873</v>
      </c>
      <c r="N731" t="s">
        <v>244</v>
      </c>
      <c r="O731" t="s">
        <v>853</v>
      </c>
      <c r="P731" t="s">
        <v>854</v>
      </c>
      <c r="Q731" t="s">
        <v>2213</v>
      </c>
      <c r="R731" t="s">
        <v>237</v>
      </c>
      <c r="S731" t="s">
        <v>550</v>
      </c>
      <c r="T731" t="s">
        <v>550</v>
      </c>
      <c r="U731" t="s">
        <v>550</v>
      </c>
      <c r="V731" t="s">
        <v>3308</v>
      </c>
      <c r="W731" t="s">
        <v>875</v>
      </c>
      <c r="X731" t="s">
        <v>669</v>
      </c>
      <c r="Y731" t="s">
        <v>856</v>
      </c>
      <c r="Z731" t="s">
        <v>3306</v>
      </c>
    </row>
    <row r="732" spans="1:26" x14ac:dyDescent="0.3">
      <c r="A732" t="s">
        <v>525</v>
      </c>
      <c r="B732" t="s">
        <v>3309</v>
      </c>
      <c r="C732" t="s">
        <v>3310</v>
      </c>
      <c r="D732" t="s">
        <v>550</v>
      </c>
      <c r="E732" t="s">
        <v>664</v>
      </c>
      <c r="F732" t="s">
        <v>27</v>
      </c>
      <c r="G732" s="1">
        <v>43831</v>
      </c>
      <c r="H732" s="1">
        <v>44005</v>
      </c>
      <c r="I732" t="s">
        <v>665</v>
      </c>
      <c r="J732" t="s">
        <v>666</v>
      </c>
      <c r="K732" t="s">
        <v>24</v>
      </c>
      <c r="L732" t="s">
        <v>667</v>
      </c>
      <c r="M732" t="s">
        <v>873</v>
      </c>
      <c r="N732" t="s">
        <v>244</v>
      </c>
      <c r="O732" t="s">
        <v>853</v>
      </c>
      <c r="P732" t="s">
        <v>854</v>
      </c>
      <c r="Q732" t="s">
        <v>2213</v>
      </c>
      <c r="R732" t="s">
        <v>237</v>
      </c>
      <c r="S732" t="s">
        <v>550</v>
      </c>
      <c r="T732" t="s">
        <v>550</v>
      </c>
      <c r="U732" t="s">
        <v>550</v>
      </c>
      <c r="V732" t="s">
        <v>3311</v>
      </c>
      <c r="W732" t="s">
        <v>875</v>
      </c>
      <c r="X732" t="s">
        <v>669</v>
      </c>
      <c r="Y732" t="s">
        <v>856</v>
      </c>
      <c r="Z732" t="s">
        <v>3309</v>
      </c>
    </row>
    <row r="733" spans="1:26" x14ac:dyDescent="0.3">
      <c r="A733" t="s">
        <v>525</v>
      </c>
      <c r="B733" t="s">
        <v>3312</v>
      </c>
      <c r="C733" t="s">
        <v>3313</v>
      </c>
      <c r="D733" t="s">
        <v>550</v>
      </c>
      <c r="E733" t="s">
        <v>982</v>
      </c>
      <c r="F733" t="s">
        <v>983</v>
      </c>
      <c r="G733" s="1">
        <v>43102</v>
      </c>
      <c r="H733" s="1">
        <v>43102</v>
      </c>
      <c r="I733" t="s">
        <v>665</v>
      </c>
      <c r="J733" t="s">
        <v>984</v>
      </c>
      <c r="K733" t="s">
        <v>900</v>
      </c>
      <c r="L733" t="s">
        <v>901</v>
      </c>
      <c r="M733" t="s">
        <v>985</v>
      </c>
      <c r="N733" t="s">
        <v>986</v>
      </c>
      <c r="O733" t="s">
        <v>891</v>
      </c>
      <c r="P733" t="s">
        <v>892</v>
      </c>
      <c r="Q733" t="s">
        <v>2213</v>
      </c>
      <c r="R733" t="s">
        <v>237</v>
      </c>
      <c r="S733" t="s">
        <v>550</v>
      </c>
      <c r="T733" t="s">
        <v>550</v>
      </c>
      <c r="U733" t="s">
        <v>550</v>
      </c>
      <c r="V733" t="s">
        <v>3314</v>
      </c>
      <c r="W733" t="s">
        <v>978</v>
      </c>
      <c r="X733" t="s">
        <v>979</v>
      </c>
      <c r="Y733" t="s">
        <v>803</v>
      </c>
      <c r="Z733" t="s">
        <v>3312</v>
      </c>
    </row>
    <row r="734" spans="1:26" x14ac:dyDescent="0.3">
      <c r="A734" t="s">
        <v>525</v>
      </c>
      <c r="B734" t="s">
        <v>3315</v>
      </c>
      <c r="C734" t="s">
        <v>3316</v>
      </c>
      <c r="D734" t="s">
        <v>550</v>
      </c>
      <c r="E734" t="s">
        <v>3317</v>
      </c>
      <c r="F734" t="s">
        <v>3318</v>
      </c>
      <c r="G734" s="1">
        <v>45658</v>
      </c>
      <c r="H734" s="1">
        <v>45658</v>
      </c>
      <c r="I734" t="s">
        <v>780</v>
      </c>
      <c r="J734" t="s">
        <v>3319</v>
      </c>
      <c r="K734" t="s">
        <v>958</v>
      </c>
      <c r="L734" t="s">
        <v>216</v>
      </c>
      <c r="M734" t="s">
        <v>2376</v>
      </c>
      <c r="N734" t="s">
        <v>2377</v>
      </c>
      <c r="O734" t="s">
        <v>1293</v>
      </c>
      <c r="P734" t="s">
        <v>256</v>
      </c>
      <c r="Q734" t="s">
        <v>2213</v>
      </c>
      <c r="R734" t="s">
        <v>237</v>
      </c>
      <c r="S734" t="s">
        <v>783</v>
      </c>
      <c r="T734" t="s">
        <v>550</v>
      </c>
      <c r="U734" t="s">
        <v>550</v>
      </c>
      <c r="V734" t="s">
        <v>3320</v>
      </c>
      <c r="W734" t="s">
        <v>1809</v>
      </c>
      <c r="X734" t="s">
        <v>272</v>
      </c>
      <c r="Y734" t="s">
        <v>273</v>
      </c>
      <c r="Z734" t="s">
        <v>3315</v>
      </c>
    </row>
    <row r="735" spans="1:26" x14ac:dyDescent="0.3">
      <c r="A735" t="s">
        <v>525</v>
      </c>
      <c r="B735" t="s">
        <v>3321</v>
      </c>
      <c r="C735" t="s">
        <v>3322</v>
      </c>
      <c r="D735" t="s">
        <v>550</v>
      </c>
      <c r="E735" t="s">
        <v>1318</v>
      </c>
      <c r="F735" t="s">
        <v>1319</v>
      </c>
      <c r="G735" s="1">
        <v>45658</v>
      </c>
      <c r="H735" s="1">
        <v>45658</v>
      </c>
      <c r="I735" t="s">
        <v>780</v>
      </c>
      <c r="J735" t="s">
        <v>1320</v>
      </c>
      <c r="K735" t="s">
        <v>24</v>
      </c>
      <c r="L735" t="s">
        <v>216</v>
      </c>
      <c r="M735" t="s">
        <v>2376</v>
      </c>
      <c r="N735" t="s">
        <v>2377</v>
      </c>
      <c r="O735" t="s">
        <v>1293</v>
      </c>
      <c r="P735" t="s">
        <v>256</v>
      </c>
      <c r="Q735" t="s">
        <v>2213</v>
      </c>
      <c r="R735" t="s">
        <v>237</v>
      </c>
      <c r="S735" t="s">
        <v>783</v>
      </c>
      <c r="T735" t="s">
        <v>550</v>
      </c>
      <c r="U735" t="s">
        <v>550</v>
      </c>
      <c r="V735" t="s">
        <v>3323</v>
      </c>
      <c r="W735" t="s">
        <v>613</v>
      </c>
      <c r="X735" t="s">
        <v>272</v>
      </c>
      <c r="Y735" t="s">
        <v>273</v>
      </c>
      <c r="Z735" t="s">
        <v>3321</v>
      </c>
    </row>
    <row r="736" spans="1:26" x14ac:dyDescent="0.3">
      <c r="A736" t="s">
        <v>525</v>
      </c>
      <c r="B736" t="s">
        <v>3324</v>
      </c>
      <c r="C736" t="s">
        <v>3325</v>
      </c>
      <c r="D736" t="s">
        <v>3321</v>
      </c>
      <c r="E736" t="s">
        <v>1318</v>
      </c>
      <c r="F736" t="s">
        <v>1319</v>
      </c>
      <c r="G736" s="1">
        <v>45658</v>
      </c>
      <c r="H736" s="1">
        <v>45705</v>
      </c>
      <c r="I736" t="s">
        <v>665</v>
      </c>
      <c r="J736" t="s">
        <v>1320</v>
      </c>
      <c r="K736" t="s">
        <v>24</v>
      </c>
      <c r="L736" t="s">
        <v>216</v>
      </c>
      <c r="M736" t="s">
        <v>2376</v>
      </c>
      <c r="N736" t="s">
        <v>2377</v>
      </c>
      <c r="O736" t="s">
        <v>1293</v>
      </c>
      <c r="P736" t="s">
        <v>256</v>
      </c>
      <c r="Q736" t="s">
        <v>2213</v>
      </c>
      <c r="R736" t="s">
        <v>237</v>
      </c>
      <c r="S736" t="s">
        <v>783</v>
      </c>
      <c r="T736" t="s">
        <v>550</v>
      </c>
      <c r="U736" t="s">
        <v>550</v>
      </c>
      <c r="V736" t="s">
        <v>3326</v>
      </c>
      <c r="W736" t="s">
        <v>613</v>
      </c>
      <c r="X736" t="s">
        <v>272</v>
      </c>
      <c r="Y736" t="s">
        <v>273</v>
      </c>
      <c r="Z736" t="s">
        <v>3324</v>
      </c>
    </row>
    <row r="737" spans="1:26" x14ac:dyDescent="0.3">
      <c r="A737" t="s">
        <v>525</v>
      </c>
      <c r="B737" t="s">
        <v>3327</v>
      </c>
      <c r="C737" t="s">
        <v>3328</v>
      </c>
      <c r="D737" t="s">
        <v>1336</v>
      </c>
      <c r="E737" t="s">
        <v>1338</v>
      </c>
      <c r="F737" t="s">
        <v>1339</v>
      </c>
      <c r="G737" s="1">
        <v>46023</v>
      </c>
      <c r="H737" s="1">
        <v>46023</v>
      </c>
      <c r="I737" t="s">
        <v>780</v>
      </c>
      <c r="J737" t="s">
        <v>1340</v>
      </c>
      <c r="K737" t="s">
        <v>958</v>
      </c>
      <c r="L737" t="s">
        <v>216</v>
      </c>
      <c r="M737" t="s">
        <v>3329</v>
      </c>
      <c r="N737" t="s">
        <v>269</v>
      </c>
      <c r="O737" t="s">
        <v>1293</v>
      </c>
      <c r="P737" t="s">
        <v>256</v>
      </c>
      <c r="Q737" t="s">
        <v>2213</v>
      </c>
      <c r="R737" t="s">
        <v>237</v>
      </c>
      <c r="S737" t="s">
        <v>783</v>
      </c>
      <c r="T737" t="s">
        <v>550</v>
      </c>
      <c r="U737" t="s">
        <v>550</v>
      </c>
      <c r="V737" t="s">
        <v>3330</v>
      </c>
      <c r="W737" t="s">
        <v>613</v>
      </c>
      <c r="X737" t="s">
        <v>272</v>
      </c>
      <c r="Y737" t="s">
        <v>273</v>
      </c>
      <c r="Z737" t="s">
        <v>3327</v>
      </c>
    </row>
    <row r="738" spans="1:26" x14ac:dyDescent="0.3">
      <c r="A738" t="s">
        <v>525</v>
      </c>
      <c r="B738" t="s">
        <v>3331</v>
      </c>
      <c r="C738" t="s">
        <v>3332</v>
      </c>
      <c r="D738" t="s">
        <v>3333</v>
      </c>
      <c r="E738" t="s">
        <v>1318</v>
      </c>
      <c r="F738" t="s">
        <v>1319</v>
      </c>
      <c r="G738" s="1">
        <v>46023</v>
      </c>
      <c r="H738" s="1">
        <v>46023</v>
      </c>
      <c r="I738" t="s">
        <v>780</v>
      </c>
      <c r="J738" t="s">
        <v>1320</v>
      </c>
      <c r="K738" t="s">
        <v>958</v>
      </c>
      <c r="L738" t="s">
        <v>216</v>
      </c>
      <c r="M738" t="s">
        <v>1839</v>
      </c>
      <c r="N738" t="s">
        <v>222</v>
      </c>
      <c r="O738" t="s">
        <v>1293</v>
      </c>
      <c r="P738" t="s">
        <v>256</v>
      </c>
      <c r="Q738" t="s">
        <v>2213</v>
      </c>
      <c r="R738" t="s">
        <v>237</v>
      </c>
      <c r="S738" t="s">
        <v>783</v>
      </c>
      <c r="T738" t="s">
        <v>550</v>
      </c>
      <c r="U738" t="s">
        <v>1807</v>
      </c>
      <c r="V738" t="s">
        <v>3334</v>
      </c>
      <c r="W738" t="s">
        <v>1809</v>
      </c>
      <c r="X738" t="s">
        <v>272</v>
      </c>
      <c r="Y738" t="s">
        <v>273</v>
      </c>
      <c r="Z738" t="s">
        <v>3331</v>
      </c>
    </row>
    <row r="739" spans="1:26" x14ac:dyDescent="0.3">
      <c r="A739" t="s">
        <v>525</v>
      </c>
      <c r="B739" t="s">
        <v>3335</v>
      </c>
      <c r="C739" t="s">
        <v>3336</v>
      </c>
      <c r="D739" t="s">
        <v>3337</v>
      </c>
      <c r="E739" t="s">
        <v>2825</v>
      </c>
      <c r="F739" t="s">
        <v>2826</v>
      </c>
      <c r="G739" s="1">
        <v>45658</v>
      </c>
      <c r="H739" s="1">
        <v>45699</v>
      </c>
      <c r="I739" t="s">
        <v>665</v>
      </c>
      <c r="J739" t="s">
        <v>2827</v>
      </c>
      <c r="K739" t="s">
        <v>958</v>
      </c>
      <c r="L739" t="s">
        <v>216</v>
      </c>
      <c r="M739" t="s">
        <v>1839</v>
      </c>
      <c r="N739" t="s">
        <v>222</v>
      </c>
      <c r="O739" t="s">
        <v>1293</v>
      </c>
      <c r="P739" t="s">
        <v>256</v>
      </c>
      <c r="Q739" t="s">
        <v>2213</v>
      </c>
      <c r="R739" t="s">
        <v>237</v>
      </c>
      <c r="S739" t="s">
        <v>783</v>
      </c>
      <c r="T739" t="s">
        <v>550</v>
      </c>
      <c r="U739" t="s">
        <v>550</v>
      </c>
      <c r="V739" t="s">
        <v>3338</v>
      </c>
      <c r="W739" t="s">
        <v>1809</v>
      </c>
      <c r="X739" t="s">
        <v>272</v>
      </c>
      <c r="Y739" t="s">
        <v>273</v>
      </c>
      <c r="Z739" t="s">
        <v>3335</v>
      </c>
    </row>
    <row r="740" spans="1:26" x14ac:dyDescent="0.3">
      <c r="A740" t="s">
        <v>525</v>
      </c>
      <c r="B740" t="s">
        <v>3339</v>
      </c>
      <c r="C740" t="s">
        <v>3340</v>
      </c>
      <c r="D740" t="s">
        <v>550</v>
      </c>
      <c r="E740" t="s">
        <v>1275</v>
      </c>
      <c r="F740" t="s">
        <v>1276</v>
      </c>
      <c r="G740" s="1">
        <v>45658</v>
      </c>
      <c r="H740" s="1">
        <v>45658</v>
      </c>
      <c r="I740" t="s">
        <v>780</v>
      </c>
      <c r="J740" t="s">
        <v>1277</v>
      </c>
      <c r="K740" t="s">
        <v>24</v>
      </c>
      <c r="L740" t="s">
        <v>216</v>
      </c>
      <c r="M740" t="s">
        <v>1804</v>
      </c>
      <c r="N740" t="s">
        <v>315</v>
      </c>
      <c r="O740" t="s">
        <v>1293</v>
      </c>
      <c r="P740" t="s">
        <v>256</v>
      </c>
      <c r="Q740" t="s">
        <v>2213</v>
      </c>
      <c r="R740" t="s">
        <v>237</v>
      </c>
      <c r="S740" t="s">
        <v>550</v>
      </c>
      <c r="T740" t="s">
        <v>550</v>
      </c>
      <c r="U740" t="s">
        <v>550</v>
      </c>
      <c r="V740" t="s">
        <v>3341</v>
      </c>
      <c r="W740" t="s">
        <v>613</v>
      </c>
      <c r="X740" t="s">
        <v>267</v>
      </c>
      <c r="Y740" t="s">
        <v>3342</v>
      </c>
      <c r="Z740" t="s">
        <v>3339</v>
      </c>
    </row>
    <row r="741" spans="1:26" x14ac:dyDescent="0.3">
      <c r="A741" t="s">
        <v>525</v>
      </c>
      <c r="B741" t="s">
        <v>3343</v>
      </c>
      <c r="C741" t="s">
        <v>3344</v>
      </c>
      <c r="D741" t="s">
        <v>3339</v>
      </c>
      <c r="E741" t="s">
        <v>1275</v>
      </c>
      <c r="F741" t="s">
        <v>1276</v>
      </c>
      <c r="G741" s="1">
        <v>45698</v>
      </c>
      <c r="H741" s="1">
        <v>45752</v>
      </c>
      <c r="I741" t="s">
        <v>665</v>
      </c>
      <c r="J741" t="s">
        <v>1277</v>
      </c>
      <c r="K741" t="s">
        <v>24</v>
      </c>
      <c r="L741" t="s">
        <v>216</v>
      </c>
      <c r="M741" t="s">
        <v>1804</v>
      </c>
      <c r="N741" t="s">
        <v>315</v>
      </c>
      <c r="O741" t="s">
        <v>1293</v>
      </c>
      <c r="P741" t="s">
        <v>256</v>
      </c>
      <c r="Q741" t="s">
        <v>2213</v>
      </c>
      <c r="R741" t="s">
        <v>237</v>
      </c>
      <c r="S741" t="s">
        <v>783</v>
      </c>
      <c r="T741" t="s">
        <v>550</v>
      </c>
      <c r="U741" t="s">
        <v>550</v>
      </c>
      <c r="V741" t="s">
        <v>3345</v>
      </c>
      <c r="W741" t="s">
        <v>613</v>
      </c>
      <c r="X741" t="s">
        <v>267</v>
      </c>
      <c r="Y741" t="s">
        <v>3342</v>
      </c>
      <c r="Z741" t="s">
        <v>3343</v>
      </c>
    </row>
    <row r="742" spans="1:26" x14ac:dyDescent="0.3">
      <c r="A742" t="s">
        <v>525</v>
      </c>
      <c r="B742" t="s">
        <v>3346</v>
      </c>
      <c r="C742" t="s">
        <v>3347</v>
      </c>
      <c r="D742" t="s">
        <v>3315</v>
      </c>
      <c r="E742" t="s">
        <v>3317</v>
      </c>
      <c r="F742" t="s">
        <v>3318</v>
      </c>
      <c r="G742" s="1">
        <v>45702</v>
      </c>
      <c r="H742" s="1">
        <v>45730</v>
      </c>
      <c r="I742" t="s">
        <v>665</v>
      </c>
      <c r="J742" t="s">
        <v>3319</v>
      </c>
      <c r="K742" t="s">
        <v>958</v>
      </c>
      <c r="L742" t="s">
        <v>216</v>
      </c>
      <c r="M742" t="s">
        <v>1031</v>
      </c>
      <c r="N742" t="s">
        <v>239</v>
      </c>
      <c r="O742" t="s">
        <v>1293</v>
      </c>
      <c r="P742" t="s">
        <v>256</v>
      </c>
      <c r="Q742" t="s">
        <v>2213</v>
      </c>
      <c r="R742" t="s">
        <v>237</v>
      </c>
      <c r="S742" t="s">
        <v>783</v>
      </c>
      <c r="T742" t="s">
        <v>550</v>
      </c>
      <c r="U742" t="s">
        <v>550</v>
      </c>
      <c r="V742" t="s">
        <v>3348</v>
      </c>
      <c r="W742" t="s">
        <v>1809</v>
      </c>
      <c r="X742" t="s">
        <v>272</v>
      </c>
      <c r="Y742" t="s">
        <v>273</v>
      </c>
      <c r="Z742" t="s">
        <v>3346</v>
      </c>
    </row>
    <row r="743" spans="1:26" x14ac:dyDescent="0.3">
      <c r="A743" t="s">
        <v>525</v>
      </c>
      <c r="B743" t="s">
        <v>3349</v>
      </c>
      <c r="C743" t="s">
        <v>3350</v>
      </c>
      <c r="D743" t="s">
        <v>3351</v>
      </c>
      <c r="E743" t="s">
        <v>1318</v>
      </c>
      <c r="F743" t="s">
        <v>1319</v>
      </c>
      <c r="G743" s="1">
        <v>45658</v>
      </c>
      <c r="H743" s="1">
        <v>45658</v>
      </c>
      <c r="I743" t="s">
        <v>665</v>
      </c>
      <c r="J743" t="s">
        <v>1320</v>
      </c>
      <c r="K743" t="s">
        <v>958</v>
      </c>
      <c r="L743" t="s">
        <v>216</v>
      </c>
      <c r="M743" t="s">
        <v>1293</v>
      </c>
      <c r="N743" t="s">
        <v>256</v>
      </c>
      <c r="O743" t="s">
        <v>1293</v>
      </c>
      <c r="P743" t="s">
        <v>256</v>
      </c>
      <c r="Q743" t="s">
        <v>2213</v>
      </c>
      <c r="R743" t="s">
        <v>237</v>
      </c>
      <c r="S743" t="s">
        <v>783</v>
      </c>
      <c r="T743" t="s">
        <v>550</v>
      </c>
      <c r="U743" t="s">
        <v>550</v>
      </c>
      <c r="V743" t="s">
        <v>3352</v>
      </c>
      <c r="W743" t="s">
        <v>1809</v>
      </c>
      <c r="X743" t="s">
        <v>272</v>
      </c>
      <c r="Y743" t="s">
        <v>273</v>
      </c>
      <c r="Z743" t="s">
        <v>3349</v>
      </c>
    </row>
    <row r="744" spans="1:26" x14ac:dyDescent="0.3">
      <c r="A744" t="s">
        <v>525</v>
      </c>
      <c r="B744" t="s">
        <v>3353</v>
      </c>
      <c r="C744" t="s">
        <v>3354</v>
      </c>
      <c r="D744" t="s">
        <v>3339</v>
      </c>
      <c r="E744" t="s">
        <v>1275</v>
      </c>
      <c r="F744" t="s">
        <v>1276</v>
      </c>
      <c r="G744" s="1">
        <v>45658</v>
      </c>
      <c r="H744" s="1">
        <v>45667</v>
      </c>
      <c r="I744" t="s">
        <v>665</v>
      </c>
      <c r="J744" t="s">
        <v>1277</v>
      </c>
      <c r="K744" t="s">
        <v>24</v>
      </c>
      <c r="L744" t="s">
        <v>216</v>
      </c>
      <c r="M744" t="s">
        <v>1293</v>
      </c>
      <c r="N744" t="s">
        <v>256</v>
      </c>
      <c r="O744" t="s">
        <v>1293</v>
      </c>
      <c r="P744" t="s">
        <v>256</v>
      </c>
      <c r="Q744" t="s">
        <v>2213</v>
      </c>
      <c r="R744" t="s">
        <v>237</v>
      </c>
      <c r="S744" t="s">
        <v>1471</v>
      </c>
      <c r="T744" t="s">
        <v>550</v>
      </c>
      <c r="U744" t="s">
        <v>550</v>
      </c>
      <c r="V744" t="s">
        <v>3355</v>
      </c>
      <c r="W744" t="s">
        <v>613</v>
      </c>
      <c r="X744" t="s">
        <v>267</v>
      </c>
      <c r="Y744" t="s">
        <v>3342</v>
      </c>
      <c r="Z744" t="s">
        <v>3353</v>
      </c>
    </row>
    <row r="745" spans="1:26" x14ac:dyDescent="0.3">
      <c r="A745" t="s">
        <v>525</v>
      </c>
      <c r="B745" t="s">
        <v>3356</v>
      </c>
      <c r="C745" t="s">
        <v>3357</v>
      </c>
      <c r="D745" t="s">
        <v>3358</v>
      </c>
      <c r="E745" t="s">
        <v>3359</v>
      </c>
      <c r="F745" t="s">
        <v>3360</v>
      </c>
      <c r="G745" s="1">
        <v>45748</v>
      </c>
      <c r="H745" s="1">
        <v>45748</v>
      </c>
      <c r="I745" t="s">
        <v>665</v>
      </c>
      <c r="J745" t="s">
        <v>3361</v>
      </c>
      <c r="K745" t="s">
        <v>3232</v>
      </c>
      <c r="L745" t="s">
        <v>216</v>
      </c>
      <c r="M745" t="s">
        <v>1293</v>
      </c>
      <c r="N745" t="s">
        <v>256</v>
      </c>
      <c r="O745" t="s">
        <v>1293</v>
      </c>
      <c r="P745" t="s">
        <v>256</v>
      </c>
      <c r="Q745" t="s">
        <v>2213</v>
      </c>
      <c r="R745" t="s">
        <v>237</v>
      </c>
      <c r="S745" t="s">
        <v>783</v>
      </c>
      <c r="T745" t="s">
        <v>550</v>
      </c>
      <c r="U745" t="s">
        <v>550</v>
      </c>
      <c r="V745" t="s">
        <v>3362</v>
      </c>
      <c r="W745" t="s">
        <v>613</v>
      </c>
      <c r="X745" t="s">
        <v>267</v>
      </c>
      <c r="Y745" t="s">
        <v>3342</v>
      </c>
      <c r="Z745" t="s">
        <v>3356</v>
      </c>
    </row>
    <row r="746" spans="1:26" x14ac:dyDescent="0.3">
      <c r="A746" t="s">
        <v>525</v>
      </c>
      <c r="B746" t="s">
        <v>3363</v>
      </c>
      <c r="C746" t="s">
        <v>3364</v>
      </c>
      <c r="D746" t="s">
        <v>3358</v>
      </c>
      <c r="E746" t="s">
        <v>2587</v>
      </c>
      <c r="F746" t="s">
        <v>2588</v>
      </c>
      <c r="G746" s="1">
        <v>45901</v>
      </c>
      <c r="H746" s="1">
        <v>45901</v>
      </c>
      <c r="I746" t="s">
        <v>665</v>
      </c>
      <c r="J746" t="s">
        <v>2589</v>
      </c>
      <c r="K746" t="s">
        <v>24</v>
      </c>
      <c r="L746" t="s">
        <v>216</v>
      </c>
      <c r="M746" t="s">
        <v>1293</v>
      </c>
      <c r="N746" t="s">
        <v>256</v>
      </c>
      <c r="O746" t="s">
        <v>1293</v>
      </c>
      <c r="P746" t="s">
        <v>256</v>
      </c>
      <c r="Q746" t="s">
        <v>2213</v>
      </c>
      <c r="R746" t="s">
        <v>237</v>
      </c>
      <c r="S746" t="s">
        <v>1471</v>
      </c>
      <c r="T746" t="s">
        <v>550</v>
      </c>
      <c r="U746" t="s">
        <v>550</v>
      </c>
      <c r="V746" t="s">
        <v>3365</v>
      </c>
      <c r="W746" t="s">
        <v>613</v>
      </c>
      <c r="X746" t="s">
        <v>267</v>
      </c>
      <c r="Y746" t="s">
        <v>3342</v>
      </c>
      <c r="Z746" t="s">
        <v>3363</v>
      </c>
    </row>
    <row r="747" spans="1:26" x14ac:dyDescent="0.3">
      <c r="A747" t="s">
        <v>525</v>
      </c>
      <c r="B747" t="s">
        <v>3366</v>
      </c>
      <c r="C747" t="s">
        <v>3367</v>
      </c>
      <c r="D747" t="s">
        <v>3358</v>
      </c>
      <c r="E747" t="s">
        <v>3368</v>
      </c>
      <c r="F747" t="s">
        <v>3369</v>
      </c>
      <c r="G747" s="1">
        <v>45901</v>
      </c>
      <c r="H747" s="1">
        <v>45901</v>
      </c>
      <c r="I747" t="s">
        <v>665</v>
      </c>
      <c r="J747" t="s">
        <v>3370</v>
      </c>
      <c r="K747" t="s">
        <v>635</v>
      </c>
      <c r="L747" t="s">
        <v>216</v>
      </c>
      <c r="M747" t="s">
        <v>1293</v>
      </c>
      <c r="N747" t="s">
        <v>256</v>
      </c>
      <c r="O747" t="s">
        <v>1293</v>
      </c>
      <c r="P747" t="s">
        <v>256</v>
      </c>
      <c r="Q747" t="s">
        <v>2213</v>
      </c>
      <c r="R747" t="s">
        <v>237</v>
      </c>
      <c r="S747" t="s">
        <v>1471</v>
      </c>
      <c r="T747" t="s">
        <v>550</v>
      </c>
      <c r="U747" t="s">
        <v>550</v>
      </c>
      <c r="V747" t="s">
        <v>3371</v>
      </c>
      <c r="W747" t="s">
        <v>613</v>
      </c>
      <c r="X747" t="s">
        <v>267</v>
      </c>
      <c r="Y747" t="s">
        <v>3342</v>
      </c>
      <c r="Z747" t="s">
        <v>3366</v>
      </c>
    </row>
    <row r="748" spans="1:26" x14ac:dyDescent="0.3">
      <c r="A748" t="s">
        <v>525</v>
      </c>
      <c r="B748" t="s">
        <v>3372</v>
      </c>
      <c r="C748" t="s">
        <v>3373</v>
      </c>
      <c r="D748" t="s">
        <v>550</v>
      </c>
      <c r="E748" t="s">
        <v>664</v>
      </c>
      <c r="F748" t="s">
        <v>27</v>
      </c>
      <c r="G748" s="1">
        <v>46024</v>
      </c>
      <c r="H748" s="1">
        <v>46024</v>
      </c>
      <c r="I748" t="s">
        <v>780</v>
      </c>
      <c r="J748" t="s">
        <v>666</v>
      </c>
      <c r="K748" t="s">
        <v>24</v>
      </c>
      <c r="L748" t="s">
        <v>216</v>
      </c>
      <c r="M748" t="s">
        <v>1293</v>
      </c>
      <c r="N748" t="s">
        <v>256</v>
      </c>
      <c r="O748" t="s">
        <v>1293</v>
      </c>
      <c r="P748" t="s">
        <v>256</v>
      </c>
      <c r="Q748" t="s">
        <v>2213</v>
      </c>
      <c r="R748" t="s">
        <v>237</v>
      </c>
      <c r="S748" t="s">
        <v>783</v>
      </c>
      <c r="T748" t="s">
        <v>550</v>
      </c>
      <c r="U748" t="s">
        <v>550</v>
      </c>
      <c r="V748" t="s">
        <v>3374</v>
      </c>
      <c r="W748" t="s">
        <v>613</v>
      </c>
      <c r="X748" t="s">
        <v>267</v>
      </c>
      <c r="Z748" t="s">
        <v>3372</v>
      </c>
    </row>
    <row r="749" spans="1:26" x14ac:dyDescent="0.3">
      <c r="A749" t="s">
        <v>525</v>
      </c>
      <c r="B749" t="s">
        <v>3375</v>
      </c>
      <c r="C749" t="s">
        <v>3376</v>
      </c>
      <c r="D749" t="s">
        <v>3377</v>
      </c>
      <c r="E749" t="s">
        <v>2479</v>
      </c>
      <c r="F749" t="s">
        <v>2480</v>
      </c>
      <c r="G749" s="1">
        <v>45717</v>
      </c>
      <c r="H749" s="1">
        <v>45717</v>
      </c>
      <c r="I749" t="s">
        <v>665</v>
      </c>
      <c r="J749" t="s">
        <v>2481</v>
      </c>
      <c r="K749" t="s">
        <v>24</v>
      </c>
      <c r="L749" t="s">
        <v>216</v>
      </c>
      <c r="M749" t="s">
        <v>1293</v>
      </c>
      <c r="N749" t="s">
        <v>256</v>
      </c>
      <c r="O749" t="s">
        <v>1293</v>
      </c>
      <c r="P749" t="s">
        <v>256</v>
      </c>
      <c r="Q749" t="s">
        <v>2213</v>
      </c>
      <c r="R749" t="s">
        <v>237</v>
      </c>
      <c r="S749" t="s">
        <v>783</v>
      </c>
      <c r="T749" t="s">
        <v>550</v>
      </c>
      <c r="U749" t="s">
        <v>550</v>
      </c>
      <c r="V749" t="s">
        <v>3378</v>
      </c>
      <c r="W749" t="s">
        <v>613</v>
      </c>
      <c r="X749" t="s">
        <v>267</v>
      </c>
      <c r="Y749" t="s">
        <v>3379</v>
      </c>
      <c r="Z749" t="s">
        <v>3375</v>
      </c>
    </row>
    <row r="750" spans="1:26" x14ac:dyDescent="0.3">
      <c r="A750" t="s">
        <v>525</v>
      </c>
      <c r="B750" t="s">
        <v>3380</v>
      </c>
      <c r="C750" t="s">
        <v>3381</v>
      </c>
      <c r="D750" t="s">
        <v>550</v>
      </c>
      <c r="E750" t="s">
        <v>664</v>
      </c>
      <c r="F750" t="s">
        <v>27</v>
      </c>
      <c r="G750" s="1">
        <v>43983</v>
      </c>
      <c r="H750" s="1">
        <v>44013</v>
      </c>
      <c r="I750" t="s">
        <v>665</v>
      </c>
      <c r="J750" t="s">
        <v>666</v>
      </c>
      <c r="K750" t="s">
        <v>24</v>
      </c>
      <c r="L750" t="s">
        <v>667</v>
      </c>
      <c r="M750" t="s">
        <v>797</v>
      </c>
      <c r="N750" t="s">
        <v>313</v>
      </c>
      <c r="O750" t="s">
        <v>891</v>
      </c>
      <c r="P750" t="s">
        <v>892</v>
      </c>
      <c r="Q750" t="s">
        <v>2213</v>
      </c>
      <c r="R750" t="s">
        <v>237</v>
      </c>
      <c r="S750" t="s">
        <v>550</v>
      </c>
      <c r="T750" t="s">
        <v>893</v>
      </c>
      <c r="U750" t="s">
        <v>550</v>
      </c>
      <c r="V750" t="s">
        <v>3382</v>
      </c>
      <c r="W750" t="s">
        <v>554</v>
      </c>
      <c r="X750" t="s">
        <v>669</v>
      </c>
      <c r="Y750" t="s">
        <v>799</v>
      </c>
      <c r="Z750" t="s">
        <v>3380</v>
      </c>
    </row>
    <row r="751" spans="1:26" x14ac:dyDescent="0.3">
      <c r="A751" t="s">
        <v>525</v>
      </c>
      <c r="B751" t="s">
        <v>3383</v>
      </c>
      <c r="C751" t="s">
        <v>3384</v>
      </c>
      <c r="D751" t="s">
        <v>550</v>
      </c>
      <c r="E751" t="s">
        <v>664</v>
      </c>
      <c r="F751" t="s">
        <v>27</v>
      </c>
      <c r="G751" s="1">
        <v>43983</v>
      </c>
      <c r="H751" s="1">
        <v>43983</v>
      </c>
      <c r="I751" t="s">
        <v>665</v>
      </c>
      <c r="J751" t="s">
        <v>666</v>
      </c>
      <c r="K751" t="s">
        <v>24</v>
      </c>
      <c r="L751" t="s">
        <v>667</v>
      </c>
      <c r="M751" t="s">
        <v>797</v>
      </c>
      <c r="N751" t="s">
        <v>313</v>
      </c>
      <c r="O751" t="s">
        <v>891</v>
      </c>
      <c r="P751" t="s">
        <v>892</v>
      </c>
      <c r="Q751" t="s">
        <v>2213</v>
      </c>
      <c r="R751" t="s">
        <v>237</v>
      </c>
      <c r="S751" t="s">
        <v>550</v>
      </c>
      <c r="T751" t="s">
        <v>893</v>
      </c>
      <c r="U751" t="s">
        <v>550</v>
      </c>
      <c r="V751" t="s">
        <v>3385</v>
      </c>
      <c r="W751" t="s">
        <v>554</v>
      </c>
      <c r="X751" t="s">
        <v>669</v>
      </c>
      <c r="Y751" t="s">
        <v>799</v>
      </c>
      <c r="Z751" t="s">
        <v>3383</v>
      </c>
    </row>
    <row r="752" spans="1:26" x14ac:dyDescent="0.3">
      <c r="A752" t="s">
        <v>525</v>
      </c>
      <c r="B752" t="s">
        <v>3386</v>
      </c>
      <c r="C752" t="s">
        <v>3387</v>
      </c>
      <c r="D752" t="s">
        <v>550</v>
      </c>
      <c r="E752" t="s">
        <v>664</v>
      </c>
      <c r="F752" t="s">
        <v>27</v>
      </c>
      <c r="G752" s="1">
        <v>43983</v>
      </c>
      <c r="H752" s="1">
        <v>43999</v>
      </c>
      <c r="I752" t="s">
        <v>665</v>
      </c>
      <c r="J752" t="s">
        <v>666</v>
      </c>
      <c r="K752" t="s">
        <v>24</v>
      </c>
      <c r="L752" t="s">
        <v>667</v>
      </c>
      <c r="M752" t="s">
        <v>889</v>
      </c>
      <c r="N752" t="s">
        <v>890</v>
      </c>
      <c r="O752" t="s">
        <v>891</v>
      </c>
      <c r="P752" t="s">
        <v>892</v>
      </c>
      <c r="Q752" t="s">
        <v>2213</v>
      </c>
      <c r="R752" t="s">
        <v>237</v>
      </c>
      <c r="S752" t="s">
        <v>550</v>
      </c>
      <c r="T752" t="s">
        <v>893</v>
      </c>
      <c r="U752" t="s">
        <v>550</v>
      </c>
      <c r="V752" t="s">
        <v>3388</v>
      </c>
      <c r="W752" t="s">
        <v>554</v>
      </c>
      <c r="X752" t="s">
        <v>669</v>
      </c>
      <c r="Y752" t="s">
        <v>799</v>
      </c>
      <c r="Z752" t="s">
        <v>3386</v>
      </c>
    </row>
    <row r="753" spans="1:26" x14ac:dyDescent="0.3">
      <c r="A753" t="s">
        <v>525</v>
      </c>
      <c r="B753" t="s">
        <v>3389</v>
      </c>
      <c r="C753" t="s">
        <v>3390</v>
      </c>
      <c r="D753" t="s">
        <v>550</v>
      </c>
      <c r="E753" t="s">
        <v>664</v>
      </c>
      <c r="F753" t="s">
        <v>27</v>
      </c>
      <c r="G753" s="1">
        <v>43983</v>
      </c>
      <c r="H753" s="1">
        <v>43999</v>
      </c>
      <c r="I753" t="s">
        <v>665</v>
      </c>
      <c r="J753" t="s">
        <v>666</v>
      </c>
      <c r="K753" t="s">
        <v>24</v>
      </c>
      <c r="L753" t="s">
        <v>667</v>
      </c>
      <c r="M753" t="s">
        <v>889</v>
      </c>
      <c r="N753" t="s">
        <v>890</v>
      </c>
      <c r="O753" t="s">
        <v>891</v>
      </c>
      <c r="P753" t="s">
        <v>892</v>
      </c>
      <c r="Q753" t="s">
        <v>2213</v>
      </c>
      <c r="R753" t="s">
        <v>237</v>
      </c>
      <c r="S753" t="s">
        <v>550</v>
      </c>
      <c r="T753" t="s">
        <v>893</v>
      </c>
      <c r="U753" t="s">
        <v>550</v>
      </c>
      <c r="V753" t="s">
        <v>3391</v>
      </c>
      <c r="W753" t="s">
        <v>565</v>
      </c>
      <c r="X753" t="s">
        <v>669</v>
      </c>
      <c r="Y753" t="s">
        <v>856</v>
      </c>
      <c r="Z753" t="s">
        <v>3389</v>
      </c>
    </row>
    <row r="754" spans="1:26" x14ac:dyDescent="0.3">
      <c r="A754" t="s">
        <v>525</v>
      </c>
      <c r="B754" t="s">
        <v>3392</v>
      </c>
      <c r="C754" t="s">
        <v>3393</v>
      </c>
      <c r="D754" t="s">
        <v>550</v>
      </c>
      <c r="E754" t="s">
        <v>1125</v>
      </c>
      <c r="F754" t="s">
        <v>1126</v>
      </c>
      <c r="G754" s="1">
        <v>43283</v>
      </c>
      <c r="H754" s="1">
        <v>43346</v>
      </c>
      <c r="I754" t="s">
        <v>665</v>
      </c>
      <c r="J754" t="s">
        <v>3394</v>
      </c>
      <c r="K754" t="s">
        <v>635</v>
      </c>
      <c r="L754" t="s">
        <v>1045</v>
      </c>
      <c r="M754" t="s">
        <v>2790</v>
      </c>
      <c r="N754" t="s">
        <v>2791</v>
      </c>
      <c r="O754" t="s">
        <v>1405</v>
      </c>
      <c r="P754" t="s">
        <v>1406</v>
      </c>
      <c r="Q754" t="s">
        <v>2213</v>
      </c>
      <c r="R754" t="s">
        <v>237</v>
      </c>
      <c r="S754" t="s">
        <v>550</v>
      </c>
      <c r="T754" t="s">
        <v>550</v>
      </c>
      <c r="U754" t="s">
        <v>550</v>
      </c>
      <c r="V754" t="s">
        <v>3395</v>
      </c>
      <c r="W754" t="s">
        <v>1021</v>
      </c>
      <c r="X754" t="s">
        <v>74</v>
      </c>
      <c r="Y754" t="s">
        <v>1033</v>
      </c>
      <c r="Z754" t="s">
        <v>3392</v>
      </c>
    </row>
    <row r="755" spans="1:26" x14ac:dyDescent="0.3">
      <c r="A755" t="s">
        <v>525</v>
      </c>
      <c r="B755" t="s">
        <v>3396</v>
      </c>
      <c r="C755" t="s">
        <v>3397</v>
      </c>
      <c r="D755" t="s">
        <v>3005</v>
      </c>
      <c r="E755" t="s">
        <v>1039</v>
      </c>
      <c r="F755" t="s">
        <v>1040</v>
      </c>
      <c r="G755" s="1">
        <v>43102</v>
      </c>
      <c r="H755" s="1">
        <v>43465</v>
      </c>
      <c r="I755" t="s">
        <v>665</v>
      </c>
      <c r="J755" t="s">
        <v>1041</v>
      </c>
      <c r="K755" t="s">
        <v>24</v>
      </c>
      <c r="L755" t="s">
        <v>216</v>
      </c>
      <c r="M755" t="s">
        <v>1030</v>
      </c>
      <c r="N755" t="s">
        <v>255</v>
      </c>
      <c r="O755" t="s">
        <v>1405</v>
      </c>
      <c r="P755" t="s">
        <v>1406</v>
      </c>
      <c r="Q755" t="s">
        <v>2213</v>
      </c>
      <c r="R755" t="s">
        <v>237</v>
      </c>
      <c r="S755" t="s">
        <v>550</v>
      </c>
      <c r="T755" t="s">
        <v>550</v>
      </c>
      <c r="U755" t="s">
        <v>550</v>
      </c>
      <c r="V755" t="s">
        <v>3398</v>
      </c>
      <c r="W755" t="s">
        <v>613</v>
      </c>
      <c r="X755" t="s">
        <v>74</v>
      </c>
      <c r="Y755" t="s">
        <v>786</v>
      </c>
      <c r="Z755" t="s">
        <v>3396</v>
      </c>
    </row>
    <row r="756" spans="1:26" x14ac:dyDescent="0.3">
      <c r="A756" t="s">
        <v>525</v>
      </c>
      <c r="B756" t="s">
        <v>3399</v>
      </c>
      <c r="C756" t="s">
        <v>3400</v>
      </c>
      <c r="D756" t="s">
        <v>3396</v>
      </c>
      <c r="E756" t="s">
        <v>664</v>
      </c>
      <c r="F756" t="s">
        <v>27</v>
      </c>
      <c r="G756" s="1">
        <v>43101</v>
      </c>
      <c r="H756" s="1">
        <v>43188</v>
      </c>
      <c r="I756" t="s">
        <v>665</v>
      </c>
      <c r="J756" t="s">
        <v>666</v>
      </c>
      <c r="K756" t="s">
        <v>24</v>
      </c>
      <c r="L756" t="s">
        <v>216</v>
      </c>
      <c r="M756" t="s">
        <v>1030</v>
      </c>
      <c r="N756" t="s">
        <v>255</v>
      </c>
      <c r="O756" t="s">
        <v>1405</v>
      </c>
      <c r="P756" t="s">
        <v>1406</v>
      </c>
      <c r="Q756" t="s">
        <v>2213</v>
      </c>
      <c r="R756" t="s">
        <v>237</v>
      </c>
      <c r="S756" t="s">
        <v>550</v>
      </c>
      <c r="T756" t="s">
        <v>550</v>
      </c>
      <c r="U756" t="s">
        <v>550</v>
      </c>
      <c r="V756" t="s">
        <v>3401</v>
      </c>
      <c r="W756" t="s">
        <v>613</v>
      </c>
      <c r="X756" t="s">
        <v>74</v>
      </c>
      <c r="Y756" t="s">
        <v>786</v>
      </c>
      <c r="Z756" t="s">
        <v>3399</v>
      </c>
    </row>
    <row r="757" spans="1:26" x14ac:dyDescent="0.3">
      <c r="A757" t="s">
        <v>525</v>
      </c>
      <c r="B757" t="s">
        <v>3402</v>
      </c>
      <c r="C757" t="s">
        <v>3403</v>
      </c>
      <c r="D757" t="s">
        <v>3017</v>
      </c>
      <c r="E757" t="s">
        <v>1039</v>
      </c>
      <c r="F757" t="s">
        <v>1040</v>
      </c>
      <c r="G757" s="1">
        <v>43102</v>
      </c>
      <c r="H757" s="1">
        <v>43465</v>
      </c>
      <c r="I757" t="s">
        <v>665</v>
      </c>
      <c r="J757" t="s">
        <v>1041</v>
      </c>
      <c r="K757" t="s">
        <v>24</v>
      </c>
      <c r="L757" t="s">
        <v>1045</v>
      </c>
      <c r="M757" t="s">
        <v>1030</v>
      </c>
      <c r="N757" t="s">
        <v>255</v>
      </c>
      <c r="O757" t="s">
        <v>1405</v>
      </c>
      <c r="P757" t="s">
        <v>1406</v>
      </c>
      <c r="Q757" t="s">
        <v>2213</v>
      </c>
      <c r="R757" t="s">
        <v>237</v>
      </c>
      <c r="S757" t="s">
        <v>550</v>
      </c>
      <c r="T757" t="s">
        <v>550</v>
      </c>
      <c r="U757" t="s">
        <v>550</v>
      </c>
      <c r="V757" t="s">
        <v>3404</v>
      </c>
      <c r="W757" t="s">
        <v>613</v>
      </c>
      <c r="X757" t="s">
        <v>74</v>
      </c>
      <c r="Y757" t="s">
        <v>786</v>
      </c>
      <c r="Z757" t="s">
        <v>3402</v>
      </c>
    </row>
    <row r="758" spans="1:26" x14ac:dyDescent="0.3">
      <c r="A758" t="s">
        <v>525</v>
      </c>
      <c r="B758" t="s">
        <v>3405</v>
      </c>
      <c r="C758" t="s">
        <v>3406</v>
      </c>
      <c r="D758" t="s">
        <v>3014</v>
      </c>
      <c r="E758" t="s">
        <v>1039</v>
      </c>
      <c r="F758" t="s">
        <v>1040</v>
      </c>
      <c r="G758" s="1">
        <v>43102</v>
      </c>
      <c r="H758" s="1">
        <v>43465</v>
      </c>
      <c r="I758" t="s">
        <v>665</v>
      </c>
      <c r="J758" t="s">
        <v>1041</v>
      </c>
      <c r="K758" t="s">
        <v>24</v>
      </c>
      <c r="L758" t="s">
        <v>863</v>
      </c>
      <c r="M758" t="s">
        <v>1030</v>
      </c>
      <c r="N758" t="s">
        <v>255</v>
      </c>
      <c r="O758" t="s">
        <v>1405</v>
      </c>
      <c r="P758" t="s">
        <v>1406</v>
      </c>
      <c r="Q758" t="s">
        <v>2213</v>
      </c>
      <c r="R758" t="s">
        <v>237</v>
      </c>
      <c r="S758" t="s">
        <v>550</v>
      </c>
      <c r="T758" t="s">
        <v>550</v>
      </c>
      <c r="U758" t="s">
        <v>550</v>
      </c>
      <c r="V758" t="s">
        <v>3407</v>
      </c>
      <c r="W758" t="s">
        <v>613</v>
      </c>
      <c r="X758" t="s">
        <v>74</v>
      </c>
      <c r="Y758" t="s">
        <v>786</v>
      </c>
      <c r="Z758" t="s">
        <v>3405</v>
      </c>
    </row>
    <row r="759" spans="1:26" x14ac:dyDescent="0.3">
      <c r="A759" t="s">
        <v>525</v>
      </c>
      <c r="B759" t="s">
        <v>3408</v>
      </c>
      <c r="C759" t="s">
        <v>3409</v>
      </c>
      <c r="D759" t="s">
        <v>3014</v>
      </c>
      <c r="E759" t="s">
        <v>1039</v>
      </c>
      <c r="F759" t="s">
        <v>1040</v>
      </c>
      <c r="G759" s="1">
        <v>43102</v>
      </c>
      <c r="H759" s="1">
        <v>43465</v>
      </c>
      <c r="I759" t="s">
        <v>665</v>
      </c>
      <c r="J759" t="s">
        <v>1041</v>
      </c>
      <c r="K759" t="s">
        <v>24</v>
      </c>
      <c r="L759" t="s">
        <v>863</v>
      </c>
      <c r="M759" t="s">
        <v>1030</v>
      </c>
      <c r="N759" t="s">
        <v>255</v>
      </c>
      <c r="O759" t="s">
        <v>1405</v>
      </c>
      <c r="P759" t="s">
        <v>1406</v>
      </c>
      <c r="Q759" t="s">
        <v>2213</v>
      </c>
      <c r="R759" t="s">
        <v>237</v>
      </c>
      <c r="S759" t="s">
        <v>550</v>
      </c>
      <c r="T759" t="s">
        <v>550</v>
      </c>
      <c r="U759" t="s">
        <v>550</v>
      </c>
      <c r="V759" t="s">
        <v>3410</v>
      </c>
      <c r="W759" t="s">
        <v>613</v>
      </c>
      <c r="X759" t="s">
        <v>74</v>
      </c>
      <c r="Y759" t="s">
        <v>786</v>
      </c>
      <c r="Z759" t="s">
        <v>3408</v>
      </c>
    </row>
    <row r="760" spans="1:26" x14ac:dyDescent="0.3">
      <c r="A760" t="s">
        <v>525</v>
      </c>
      <c r="B760" t="s">
        <v>3411</v>
      </c>
      <c r="C760" t="s">
        <v>3412</v>
      </c>
      <c r="D760" t="s">
        <v>550</v>
      </c>
      <c r="E760" t="s">
        <v>3413</v>
      </c>
      <c r="F760" t="s">
        <v>3414</v>
      </c>
      <c r="G760" s="1">
        <v>43831</v>
      </c>
      <c r="H760" s="1">
        <v>43831</v>
      </c>
      <c r="I760" t="s">
        <v>665</v>
      </c>
      <c r="J760" t="s">
        <v>3415</v>
      </c>
      <c r="K760" t="s">
        <v>24</v>
      </c>
      <c r="L760" t="s">
        <v>216</v>
      </c>
      <c r="M760" t="s">
        <v>2790</v>
      </c>
      <c r="N760" t="s">
        <v>2791</v>
      </c>
      <c r="O760" t="s">
        <v>1405</v>
      </c>
      <c r="P760" t="s">
        <v>1406</v>
      </c>
      <c r="Q760" t="s">
        <v>2213</v>
      </c>
      <c r="R760" t="s">
        <v>237</v>
      </c>
      <c r="S760" t="s">
        <v>550</v>
      </c>
      <c r="T760" t="s">
        <v>550</v>
      </c>
      <c r="U760" t="s">
        <v>550</v>
      </c>
      <c r="V760" t="s">
        <v>3416</v>
      </c>
      <c r="W760" t="s">
        <v>613</v>
      </c>
      <c r="X760" t="s">
        <v>74</v>
      </c>
      <c r="Y760" t="s">
        <v>803</v>
      </c>
      <c r="Z760" t="s">
        <v>3411</v>
      </c>
    </row>
    <row r="761" spans="1:26" x14ac:dyDescent="0.3">
      <c r="A761" t="s">
        <v>525</v>
      </c>
      <c r="B761" t="s">
        <v>3417</v>
      </c>
      <c r="C761" t="s">
        <v>3418</v>
      </c>
      <c r="D761" t="s">
        <v>550</v>
      </c>
      <c r="E761" t="s">
        <v>3419</v>
      </c>
      <c r="F761" t="s">
        <v>3420</v>
      </c>
      <c r="G761" s="1">
        <v>43831</v>
      </c>
      <c r="H761" s="1">
        <v>43831</v>
      </c>
      <c r="I761" t="s">
        <v>665</v>
      </c>
      <c r="J761" t="s">
        <v>3421</v>
      </c>
      <c r="K761" t="s">
        <v>635</v>
      </c>
      <c r="L761" t="s">
        <v>216</v>
      </c>
      <c r="M761" t="s">
        <v>2790</v>
      </c>
      <c r="N761" t="s">
        <v>2791</v>
      </c>
      <c r="O761" t="s">
        <v>1405</v>
      </c>
      <c r="P761" t="s">
        <v>1406</v>
      </c>
      <c r="Q761" t="s">
        <v>2213</v>
      </c>
      <c r="R761" t="s">
        <v>237</v>
      </c>
      <c r="S761" t="s">
        <v>550</v>
      </c>
      <c r="T761" t="s">
        <v>550</v>
      </c>
      <c r="U761" t="s">
        <v>550</v>
      </c>
      <c r="V761" t="s">
        <v>3422</v>
      </c>
      <c r="W761" t="s">
        <v>613</v>
      </c>
      <c r="X761" t="s">
        <v>74</v>
      </c>
      <c r="Y761" t="s">
        <v>786</v>
      </c>
      <c r="Z761" t="s">
        <v>3423</v>
      </c>
    </row>
    <row r="762" spans="1:26" x14ac:dyDescent="0.3">
      <c r="A762" t="s">
        <v>525</v>
      </c>
      <c r="B762" t="s">
        <v>3424</v>
      </c>
      <c r="C762" t="s">
        <v>3425</v>
      </c>
      <c r="D762" t="s">
        <v>550</v>
      </c>
      <c r="E762" t="s">
        <v>1410</v>
      </c>
      <c r="F762" t="s">
        <v>1411</v>
      </c>
      <c r="G762" s="1">
        <v>43102</v>
      </c>
      <c r="H762" s="1">
        <v>43465</v>
      </c>
      <c r="I762" t="s">
        <v>665</v>
      </c>
      <c r="J762" t="s">
        <v>1412</v>
      </c>
      <c r="K762" t="s">
        <v>24</v>
      </c>
      <c r="L762" t="s">
        <v>216</v>
      </c>
      <c r="M762" t="s">
        <v>2790</v>
      </c>
      <c r="N762" t="s">
        <v>2791</v>
      </c>
      <c r="O762" t="s">
        <v>1405</v>
      </c>
      <c r="P762" t="s">
        <v>1406</v>
      </c>
      <c r="Q762" t="s">
        <v>2213</v>
      </c>
      <c r="R762" t="s">
        <v>237</v>
      </c>
      <c r="S762" t="s">
        <v>550</v>
      </c>
      <c r="T762" t="s">
        <v>550</v>
      </c>
      <c r="U762" t="s">
        <v>550</v>
      </c>
      <c r="V762" t="s">
        <v>3426</v>
      </c>
      <c r="W762" t="s">
        <v>1021</v>
      </c>
      <c r="X762" t="s">
        <v>74</v>
      </c>
      <c r="Y762" t="s">
        <v>1033</v>
      </c>
      <c r="Z762" t="s">
        <v>3424</v>
      </c>
    </row>
    <row r="763" spans="1:26" x14ac:dyDescent="0.3">
      <c r="A763" t="s">
        <v>525</v>
      </c>
      <c r="B763" t="s">
        <v>3427</v>
      </c>
      <c r="C763" t="s">
        <v>1028</v>
      </c>
      <c r="D763" t="s">
        <v>3428</v>
      </c>
      <c r="E763" t="s">
        <v>1027</v>
      </c>
      <c r="F763" t="s">
        <v>1028</v>
      </c>
      <c r="G763" s="1">
        <v>43102</v>
      </c>
      <c r="H763" s="1">
        <v>43465</v>
      </c>
      <c r="I763" t="s">
        <v>665</v>
      </c>
      <c r="J763" t="s">
        <v>1029</v>
      </c>
      <c r="K763" t="s">
        <v>24</v>
      </c>
      <c r="L763" t="s">
        <v>216</v>
      </c>
      <c r="M763" t="s">
        <v>2790</v>
      </c>
      <c r="N763" t="s">
        <v>2791</v>
      </c>
      <c r="O763" t="s">
        <v>1405</v>
      </c>
      <c r="P763" t="s">
        <v>1406</v>
      </c>
      <c r="Q763" t="s">
        <v>2213</v>
      </c>
      <c r="R763" t="s">
        <v>237</v>
      </c>
      <c r="S763" t="s">
        <v>550</v>
      </c>
      <c r="T763" t="s">
        <v>550</v>
      </c>
      <c r="U763" t="s">
        <v>550</v>
      </c>
      <c r="V763" t="s">
        <v>3429</v>
      </c>
      <c r="W763" t="s">
        <v>1021</v>
      </c>
      <c r="X763" t="s">
        <v>74</v>
      </c>
      <c r="Y763" t="s">
        <v>1033</v>
      </c>
      <c r="Z763" t="s">
        <v>3427</v>
      </c>
    </row>
    <row r="764" spans="1:26" x14ac:dyDescent="0.3">
      <c r="A764" t="s">
        <v>525</v>
      </c>
      <c r="B764" t="s">
        <v>3430</v>
      </c>
      <c r="C764" t="s">
        <v>3431</v>
      </c>
      <c r="D764" t="s">
        <v>3428</v>
      </c>
      <c r="E764" t="s">
        <v>3432</v>
      </c>
      <c r="F764" t="s">
        <v>3431</v>
      </c>
      <c r="G764" s="1">
        <v>43102</v>
      </c>
      <c r="H764" s="1">
        <v>43465</v>
      </c>
      <c r="I764" t="s">
        <v>665</v>
      </c>
      <c r="J764" t="s">
        <v>3433</v>
      </c>
      <c r="K764" t="s">
        <v>24</v>
      </c>
      <c r="L764" t="s">
        <v>216</v>
      </c>
      <c r="M764" t="s">
        <v>2790</v>
      </c>
      <c r="N764" t="s">
        <v>2791</v>
      </c>
      <c r="O764" t="s">
        <v>1405</v>
      </c>
      <c r="P764" t="s">
        <v>1406</v>
      </c>
      <c r="Q764" t="s">
        <v>2213</v>
      </c>
      <c r="R764" t="s">
        <v>237</v>
      </c>
      <c r="S764" t="s">
        <v>550</v>
      </c>
      <c r="T764" t="s">
        <v>550</v>
      </c>
      <c r="U764" t="s">
        <v>550</v>
      </c>
      <c r="V764" t="s">
        <v>3434</v>
      </c>
      <c r="W764" t="s">
        <v>1021</v>
      </c>
      <c r="X764" t="s">
        <v>74</v>
      </c>
      <c r="Y764" t="s">
        <v>1033</v>
      </c>
      <c r="Z764" t="s">
        <v>3430</v>
      </c>
    </row>
    <row r="765" spans="1:26" x14ac:dyDescent="0.3">
      <c r="A765" t="s">
        <v>525</v>
      </c>
      <c r="B765" t="s">
        <v>3435</v>
      </c>
      <c r="C765" t="s">
        <v>2374</v>
      </c>
      <c r="D765" t="s">
        <v>3428</v>
      </c>
      <c r="E765" t="s">
        <v>2373</v>
      </c>
      <c r="F765" t="s">
        <v>2374</v>
      </c>
      <c r="G765" s="1">
        <v>43102</v>
      </c>
      <c r="H765" s="1">
        <v>43465</v>
      </c>
      <c r="I765" t="s">
        <v>665</v>
      </c>
      <c r="J765" t="s">
        <v>2375</v>
      </c>
      <c r="K765" t="s">
        <v>24</v>
      </c>
      <c r="L765" t="s">
        <v>216</v>
      </c>
      <c r="M765" t="s">
        <v>2790</v>
      </c>
      <c r="N765" t="s">
        <v>2791</v>
      </c>
      <c r="O765" t="s">
        <v>1405</v>
      </c>
      <c r="P765" t="s">
        <v>1406</v>
      </c>
      <c r="Q765" t="s">
        <v>2213</v>
      </c>
      <c r="R765" t="s">
        <v>237</v>
      </c>
      <c r="S765" t="s">
        <v>550</v>
      </c>
      <c r="T765" t="s">
        <v>550</v>
      </c>
      <c r="U765" t="s">
        <v>550</v>
      </c>
      <c r="V765" t="s">
        <v>3436</v>
      </c>
      <c r="W765" t="s">
        <v>1021</v>
      </c>
      <c r="X765" t="s">
        <v>74</v>
      </c>
      <c r="Y765" t="s">
        <v>1033</v>
      </c>
      <c r="Z765" t="s">
        <v>3435</v>
      </c>
    </row>
    <row r="766" spans="1:26" x14ac:dyDescent="0.3">
      <c r="A766" t="s">
        <v>525</v>
      </c>
      <c r="B766" t="s">
        <v>3437</v>
      </c>
      <c r="C766" t="s">
        <v>3438</v>
      </c>
      <c r="D766" t="s">
        <v>3428</v>
      </c>
      <c r="E766" t="s">
        <v>3439</v>
      </c>
      <c r="F766" t="s">
        <v>3438</v>
      </c>
      <c r="G766" s="1">
        <v>43102</v>
      </c>
      <c r="H766" s="1">
        <v>43465</v>
      </c>
      <c r="I766" t="s">
        <v>665</v>
      </c>
      <c r="J766" t="s">
        <v>3440</v>
      </c>
      <c r="K766" t="s">
        <v>24</v>
      </c>
      <c r="L766" t="s">
        <v>216</v>
      </c>
      <c r="M766" t="s">
        <v>2790</v>
      </c>
      <c r="N766" t="s">
        <v>2791</v>
      </c>
      <c r="O766" t="s">
        <v>1405</v>
      </c>
      <c r="P766" t="s">
        <v>1406</v>
      </c>
      <c r="Q766" t="s">
        <v>2213</v>
      </c>
      <c r="R766" t="s">
        <v>237</v>
      </c>
      <c r="S766" t="s">
        <v>550</v>
      </c>
      <c r="T766" t="s">
        <v>550</v>
      </c>
      <c r="U766" t="s">
        <v>550</v>
      </c>
      <c r="V766" t="s">
        <v>3441</v>
      </c>
      <c r="W766" t="s">
        <v>1021</v>
      </c>
      <c r="X766" t="s">
        <v>74</v>
      </c>
      <c r="Y766" t="s">
        <v>1033</v>
      </c>
      <c r="Z766" t="s">
        <v>3437</v>
      </c>
    </row>
    <row r="767" spans="1:26" x14ac:dyDescent="0.3">
      <c r="A767" t="s">
        <v>525</v>
      </c>
      <c r="B767" t="s">
        <v>3442</v>
      </c>
      <c r="C767" t="s">
        <v>3443</v>
      </c>
      <c r="D767" t="s">
        <v>3428</v>
      </c>
      <c r="E767" t="s">
        <v>3444</v>
      </c>
      <c r="F767" t="s">
        <v>3443</v>
      </c>
      <c r="G767" s="1">
        <v>43102</v>
      </c>
      <c r="H767" s="1">
        <v>43465</v>
      </c>
      <c r="I767" t="s">
        <v>665</v>
      </c>
      <c r="J767" t="s">
        <v>3445</v>
      </c>
      <c r="K767" t="s">
        <v>24</v>
      </c>
      <c r="L767" t="s">
        <v>216</v>
      </c>
      <c r="M767" t="s">
        <v>2790</v>
      </c>
      <c r="N767" t="s">
        <v>2791</v>
      </c>
      <c r="O767" t="s">
        <v>1405</v>
      </c>
      <c r="P767" t="s">
        <v>1406</v>
      </c>
      <c r="Q767" t="s">
        <v>2213</v>
      </c>
      <c r="R767" t="s">
        <v>237</v>
      </c>
      <c r="S767" t="s">
        <v>550</v>
      </c>
      <c r="T767" t="s">
        <v>550</v>
      </c>
      <c r="U767" t="s">
        <v>550</v>
      </c>
      <c r="V767" t="s">
        <v>3446</v>
      </c>
      <c r="W767" t="s">
        <v>1021</v>
      </c>
      <c r="X767" t="s">
        <v>74</v>
      </c>
      <c r="Y767" t="s">
        <v>1033</v>
      </c>
      <c r="Z767" t="s">
        <v>3442</v>
      </c>
    </row>
    <row r="768" spans="1:26" x14ac:dyDescent="0.3">
      <c r="A768" t="s">
        <v>525</v>
      </c>
      <c r="B768" t="s">
        <v>3447</v>
      </c>
      <c r="C768" t="s">
        <v>3448</v>
      </c>
      <c r="D768" t="s">
        <v>3428</v>
      </c>
      <c r="E768" t="s">
        <v>3449</v>
      </c>
      <c r="F768" t="s">
        <v>3448</v>
      </c>
      <c r="G768" s="1">
        <v>43102</v>
      </c>
      <c r="H768" s="1">
        <v>43465</v>
      </c>
      <c r="I768" t="s">
        <v>665</v>
      </c>
      <c r="J768" t="s">
        <v>3450</v>
      </c>
      <c r="K768" t="s">
        <v>24</v>
      </c>
      <c r="L768" t="s">
        <v>216</v>
      </c>
      <c r="M768" t="s">
        <v>2790</v>
      </c>
      <c r="N768" t="s">
        <v>2791</v>
      </c>
      <c r="O768" t="s">
        <v>1405</v>
      </c>
      <c r="P768" t="s">
        <v>1406</v>
      </c>
      <c r="Q768" t="s">
        <v>2213</v>
      </c>
      <c r="R768" t="s">
        <v>237</v>
      </c>
      <c r="S768" t="s">
        <v>550</v>
      </c>
      <c r="T768" t="s">
        <v>550</v>
      </c>
      <c r="U768" t="s">
        <v>550</v>
      </c>
      <c r="V768" t="s">
        <v>3451</v>
      </c>
      <c r="W768" t="s">
        <v>1021</v>
      </c>
      <c r="X768" t="s">
        <v>74</v>
      </c>
      <c r="Y768" t="s">
        <v>1033</v>
      </c>
      <c r="Z768" t="s">
        <v>3447</v>
      </c>
    </row>
    <row r="769" spans="1:26" x14ac:dyDescent="0.3">
      <c r="A769" t="s">
        <v>525</v>
      </c>
      <c r="B769" t="s">
        <v>3452</v>
      </c>
      <c r="C769" t="s">
        <v>3453</v>
      </c>
      <c r="D769" t="s">
        <v>3428</v>
      </c>
      <c r="E769" t="s">
        <v>3454</v>
      </c>
      <c r="F769" t="s">
        <v>3453</v>
      </c>
      <c r="G769" s="1">
        <v>43102</v>
      </c>
      <c r="H769" s="1">
        <v>43465</v>
      </c>
      <c r="I769" t="s">
        <v>665</v>
      </c>
      <c r="J769" t="s">
        <v>3455</v>
      </c>
      <c r="K769" t="s">
        <v>24</v>
      </c>
      <c r="L769" t="s">
        <v>216</v>
      </c>
      <c r="M769" t="s">
        <v>2790</v>
      </c>
      <c r="N769" t="s">
        <v>2791</v>
      </c>
      <c r="O769" t="s">
        <v>1405</v>
      </c>
      <c r="P769" t="s">
        <v>1406</v>
      </c>
      <c r="Q769" t="s">
        <v>2213</v>
      </c>
      <c r="R769" t="s">
        <v>237</v>
      </c>
      <c r="S769" t="s">
        <v>550</v>
      </c>
      <c r="T769" t="s">
        <v>550</v>
      </c>
      <c r="U769" t="s">
        <v>550</v>
      </c>
      <c r="V769" t="s">
        <v>3456</v>
      </c>
      <c r="W769" t="s">
        <v>1021</v>
      </c>
      <c r="X769" t="s">
        <v>74</v>
      </c>
      <c r="Y769" t="s">
        <v>1033</v>
      </c>
      <c r="Z769" t="s">
        <v>3452</v>
      </c>
    </row>
    <row r="770" spans="1:26" x14ac:dyDescent="0.3">
      <c r="A770" t="s">
        <v>525</v>
      </c>
      <c r="B770" t="s">
        <v>3457</v>
      </c>
      <c r="C770" t="s">
        <v>3458</v>
      </c>
      <c r="D770" t="s">
        <v>3428</v>
      </c>
      <c r="E770" t="s">
        <v>1410</v>
      </c>
      <c r="F770" t="s">
        <v>1411</v>
      </c>
      <c r="G770" s="1">
        <v>43102</v>
      </c>
      <c r="H770" s="1">
        <v>43465</v>
      </c>
      <c r="I770" t="s">
        <v>665</v>
      </c>
      <c r="J770" t="s">
        <v>1412</v>
      </c>
      <c r="K770" t="s">
        <v>24</v>
      </c>
      <c r="L770" t="s">
        <v>216</v>
      </c>
      <c r="M770" t="s">
        <v>2790</v>
      </c>
      <c r="N770" t="s">
        <v>2791</v>
      </c>
      <c r="O770" t="s">
        <v>1405</v>
      </c>
      <c r="P770" t="s">
        <v>1406</v>
      </c>
      <c r="Q770" t="s">
        <v>2213</v>
      </c>
      <c r="R770" t="s">
        <v>237</v>
      </c>
      <c r="S770" t="s">
        <v>550</v>
      </c>
      <c r="T770" t="s">
        <v>550</v>
      </c>
      <c r="U770" t="s">
        <v>550</v>
      </c>
      <c r="V770" t="s">
        <v>3459</v>
      </c>
      <c r="W770" t="s">
        <v>1021</v>
      </c>
      <c r="X770" t="s">
        <v>74</v>
      </c>
      <c r="Y770" t="s">
        <v>1033</v>
      </c>
      <c r="Z770" t="s">
        <v>3457</v>
      </c>
    </row>
    <row r="771" spans="1:26" x14ac:dyDescent="0.3">
      <c r="A771" t="s">
        <v>525</v>
      </c>
      <c r="B771" t="s">
        <v>3460</v>
      </c>
      <c r="C771" t="s">
        <v>3461</v>
      </c>
      <c r="D771" t="s">
        <v>2922</v>
      </c>
      <c r="E771" t="s">
        <v>1306</v>
      </c>
      <c r="F771" t="s">
        <v>1307</v>
      </c>
      <c r="G771" s="1">
        <v>43102</v>
      </c>
      <c r="H771" s="1">
        <v>43465</v>
      </c>
      <c r="I771" t="s">
        <v>665</v>
      </c>
      <c r="J771" t="s">
        <v>1308</v>
      </c>
      <c r="K771" t="s">
        <v>24</v>
      </c>
      <c r="L771" t="s">
        <v>1045</v>
      </c>
      <c r="M771" t="s">
        <v>2790</v>
      </c>
      <c r="N771" t="s">
        <v>2791</v>
      </c>
      <c r="O771" t="s">
        <v>1405</v>
      </c>
      <c r="P771" t="s">
        <v>1406</v>
      </c>
      <c r="Q771" t="s">
        <v>2213</v>
      </c>
      <c r="R771" t="s">
        <v>237</v>
      </c>
      <c r="S771" t="s">
        <v>550</v>
      </c>
      <c r="T771" t="s">
        <v>550</v>
      </c>
      <c r="U771" t="s">
        <v>550</v>
      </c>
      <c r="V771" t="s">
        <v>3462</v>
      </c>
      <c r="W771" t="s">
        <v>1021</v>
      </c>
      <c r="X771" t="s">
        <v>74</v>
      </c>
      <c r="Y771" t="s">
        <v>1033</v>
      </c>
      <c r="Z771" t="s">
        <v>3460</v>
      </c>
    </row>
    <row r="772" spans="1:26" x14ac:dyDescent="0.3">
      <c r="A772" t="s">
        <v>525</v>
      </c>
      <c r="B772" t="s">
        <v>3463</v>
      </c>
      <c r="C772" t="s">
        <v>3464</v>
      </c>
      <c r="D772" t="s">
        <v>3460</v>
      </c>
      <c r="E772" t="s">
        <v>664</v>
      </c>
      <c r="F772" t="s">
        <v>27</v>
      </c>
      <c r="G772" s="1">
        <v>43102</v>
      </c>
      <c r="H772" s="1">
        <v>43465</v>
      </c>
      <c r="I772" t="s">
        <v>665</v>
      </c>
      <c r="J772" t="s">
        <v>666</v>
      </c>
      <c r="K772" t="s">
        <v>24</v>
      </c>
      <c r="L772" t="s">
        <v>1045</v>
      </c>
      <c r="M772" t="s">
        <v>2790</v>
      </c>
      <c r="N772" t="s">
        <v>2791</v>
      </c>
      <c r="O772" t="s">
        <v>1405</v>
      </c>
      <c r="P772" t="s">
        <v>1406</v>
      </c>
      <c r="Q772" t="s">
        <v>2213</v>
      </c>
      <c r="R772" t="s">
        <v>237</v>
      </c>
      <c r="S772" t="s">
        <v>550</v>
      </c>
      <c r="T772" t="s">
        <v>550</v>
      </c>
      <c r="U772" t="s">
        <v>550</v>
      </c>
      <c r="V772" t="s">
        <v>3465</v>
      </c>
      <c r="W772" t="s">
        <v>1021</v>
      </c>
      <c r="X772" t="s">
        <v>74</v>
      </c>
      <c r="Y772" t="s">
        <v>1033</v>
      </c>
      <c r="Z772" t="s">
        <v>3463</v>
      </c>
    </row>
    <row r="773" spans="1:26" x14ac:dyDescent="0.3">
      <c r="A773" t="s">
        <v>525</v>
      </c>
      <c r="B773" t="s">
        <v>3466</v>
      </c>
      <c r="C773" t="s">
        <v>3467</v>
      </c>
      <c r="D773" t="s">
        <v>550</v>
      </c>
      <c r="E773" t="s">
        <v>1092</v>
      </c>
      <c r="F773" t="s">
        <v>1093</v>
      </c>
      <c r="G773" s="1">
        <v>43831</v>
      </c>
      <c r="H773" s="1">
        <v>43857</v>
      </c>
      <c r="I773" t="s">
        <v>665</v>
      </c>
      <c r="J773" t="s">
        <v>1094</v>
      </c>
      <c r="K773" t="s">
        <v>24</v>
      </c>
      <c r="L773" t="s">
        <v>1045</v>
      </c>
      <c r="M773" t="s">
        <v>1441</v>
      </c>
      <c r="N773" t="s">
        <v>1442</v>
      </c>
      <c r="O773" t="s">
        <v>1405</v>
      </c>
      <c r="P773" t="s">
        <v>1406</v>
      </c>
      <c r="Q773" t="s">
        <v>2213</v>
      </c>
      <c r="R773" t="s">
        <v>237</v>
      </c>
      <c r="S773" t="s">
        <v>550</v>
      </c>
      <c r="T773" t="s">
        <v>550</v>
      </c>
      <c r="U773" t="s">
        <v>550</v>
      </c>
      <c r="V773" t="s">
        <v>3468</v>
      </c>
      <c r="W773" t="s">
        <v>1021</v>
      </c>
      <c r="X773" t="s">
        <v>74</v>
      </c>
      <c r="Y773" t="s">
        <v>1075</v>
      </c>
      <c r="Z773" t="s">
        <v>3466</v>
      </c>
    </row>
    <row r="774" spans="1:26" x14ac:dyDescent="0.3">
      <c r="A774" t="s">
        <v>525</v>
      </c>
      <c r="B774" t="s">
        <v>3469</v>
      </c>
      <c r="C774" t="s">
        <v>3470</v>
      </c>
      <c r="D774" t="s">
        <v>2931</v>
      </c>
      <c r="E774" t="s">
        <v>664</v>
      </c>
      <c r="F774" t="s">
        <v>27</v>
      </c>
      <c r="G774" s="1">
        <v>43102</v>
      </c>
      <c r="H774" s="1">
        <v>43131</v>
      </c>
      <c r="I774" t="s">
        <v>665</v>
      </c>
      <c r="J774" t="s">
        <v>666</v>
      </c>
      <c r="K774" t="s">
        <v>24</v>
      </c>
      <c r="L774" t="s">
        <v>667</v>
      </c>
      <c r="M774" t="s">
        <v>2790</v>
      </c>
      <c r="N774" t="s">
        <v>2791</v>
      </c>
      <c r="O774" t="s">
        <v>1405</v>
      </c>
      <c r="P774" t="s">
        <v>1406</v>
      </c>
      <c r="Q774" t="s">
        <v>2213</v>
      </c>
      <c r="R774" t="s">
        <v>237</v>
      </c>
      <c r="S774" t="s">
        <v>550</v>
      </c>
      <c r="T774" t="s">
        <v>550</v>
      </c>
      <c r="U774" t="s">
        <v>550</v>
      </c>
      <c r="V774" t="s">
        <v>3471</v>
      </c>
      <c r="W774" t="s">
        <v>1021</v>
      </c>
      <c r="X774" t="s">
        <v>74</v>
      </c>
      <c r="Y774" t="s">
        <v>803</v>
      </c>
      <c r="Z774" t="s">
        <v>3469</v>
      </c>
    </row>
    <row r="775" spans="1:26" x14ac:dyDescent="0.3">
      <c r="A775" t="s">
        <v>525</v>
      </c>
      <c r="B775" t="s">
        <v>3472</v>
      </c>
      <c r="C775" t="s">
        <v>3473</v>
      </c>
      <c r="D775" t="s">
        <v>2906</v>
      </c>
      <c r="E775" t="s">
        <v>664</v>
      </c>
      <c r="F775" t="s">
        <v>27</v>
      </c>
      <c r="G775" s="1">
        <v>43102</v>
      </c>
      <c r="H775" s="1">
        <v>43465</v>
      </c>
      <c r="I775" t="s">
        <v>665</v>
      </c>
      <c r="J775" t="s">
        <v>666</v>
      </c>
      <c r="K775" t="s">
        <v>24</v>
      </c>
      <c r="L775" t="s">
        <v>1045</v>
      </c>
      <c r="M775" t="s">
        <v>2790</v>
      </c>
      <c r="N775" t="s">
        <v>2791</v>
      </c>
      <c r="O775" t="s">
        <v>1405</v>
      </c>
      <c r="P775" t="s">
        <v>1406</v>
      </c>
      <c r="Q775" t="s">
        <v>2213</v>
      </c>
      <c r="R775" t="s">
        <v>237</v>
      </c>
      <c r="S775" t="s">
        <v>550</v>
      </c>
      <c r="T775" t="s">
        <v>550</v>
      </c>
      <c r="U775" t="s">
        <v>550</v>
      </c>
      <c r="V775" t="s">
        <v>3474</v>
      </c>
      <c r="W775" t="s">
        <v>1021</v>
      </c>
      <c r="X775" t="s">
        <v>74</v>
      </c>
      <c r="Y775" t="s">
        <v>1075</v>
      </c>
      <c r="Z775" t="s">
        <v>3472</v>
      </c>
    </row>
    <row r="776" spans="1:26" x14ac:dyDescent="0.3">
      <c r="A776" t="s">
        <v>525</v>
      </c>
      <c r="B776" t="s">
        <v>3475</v>
      </c>
      <c r="C776" t="s">
        <v>3476</v>
      </c>
      <c r="D776" t="s">
        <v>2903</v>
      </c>
      <c r="E776" t="s">
        <v>1092</v>
      </c>
      <c r="F776" t="s">
        <v>1093</v>
      </c>
      <c r="G776" s="1">
        <v>43102</v>
      </c>
      <c r="H776" s="1">
        <v>43465</v>
      </c>
      <c r="I776" t="s">
        <v>665</v>
      </c>
      <c r="J776" t="s">
        <v>1094</v>
      </c>
      <c r="K776" t="s">
        <v>24</v>
      </c>
      <c r="L776" t="s">
        <v>1045</v>
      </c>
      <c r="M776" t="s">
        <v>2790</v>
      </c>
      <c r="N776" t="s">
        <v>2791</v>
      </c>
      <c r="O776" t="s">
        <v>1405</v>
      </c>
      <c r="P776" t="s">
        <v>1406</v>
      </c>
      <c r="Q776" t="s">
        <v>2213</v>
      </c>
      <c r="R776" t="s">
        <v>237</v>
      </c>
      <c r="S776" t="s">
        <v>550</v>
      </c>
      <c r="T776" t="s">
        <v>550</v>
      </c>
      <c r="U776" t="s">
        <v>550</v>
      </c>
      <c r="V776" t="s">
        <v>3477</v>
      </c>
      <c r="W776" t="s">
        <v>1021</v>
      </c>
      <c r="X776" t="s">
        <v>74</v>
      </c>
      <c r="Y776" t="s">
        <v>1075</v>
      </c>
      <c r="Z776" t="s">
        <v>3475</v>
      </c>
    </row>
    <row r="777" spans="1:26" x14ac:dyDescent="0.3">
      <c r="A777" t="s">
        <v>525</v>
      </c>
      <c r="B777" t="s">
        <v>3478</v>
      </c>
      <c r="C777" t="s">
        <v>3479</v>
      </c>
      <c r="D777" t="s">
        <v>3475</v>
      </c>
      <c r="E777" t="s">
        <v>664</v>
      </c>
      <c r="F777" t="s">
        <v>27</v>
      </c>
      <c r="G777" s="1">
        <v>43102</v>
      </c>
      <c r="H777" s="1">
        <v>43465</v>
      </c>
      <c r="I777" t="s">
        <v>665</v>
      </c>
      <c r="J777" t="s">
        <v>3480</v>
      </c>
      <c r="K777" t="s">
        <v>24</v>
      </c>
      <c r="L777" t="s">
        <v>1045</v>
      </c>
      <c r="M777" t="s">
        <v>2790</v>
      </c>
      <c r="N777" t="s">
        <v>2791</v>
      </c>
      <c r="O777" t="s">
        <v>1405</v>
      </c>
      <c r="P777" t="s">
        <v>1406</v>
      </c>
      <c r="Q777" t="s">
        <v>2213</v>
      </c>
      <c r="R777" t="s">
        <v>237</v>
      </c>
      <c r="S777" t="s">
        <v>550</v>
      </c>
      <c r="T777" t="s">
        <v>550</v>
      </c>
      <c r="U777" t="s">
        <v>550</v>
      </c>
      <c r="V777" t="s">
        <v>3481</v>
      </c>
      <c r="W777" t="s">
        <v>1021</v>
      </c>
      <c r="X777" t="s">
        <v>74</v>
      </c>
      <c r="Y777" t="s">
        <v>1075</v>
      </c>
      <c r="Z777" t="s">
        <v>3478</v>
      </c>
    </row>
    <row r="778" spans="1:26" x14ac:dyDescent="0.3">
      <c r="A778" t="s">
        <v>525</v>
      </c>
      <c r="B778" t="s">
        <v>3482</v>
      </c>
      <c r="C778" t="s">
        <v>3483</v>
      </c>
      <c r="D778" t="s">
        <v>2900</v>
      </c>
      <c r="E778" t="s">
        <v>1438</v>
      </c>
      <c r="F778" t="s">
        <v>1439</v>
      </c>
      <c r="G778" s="1">
        <v>43102</v>
      </c>
      <c r="H778" s="1">
        <v>43465</v>
      </c>
      <c r="I778" t="s">
        <v>665</v>
      </c>
      <c r="J778" t="s">
        <v>1440</v>
      </c>
      <c r="K778" t="s">
        <v>24</v>
      </c>
      <c r="L778" t="s">
        <v>1045</v>
      </c>
      <c r="M778" t="s">
        <v>2790</v>
      </c>
      <c r="N778" t="s">
        <v>2791</v>
      </c>
      <c r="O778" t="s">
        <v>1405</v>
      </c>
      <c r="P778" t="s">
        <v>1406</v>
      </c>
      <c r="Q778" t="s">
        <v>2213</v>
      </c>
      <c r="R778" t="s">
        <v>237</v>
      </c>
      <c r="S778" t="s">
        <v>550</v>
      </c>
      <c r="T778" t="s">
        <v>550</v>
      </c>
      <c r="U778" t="s">
        <v>550</v>
      </c>
      <c r="V778" t="s">
        <v>3484</v>
      </c>
      <c r="W778" t="s">
        <v>1021</v>
      </c>
      <c r="X778" t="s">
        <v>74</v>
      </c>
      <c r="Y778" t="s">
        <v>1075</v>
      </c>
      <c r="Z778" t="s">
        <v>3482</v>
      </c>
    </row>
    <row r="779" spans="1:26" x14ac:dyDescent="0.3">
      <c r="A779" t="s">
        <v>525</v>
      </c>
      <c r="B779" t="s">
        <v>3485</v>
      </c>
      <c r="C779" t="s">
        <v>3486</v>
      </c>
      <c r="D779" t="s">
        <v>3482</v>
      </c>
      <c r="E779" t="s">
        <v>664</v>
      </c>
      <c r="F779" t="s">
        <v>27</v>
      </c>
      <c r="G779" s="1">
        <v>43102</v>
      </c>
      <c r="H779" s="1">
        <v>43465</v>
      </c>
      <c r="I779" t="s">
        <v>665</v>
      </c>
      <c r="J779" t="s">
        <v>666</v>
      </c>
      <c r="K779" t="s">
        <v>24</v>
      </c>
      <c r="L779" t="s">
        <v>1045</v>
      </c>
      <c r="M779" t="s">
        <v>2790</v>
      </c>
      <c r="N779" t="s">
        <v>2791</v>
      </c>
      <c r="O779" t="s">
        <v>1405</v>
      </c>
      <c r="P779" t="s">
        <v>1406</v>
      </c>
      <c r="Q779" t="s">
        <v>2213</v>
      </c>
      <c r="R779" t="s">
        <v>237</v>
      </c>
      <c r="S779" t="s">
        <v>550</v>
      </c>
      <c r="T779" t="s">
        <v>550</v>
      </c>
      <c r="U779" t="s">
        <v>550</v>
      </c>
      <c r="V779" t="s">
        <v>3487</v>
      </c>
      <c r="W779" t="s">
        <v>1021</v>
      </c>
      <c r="X779" t="s">
        <v>74</v>
      </c>
      <c r="Y779" t="s">
        <v>1075</v>
      </c>
      <c r="Z779" t="s">
        <v>3485</v>
      </c>
    </row>
    <row r="780" spans="1:26" x14ac:dyDescent="0.3">
      <c r="A780" t="s">
        <v>525</v>
      </c>
      <c r="B780" t="s">
        <v>3488</v>
      </c>
      <c r="C780" t="s">
        <v>3489</v>
      </c>
      <c r="D780" t="s">
        <v>3482</v>
      </c>
      <c r="E780" t="s">
        <v>1438</v>
      </c>
      <c r="F780" t="s">
        <v>1439</v>
      </c>
      <c r="G780" s="1">
        <v>43102</v>
      </c>
      <c r="H780" s="1">
        <v>43465</v>
      </c>
      <c r="I780" t="s">
        <v>665</v>
      </c>
      <c r="J780" t="s">
        <v>1440</v>
      </c>
      <c r="K780" t="s">
        <v>24</v>
      </c>
      <c r="L780" t="s">
        <v>1045</v>
      </c>
      <c r="M780" t="s">
        <v>2790</v>
      </c>
      <c r="N780" t="s">
        <v>2791</v>
      </c>
      <c r="O780" t="s">
        <v>1405</v>
      </c>
      <c r="P780" t="s">
        <v>1406</v>
      </c>
      <c r="Q780" t="s">
        <v>2213</v>
      </c>
      <c r="R780" t="s">
        <v>237</v>
      </c>
      <c r="S780" t="s">
        <v>550</v>
      </c>
      <c r="T780" t="s">
        <v>550</v>
      </c>
      <c r="U780" t="s">
        <v>550</v>
      </c>
      <c r="V780" t="s">
        <v>3490</v>
      </c>
      <c r="W780" t="s">
        <v>1021</v>
      </c>
      <c r="X780" t="s">
        <v>74</v>
      </c>
      <c r="Y780" t="s">
        <v>1075</v>
      </c>
      <c r="Z780" t="s">
        <v>3488</v>
      </c>
    </row>
    <row r="781" spans="1:26" x14ac:dyDescent="0.3">
      <c r="A781" t="s">
        <v>525</v>
      </c>
      <c r="B781" t="s">
        <v>3428</v>
      </c>
      <c r="C781" t="s">
        <v>1415</v>
      </c>
      <c r="D781" t="s">
        <v>550</v>
      </c>
      <c r="E781" t="s">
        <v>664</v>
      </c>
      <c r="F781" t="s">
        <v>27</v>
      </c>
      <c r="G781" s="1">
        <v>43102</v>
      </c>
      <c r="H781" s="1">
        <v>43465</v>
      </c>
      <c r="I781" t="s">
        <v>665</v>
      </c>
      <c r="J781" t="s">
        <v>666</v>
      </c>
      <c r="K781" t="s">
        <v>24</v>
      </c>
      <c r="L781" t="s">
        <v>216</v>
      </c>
      <c r="M781" t="s">
        <v>2790</v>
      </c>
      <c r="N781" t="s">
        <v>2791</v>
      </c>
      <c r="O781" t="s">
        <v>1405</v>
      </c>
      <c r="P781" t="s">
        <v>1406</v>
      </c>
      <c r="Q781" t="s">
        <v>2213</v>
      </c>
      <c r="R781" t="s">
        <v>237</v>
      </c>
      <c r="S781" t="s">
        <v>550</v>
      </c>
      <c r="T781" t="s">
        <v>550</v>
      </c>
      <c r="U781" t="s">
        <v>550</v>
      </c>
      <c r="V781" t="s">
        <v>3491</v>
      </c>
      <c r="W781" t="s">
        <v>1021</v>
      </c>
      <c r="X781" t="s">
        <v>74</v>
      </c>
      <c r="Y781" t="s">
        <v>1075</v>
      </c>
      <c r="Z781" t="s">
        <v>3428</v>
      </c>
    </row>
    <row r="782" spans="1:26" x14ac:dyDescent="0.3">
      <c r="A782" t="s">
        <v>525</v>
      </c>
      <c r="B782" t="s">
        <v>3492</v>
      </c>
      <c r="C782" t="s">
        <v>3493</v>
      </c>
      <c r="D782" t="s">
        <v>550</v>
      </c>
      <c r="E782" t="s">
        <v>1125</v>
      </c>
      <c r="F782" t="s">
        <v>1126</v>
      </c>
      <c r="G782" s="1">
        <v>43831</v>
      </c>
      <c r="H782" s="1">
        <v>43892</v>
      </c>
      <c r="I782" t="s">
        <v>665</v>
      </c>
      <c r="J782" t="s">
        <v>1127</v>
      </c>
      <c r="K782" t="s">
        <v>24</v>
      </c>
      <c r="L782" t="s">
        <v>216</v>
      </c>
      <c r="M782" t="s">
        <v>1128</v>
      </c>
      <c r="N782" t="s">
        <v>1129</v>
      </c>
      <c r="O782" t="s">
        <v>1405</v>
      </c>
      <c r="P782" t="s">
        <v>1406</v>
      </c>
      <c r="Q782" t="s">
        <v>2213</v>
      </c>
      <c r="R782" t="s">
        <v>237</v>
      </c>
      <c r="S782" t="s">
        <v>550</v>
      </c>
      <c r="T782" t="s">
        <v>550</v>
      </c>
      <c r="U782" t="s">
        <v>550</v>
      </c>
      <c r="V782" t="s">
        <v>3494</v>
      </c>
      <c r="W782" t="s">
        <v>1021</v>
      </c>
      <c r="X782" t="s">
        <v>74</v>
      </c>
      <c r="Y782" t="s">
        <v>1033</v>
      </c>
      <c r="Z782" t="s">
        <v>3492</v>
      </c>
    </row>
    <row r="783" spans="1:26" x14ac:dyDescent="0.3">
      <c r="A783" t="s">
        <v>525</v>
      </c>
      <c r="B783" t="s">
        <v>3495</v>
      </c>
      <c r="C783" t="s">
        <v>3496</v>
      </c>
      <c r="D783" t="s">
        <v>550</v>
      </c>
      <c r="E783" t="s">
        <v>3497</v>
      </c>
      <c r="F783" t="s">
        <v>3498</v>
      </c>
      <c r="G783" s="1">
        <v>43102</v>
      </c>
      <c r="H783" s="1">
        <v>43830</v>
      </c>
      <c r="I783" t="s">
        <v>665</v>
      </c>
      <c r="J783" t="s">
        <v>3499</v>
      </c>
      <c r="K783" t="s">
        <v>24</v>
      </c>
      <c r="L783" t="s">
        <v>216</v>
      </c>
      <c r="M783" t="s">
        <v>1030</v>
      </c>
      <c r="N783" t="s">
        <v>255</v>
      </c>
      <c r="O783" t="s">
        <v>1405</v>
      </c>
      <c r="P783" t="s">
        <v>1406</v>
      </c>
      <c r="Q783" t="s">
        <v>2213</v>
      </c>
      <c r="R783" t="s">
        <v>237</v>
      </c>
      <c r="S783" t="s">
        <v>550</v>
      </c>
      <c r="T783" t="s">
        <v>550</v>
      </c>
      <c r="U783" t="s">
        <v>550</v>
      </c>
      <c r="V783" t="s">
        <v>3500</v>
      </c>
      <c r="W783" t="s">
        <v>613</v>
      </c>
      <c r="X783" t="s">
        <v>74</v>
      </c>
      <c r="Y783" t="s">
        <v>786</v>
      </c>
      <c r="Z783" t="s">
        <v>3495</v>
      </c>
    </row>
    <row r="784" spans="1:26" x14ac:dyDescent="0.3">
      <c r="A784" t="s">
        <v>525</v>
      </c>
      <c r="B784" t="s">
        <v>3501</v>
      </c>
      <c r="C784" t="s">
        <v>3502</v>
      </c>
      <c r="D784" t="s">
        <v>3495</v>
      </c>
      <c r="E784" t="s">
        <v>1039</v>
      </c>
      <c r="F784" t="s">
        <v>1040</v>
      </c>
      <c r="G784" s="1">
        <v>43102</v>
      </c>
      <c r="H784" s="1">
        <v>43465</v>
      </c>
      <c r="I784" t="s">
        <v>665</v>
      </c>
      <c r="J784" t="s">
        <v>1041</v>
      </c>
      <c r="K784" t="s">
        <v>24</v>
      </c>
      <c r="L784" t="s">
        <v>216</v>
      </c>
      <c r="M784" t="s">
        <v>1030</v>
      </c>
      <c r="N784" t="s">
        <v>255</v>
      </c>
      <c r="O784" t="s">
        <v>1405</v>
      </c>
      <c r="P784" t="s">
        <v>1406</v>
      </c>
      <c r="Q784" t="s">
        <v>2213</v>
      </c>
      <c r="R784" t="s">
        <v>237</v>
      </c>
      <c r="S784" t="s">
        <v>550</v>
      </c>
      <c r="T784" t="s">
        <v>550</v>
      </c>
      <c r="U784" t="s">
        <v>550</v>
      </c>
      <c r="V784" t="s">
        <v>3503</v>
      </c>
      <c r="W784" t="s">
        <v>613</v>
      </c>
      <c r="X784" t="s">
        <v>74</v>
      </c>
      <c r="Y784" t="s">
        <v>786</v>
      </c>
      <c r="Z784" t="s">
        <v>3501</v>
      </c>
    </row>
    <row r="785" spans="1:26" x14ac:dyDescent="0.3">
      <c r="A785" t="s">
        <v>525</v>
      </c>
      <c r="B785" t="s">
        <v>3504</v>
      </c>
      <c r="C785" t="s">
        <v>3505</v>
      </c>
      <c r="D785" t="s">
        <v>550</v>
      </c>
      <c r="E785" t="s">
        <v>3506</v>
      </c>
      <c r="F785" t="s">
        <v>3507</v>
      </c>
      <c r="G785" s="1">
        <v>43102</v>
      </c>
      <c r="H785" s="1">
        <v>43465</v>
      </c>
      <c r="I785" t="s">
        <v>665</v>
      </c>
      <c r="J785" t="s">
        <v>3508</v>
      </c>
      <c r="K785" t="s">
        <v>24</v>
      </c>
      <c r="L785" t="s">
        <v>216</v>
      </c>
      <c r="M785" t="s">
        <v>1030</v>
      </c>
      <c r="N785" t="s">
        <v>255</v>
      </c>
      <c r="O785" t="s">
        <v>1405</v>
      </c>
      <c r="P785" t="s">
        <v>1406</v>
      </c>
      <c r="Q785" t="s">
        <v>2213</v>
      </c>
      <c r="R785" t="s">
        <v>237</v>
      </c>
      <c r="S785" t="s">
        <v>550</v>
      </c>
      <c r="T785" t="s">
        <v>550</v>
      </c>
      <c r="U785" t="s">
        <v>550</v>
      </c>
      <c r="V785" t="s">
        <v>3509</v>
      </c>
      <c r="W785" t="s">
        <v>613</v>
      </c>
      <c r="X785" t="s">
        <v>74</v>
      </c>
      <c r="Y785" t="s">
        <v>786</v>
      </c>
      <c r="Z785" t="s">
        <v>3504</v>
      </c>
    </row>
    <row r="786" spans="1:26" x14ac:dyDescent="0.3">
      <c r="A786" t="s">
        <v>525</v>
      </c>
      <c r="B786" t="s">
        <v>3510</v>
      </c>
      <c r="C786" t="s">
        <v>3511</v>
      </c>
      <c r="D786" t="s">
        <v>550</v>
      </c>
      <c r="E786" t="s">
        <v>664</v>
      </c>
      <c r="F786" t="s">
        <v>27</v>
      </c>
      <c r="G786" s="1">
        <v>43831</v>
      </c>
      <c r="H786" s="1">
        <v>43900</v>
      </c>
      <c r="I786" t="s">
        <v>665</v>
      </c>
      <c r="J786" t="s">
        <v>666</v>
      </c>
      <c r="K786" t="s">
        <v>24</v>
      </c>
      <c r="L786" t="s">
        <v>667</v>
      </c>
      <c r="M786" t="s">
        <v>1030</v>
      </c>
      <c r="N786" t="s">
        <v>255</v>
      </c>
      <c r="O786" t="s">
        <v>1405</v>
      </c>
      <c r="P786" t="s">
        <v>1406</v>
      </c>
      <c r="Q786" t="s">
        <v>2213</v>
      </c>
      <c r="R786" t="s">
        <v>237</v>
      </c>
      <c r="S786" t="s">
        <v>550</v>
      </c>
      <c r="T786" t="s">
        <v>550</v>
      </c>
      <c r="U786" t="s">
        <v>550</v>
      </c>
      <c r="V786" t="s">
        <v>3512</v>
      </c>
      <c r="W786" t="s">
        <v>613</v>
      </c>
      <c r="X786" t="s">
        <v>74</v>
      </c>
      <c r="Y786" t="s">
        <v>786</v>
      </c>
      <c r="Z786" t="s">
        <v>3510</v>
      </c>
    </row>
    <row r="787" spans="1:26" x14ac:dyDescent="0.3">
      <c r="A787" t="s">
        <v>525</v>
      </c>
      <c r="B787" t="s">
        <v>3513</v>
      </c>
      <c r="C787" t="s">
        <v>3514</v>
      </c>
      <c r="D787" t="s">
        <v>550</v>
      </c>
      <c r="E787" t="s">
        <v>1117</v>
      </c>
      <c r="F787" t="s">
        <v>1118</v>
      </c>
      <c r="G787" s="1">
        <v>43102</v>
      </c>
      <c r="H787" s="1">
        <v>44196</v>
      </c>
      <c r="I787" t="s">
        <v>665</v>
      </c>
      <c r="J787" t="s">
        <v>1119</v>
      </c>
      <c r="K787" t="s">
        <v>24</v>
      </c>
      <c r="L787" t="s">
        <v>216</v>
      </c>
      <c r="M787" t="s">
        <v>2790</v>
      </c>
      <c r="N787" t="s">
        <v>2791</v>
      </c>
      <c r="O787" t="s">
        <v>1405</v>
      </c>
      <c r="P787" t="s">
        <v>1406</v>
      </c>
      <c r="Q787" t="s">
        <v>2213</v>
      </c>
      <c r="R787" t="s">
        <v>237</v>
      </c>
      <c r="S787" t="s">
        <v>550</v>
      </c>
      <c r="T787" t="s">
        <v>550</v>
      </c>
      <c r="U787" t="s">
        <v>550</v>
      </c>
      <c r="V787" t="s">
        <v>3515</v>
      </c>
      <c r="W787" t="s">
        <v>613</v>
      </c>
      <c r="X787" t="s">
        <v>74</v>
      </c>
      <c r="Y787" t="s">
        <v>786</v>
      </c>
      <c r="Z787" t="s">
        <v>3513</v>
      </c>
    </row>
    <row r="788" spans="1:26" x14ac:dyDescent="0.3">
      <c r="A788" t="s">
        <v>525</v>
      </c>
      <c r="B788" t="s">
        <v>3516</v>
      </c>
      <c r="C788" t="s">
        <v>3517</v>
      </c>
      <c r="D788" t="s">
        <v>3513</v>
      </c>
      <c r="E788" t="s">
        <v>664</v>
      </c>
      <c r="F788" t="s">
        <v>27</v>
      </c>
      <c r="G788" s="1">
        <v>43102</v>
      </c>
      <c r="H788" s="1">
        <v>44196</v>
      </c>
      <c r="I788" t="s">
        <v>665</v>
      </c>
      <c r="J788" t="s">
        <v>666</v>
      </c>
      <c r="K788" t="s">
        <v>24</v>
      </c>
      <c r="L788" t="s">
        <v>216</v>
      </c>
      <c r="M788" t="s">
        <v>2790</v>
      </c>
      <c r="N788" t="s">
        <v>2791</v>
      </c>
      <c r="O788" t="s">
        <v>1405</v>
      </c>
      <c r="P788" t="s">
        <v>1406</v>
      </c>
      <c r="Q788" t="s">
        <v>2213</v>
      </c>
      <c r="R788" t="s">
        <v>237</v>
      </c>
      <c r="S788" t="s">
        <v>550</v>
      </c>
      <c r="T788" t="s">
        <v>550</v>
      </c>
      <c r="U788" t="s">
        <v>550</v>
      </c>
      <c r="V788" t="s">
        <v>3518</v>
      </c>
      <c r="W788" t="s">
        <v>613</v>
      </c>
      <c r="X788" t="s">
        <v>74</v>
      </c>
      <c r="Y788" t="s">
        <v>786</v>
      </c>
      <c r="Z788" t="s">
        <v>3516</v>
      </c>
    </row>
    <row r="789" spans="1:26" x14ac:dyDescent="0.3">
      <c r="A789" t="s">
        <v>525</v>
      </c>
      <c r="B789" t="s">
        <v>3519</v>
      </c>
      <c r="C789" t="s">
        <v>3520</v>
      </c>
      <c r="D789" t="s">
        <v>550</v>
      </c>
      <c r="E789" t="s">
        <v>1117</v>
      </c>
      <c r="F789" t="s">
        <v>1118</v>
      </c>
      <c r="G789" s="1">
        <v>43102</v>
      </c>
      <c r="H789" s="1">
        <v>44196</v>
      </c>
      <c r="I789" t="s">
        <v>665</v>
      </c>
      <c r="J789" t="s">
        <v>1119</v>
      </c>
      <c r="K789" t="s">
        <v>24</v>
      </c>
      <c r="L789" t="s">
        <v>216</v>
      </c>
      <c r="M789" t="s">
        <v>2790</v>
      </c>
      <c r="N789" t="s">
        <v>2791</v>
      </c>
      <c r="O789" t="s">
        <v>1405</v>
      </c>
      <c r="P789" t="s">
        <v>1406</v>
      </c>
      <c r="Q789" t="s">
        <v>2213</v>
      </c>
      <c r="R789" t="s">
        <v>237</v>
      </c>
      <c r="S789" t="s">
        <v>550</v>
      </c>
      <c r="T789" t="s">
        <v>550</v>
      </c>
      <c r="U789" t="s">
        <v>550</v>
      </c>
      <c r="V789" t="s">
        <v>3521</v>
      </c>
      <c r="W789" t="s">
        <v>613</v>
      </c>
      <c r="X789" t="s">
        <v>74</v>
      </c>
      <c r="Y789" t="s">
        <v>786</v>
      </c>
      <c r="Z789" t="s">
        <v>3519</v>
      </c>
    </row>
    <row r="790" spans="1:26" x14ac:dyDescent="0.3">
      <c r="A790" t="s">
        <v>525</v>
      </c>
      <c r="B790" t="s">
        <v>3522</v>
      </c>
      <c r="C790" t="s">
        <v>2794</v>
      </c>
      <c r="D790" t="s">
        <v>3519</v>
      </c>
      <c r="E790" t="s">
        <v>664</v>
      </c>
      <c r="F790" t="s">
        <v>27</v>
      </c>
      <c r="G790" s="1">
        <v>43102</v>
      </c>
      <c r="H790" s="1">
        <v>44196</v>
      </c>
      <c r="I790" t="s">
        <v>665</v>
      </c>
      <c r="J790" t="s">
        <v>666</v>
      </c>
      <c r="K790" t="s">
        <v>24</v>
      </c>
      <c r="L790" t="s">
        <v>216</v>
      </c>
      <c r="M790" t="s">
        <v>2790</v>
      </c>
      <c r="N790" t="s">
        <v>2791</v>
      </c>
      <c r="O790" t="s">
        <v>1405</v>
      </c>
      <c r="P790" t="s">
        <v>1406</v>
      </c>
      <c r="Q790" t="s">
        <v>2213</v>
      </c>
      <c r="R790" t="s">
        <v>237</v>
      </c>
      <c r="S790" t="s">
        <v>550</v>
      </c>
      <c r="T790" t="s">
        <v>550</v>
      </c>
      <c r="U790" t="s">
        <v>550</v>
      </c>
      <c r="V790" t="s">
        <v>3523</v>
      </c>
      <c r="W790" t="s">
        <v>613</v>
      </c>
      <c r="X790" t="s">
        <v>74</v>
      </c>
      <c r="Y790" t="s">
        <v>786</v>
      </c>
      <c r="Z790" t="s">
        <v>3522</v>
      </c>
    </row>
    <row r="791" spans="1:26" x14ac:dyDescent="0.3">
      <c r="A791" t="s">
        <v>525</v>
      </c>
      <c r="B791" t="s">
        <v>3524</v>
      </c>
      <c r="C791" t="s">
        <v>3525</v>
      </c>
      <c r="D791" t="s">
        <v>550</v>
      </c>
      <c r="E791" t="s">
        <v>1117</v>
      </c>
      <c r="F791" t="s">
        <v>1118</v>
      </c>
      <c r="G791" s="1">
        <v>43102</v>
      </c>
      <c r="H791" s="1">
        <v>44196</v>
      </c>
      <c r="I791" t="s">
        <v>665</v>
      </c>
      <c r="J791" t="s">
        <v>1119</v>
      </c>
      <c r="K791" t="s">
        <v>24</v>
      </c>
      <c r="L791" t="s">
        <v>216</v>
      </c>
      <c r="M791" t="s">
        <v>2790</v>
      </c>
      <c r="N791" t="s">
        <v>2791</v>
      </c>
      <c r="O791" t="s">
        <v>1405</v>
      </c>
      <c r="P791" t="s">
        <v>1406</v>
      </c>
      <c r="Q791" t="s">
        <v>2213</v>
      </c>
      <c r="R791" t="s">
        <v>237</v>
      </c>
      <c r="S791" t="s">
        <v>550</v>
      </c>
      <c r="T791" t="s">
        <v>550</v>
      </c>
      <c r="U791" t="s">
        <v>550</v>
      </c>
      <c r="V791" t="s">
        <v>3526</v>
      </c>
      <c r="W791" t="s">
        <v>613</v>
      </c>
      <c r="X791" t="s">
        <v>74</v>
      </c>
      <c r="Y791" t="s">
        <v>786</v>
      </c>
      <c r="Z791" t="s">
        <v>3524</v>
      </c>
    </row>
    <row r="792" spans="1:26" x14ac:dyDescent="0.3">
      <c r="A792" t="s">
        <v>525</v>
      </c>
      <c r="B792" t="s">
        <v>3527</v>
      </c>
      <c r="C792" t="s">
        <v>2794</v>
      </c>
      <c r="D792" t="s">
        <v>3524</v>
      </c>
      <c r="E792" t="s">
        <v>664</v>
      </c>
      <c r="F792" t="s">
        <v>27</v>
      </c>
      <c r="G792" s="1">
        <v>43102</v>
      </c>
      <c r="H792" s="1">
        <v>44196</v>
      </c>
      <c r="I792" t="s">
        <v>665</v>
      </c>
      <c r="J792" t="s">
        <v>666</v>
      </c>
      <c r="K792" t="s">
        <v>24</v>
      </c>
      <c r="L792" t="s">
        <v>216</v>
      </c>
      <c r="M792" t="s">
        <v>2790</v>
      </c>
      <c r="N792" t="s">
        <v>2791</v>
      </c>
      <c r="O792" t="s">
        <v>1405</v>
      </c>
      <c r="P792" t="s">
        <v>1406</v>
      </c>
      <c r="Q792" t="s">
        <v>2213</v>
      </c>
      <c r="R792" t="s">
        <v>237</v>
      </c>
      <c r="S792" t="s">
        <v>550</v>
      </c>
      <c r="T792" t="s">
        <v>550</v>
      </c>
      <c r="U792" t="s">
        <v>550</v>
      </c>
      <c r="V792" t="s">
        <v>3528</v>
      </c>
      <c r="W792" t="s">
        <v>613</v>
      </c>
      <c r="X792" t="s">
        <v>74</v>
      </c>
      <c r="Y792" t="s">
        <v>786</v>
      </c>
      <c r="Z792" t="s">
        <v>3527</v>
      </c>
    </row>
    <row r="793" spans="1:26" x14ac:dyDescent="0.3">
      <c r="A793" t="s">
        <v>525</v>
      </c>
      <c r="B793" t="s">
        <v>3529</v>
      </c>
      <c r="C793" t="s">
        <v>3530</v>
      </c>
      <c r="D793" t="s">
        <v>550</v>
      </c>
      <c r="E793" t="s">
        <v>1117</v>
      </c>
      <c r="F793" t="s">
        <v>1118</v>
      </c>
      <c r="G793" s="1">
        <v>43102</v>
      </c>
      <c r="H793" s="1">
        <v>44196</v>
      </c>
      <c r="I793" t="s">
        <v>665</v>
      </c>
      <c r="J793" t="s">
        <v>1119</v>
      </c>
      <c r="K793" t="s">
        <v>24</v>
      </c>
      <c r="L793" t="s">
        <v>216</v>
      </c>
      <c r="M793" t="s">
        <v>2790</v>
      </c>
      <c r="N793" t="s">
        <v>2791</v>
      </c>
      <c r="O793" t="s">
        <v>1405</v>
      </c>
      <c r="P793" t="s">
        <v>1406</v>
      </c>
      <c r="Q793" t="s">
        <v>2213</v>
      </c>
      <c r="R793" t="s">
        <v>237</v>
      </c>
      <c r="S793" t="s">
        <v>550</v>
      </c>
      <c r="T793" t="s">
        <v>550</v>
      </c>
      <c r="U793" t="s">
        <v>550</v>
      </c>
      <c r="V793" t="s">
        <v>3531</v>
      </c>
      <c r="W793" t="s">
        <v>613</v>
      </c>
      <c r="X793" t="s">
        <v>74</v>
      </c>
      <c r="Y793" t="s">
        <v>786</v>
      </c>
      <c r="Z793" t="s">
        <v>3529</v>
      </c>
    </row>
    <row r="794" spans="1:26" x14ac:dyDescent="0.3">
      <c r="A794" t="s">
        <v>525</v>
      </c>
      <c r="B794" t="s">
        <v>3532</v>
      </c>
      <c r="C794" t="s">
        <v>2794</v>
      </c>
      <c r="D794" t="s">
        <v>3529</v>
      </c>
      <c r="E794" t="s">
        <v>664</v>
      </c>
      <c r="F794" t="s">
        <v>27</v>
      </c>
      <c r="G794" s="1">
        <v>43102</v>
      </c>
      <c r="H794" s="1">
        <v>44196</v>
      </c>
      <c r="I794" t="s">
        <v>665</v>
      </c>
      <c r="J794" t="s">
        <v>666</v>
      </c>
      <c r="K794" t="s">
        <v>24</v>
      </c>
      <c r="L794" t="s">
        <v>216</v>
      </c>
      <c r="M794" t="s">
        <v>2790</v>
      </c>
      <c r="N794" t="s">
        <v>2791</v>
      </c>
      <c r="O794" t="s">
        <v>1405</v>
      </c>
      <c r="P794" t="s">
        <v>1406</v>
      </c>
      <c r="Q794" t="s">
        <v>2213</v>
      </c>
      <c r="R794" t="s">
        <v>237</v>
      </c>
      <c r="S794" t="s">
        <v>550</v>
      </c>
      <c r="T794" t="s">
        <v>550</v>
      </c>
      <c r="U794" t="s">
        <v>550</v>
      </c>
      <c r="V794" t="s">
        <v>3533</v>
      </c>
      <c r="W794" t="s">
        <v>613</v>
      </c>
      <c r="X794" t="s">
        <v>74</v>
      </c>
      <c r="Y794" t="s">
        <v>786</v>
      </c>
      <c r="Z794" t="s">
        <v>3532</v>
      </c>
    </row>
    <row r="795" spans="1:26" x14ac:dyDescent="0.3">
      <c r="A795" t="s">
        <v>525</v>
      </c>
      <c r="B795" t="s">
        <v>3534</v>
      </c>
      <c r="C795" t="s">
        <v>3535</v>
      </c>
      <c r="D795" t="s">
        <v>2925</v>
      </c>
      <c r="E795" t="s">
        <v>3536</v>
      </c>
      <c r="F795" t="s">
        <v>3537</v>
      </c>
      <c r="G795" s="1">
        <v>43102</v>
      </c>
      <c r="H795" s="1">
        <v>43465</v>
      </c>
      <c r="I795" t="s">
        <v>665</v>
      </c>
      <c r="J795" t="s">
        <v>3538</v>
      </c>
      <c r="K795" t="s">
        <v>24</v>
      </c>
      <c r="L795" t="s">
        <v>216</v>
      </c>
      <c r="M795" t="s">
        <v>2790</v>
      </c>
      <c r="N795" t="s">
        <v>2791</v>
      </c>
      <c r="O795" t="s">
        <v>1405</v>
      </c>
      <c r="P795" t="s">
        <v>1406</v>
      </c>
      <c r="Q795" t="s">
        <v>2213</v>
      </c>
      <c r="R795" t="s">
        <v>237</v>
      </c>
      <c r="S795" t="s">
        <v>550</v>
      </c>
      <c r="T795" t="s">
        <v>550</v>
      </c>
      <c r="U795" t="s">
        <v>550</v>
      </c>
      <c r="V795" t="s">
        <v>3539</v>
      </c>
      <c r="W795" t="s">
        <v>1021</v>
      </c>
      <c r="X795" t="s">
        <v>74</v>
      </c>
      <c r="Y795" t="s">
        <v>1033</v>
      </c>
      <c r="Z795" t="s">
        <v>3534</v>
      </c>
    </row>
    <row r="796" spans="1:26" x14ac:dyDescent="0.3">
      <c r="A796" t="s">
        <v>525</v>
      </c>
      <c r="B796" t="s">
        <v>3540</v>
      </c>
      <c r="C796" t="s">
        <v>3541</v>
      </c>
      <c r="D796" t="s">
        <v>3534</v>
      </c>
      <c r="E796" t="s">
        <v>664</v>
      </c>
      <c r="F796" t="s">
        <v>27</v>
      </c>
      <c r="G796" s="1">
        <v>43102</v>
      </c>
      <c r="H796" s="1">
        <v>43465</v>
      </c>
      <c r="I796" t="s">
        <v>665</v>
      </c>
      <c r="J796" t="s">
        <v>666</v>
      </c>
      <c r="K796" t="s">
        <v>24</v>
      </c>
      <c r="L796" t="s">
        <v>216</v>
      </c>
      <c r="M796" t="s">
        <v>2790</v>
      </c>
      <c r="N796" t="s">
        <v>2791</v>
      </c>
      <c r="O796" t="s">
        <v>1405</v>
      </c>
      <c r="P796" t="s">
        <v>1406</v>
      </c>
      <c r="Q796" t="s">
        <v>2213</v>
      </c>
      <c r="R796" t="s">
        <v>237</v>
      </c>
      <c r="S796" t="s">
        <v>550</v>
      </c>
      <c r="T796" t="s">
        <v>550</v>
      </c>
      <c r="U796" t="s">
        <v>550</v>
      </c>
      <c r="V796" t="s">
        <v>3542</v>
      </c>
      <c r="W796" t="s">
        <v>1021</v>
      </c>
      <c r="X796" t="s">
        <v>74</v>
      </c>
      <c r="Y796" t="s">
        <v>1033</v>
      </c>
      <c r="Z796" t="s">
        <v>3540</v>
      </c>
    </row>
    <row r="797" spans="1:26" x14ac:dyDescent="0.3">
      <c r="A797" t="s">
        <v>525</v>
      </c>
      <c r="B797" t="s">
        <v>3543</v>
      </c>
      <c r="C797" t="s">
        <v>3544</v>
      </c>
      <c r="D797" t="s">
        <v>2912</v>
      </c>
      <c r="E797" t="s">
        <v>1102</v>
      </c>
      <c r="F797" t="s">
        <v>1103</v>
      </c>
      <c r="G797" s="1">
        <v>43102</v>
      </c>
      <c r="H797" s="1">
        <v>43465</v>
      </c>
      <c r="I797" t="s">
        <v>665</v>
      </c>
      <c r="J797" t="s">
        <v>1104</v>
      </c>
      <c r="K797" t="s">
        <v>24</v>
      </c>
      <c r="L797" t="s">
        <v>1045</v>
      </c>
      <c r="M797" t="s">
        <v>2790</v>
      </c>
      <c r="N797" t="s">
        <v>2791</v>
      </c>
      <c r="O797" t="s">
        <v>1405</v>
      </c>
      <c r="P797" t="s">
        <v>1406</v>
      </c>
      <c r="Q797" t="s">
        <v>2213</v>
      </c>
      <c r="R797" t="s">
        <v>237</v>
      </c>
      <c r="S797" t="s">
        <v>550</v>
      </c>
      <c r="T797" t="s">
        <v>550</v>
      </c>
      <c r="U797" t="s">
        <v>550</v>
      </c>
      <c r="V797" t="s">
        <v>3545</v>
      </c>
      <c r="W797" t="s">
        <v>1021</v>
      </c>
      <c r="X797" t="s">
        <v>74</v>
      </c>
      <c r="Y797" t="s">
        <v>1033</v>
      </c>
      <c r="Z797" t="s">
        <v>3543</v>
      </c>
    </row>
    <row r="798" spans="1:26" x14ac:dyDescent="0.3">
      <c r="A798" t="s">
        <v>525</v>
      </c>
      <c r="B798" t="s">
        <v>3546</v>
      </c>
      <c r="C798" t="s">
        <v>3547</v>
      </c>
      <c r="D798" t="s">
        <v>2909</v>
      </c>
      <c r="E798" t="s">
        <v>1306</v>
      </c>
      <c r="F798" t="s">
        <v>1307</v>
      </c>
      <c r="G798" s="1">
        <v>43102</v>
      </c>
      <c r="H798" s="1">
        <v>43465</v>
      </c>
      <c r="I798" t="s">
        <v>665</v>
      </c>
      <c r="J798" t="s">
        <v>1308</v>
      </c>
      <c r="K798" t="s">
        <v>24</v>
      </c>
      <c r="L798" t="s">
        <v>1045</v>
      </c>
      <c r="M798" t="s">
        <v>2790</v>
      </c>
      <c r="N798" t="s">
        <v>2791</v>
      </c>
      <c r="O798" t="s">
        <v>1405</v>
      </c>
      <c r="P798" t="s">
        <v>1406</v>
      </c>
      <c r="Q798" t="s">
        <v>2213</v>
      </c>
      <c r="R798" t="s">
        <v>237</v>
      </c>
      <c r="S798" t="s">
        <v>550</v>
      </c>
      <c r="T798" t="s">
        <v>550</v>
      </c>
      <c r="U798" t="s">
        <v>550</v>
      </c>
      <c r="V798" t="s">
        <v>3548</v>
      </c>
      <c r="W798" t="s">
        <v>1021</v>
      </c>
      <c r="X798" t="s">
        <v>74</v>
      </c>
      <c r="Y798" t="s">
        <v>1033</v>
      </c>
      <c r="Z798" t="s">
        <v>3546</v>
      </c>
    </row>
    <row r="799" spans="1:26" x14ac:dyDescent="0.3">
      <c r="A799" t="s">
        <v>525</v>
      </c>
      <c r="B799" t="s">
        <v>3549</v>
      </c>
      <c r="C799" t="s">
        <v>3550</v>
      </c>
      <c r="D799" t="s">
        <v>3546</v>
      </c>
      <c r="E799" t="s">
        <v>664</v>
      </c>
      <c r="F799" t="s">
        <v>27</v>
      </c>
      <c r="G799" s="1">
        <v>43102</v>
      </c>
      <c r="H799" s="1">
        <v>43465</v>
      </c>
      <c r="I799" t="s">
        <v>665</v>
      </c>
      <c r="J799" t="s">
        <v>666</v>
      </c>
      <c r="K799" t="s">
        <v>24</v>
      </c>
      <c r="L799" t="s">
        <v>1045</v>
      </c>
      <c r="M799" t="s">
        <v>2790</v>
      </c>
      <c r="N799" t="s">
        <v>2791</v>
      </c>
      <c r="O799" t="s">
        <v>1405</v>
      </c>
      <c r="P799" t="s">
        <v>1406</v>
      </c>
      <c r="Q799" t="s">
        <v>2213</v>
      </c>
      <c r="R799" t="s">
        <v>237</v>
      </c>
      <c r="S799" t="s">
        <v>550</v>
      </c>
      <c r="T799" t="s">
        <v>550</v>
      </c>
      <c r="U799" t="s">
        <v>550</v>
      </c>
      <c r="V799" t="s">
        <v>3551</v>
      </c>
      <c r="W799" t="s">
        <v>1021</v>
      </c>
      <c r="X799" t="s">
        <v>74</v>
      </c>
      <c r="Y799" t="s">
        <v>1033</v>
      </c>
      <c r="Z799" t="s">
        <v>3549</v>
      </c>
    </row>
    <row r="800" spans="1:26" x14ac:dyDescent="0.3">
      <c r="A800" t="s">
        <v>525</v>
      </c>
      <c r="B800" t="s">
        <v>3552</v>
      </c>
      <c r="C800" t="s">
        <v>3553</v>
      </c>
      <c r="D800" t="s">
        <v>550</v>
      </c>
      <c r="E800" t="s">
        <v>1291</v>
      </c>
      <c r="F800" t="s">
        <v>1292</v>
      </c>
      <c r="G800" s="1">
        <v>43102</v>
      </c>
      <c r="H800" s="1">
        <v>44196</v>
      </c>
      <c r="I800" t="s">
        <v>665</v>
      </c>
      <c r="J800" t="s">
        <v>3554</v>
      </c>
      <c r="K800" t="s">
        <v>24</v>
      </c>
      <c r="L800" t="s">
        <v>216</v>
      </c>
      <c r="M800" t="s">
        <v>1030</v>
      </c>
      <c r="N800" t="s">
        <v>255</v>
      </c>
      <c r="O800" t="s">
        <v>1405</v>
      </c>
      <c r="P800" t="s">
        <v>1406</v>
      </c>
      <c r="Q800" t="s">
        <v>2213</v>
      </c>
      <c r="R800" t="s">
        <v>237</v>
      </c>
      <c r="S800" t="s">
        <v>550</v>
      </c>
      <c r="T800" t="s">
        <v>550</v>
      </c>
      <c r="U800" t="s">
        <v>550</v>
      </c>
      <c r="V800" t="s">
        <v>3555</v>
      </c>
      <c r="W800" t="s">
        <v>613</v>
      </c>
      <c r="X800" t="s">
        <v>74</v>
      </c>
      <c r="Y800" t="s">
        <v>1281</v>
      </c>
      <c r="Z800" t="s">
        <v>3552</v>
      </c>
    </row>
    <row r="801" spans="1:26" x14ac:dyDescent="0.3">
      <c r="A801" t="s">
        <v>525</v>
      </c>
      <c r="B801" t="s">
        <v>3556</v>
      </c>
      <c r="C801" t="s">
        <v>2794</v>
      </c>
      <c r="D801" t="s">
        <v>3552</v>
      </c>
      <c r="E801" t="s">
        <v>664</v>
      </c>
      <c r="F801" t="s">
        <v>27</v>
      </c>
      <c r="G801" s="1">
        <v>43102</v>
      </c>
      <c r="H801" s="1">
        <v>44196</v>
      </c>
      <c r="I801" t="s">
        <v>665</v>
      </c>
      <c r="J801" t="s">
        <v>666</v>
      </c>
      <c r="K801" t="s">
        <v>24</v>
      </c>
      <c r="L801" t="s">
        <v>216</v>
      </c>
      <c r="M801" t="s">
        <v>1030</v>
      </c>
      <c r="N801" t="s">
        <v>255</v>
      </c>
      <c r="O801" t="s">
        <v>1405</v>
      </c>
      <c r="P801" t="s">
        <v>1406</v>
      </c>
      <c r="Q801" t="s">
        <v>2213</v>
      </c>
      <c r="R801" t="s">
        <v>237</v>
      </c>
      <c r="S801" t="s">
        <v>550</v>
      </c>
      <c r="T801" t="s">
        <v>550</v>
      </c>
      <c r="U801" t="s">
        <v>550</v>
      </c>
      <c r="V801" t="s">
        <v>3557</v>
      </c>
      <c r="W801" t="s">
        <v>613</v>
      </c>
      <c r="X801" t="s">
        <v>74</v>
      </c>
      <c r="Y801" t="s">
        <v>1281</v>
      </c>
      <c r="Z801" t="s">
        <v>3556</v>
      </c>
    </row>
    <row r="802" spans="1:26" x14ac:dyDescent="0.3">
      <c r="A802" t="s">
        <v>525</v>
      </c>
      <c r="B802" t="s">
        <v>3558</v>
      </c>
      <c r="C802" t="s">
        <v>3559</v>
      </c>
      <c r="D802" t="s">
        <v>550</v>
      </c>
      <c r="E802" t="s">
        <v>1275</v>
      </c>
      <c r="F802" t="s">
        <v>1276</v>
      </c>
      <c r="G802" s="1">
        <v>43102</v>
      </c>
      <c r="H802" s="1">
        <v>44196</v>
      </c>
      <c r="I802" t="s">
        <v>665</v>
      </c>
      <c r="J802" t="s">
        <v>3560</v>
      </c>
      <c r="K802" t="s">
        <v>24</v>
      </c>
      <c r="L802" t="s">
        <v>216</v>
      </c>
      <c r="M802" t="s">
        <v>1030</v>
      </c>
      <c r="N802" t="s">
        <v>255</v>
      </c>
      <c r="O802" t="s">
        <v>1405</v>
      </c>
      <c r="P802" t="s">
        <v>1406</v>
      </c>
      <c r="Q802" t="s">
        <v>2213</v>
      </c>
      <c r="R802" t="s">
        <v>237</v>
      </c>
      <c r="S802" t="s">
        <v>550</v>
      </c>
      <c r="T802" t="s">
        <v>550</v>
      </c>
      <c r="U802" t="s">
        <v>550</v>
      </c>
      <c r="V802" t="s">
        <v>3561</v>
      </c>
      <c r="W802" t="s">
        <v>613</v>
      </c>
      <c r="X802" t="s">
        <v>74</v>
      </c>
      <c r="Y802" t="s">
        <v>1281</v>
      </c>
      <c r="Z802" t="s">
        <v>3558</v>
      </c>
    </row>
    <row r="803" spans="1:26" x14ac:dyDescent="0.3">
      <c r="A803" t="s">
        <v>525</v>
      </c>
      <c r="B803" t="s">
        <v>3562</v>
      </c>
      <c r="C803" t="s">
        <v>2794</v>
      </c>
      <c r="D803" t="s">
        <v>3558</v>
      </c>
      <c r="E803" t="s">
        <v>664</v>
      </c>
      <c r="F803" t="s">
        <v>27</v>
      </c>
      <c r="G803" s="1">
        <v>43102</v>
      </c>
      <c r="H803" s="1">
        <v>44196</v>
      </c>
      <c r="I803" t="s">
        <v>665</v>
      </c>
      <c r="J803" t="s">
        <v>666</v>
      </c>
      <c r="K803" t="s">
        <v>24</v>
      </c>
      <c r="L803" t="s">
        <v>216</v>
      </c>
      <c r="M803" t="s">
        <v>1030</v>
      </c>
      <c r="N803" t="s">
        <v>255</v>
      </c>
      <c r="O803" t="s">
        <v>1405</v>
      </c>
      <c r="P803" t="s">
        <v>1406</v>
      </c>
      <c r="Q803" t="s">
        <v>2213</v>
      </c>
      <c r="R803" t="s">
        <v>237</v>
      </c>
      <c r="S803" t="s">
        <v>550</v>
      </c>
      <c r="T803" t="s">
        <v>550</v>
      </c>
      <c r="U803" t="s">
        <v>550</v>
      </c>
      <c r="V803" t="s">
        <v>3563</v>
      </c>
      <c r="W803" t="s">
        <v>613</v>
      </c>
      <c r="X803" t="s">
        <v>74</v>
      </c>
      <c r="Y803" t="s">
        <v>1281</v>
      </c>
      <c r="Z803" t="s">
        <v>3562</v>
      </c>
    </row>
    <row r="804" spans="1:26" x14ac:dyDescent="0.3">
      <c r="A804" t="s">
        <v>525</v>
      </c>
      <c r="B804" t="s">
        <v>3564</v>
      </c>
      <c r="C804" t="s">
        <v>3565</v>
      </c>
      <c r="D804" t="s">
        <v>3002</v>
      </c>
      <c r="E804" t="s">
        <v>1039</v>
      </c>
      <c r="F804" t="s">
        <v>1040</v>
      </c>
      <c r="G804" s="1">
        <v>43102</v>
      </c>
      <c r="H804" s="1">
        <v>43465</v>
      </c>
      <c r="I804" t="s">
        <v>665</v>
      </c>
      <c r="J804" t="s">
        <v>1041</v>
      </c>
      <c r="K804" t="s">
        <v>24</v>
      </c>
      <c r="L804" t="s">
        <v>216</v>
      </c>
      <c r="M804" t="s">
        <v>1030</v>
      </c>
      <c r="N804" t="s">
        <v>255</v>
      </c>
      <c r="O804" t="s">
        <v>1405</v>
      </c>
      <c r="P804" t="s">
        <v>1406</v>
      </c>
      <c r="Q804" t="s">
        <v>2213</v>
      </c>
      <c r="R804" t="s">
        <v>237</v>
      </c>
      <c r="S804" t="s">
        <v>550</v>
      </c>
      <c r="T804" t="s">
        <v>550</v>
      </c>
      <c r="U804" t="s">
        <v>550</v>
      </c>
      <c r="V804" t="s">
        <v>3566</v>
      </c>
      <c r="W804" t="s">
        <v>613</v>
      </c>
      <c r="X804" t="s">
        <v>74</v>
      </c>
      <c r="Y804" t="s">
        <v>786</v>
      </c>
      <c r="Z804" t="s">
        <v>3564</v>
      </c>
    </row>
    <row r="805" spans="1:26" x14ac:dyDescent="0.3">
      <c r="A805" t="s">
        <v>525</v>
      </c>
      <c r="B805" t="s">
        <v>3000</v>
      </c>
      <c r="C805" t="s">
        <v>3567</v>
      </c>
      <c r="D805" t="s">
        <v>550</v>
      </c>
      <c r="E805" t="s">
        <v>3497</v>
      </c>
      <c r="F805" t="s">
        <v>3498</v>
      </c>
      <c r="G805" s="1">
        <v>43102</v>
      </c>
      <c r="H805" s="1">
        <v>43465</v>
      </c>
      <c r="I805" t="s">
        <v>665</v>
      </c>
      <c r="J805" t="s">
        <v>3499</v>
      </c>
      <c r="K805" t="s">
        <v>24</v>
      </c>
      <c r="L805" t="s">
        <v>863</v>
      </c>
      <c r="M805" t="s">
        <v>1030</v>
      </c>
      <c r="N805" t="s">
        <v>255</v>
      </c>
      <c r="O805" t="s">
        <v>1405</v>
      </c>
      <c r="P805" t="s">
        <v>1406</v>
      </c>
      <c r="Q805" t="s">
        <v>2213</v>
      </c>
      <c r="R805" t="s">
        <v>237</v>
      </c>
      <c r="S805" t="s">
        <v>550</v>
      </c>
      <c r="T805" t="s">
        <v>550</v>
      </c>
      <c r="U805" t="s">
        <v>550</v>
      </c>
      <c r="V805" t="s">
        <v>3568</v>
      </c>
      <c r="W805" t="s">
        <v>613</v>
      </c>
      <c r="X805" t="s">
        <v>74</v>
      </c>
      <c r="Y805" t="s">
        <v>786</v>
      </c>
      <c r="Z805" t="s">
        <v>3000</v>
      </c>
    </row>
    <row r="806" spans="1:26" x14ac:dyDescent="0.3">
      <c r="A806" t="s">
        <v>525</v>
      </c>
      <c r="B806" t="s">
        <v>3569</v>
      </c>
      <c r="C806" t="s">
        <v>3570</v>
      </c>
      <c r="D806" t="s">
        <v>2928</v>
      </c>
      <c r="E806" t="s">
        <v>3536</v>
      </c>
      <c r="F806" t="s">
        <v>3537</v>
      </c>
      <c r="G806" s="1">
        <v>43102</v>
      </c>
      <c r="H806" s="1">
        <v>43465</v>
      </c>
      <c r="I806" t="s">
        <v>665</v>
      </c>
      <c r="J806" t="s">
        <v>3538</v>
      </c>
      <c r="K806" t="s">
        <v>635</v>
      </c>
      <c r="L806" t="s">
        <v>1045</v>
      </c>
      <c r="M806" t="s">
        <v>2790</v>
      </c>
      <c r="N806" t="s">
        <v>2791</v>
      </c>
      <c r="O806" t="s">
        <v>1405</v>
      </c>
      <c r="P806" t="s">
        <v>1406</v>
      </c>
      <c r="Q806" t="s">
        <v>2213</v>
      </c>
      <c r="R806" t="s">
        <v>237</v>
      </c>
      <c r="S806" t="s">
        <v>550</v>
      </c>
      <c r="T806" t="s">
        <v>550</v>
      </c>
      <c r="U806" t="s">
        <v>550</v>
      </c>
      <c r="V806" t="s">
        <v>3571</v>
      </c>
      <c r="W806" t="s">
        <v>1021</v>
      </c>
      <c r="X806" t="s">
        <v>74</v>
      </c>
      <c r="Y806" t="s">
        <v>1033</v>
      </c>
      <c r="Z806" t="s">
        <v>3569</v>
      </c>
    </row>
    <row r="807" spans="1:26" x14ac:dyDescent="0.3">
      <c r="A807" t="s">
        <v>525</v>
      </c>
      <c r="B807" t="s">
        <v>3572</v>
      </c>
      <c r="C807" t="s">
        <v>3573</v>
      </c>
      <c r="D807" t="s">
        <v>550</v>
      </c>
      <c r="E807" t="s">
        <v>664</v>
      </c>
      <c r="F807" t="s">
        <v>27</v>
      </c>
      <c r="G807" s="1">
        <v>43831</v>
      </c>
      <c r="H807" s="1">
        <v>43836</v>
      </c>
      <c r="I807" t="s">
        <v>665</v>
      </c>
      <c r="J807" t="s">
        <v>666</v>
      </c>
      <c r="K807" t="s">
        <v>24</v>
      </c>
      <c r="L807" t="s">
        <v>1045</v>
      </c>
      <c r="M807" t="s">
        <v>1030</v>
      </c>
      <c r="N807" t="s">
        <v>255</v>
      </c>
      <c r="O807" t="s">
        <v>1405</v>
      </c>
      <c r="P807" t="s">
        <v>1406</v>
      </c>
      <c r="Q807" t="s">
        <v>2213</v>
      </c>
      <c r="R807" t="s">
        <v>237</v>
      </c>
      <c r="S807" t="s">
        <v>550</v>
      </c>
      <c r="T807" t="s">
        <v>550</v>
      </c>
      <c r="U807" t="s">
        <v>550</v>
      </c>
      <c r="V807" t="s">
        <v>3574</v>
      </c>
      <c r="W807" t="s">
        <v>1021</v>
      </c>
      <c r="X807" t="s">
        <v>74</v>
      </c>
      <c r="Y807" t="s">
        <v>1059</v>
      </c>
      <c r="Z807" t="s">
        <v>3572</v>
      </c>
    </row>
    <row r="808" spans="1:26" x14ac:dyDescent="0.3">
      <c r="A808" t="s">
        <v>525</v>
      </c>
      <c r="B808" t="s">
        <v>3575</v>
      </c>
      <c r="C808" t="s">
        <v>3576</v>
      </c>
      <c r="D808" t="s">
        <v>550</v>
      </c>
      <c r="E808" t="s">
        <v>664</v>
      </c>
      <c r="F808" t="s">
        <v>27</v>
      </c>
      <c r="G808" s="1">
        <v>43831</v>
      </c>
      <c r="H808" s="1">
        <v>43844</v>
      </c>
      <c r="I808" t="s">
        <v>665</v>
      </c>
      <c r="J808" t="s">
        <v>666</v>
      </c>
      <c r="K808" t="s">
        <v>24</v>
      </c>
      <c r="L808" t="s">
        <v>1045</v>
      </c>
      <c r="M808" t="s">
        <v>1030</v>
      </c>
      <c r="N808" t="s">
        <v>255</v>
      </c>
      <c r="O808" t="s">
        <v>1405</v>
      </c>
      <c r="P808" t="s">
        <v>1406</v>
      </c>
      <c r="Q808" t="s">
        <v>2213</v>
      </c>
      <c r="R808" t="s">
        <v>237</v>
      </c>
      <c r="S808" t="s">
        <v>550</v>
      </c>
      <c r="T808" t="s">
        <v>550</v>
      </c>
      <c r="U808" t="s">
        <v>550</v>
      </c>
      <c r="V808" t="s">
        <v>3577</v>
      </c>
      <c r="W808" t="s">
        <v>1021</v>
      </c>
      <c r="X808" t="s">
        <v>74</v>
      </c>
      <c r="Y808" t="s">
        <v>1033</v>
      </c>
      <c r="Z808" t="s">
        <v>3575</v>
      </c>
    </row>
    <row r="809" spans="1:26" x14ac:dyDescent="0.3">
      <c r="A809" t="s">
        <v>525</v>
      </c>
      <c r="B809" t="s">
        <v>3578</v>
      </c>
      <c r="C809" t="s">
        <v>3579</v>
      </c>
      <c r="D809" t="s">
        <v>2937</v>
      </c>
      <c r="E809" t="s">
        <v>3580</v>
      </c>
      <c r="F809" t="s">
        <v>3581</v>
      </c>
      <c r="G809" s="1">
        <v>43102</v>
      </c>
      <c r="H809" s="1">
        <v>43465</v>
      </c>
      <c r="I809" t="s">
        <v>665</v>
      </c>
      <c r="J809" t="s">
        <v>3582</v>
      </c>
      <c r="K809" t="s">
        <v>24</v>
      </c>
      <c r="L809" t="s">
        <v>1045</v>
      </c>
      <c r="M809" t="s">
        <v>1030</v>
      </c>
      <c r="N809" t="s">
        <v>255</v>
      </c>
      <c r="O809" t="s">
        <v>1405</v>
      </c>
      <c r="P809" t="s">
        <v>1406</v>
      </c>
      <c r="Q809" t="s">
        <v>2213</v>
      </c>
      <c r="R809" t="s">
        <v>237</v>
      </c>
      <c r="S809" t="s">
        <v>550</v>
      </c>
      <c r="T809" t="s">
        <v>550</v>
      </c>
      <c r="U809" t="s">
        <v>550</v>
      </c>
      <c r="V809" t="s">
        <v>3583</v>
      </c>
      <c r="W809" t="s">
        <v>1021</v>
      </c>
      <c r="X809" t="s">
        <v>74</v>
      </c>
      <c r="Y809" t="s">
        <v>1059</v>
      </c>
      <c r="Z809" t="s">
        <v>3578</v>
      </c>
    </row>
    <row r="810" spans="1:26" x14ac:dyDescent="0.3">
      <c r="A810" t="s">
        <v>525</v>
      </c>
      <c r="B810" t="s">
        <v>3584</v>
      </c>
      <c r="C810" t="s">
        <v>1391</v>
      </c>
      <c r="D810" t="s">
        <v>550</v>
      </c>
      <c r="E810" t="s">
        <v>664</v>
      </c>
      <c r="F810" t="s">
        <v>27</v>
      </c>
      <c r="G810" s="1">
        <v>43831</v>
      </c>
      <c r="H810" s="1">
        <v>43909</v>
      </c>
      <c r="I810" t="s">
        <v>665</v>
      </c>
      <c r="J810" t="s">
        <v>666</v>
      </c>
      <c r="K810" t="s">
        <v>24</v>
      </c>
      <c r="L810" t="s">
        <v>1045</v>
      </c>
      <c r="M810" t="s">
        <v>1030</v>
      </c>
      <c r="N810" t="s">
        <v>255</v>
      </c>
      <c r="O810" t="s">
        <v>1128</v>
      </c>
      <c r="P810" t="s">
        <v>1129</v>
      </c>
      <c r="Q810" t="s">
        <v>2213</v>
      </c>
      <c r="R810" t="s">
        <v>237</v>
      </c>
      <c r="S810" t="s">
        <v>550</v>
      </c>
      <c r="T810" t="s">
        <v>550</v>
      </c>
      <c r="U810" t="s">
        <v>550</v>
      </c>
      <c r="V810" t="s">
        <v>3585</v>
      </c>
      <c r="W810" t="s">
        <v>1021</v>
      </c>
      <c r="X810" t="s">
        <v>74</v>
      </c>
      <c r="Y810" t="s">
        <v>1033</v>
      </c>
      <c r="Z810" t="s">
        <v>3584</v>
      </c>
    </row>
    <row r="811" spans="1:26" x14ac:dyDescent="0.3">
      <c r="A811" t="s">
        <v>525</v>
      </c>
      <c r="B811" t="s">
        <v>3586</v>
      </c>
      <c r="C811" t="s">
        <v>3587</v>
      </c>
      <c r="D811" t="s">
        <v>550</v>
      </c>
      <c r="E811" t="s">
        <v>664</v>
      </c>
      <c r="F811" t="s">
        <v>27</v>
      </c>
      <c r="G811" s="1">
        <v>43831</v>
      </c>
      <c r="H811" s="1">
        <v>43847</v>
      </c>
      <c r="I811" t="s">
        <v>665</v>
      </c>
      <c r="J811" t="s">
        <v>666</v>
      </c>
      <c r="K811" t="s">
        <v>24</v>
      </c>
      <c r="L811" t="s">
        <v>1045</v>
      </c>
      <c r="M811" t="s">
        <v>1030</v>
      </c>
      <c r="N811" t="s">
        <v>255</v>
      </c>
      <c r="O811" t="s">
        <v>1128</v>
      </c>
      <c r="P811" t="s">
        <v>1129</v>
      </c>
      <c r="Q811" t="s">
        <v>2213</v>
      </c>
      <c r="R811" t="s">
        <v>237</v>
      </c>
      <c r="S811" t="s">
        <v>550</v>
      </c>
      <c r="T811" t="s">
        <v>550</v>
      </c>
      <c r="U811" t="s">
        <v>550</v>
      </c>
      <c r="V811" t="s">
        <v>3588</v>
      </c>
      <c r="W811" t="s">
        <v>1021</v>
      </c>
      <c r="X811" t="s">
        <v>74</v>
      </c>
      <c r="Y811" t="s">
        <v>1033</v>
      </c>
      <c r="Z811" t="s">
        <v>3586</v>
      </c>
    </row>
    <row r="812" spans="1:26" x14ac:dyDescent="0.3">
      <c r="A812" t="s">
        <v>525</v>
      </c>
      <c r="B812" t="s">
        <v>3589</v>
      </c>
      <c r="C812" t="s">
        <v>3590</v>
      </c>
      <c r="D812" t="s">
        <v>2934</v>
      </c>
      <c r="E812" t="s">
        <v>3591</v>
      </c>
      <c r="F812" t="s">
        <v>3592</v>
      </c>
      <c r="G812" s="1">
        <v>43102</v>
      </c>
      <c r="H812" s="1">
        <v>43465</v>
      </c>
      <c r="I812" t="s">
        <v>665</v>
      </c>
      <c r="J812" t="s">
        <v>3593</v>
      </c>
      <c r="K812" t="s">
        <v>24</v>
      </c>
      <c r="L812" t="s">
        <v>1045</v>
      </c>
      <c r="M812" t="s">
        <v>1030</v>
      </c>
      <c r="N812" t="s">
        <v>255</v>
      </c>
      <c r="O812" t="s">
        <v>1405</v>
      </c>
      <c r="P812" t="s">
        <v>1406</v>
      </c>
      <c r="Q812" t="s">
        <v>2213</v>
      </c>
      <c r="R812" t="s">
        <v>237</v>
      </c>
      <c r="S812" t="s">
        <v>550</v>
      </c>
      <c r="T812" t="s">
        <v>550</v>
      </c>
      <c r="U812" t="s">
        <v>550</v>
      </c>
      <c r="V812" t="s">
        <v>3594</v>
      </c>
      <c r="W812" t="s">
        <v>1021</v>
      </c>
      <c r="X812" t="s">
        <v>74</v>
      </c>
      <c r="Y812" t="s">
        <v>1059</v>
      </c>
      <c r="Z812" t="s">
        <v>3589</v>
      </c>
    </row>
    <row r="813" spans="1:26" x14ac:dyDescent="0.3">
      <c r="A813" t="s">
        <v>525</v>
      </c>
      <c r="B813" t="s">
        <v>3595</v>
      </c>
      <c r="C813" t="s">
        <v>3596</v>
      </c>
      <c r="D813" t="s">
        <v>3589</v>
      </c>
      <c r="E813" t="s">
        <v>664</v>
      </c>
      <c r="F813" t="s">
        <v>27</v>
      </c>
      <c r="G813" s="1">
        <v>43102</v>
      </c>
      <c r="H813" s="1">
        <v>43465</v>
      </c>
      <c r="I813" t="s">
        <v>665</v>
      </c>
      <c r="J813" t="s">
        <v>666</v>
      </c>
      <c r="K813" t="s">
        <v>24</v>
      </c>
      <c r="L813" t="s">
        <v>1045</v>
      </c>
      <c r="M813" t="s">
        <v>1030</v>
      </c>
      <c r="N813" t="s">
        <v>255</v>
      </c>
      <c r="O813" t="s">
        <v>1405</v>
      </c>
      <c r="P813" t="s">
        <v>1406</v>
      </c>
      <c r="Q813" t="s">
        <v>2213</v>
      </c>
      <c r="R813" t="s">
        <v>237</v>
      </c>
      <c r="S813" t="s">
        <v>550</v>
      </c>
      <c r="T813" t="s">
        <v>550</v>
      </c>
      <c r="U813" t="s">
        <v>550</v>
      </c>
      <c r="V813" t="s">
        <v>3597</v>
      </c>
      <c r="W813" t="s">
        <v>1021</v>
      </c>
      <c r="X813" t="s">
        <v>74</v>
      </c>
      <c r="Y813" t="s">
        <v>1059</v>
      </c>
      <c r="Z813" t="s">
        <v>3595</v>
      </c>
    </row>
    <row r="814" spans="1:26" x14ac:dyDescent="0.3">
      <c r="A814" t="s">
        <v>525</v>
      </c>
      <c r="B814" t="s">
        <v>3598</v>
      </c>
      <c r="C814" t="s">
        <v>3599</v>
      </c>
      <c r="D814" t="s">
        <v>3283</v>
      </c>
      <c r="E814" t="s">
        <v>664</v>
      </c>
      <c r="F814" t="s">
        <v>27</v>
      </c>
      <c r="G814" s="1">
        <v>43102</v>
      </c>
      <c r="H814" s="1">
        <v>43465</v>
      </c>
      <c r="I814" t="s">
        <v>665</v>
      </c>
      <c r="J814" t="s">
        <v>666</v>
      </c>
      <c r="K814" t="s">
        <v>24</v>
      </c>
      <c r="L814" t="s">
        <v>1045</v>
      </c>
      <c r="M814" t="s">
        <v>1030</v>
      </c>
      <c r="N814" t="s">
        <v>255</v>
      </c>
      <c r="O814" t="s">
        <v>1405</v>
      </c>
      <c r="P814" t="s">
        <v>1406</v>
      </c>
      <c r="Q814" t="s">
        <v>2213</v>
      </c>
      <c r="R814" t="s">
        <v>237</v>
      </c>
      <c r="S814" t="s">
        <v>550</v>
      </c>
      <c r="T814" t="s">
        <v>550</v>
      </c>
      <c r="U814" t="s">
        <v>550</v>
      </c>
      <c r="V814" t="s">
        <v>3600</v>
      </c>
      <c r="W814" t="s">
        <v>1021</v>
      </c>
      <c r="X814" t="s">
        <v>74</v>
      </c>
      <c r="Y814" t="s">
        <v>1059</v>
      </c>
      <c r="Z814" t="s">
        <v>3598</v>
      </c>
    </row>
    <row r="815" spans="1:26" x14ac:dyDescent="0.3">
      <c r="A815" t="s">
        <v>525</v>
      </c>
      <c r="B815" t="s">
        <v>3601</v>
      </c>
      <c r="C815" t="s">
        <v>3602</v>
      </c>
      <c r="D815" t="s">
        <v>3598</v>
      </c>
      <c r="E815" t="s">
        <v>3603</v>
      </c>
      <c r="F815" t="s">
        <v>3604</v>
      </c>
      <c r="G815" s="1">
        <v>43102</v>
      </c>
      <c r="H815" s="1">
        <v>43465</v>
      </c>
      <c r="I815" t="s">
        <v>665</v>
      </c>
      <c r="J815" t="s">
        <v>3605</v>
      </c>
      <c r="K815" t="s">
        <v>24</v>
      </c>
      <c r="L815" t="s">
        <v>1045</v>
      </c>
      <c r="M815" t="s">
        <v>1030</v>
      </c>
      <c r="N815" t="s">
        <v>255</v>
      </c>
      <c r="O815" t="s">
        <v>1405</v>
      </c>
      <c r="P815" t="s">
        <v>1406</v>
      </c>
      <c r="Q815" t="s">
        <v>2213</v>
      </c>
      <c r="R815" t="s">
        <v>237</v>
      </c>
      <c r="S815" t="s">
        <v>550</v>
      </c>
      <c r="T815" t="s">
        <v>550</v>
      </c>
      <c r="U815" t="s">
        <v>550</v>
      </c>
      <c r="V815" t="s">
        <v>3606</v>
      </c>
      <c r="W815" t="s">
        <v>1021</v>
      </c>
      <c r="X815" t="s">
        <v>74</v>
      </c>
      <c r="Y815" t="s">
        <v>1059</v>
      </c>
      <c r="Z815" t="s">
        <v>3601</v>
      </c>
    </row>
    <row r="816" spans="1:26" x14ac:dyDescent="0.3">
      <c r="A816" t="s">
        <v>525</v>
      </c>
      <c r="B816" t="s">
        <v>3607</v>
      </c>
      <c r="C816" t="s">
        <v>3608</v>
      </c>
      <c r="D816" t="s">
        <v>3598</v>
      </c>
      <c r="E816" t="s">
        <v>3609</v>
      </c>
      <c r="F816" t="s">
        <v>3610</v>
      </c>
      <c r="G816" s="1">
        <v>43102</v>
      </c>
      <c r="H816" s="1">
        <v>43465</v>
      </c>
      <c r="I816" t="s">
        <v>665</v>
      </c>
      <c r="J816" t="s">
        <v>3611</v>
      </c>
      <c r="K816" t="s">
        <v>24</v>
      </c>
      <c r="L816" t="s">
        <v>1045</v>
      </c>
      <c r="M816" t="s">
        <v>1030</v>
      </c>
      <c r="N816" t="s">
        <v>255</v>
      </c>
      <c r="O816" t="s">
        <v>1405</v>
      </c>
      <c r="P816" t="s">
        <v>1406</v>
      </c>
      <c r="Q816" t="s">
        <v>2213</v>
      </c>
      <c r="R816" t="s">
        <v>237</v>
      </c>
      <c r="S816" t="s">
        <v>550</v>
      </c>
      <c r="T816" t="s">
        <v>550</v>
      </c>
      <c r="U816" t="s">
        <v>550</v>
      </c>
      <c r="V816" t="s">
        <v>3612</v>
      </c>
      <c r="W816" t="s">
        <v>1021</v>
      </c>
      <c r="X816" t="s">
        <v>74</v>
      </c>
      <c r="Y816" t="s">
        <v>1059</v>
      </c>
      <c r="Z816" t="s">
        <v>3607</v>
      </c>
    </row>
    <row r="817" spans="1:26" x14ac:dyDescent="0.3">
      <c r="A817" t="s">
        <v>525</v>
      </c>
      <c r="B817" t="s">
        <v>3613</v>
      </c>
      <c r="C817" t="s">
        <v>3614</v>
      </c>
      <c r="D817" t="s">
        <v>3598</v>
      </c>
      <c r="E817" t="s">
        <v>3615</v>
      </c>
      <c r="F817" t="s">
        <v>3616</v>
      </c>
      <c r="G817" s="1">
        <v>43102</v>
      </c>
      <c r="H817" s="1">
        <v>43465</v>
      </c>
      <c r="I817" t="s">
        <v>665</v>
      </c>
      <c r="J817" t="s">
        <v>3617</v>
      </c>
      <c r="K817" t="s">
        <v>24</v>
      </c>
      <c r="L817" t="s">
        <v>1045</v>
      </c>
      <c r="M817" t="s">
        <v>1030</v>
      </c>
      <c r="N817" t="s">
        <v>255</v>
      </c>
      <c r="O817" t="s">
        <v>1405</v>
      </c>
      <c r="P817" t="s">
        <v>1406</v>
      </c>
      <c r="Q817" t="s">
        <v>2213</v>
      </c>
      <c r="R817" t="s">
        <v>237</v>
      </c>
      <c r="S817" t="s">
        <v>550</v>
      </c>
      <c r="T817" t="s">
        <v>550</v>
      </c>
      <c r="U817" t="s">
        <v>550</v>
      </c>
      <c r="V817" t="s">
        <v>3618</v>
      </c>
      <c r="W817" t="s">
        <v>1021</v>
      </c>
      <c r="X817" t="s">
        <v>74</v>
      </c>
      <c r="Y817" t="s">
        <v>1059</v>
      </c>
      <c r="Z817" t="s">
        <v>3613</v>
      </c>
    </row>
    <row r="818" spans="1:26" x14ac:dyDescent="0.3">
      <c r="A818" t="s">
        <v>525</v>
      </c>
      <c r="B818" t="s">
        <v>3619</v>
      </c>
      <c r="C818" t="s">
        <v>3620</v>
      </c>
      <c r="D818" t="s">
        <v>3598</v>
      </c>
      <c r="E818" t="s">
        <v>3621</v>
      </c>
      <c r="F818" t="s">
        <v>3622</v>
      </c>
      <c r="G818" s="1">
        <v>43102</v>
      </c>
      <c r="H818" s="1">
        <v>43465</v>
      </c>
      <c r="I818" t="s">
        <v>665</v>
      </c>
      <c r="J818" t="s">
        <v>3623</v>
      </c>
      <c r="K818" t="s">
        <v>24</v>
      </c>
      <c r="L818" t="s">
        <v>1045</v>
      </c>
      <c r="M818" t="s">
        <v>1030</v>
      </c>
      <c r="N818" t="s">
        <v>255</v>
      </c>
      <c r="O818" t="s">
        <v>1405</v>
      </c>
      <c r="P818" t="s">
        <v>1406</v>
      </c>
      <c r="Q818" t="s">
        <v>2213</v>
      </c>
      <c r="R818" t="s">
        <v>237</v>
      </c>
      <c r="S818" t="s">
        <v>550</v>
      </c>
      <c r="T818" t="s">
        <v>550</v>
      </c>
      <c r="U818" t="s">
        <v>550</v>
      </c>
      <c r="V818" t="s">
        <v>3624</v>
      </c>
      <c r="W818" t="s">
        <v>1021</v>
      </c>
      <c r="X818" t="s">
        <v>74</v>
      </c>
      <c r="Y818" t="s">
        <v>1059</v>
      </c>
      <c r="Z818" t="s">
        <v>3619</v>
      </c>
    </row>
    <row r="819" spans="1:26" x14ac:dyDescent="0.3">
      <c r="A819" t="s">
        <v>525</v>
      </c>
      <c r="B819" t="s">
        <v>3625</v>
      </c>
      <c r="C819" t="s">
        <v>3626</v>
      </c>
      <c r="D819" t="s">
        <v>3598</v>
      </c>
      <c r="E819" t="s">
        <v>3627</v>
      </c>
      <c r="F819" t="s">
        <v>3628</v>
      </c>
      <c r="G819" s="1">
        <v>43102</v>
      </c>
      <c r="H819" s="1">
        <v>43465</v>
      </c>
      <c r="I819" t="s">
        <v>665</v>
      </c>
      <c r="J819" t="s">
        <v>3629</v>
      </c>
      <c r="K819" t="s">
        <v>24</v>
      </c>
      <c r="L819" t="s">
        <v>1045</v>
      </c>
      <c r="M819" t="s">
        <v>1030</v>
      </c>
      <c r="N819" t="s">
        <v>255</v>
      </c>
      <c r="O819" t="s">
        <v>1405</v>
      </c>
      <c r="P819" t="s">
        <v>1406</v>
      </c>
      <c r="Q819" t="s">
        <v>2213</v>
      </c>
      <c r="R819" t="s">
        <v>237</v>
      </c>
      <c r="S819" t="s">
        <v>550</v>
      </c>
      <c r="T819" t="s">
        <v>550</v>
      </c>
      <c r="U819" t="s">
        <v>550</v>
      </c>
      <c r="V819" t="s">
        <v>3630</v>
      </c>
      <c r="W819" t="s">
        <v>1021</v>
      </c>
      <c r="X819" t="s">
        <v>74</v>
      </c>
      <c r="Y819" t="s">
        <v>1059</v>
      </c>
      <c r="Z819" t="s">
        <v>3625</v>
      </c>
    </row>
    <row r="820" spans="1:26" x14ac:dyDescent="0.3">
      <c r="A820" t="s">
        <v>525</v>
      </c>
      <c r="B820" t="s">
        <v>3631</v>
      </c>
      <c r="C820" t="s">
        <v>3632</v>
      </c>
      <c r="D820" t="s">
        <v>550</v>
      </c>
      <c r="E820" t="s">
        <v>664</v>
      </c>
      <c r="F820" t="s">
        <v>27</v>
      </c>
      <c r="G820" s="1">
        <v>43405</v>
      </c>
      <c r="H820" s="1">
        <v>43458</v>
      </c>
      <c r="I820" t="s">
        <v>665</v>
      </c>
      <c r="J820" t="s">
        <v>666</v>
      </c>
      <c r="K820" t="s">
        <v>635</v>
      </c>
      <c r="L820" t="s">
        <v>667</v>
      </c>
      <c r="M820" t="s">
        <v>1030</v>
      </c>
      <c r="N820" t="s">
        <v>255</v>
      </c>
      <c r="O820" t="s">
        <v>1405</v>
      </c>
      <c r="P820" t="s">
        <v>1406</v>
      </c>
      <c r="Q820" t="s">
        <v>2213</v>
      </c>
      <c r="R820" t="s">
        <v>237</v>
      </c>
      <c r="S820" t="s">
        <v>550</v>
      </c>
      <c r="T820" t="s">
        <v>550</v>
      </c>
      <c r="U820" t="s">
        <v>550</v>
      </c>
      <c r="V820" t="s">
        <v>3633</v>
      </c>
      <c r="W820" t="s">
        <v>1021</v>
      </c>
      <c r="X820" t="s">
        <v>74</v>
      </c>
      <c r="Y820" t="s">
        <v>1033</v>
      </c>
      <c r="Z820" t="s">
        <v>3631</v>
      </c>
    </row>
    <row r="821" spans="1:26" x14ac:dyDescent="0.3">
      <c r="A821" t="s">
        <v>525</v>
      </c>
      <c r="B821" t="s">
        <v>3634</v>
      </c>
      <c r="C821" t="s">
        <v>3635</v>
      </c>
      <c r="D821" t="s">
        <v>2948</v>
      </c>
      <c r="E821" t="s">
        <v>664</v>
      </c>
      <c r="F821" t="s">
        <v>27</v>
      </c>
      <c r="G821" s="1">
        <v>43102</v>
      </c>
      <c r="H821" s="1">
        <v>43465</v>
      </c>
      <c r="I821" t="s">
        <v>665</v>
      </c>
      <c r="J821" t="s">
        <v>666</v>
      </c>
      <c r="K821" t="s">
        <v>24</v>
      </c>
      <c r="L821" t="s">
        <v>1045</v>
      </c>
      <c r="M821" t="s">
        <v>1030</v>
      </c>
      <c r="N821" t="s">
        <v>255</v>
      </c>
      <c r="O821" t="s">
        <v>1405</v>
      </c>
      <c r="P821" t="s">
        <v>1406</v>
      </c>
      <c r="Q821" t="s">
        <v>2213</v>
      </c>
      <c r="R821" t="s">
        <v>237</v>
      </c>
      <c r="S821" t="s">
        <v>550</v>
      </c>
      <c r="T821" t="s">
        <v>550</v>
      </c>
      <c r="U821" t="s">
        <v>550</v>
      </c>
      <c r="V821" t="s">
        <v>3636</v>
      </c>
      <c r="W821" t="s">
        <v>1021</v>
      </c>
      <c r="X821" t="s">
        <v>74</v>
      </c>
      <c r="Y821" t="s">
        <v>1033</v>
      </c>
      <c r="Z821" t="s">
        <v>3634</v>
      </c>
    </row>
    <row r="822" spans="1:26" x14ac:dyDescent="0.3">
      <c r="A822" t="s">
        <v>525</v>
      </c>
      <c r="B822" t="s">
        <v>3637</v>
      </c>
      <c r="C822" t="s">
        <v>3638</v>
      </c>
      <c r="D822" t="s">
        <v>3634</v>
      </c>
      <c r="E822" t="s">
        <v>3639</v>
      </c>
      <c r="F822" t="s">
        <v>3638</v>
      </c>
      <c r="G822" s="1">
        <v>43102</v>
      </c>
      <c r="H822" s="1">
        <v>43465</v>
      </c>
      <c r="I822" t="s">
        <v>665</v>
      </c>
      <c r="J822" t="s">
        <v>3640</v>
      </c>
      <c r="K822" t="s">
        <v>24</v>
      </c>
      <c r="L822" t="s">
        <v>1045</v>
      </c>
      <c r="M822" t="s">
        <v>1030</v>
      </c>
      <c r="N822" t="s">
        <v>255</v>
      </c>
      <c r="O822" t="s">
        <v>1405</v>
      </c>
      <c r="P822" t="s">
        <v>1406</v>
      </c>
      <c r="Q822" t="s">
        <v>2213</v>
      </c>
      <c r="R822" t="s">
        <v>237</v>
      </c>
      <c r="S822" t="s">
        <v>550</v>
      </c>
      <c r="T822" t="s">
        <v>550</v>
      </c>
      <c r="U822" t="s">
        <v>550</v>
      </c>
      <c r="V822" t="s">
        <v>3641</v>
      </c>
      <c r="W822" t="s">
        <v>1021</v>
      </c>
      <c r="X822" t="s">
        <v>74</v>
      </c>
      <c r="Y822" t="s">
        <v>1033</v>
      </c>
      <c r="Z822" t="s">
        <v>3637</v>
      </c>
    </row>
    <row r="823" spans="1:26" x14ac:dyDescent="0.3">
      <c r="A823" t="s">
        <v>525</v>
      </c>
      <c r="B823" t="s">
        <v>3642</v>
      </c>
      <c r="C823" t="s">
        <v>3643</v>
      </c>
      <c r="D823" t="s">
        <v>3634</v>
      </c>
      <c r="E823" t="s">
        <v>3644</v>
      </c>
      <c r="F823" t="s">
        <v>3645</v>
      </c>
      <c r="G823" s="1">
        <v>43102</v>
      </c>
      <c r="H823" s="1">
        <v>43465</v>
      </c>
      <c r="I823" t="s">
        <v>665</v>
      </c>
      <c r="J823" t="s">
        <v>3646</v>
      </c>
      <c r="K823" t="s">
        <v>24</v>
      </c>
      <c r="L823" t="s">
        <v>1045</v>
      </c>
      <c r="M823" t="s">
        <v>1030</v>
      </c>
      <c r="N823" t="s">
        <v>255</v>
      </c>
      <c r="O823" t="s">
        <v>1405</v>
      </c>
      <c r="P823" t="s">
        <v>1406</v>
      </c>
      <c r="Q823" t="s">
        <v>2213</v>
      </c>
      <c r="R823" t="s">
        <v>237</v>
      </c>
      <c r="S823" t="s">
        <v>550</v>
      </c>
      <c r="T823" t="s">
        <v>550</v>
      </c>
      <c r="U823" t="s">
        <v>550</v>
      </c>
      <c r="V823" t="s">
        <v>3647</v>
      </c>
      <c r="W823" t="s">
        <v>1021</v>
      </c>
      <c r="X823" t="s">
        <v>74</v>
      </c>
      <c r="Y823" t="s">
        <v>1033</v>
      </c>
      <c r="Z823" t="s">
        <v>3642</v>
      </c>
    </row>
    <row r="824" spans="1:26" x14ac:dyDescent="0.3">
      <c r="A824" t="s">
        <v>525</v>
      </c>
      <c r="B824" t="s">
        <v>3648</v>
      </c>
      <c r="C824" t="s">
        <v>3649</v>
      </c>
      <c r="D824" t="s">
        <v>3634</v>
      </c>
      <c r="E824" t="s">
        <v>3650</v>
      </c>
      <c r="F824" t="s">
        <v>3649</v>
      </c>
      <c r="G824" s="1">
        <v>43102</v>
      </c>
      <c r="H824" s="1">
        <v>43465</v>
      </c>
      <c r="I824" t="s">
        <v>665</v>
      </c>
      <c r="J824" t="s">
        <v>3651</v>
      </c>
      <c r="K824" t="s">
        <v>24</v>
      </c>
      <c r="L824" t="s">
        <v>1045</v>
      </c>
      <c r="M824" t="s">
        <v>1030</v>
      </c>
      <c r="N824" t="s">
        <v>255</v>
      </c>
      <c r="O824" t="s">
        <v>1405</v>
      </c>
      <c r="P824" t="s">
        <v>1406</v>
      </c>
      <c r="Q824" t="s">
        <v>2213</v>
      </c>
      <c r="R824" t="s">
        <v>237</v>
      </c>
      <c r="S824" t="s">
        <v>550</v>
      </c>
      <c r="T824" t="s">
        <v>550</v>
      </c>
      <c r="U824" t="s">
        <v>550</v>
      </c>
      <c r="V824" t="s">
        <v>3652</v>
      </c>
      <c r="W824" t="s">
        <v>1021</v>
      </c>
      <c r="X824" t="s">
        <v>74</v>
      </c>
      <c r="Y824" t="s">
        <v>1033</v>
      </c>
      <c r="Z824" t="s">
        <v>3648</v>
      </c>
    </row>
    <row r="825" spans="1:26" x14ac:dyDescent="0.3">
      <c r="A825" t="s">
        <v>525</v>
      </c>
      <c r="B825" t="s">
        <v>3653</v>
      </c>
      <c r="C825" t="s">
        <v>3654</v>
      </c>
      <c r="D825" t="s">
        <v>3634</v>
      </c>
      <c r="E825" t="s">
        <v>664</v>
      </c>
      <c r="F825" t="s">
        <v>27</v>
      </c>
      <c r="G825" s="1">
        <v>43102</v>
      </c>
      <c r="H825" s="1">
        <v>43465</v>
      </c>
      <c r="I825" t="s">
        <v>665</v>
      </c>
      <c r="J825" t="s">
        <v>666</v>
      </c>
      <c r="K825" t="s">
        <v>24</v>
      </c>
      <c r="L825" t="s">
        <v>1045</v>
      </c>
      <c r="M825" t="s">
        <v>1030</v>
      </c>
      <c r="N825" t="s">
        <v>255</v>
      </c>
      <c r="O825" t="s">
        <v>1405</v>
      </c>
      <c r="P825" t="s">
        <v>1406</v>
      </c>
      <c r="Q825" t="s">
        <v>2213</v>
      </c>
      <c r="R825" t="s">
        <v>237</v>
      </c>
      <c r="S825" t="s">
        <v>550</v>
      </c>
      <c r="T825" t="s">
        <v>550</v>
      </c>
      <c r="U825" t="s">
        <v>550</v>
      </c>
      <c r="V825" t="s">
        <v>3655</v>
      </c>
      <c r="W825" t="s">
        <v>1021</v>
      </c>
      <c r="X825" t="s">
        <v>74</v>
      </c>
      <c r="Y825" t="s">
        <v>1033</v>
      </c>
      <c r="Z825" t="s">
        <v>3653</v>
      </c>
    </row>
    <row r="826" spans="1:26" x14ac:dyDescent="0.3">
      <c r="A826" t="s">
        <v>525</v>
      </c>
      <c r="B826" t="s">
        <v>3656</v>
      </c>
      <c r="C826" t="s">
        <v>3657</v>
      </c>
      <c r="D826" t="s">
        <v>3634</v>
      </c>
      <c r="E826" t="s">
        <v>3658</v>
      </c>
      <c r="F826" t="s">
        <v>3657</v>
      </c>
      <c r="G826" s="1">
        <v>43102</v>
      </c>
      <c r="H826" s="1">
        <v>43465</v>
      </c>
      <c r="I826" t="s">
        <v>665</v>
      </c>
      <c r="J826" t="s">
        <v>3659</v>
      </c>
      <c r="K826" t="s">
        <v>24</v>
      </c>
      <c r="L826" t="s">
        <v>1045</v>
      </c>
      <c r="M826" t="s">
        <v>1030</v>
      </c>
      <c r="N826" t="s">
        <v>255</v>
      </c>
      <c r="O826" t="s">
        <v>1405</v>
      </c>
      <c r="P826" t="s">
        <v>1406</v>
      </c>
      <c r="Q826" t="s">
        <v>2213</v>
      </c>
      <c r="R826" t="s">
        <v>237</v>
      </c>
      <c r="S826" t="s">
        <v>550</v>
      </c>
      <c r="T826" t="s">
        <v>550</v>
      </c>
      <c r="U826" t="s">
        <v>550</v>
      </c>
      <c r="V826" t="s">
        <v>3660</v>
      </c>
      <c r="W826" t="s">
        <v>1021</v>
      </c>
      <c r="X826" t="s">
        <v>74</v>
      </c>
      <c r="Y826" t="s">
        <v>1033</v>
      </c>
      <c r="Z826" t="s">
        <v>3656</v>
      </c>
    </row>
    <row r="827" spans="1:26" x14ac:dyDescent="0.3">
      <c r="A827" t="s">
        <v>525</v>
      </c>
      <c r="B827" t="s">
        <v>3661</v>
      </c>
      <c r="C827" t="s">
        <v>3662</v>
      </c>
      <c r="D827" t="s">
        <v>3634</v>
      </c>
      <c r="E827" t="s">
        <v>3663</v>
      </c>
      <c r="F827" t="s">
        <v>3662</v>
      </c>
      <c r="G827" s="1">
        <v>43102</v>
      </c>
      <c r="H827" s="1">
        <v>43465</v>
      </c>
      <c r="I827" t="s">
        <v>665</v>
      </c>
      <c r="J827" t="s">
        <v>3664</v>
      </c>
      <c r="K827" t="s">
        <v>24</v>
      </c>
      <c r="L827" t="s">
        <v>1045</v>
      </c>
      <c r="M827" t="s">
        <v>1030</v>
      </c>
      <c r="N827" t="s">
        <v>255</v>
      </c>
      <c r="O827" t="s">
        <v>1405</v>
      </c>
      <c r="P827" t="s">
        <v>1406</v>
      </c>
      <c r="Q827" t="s">
        <v>2213</v>
      </c>
      <c r="R827" t="s">
        <v>237</v>
      </c>
      <c r="S827" t="s">
        <v>550</v>
      </c>
      <c r="T827" t="s">
        <v>550</v>
      </c>
      <c r="U827" t="s">
        <v>550</v>
      </c>
      <c r="V827" t="s">
        <v>3665</v>
      </c>
      <c r="W827" t="s">
        <v>1021</v>
      </c>
      <c r="X827" t="s">
        <v>74</v>
      </c>
      <c r="Y827" t="s">
        <v>1033</v>
      </c>
      <c r="Z827" t="s">
        <v>3661</v>
      </c>
    </row>
    <row r="828" spans="1:26" x14ac:dyDescent="0.3">
      <c r="A828" t="s">
        <v>525</v>
      </c>
      <c r="B828" t="s">
        <v>3666</v>
      </c>
      <c r="C828" t="s">
        <v>3667</v>
      </c>
      <c r="D828" t="s">
        <v>3634</v>
      </c>
      <c r="E828" t="s">
        <v>3668</v>
      </c>
      <c r="F828" t="s">
        <v>3667</v>
      </c>
      <c r="G828" s="1">
        <v>43102</v>
      </c>
      <c r="H828" s="1">
        <v>43465</v>
      </c>
      <c r="I828" t="s">
        <v>665</v>
      </c>
      <c r="J828" t="s">
        <v>3669</v>
      </c>
      <c r="K828" t="s">
        <v>24</v>
      </c>
      <c r="L828" t="s">
        <v>1045</v>
      </c>
      <c r="M828" t="s">
        <v>1030</v>
      </c>
      <c r="N828" t="s">
        <v>255</v>
      </c>
      <c r="O828" t="s">
        <v>1405</v>
      </c>
      <c r="P828" t="s">
        <v>1406</v>
      </c>
      <c r="Q828" t="s">
        <v>2213</v>
      </c>
      <c r="R828" t="s">
        <v>237</v>
      </c>
      <c r="S828" t="s">
        <v>550</v>
      </c>
      <c r="T828" t="s">
        <v>550</v>
      </c>
      <c r="U828" t="s">
        <v>550</v>
      </c>
      <c r="V828" t="s">
        <v>3670</v>
      </c>
      <c r="W828" t="s">
        <v>1021</v>
      </c>
      <c r="X828" t="s">
        <v>74</v>
      </c>
      <c r="Y828" t="s">
        <v>1033</v>
      </c>
      <c r="Z828" t="s">
        <v>3666</v>
      </c>
    </row>
    <row r="829" spans="1:26" x14ac:dyDescent="0.3">
      <c r="A829" t="s">
        <v>525</v>
      </c>
      <c r="B829" t="s">
        <v>3671</v>
      </c>
      <c r="C829" t="s">
        <v>3672</v>
      </c>
      <c r="D829" t="s">
        <v>550</v>
      </c>
      <c r="E829" t="s">
        <v>664</v>
      </c>
      <c r="F829" t="s">
        <v>27</v>
      </c>
      <c r="G829" s="1">
        <v>43831</v>
      </c>
      <c r="H829" s="1">
        <v>43852</v>
      </c>
      <c r="I829" t="s">
        <v>665</v>
      </c>
      <c r="J829" t="s">
        <v>666</v>
      </c>
      <c r="K829" t="s">
        <v>24</v>
      </c>
      <c r="L829" t="s">
        <v>1045</v>
      </c>
      <c r="M829" t="s">
        <v>1030</v>
      </c>
      <c r="N829" t="s">
        <v>255</v>
      </c>
      <c r="O829" t="s">
        <v>1405</v>
      </c>
      <c r="P829" t="s">
        <v>1406</v>
      </c>
      <c r="Q829" t="s">
        <v>2213</v>
      </c>
      <c r="R829" t="s">
        <v>237</v>
      </c>
      <c r="S829" t="s">
        <v>550</v>
      </c>
      <c r="T829" t="s">
        <v>550</v>
      </c>
      <c r="U829" t="s">
        <v>550</v>
      </c>
      <c r="V829" t="s">
        <v>3673</v>
      </c>
      <c r="W829" t="s">
        <v>1021</v>
      </c>
      <c r="X829" t="s">
        <v>74</v>
      </c>
      <c r="Y829" t="s">
        <v>803</v>
      </c>
      <c r="Z829" t="s">
        <v>3671</v>
      </c>
    </row>
    <row r="830" spans="1:26" x14ac:dyDescent="0.3">
      <c r="A830" t="s">
        <v>525</v>
      </c>
      <c r="B830" t="s">
        <v>3674</v>
      </c>
      <c r="C830" t="s">
        <v>3675</v>
      </c>
      <c r="D830" t="s">
        <v>2915</v>
      </c>
      <c r="E830" t="s">
        <v>664</v>
      </c>
      <c r="F830" t="s">
        <v>27</v>
      </c>
      <c r="G830" s="1">
        <v>43102</v>
      </c>
      <c r="H830" s="1">
        <v>43465</v>
      </c>
      <c r="I830" t="s">
        <v>665</v>
      </c>
      <c r="J830" t="s">
        <v>666</v>
      </c>
      <c r="K830" t="s">
        <v>24</v>
      </c>
      <c r="L830" t="s">
        <v>1045</v>
      </c>
      <c r="M830" t="s">
        <v>1030</v>
      </c>
      <c r="N830" t="s">
        <v>255</v>
      </c>
      <c r="O830" t="s">
        <v>1405</v>
      </c>
      <c r="P830" t="s">
        <v>1406</v>
      </c>
      <c r="Q830" t="s">
        <v>2213</v>
      </c>
      <c r="R830" t="s">
        <v>237</v>
      </c>
      <c r="S830" t="s">
        <v>550</v>
      </c>
      <c r="T830" t="s">
        <v>550</v>
      </c>
      <c r="U830" t="s">
        <v>550</v>
      </c>
      <c r="V830" t="s">
        <v>3676</v>
      </c>
      <c r="W830" t="s">
        <v>1021</v>
      </c>
      <c r="X830" t="s">
        <v>74</v>
      </c>
      <c r="Y830" t="s">
        <v>1033</v>
      </c>
      <c r="Z830" t="s">
        <v>3674</v>
      </c>
    </row>
    <row r="831" spans="1:26" x14ac:dyDescent="0.3">
      <c r="A831" t="s">
        <v>525</v>
      </c>
      <c r="B831" t="s">
        <v>3677</v>
      </c>
      <c r="C831" t="s">
        <v>3678</v>
      </c>
      <c r="D831" t="s">
        <v>3674</v>
      </c>
      <c r="E831" t="s">
        <v>3679</v>
      </c>
      <c r="F831" t="s">
        <v>3680</v>
      </c>
      <c r="G831" s="1">
        <v>43102</v>
      </c>
      <c r="H831" s="1">
        <v>43465</v>
      </c>
      <c r="I831" t="s">
        <v>665</v>
      </c>
      <c r="J831" t="s">
        <v>3681</v>
      </c>
      <c r="K831" t="s">
        <v>24</v>
      </c>
      <c r="L831" t="s">
        <v>1045</v>
      </c>
      <c r="M831" t="s">
        <v>1030</v>
      </c>
      <c r="N831" t="s">
        <v>255</v>
      </c>
      <c r="O831" t="s">
        <v>1405</v>
      </c>
      <c r="P831" t="s">
        <v>1406</v>
      </c>
      <c r="Q831" t="s">
        <v>2213</v>
      </c>
      <c r="R831" t="s">
        <v>237</v>
      </c>
      <c r="S831" t="s">
        <v>550</v>
      </c>
      <c r="T831" t="s">
        <v>550</v>
      </c>
      <c r="U831" t="s">
        <v>550</v>
      </c>
      <c r="V831" t="s">
        <v>3682</v>
      </c>
      <c r="W831" t="s">
        <v>1021</v>
      </c>
      <c r="X831" t="s">
        <v>74</v>
      </c>
      <c r="Y831" t="s">
        <v>1033</v>
      </c>
      <c r="Z831" t="s">
        <v>3677</v>
      </c>
    </row>
    <row r="832" spans="1:26" x14ac:dyDescent="0.3">
      <c r="A832" t="s">
        <v>525</v>
      </c>
      <c r="B832" t="s">
        <v>3683</v>
      </c>
      <c r="C832" t="s">
        <v>3684</v>
      </c>
      <c r="D832" t="s">
        <v>3674</v>
      </c>
      <c r="E832" t="s">
        <v>3685</v>
      </c>
      <c r="F832" t="s">
        <v>3686</v>
      </c>
      <c r="G832" s="1">
        <v>43102</v>
      </c>
      <c r="H832" s="1">
        <v>43465</v>
      </c>
      <c r="I832" t="s">
        <v>665</v>
      </c>
      <c r="J832" t="s">
        <v>3687</v>
      </c>
      <c r="K832" t="s">
        <v>24</v>
      </c>
      <c r="L832" t="s">
        <v>1045</v>
      </c>
      <c r="M832" t="s">
        <v>1030</v>
      </c>
      <c r="N832" t="s">
        <v>255</v>
      </c>
      <c r="O832" t="s">
        <v>1405</v>
      </c>
      <c r="P832" t="s">
        <v>1406</v>
      </c>
      <c r="Q832" t="s">
        <v>2213</v>
      </c>
      <c r="R832" t="s">
        <v>237</v>
      </c>
      <c r="S832" t="s">
        <v>550</v>
      </c>
      <c r="T832" t="s">
        <v>550</v>
      </c>
      <c r="U832" t="s">
        <v>550</v>
      </c>
      <c r="V832" t="s">
        <v>3688</v>
      </c>
      <c r="W832" t="s">
        <v>1021</v>
      </c>
      <c r="X832" t="s">
        <v>74</v>
      </c>
      <c r="Y832" t="s">
        <v>1033</v>
      </c>
      <c r="Z832" t="s">
        <v>3683</v>
      </c>
    </row>
    <row r="833" spans="1:26" x14ac:dyDescent="0.3">
      <c r="A833" t="s">
        <v>525</v>
      </c>
      <c r="B833" t="s">
        <v>3689</v>
      </c>
      <c r="C833" t="s">
        <v>3690</v>
      </c>
      <c r="D833" t="s">
        <v>3674</v>
      </c>
      <c r="E833" t="s">
        <v>3691</v>
      </c>
      <c r="F833" t="s">
        <v>3692</v>
      </c>
      <c r="G833" s="1">
        <v>43102</v>
      </c>
      <c r="H833" s="1">
        <v>43465</v>
      </c>
      <c r="I833" t="s">
        <v>665</v>
      </c>
      <c r="J833" t="s">
        <v>3693</v>
      </c>
      <c r="K833" t="s">
        <v>24</v>
      </c>
      <c r="L833" t="s">
        <v>1045</v>
      </c>
      <c r="M833" t="s">
        <v>1030</v>
      </c>
      <c r="N833" t="s">
        <v>255</v>
      </c>
      <c r="O833" t="s">
        <v>1405</v>
      </c>
      <c r="P833" t="s">
        <v>1406</v>
      </c>
      <c r="Q833" t="s">
        <v>2213</v>
      </c>
      <c r="R833" t="s">
        <v>237</v>
      </c>
      <c r="S833" t="s">
        <v>550</v>
      </c>
      <c r="T833" t="s">
        <v>550</v>
      </c>
      <c r="U833" t="s">
        <v>550</v>
      </c>
      <c r="V833" t="s">
        <v>3694</v>
      </c>
      <c r="W833" t="s">
        <v>1021</v>
      </c>
      <c r="X833" t="s">
        <v>74</v>
      </c>
      <c r="Y833" t="s">
        <v>1033</v>
      </c>
      <c r="Z833" t="s">
        <v>3689</v>
      </c>
    </row>
    <row r="834" spans="1:26" x14ac:dyDescent="0.3">
      <c r="A834" t="s">
        <v>525</v>
      </c>
      <c r="B834" t="s">
        <v>3695</v>
      </c>
      <c r="C834" t="s">
        <v>3696</v>
      </c>
      <c r="D834" t="s">
        <v>3674</v>
      </c>
      <c r="E834" t="s">
        <v>664</v>
      </c>
      <c r="F834" t="s">
        <v>27</v>
      </c>
      <c r="G834" s="1">
        <v>43102</v>
      </c>
      <c r="H834" s="1">
        <v>43465</v>
      </c>
      <c r="I834" t="s">
        <v>665</v>
      </c>
      <c r="J834" t="s">
        <v>666</v>
      </c>
      <c r="K834" t="s">
        <v>24</v>
      </c>
      <c r="L834" t="s">
        <v>1045</v>
      </c>
      <c r="M834" t="s">
        <v>1030</v>
      </c>
      <c r="N834" t="s">
        <v>255</v>
      </c>
      <c r="O834" t="s">
        <v>1405</v>
      </c>
      <c r="P834" t="s">
        <v>1406</v>
      </c>
      <c r="Q834" t="s">
        <v>2213</v>
      </c>
      <c r="R834" t="s">
        <v>237</v>
      </c>
      <c r="S834" t="s">
        <v>550</v>
      </c>
      <c r="T834" t="s">
        <v>550</v>
      </c>
      <c r="U834" t="s">
        <v>550</v>
      </c>
      <c r="V834" t="s">
        <v>3697</v>
      </c>
      <c r="W834" t="s">
        <v>1021</v>
      </c>
      <c r="X834" t="s">
        <v>74</v>
      </c>
      <c r="Y834" t="s">
        <v>1033</v>
      </c>
      <c r="Z834" t="s">
        <v>3695</v>
      </c>
    </row>
    <row r="835" spans="1:26" x14ac:dyDescent="0.3">
      <c r="A835" t="s">
        <v>525</v>
      </c>
      <c r="B835" t="s">
        <v>3698</v>
      </c>
      <c r="C835" t="s">
        <v>3699</v>
      </c>
      <c r="D835" t="s">
        <v>3674</v>
      </c>
      <c r="E835" t="s">
        <v>3700</v>
      </c>
      <c r="F835" t="s">
        <v>3701</v>
      </c>
      <c r="G835" s="1">
        <v>43102</v>
      </c>
      <c r="H835" s="1">
        <v>43465</v>
      </c>
      <c r="I835" t="s">
        <v>665</v>
      </c>
      <c r="J835" t="s">
        <v>3702</v>
      </c>
      <c r="K835" t="s">
        <v>24</v>
      </c>
      <c r="L835" t="s">
        <v>1045</v>
      </c>
      <c r="M835" t="s">
        <v>1030</v>
      </c>
      <c r="N835" t="s">
        <v>255</v>
      </c>
      <c r="O835" t="s">
        <v>1405</v>
      </c>
      <c r="P835" t="s">
        <v>1406</v>
      </c>
      <c r="Q835" t="s">
        <v>2213</v>
      </c>
      <c r="R835" t="s">
        <v>237</v>
      </c>
      <c r="S835" t="s">
        <v>550</v>
      </c>
      <c r="T835" t="s">
        <v>550</v>
      </c>
      <c r="U835" t="s">
        <v>550</v>
      </c>
      <c r="V835" t="s">
        <v>3703</v>
      </c>
      <c r="W835" t="s">
        <v>1021</v>
      </c>
      <c r="X835" t="s">
        <v>74</v>
      </c>
      <c r="Y835" t="s">
        <v>1033</v>
      </c>
      <c r="Z835" t="s">
        <v>3698</v>
      </c>
    </row>
    <row r="836" spans="1:26" x14ac:dyDescent="0.3">
      <c r="A836" t="s">
        <v>525</v>
      </c>
      <c r="B836" t="s">
        <v>3704</v>
      </c>
      <c r="C836" t="s">
        <v>3705</v>
      </c>
      <c r="D836" t="s">
        <v>3674</v>
      </c>
      <c r="E836" t="s">
        <v>3706</v>
      </c>
      <c r="F836" t="s">
        <v>3707</v>
      </c>
      <c r="G836" s="1">
        <v>43102</v>
      </c>
      <c r="H836" s="1">
        <v>43465</v>
      </c>
      <c r="I836" t="s">
        <v>665</v>
      </c>
      <c r="J836" t="s">
        <v>3708</v>
      </c>
      <c r="K836" t="s">
        <v>24</v>
      </c>
      <c r="L836" t="s">
        <v>1045</v>
      </c>
      <c r="M836" t="s">
        <v>1030</v>
      </c>
      <c r="N836" t="s">
        <v>255</v>
      </c>
      <c r="O836" t="s">
        <v>1405</v>
      </c>
      <c r="P836" t="s">
        <v>1406</v>
      </c>
      <c r="Q836" t="s">
        <v>2213</v>
      </c>
      <c r="R836" t="s">
        <v>237</v>
      </c>
      <c r="S836" t="s">
        <v>550</v>
      </c>
      <c r="T836" t="s">
        <v>550</v>
      </c>
      <c r="U836" t="s">
        <v>550</v>
      </c>
      <c r="V836" t="s">
        <v>3709</v>
      </c>
      <c r="W836" t="s">
        <v>1021</v>
      </c>
      <c r="X836" t="s">
        <v>74</v>
      </c>
      <c r="Y836" t="s">
        <v>1033</v>
      </c>
      <c r="Z836" t="s">
        <v>3704</v>
      </c>
    </row>
    <row r="837" spans="1:26" x14ac:dyDescent="0.3">
      <c r="A837" t="s">
        <v>525</v>
      </c>
      <c r="B837" t="s">
        <v>3710</v>
      </c>
      <c r="C837" t="s">
        <v>3711</v>
      </c>
      <c r="D837" t="s">
        <v>3674</v>
      </c>
      <c r="E837" t="s">
        <v>3712</v>
      </c>
      <c r="F837" t="s">
        <v>3713</v>
      </c>
      <c r="G837" s="1">
        <v>43102</v>
      </c>
      <c r="H837" s="1">
        <v>43465</v>
      </c>
      <c r="I837" t="s">
        <v>665</v>
      </c>
      <c r="J837" t="s">
        <v>3714</v>
      </c>
      <c r="K837" t="s">
        <v>24</v>
      </c>
      <c r="L837" t="s">
        <v>1045</v>
      </c>
      <c r="M837" t="s">
        <v>1030</v>
      </c>
      <c r="N837" t="s">
        <v>255</v>
      </c>
      <c r="O837" t="s">
        <v>1405</v>
      </c>
      <c r="P837" t="s">
        <v>1406</v>
      </c>
      <c r="Q837" t="s">
        <v>2213</v>
      </c>
      <c r="R837" t="s">
        <v>237</v>
      </c>
      <c r="S837" t="s">
        <v>550</v>
      </c>
      <c r="T837" t="s">
        <v>550</v>
      </c>
      <c r="U837" t="s">
        <v>550</v>
      </c>
      <c r="V837" t="s">
        <v>3715</v>
      </c>
      <c r="W837" t="s">
        <v>1021</v>
      </c>
      <c r="X837" t="s">
        <v>74</v>
      </c>
      <c r="Y837" t="s">
        <v>1033</v>
      </c>
      <c r="Z837" t="s">
        <v>3710</v>
      </c>
    </row>
    <row r="838" spans="1:26" x14ac:dyDescent="0.3">
      <c r="A838" t="s">
        <v>525</v>
      </c>
      <c r="B838" t="s">
        <v>3716</v>
      </c>
      <c r="C838" t="s">
        <v>3717</v>
      </c>
      <c r="D838" t="s">
        <v>3674</v>
      </c>
      <c r="E838" t="s">
        <v>3718</v>
      </c>
      <c r="F838" t="s">
        <v>3719</v>
      </c>
      <c r="G838" s="1">
        <v>43102</v>
      </c>
      <c r="H838" s="1">
        <v>43465</v>
      </c>
      <c r="I838" t="s">
        <v>665</v>
      </c>
      <c r="J838" t="s">
        <v>3720</v>
      </c>
      <c r="K838" t="s">
        <v>24</v>
      </c>
      <c r="L838" t="s">
        <v>1045</v>
      </c>
      <c r="M838" t="s">
        <v>1030</v>
      </c>
      <c r="N838" t="s">
        <v>255</v>
      </c>
      <c r="O838" t="s">
        <v>1405</v>
      </c>
      <c r="P838" t="s">
        <v>1406</v>
      </c>
      <c r="Q838" t="s">
        <v>2213</v>
      </c>
      <c r="R838" t="s">
        <v>237</v>
      </c>
      <c r="S838" t="s">
        <v>550</v>
      </c>
      <c r="T838" t="s">
        <v>550</v>
      </c>
      <c r="U838" t="s">
        <v>550</v>
      </c>
      <c r="V838" t="s">
        <v>3721</v>
      </c>
      <c r="W838" t="s">
        <v>1021</v>
      </c>
      <c r="X838" t="s">
        <v>74</v>
      </c>
      <c r="Y838" t="s">
        <v>1033</v>
      </c>
      <c r="Z838" t="s">
        <v>3716</v>
      </c>
    </row>
    <row r="839" spans="1:26" x14ac:dyDescent="0.3">
      <c r="A839" t="s">
        <v>525</v>
      </c>
      <c r="B839" t="s">
        <v>3722</v>
      </c>
      <c r="C839" t="s">
        <v>3723</v>
      </c>
      <c r="D839" t="s">
        <v>3674</v>
      </c>
      <c r="E839" t="s">
        <v>3724</v>
      </c>
      <c r="F839" t="s">
        <v>3725</v>
      </c>
      <c r="G839" s="1">
        <v>43102</v>
      </c>
      <c r="H839" s="1">
        <v>43465</v>
      </c>
      <c r="I839" t="s">
        <v>665</v>
      </c>
      <c r="J839" t="s">
        <v>3726</v>
      </c>
      <c r="K839" t="s">
        <v>24</v>
      </c>
      <c r="L839" t="s">
        <v>1045</v>
      </c>
      <c r="M839" t="s">
        <v>1030</v>
      </c>
      <c r="N839" t="s">
        <v>255</v>
      </c>
      <c r="O839" t="s">
        <v>1405</v>
      </c>
      <c r="P839" t="s">
        <v>1406</v>
      </c>
      <c r="Q839" t="s">
        <v>2213</v>
      </c>
      <c r="R839" t="s">
        <v>237</v>
      </c>
      <c r="S839" t="s">
        <v>550</v>
      </c>
      <c r="T839" t="s">
        <v>550</v>
      </c>
      <c r="U839" t="s">
        <v>550</v>
      </c>
      <c r="V839" t="s">
        <v>3727</v>
      </c>
      <c r="W839" t="s">
        <v>1021</v>
      </c>
      <c r="X839" t="s">
        <v>74</v>
      </c>
      <c r="Y839" t="s">
        <v>1033</v>
      </c>
      <c r="Z839" t="s">
        <v>3722</v>
      </c>
    </row>
    <row r="840" spans="1:26" x14ac:dyDescent="0.3">
      <c r="A840" t="s">
        <v>525</v>
      </c>
      <c r="B840" t="s">
        <v>3728</v>
      </c>
      <c r="C840" t="s">
        <v>3729</v>
      </c>
      <c r="D840" t="s">
        <v>3674</v>
      </c>
      <c r="E840" t="s">
        <v>3730</v>
      </c>
      <c r="F840" t="s">
        <v>3731</v>
      </c>
      <c r="G840" s="1">
        <v>43102</v>
      </c>
      <c r="H840" s="1">
        <v>43465</v>
      </c>
      <c r="I840" t="s">
        <v>665</v>
      </c>
      <c r="J840" t="s">
        <v>3732</v>
      </c>
      <c r="K840" t="s">
        <v>24</v>
      </c>
      <c r="L840" t="s">
        <v>1045</v>
      </c>
      <c r="M840" t="s">
        <v>1030</v>
      </c>
      <c r="N840" t="s">
        <v>255</v>
      </c>
      <c r="O840" t="s">
        <v>1405</v>
      </c>
      <c r="P840" t="s">
        <v>1406</v>
      </c>
      <c r="Q840" t="s">
        <v>2213</v>
      </c>
      <c r="R840" t="s">
        <v>237</v>
      </c>
      <c r="S840" t="s">
        <v>550</v>
      </c>
      <c r="T840" t="s">
        <v>550</v>
      </c>
      <c r="U840" t="s">
        <v>550</v>
      </c>
      <c r="V840" t="s">
        <v>3733</v>
      </c>
      <c r="W840" t="s">
        <v>1021</v>
      </c>
      <c r="X840" t="s">
        <v>74</v>
      </c>
      <c r="Y840" t="s">
        <v>1033</v>
      </c>
      <c r="Z840" t="s">
        <v>3728</v>
      </c>
    </row>
    <row r="841" spans="1:26" x14ac:dyDescent="0.3">
      <c r="A841" t="s">
        <v>525</v>
      </c>
      <c r="B841" t="s">
        <v>3734</v>
      </c>
      <c r="C841" t="s">
        <v>3735</v>
      </c>
      <c r="D841" t="s">
        <v>2950</v>
      </c>
      <c r="E841" t="s">
        <v>664</v>
      </c>
      <c r="F841" t="s">
        <v>27</v>
      </c>
      <c r="G841" s="1">
        <v>43102</v>
      </c>
      <c r="H841" s="1">
        <v>43465</v>
      </c>
      <c r="I841" t="s">
        <v>665</v>
      </c>
      <c r="J841" t="s">
        <v>666</v>
      </c>
      <c r="K841" t="s">
        <v>24</v>
      </c>
      <c r="L841" t="s">
        <v>1045</v>
      </c>
      <c r="M841" t="s">
        <v>1030</v>
      </c>
      <c r="N841" t="s">
        <v>255</v>
      </c>
      <c r="O841" t="s">
        <v>1405</v>
      </c>
      <c r="P841" t="s">
        <v>1406</v>
      </c>
      <c r="Q841" t="s">
        <v>2213</v>
      </c>
      <c r="R841" t="s">
        <v>237</v>
      </c>
      <c r="S841" t="s">
        <v>550</v>
      </c>
      <c r="T841" t="s">
        <v>550</v>
      </c>
      <c r="U841" t="s">
        <v>550</v>
      </c>
      <c r="V841" t="s">
        <v>3736</v>
      </c>
      <c r="W841" t="s">
        <v>1021</v>
      </c>
      <c r="X841" t="s">
        <v>74</v>
      </c>
      <c r="Y841" t="s">
        <v>1033</v>
      </c>
      <c r="Z841" t="s">
        <v>3734</v>
      </c>
    </row>
    <row r="842" spans="1:26" x14ac:dyDescent="0.3">
      <c r="A842" t="s">
        <v>525</v>
      </c>
      <c r="B842" t="s">
        <v>3737</v>
      </c>
      <c r="C842" t="s">
        <v>3738</v>
      </c>
      <c r="D842" t="s">
        <v>3734</v>
      </c>
      <c r="E842" t="s">
        <v>3739</v>
      </c>
      <c r="F842" t="s">
        <v>3740</v>
      </c>
      <c r="G842" s="1">
        <v>43102</v>
      </c>
      <c r="H842" s="1">
        <v>43465</v>
      </c>
      <c r="I842" t="s">
        <v>665</v>
      </c>
      <c r="J842" t="s">
        <v>3741</v>
      </c>
      <c r="K842" t="s">
        <v>24</v>
      </c>
      <c r="L842" t="s">
        <v>1045</v>
      </c>
      <c r="M842" t="s">
        <v>1030</v>
      </c>
      <c r="N842" t="s">
        <v>255</v>
      </c>
      <c r="O842" t="s">
        <v>1405</v>
      </c>
      <c r="P842" t="s">
        <v>1406</v>
      </c>
      <c r="Q842" t="s">
        <v>2213</v>
      </c>
      <c r="R842" t="s">
        <v>237</v>
      </c>
      <c r="S842" t="s">
        <v>550</v>
      </c>
      <c r="T842" t="s">
        <v>550</v>
      </c>
      <c r="U842" t="s">
        <v>550</v>
      </c>
      <c r="V842" t="s">
        <v>3742</v>
      </c>
      <c r="W842" t="s">
        <v>1021</v>
      </c>
      <c r="X842" t="s">
        <v>74</v>
      </c>
      <c r="Y842" t="s">
        <v>1033</v>
      </c>
      <c r="Z842" t="s">
        <v>3737</v>
      </c>
    </row>
    <row r="843" spans="1:26" x14ac:dyDescent="0.3">
      <c r="A843" t="s">
        <v>525</v>
      </c>
      <c r="B843" t="s">
        <v>3743</v>
      </c>
      <c r="C843" t="s">
        <v>3744</v>
      </c>
      <c r="D843" t="s">
        <v>3734</v>
      </c>
      <c r="E843" t="s">
        <v>664</v>
      </c>
      <c r="F843" t="s">
        <v>27</v>
      </c>
      <c r="G843" s="1">
        <v>43102</v>
      </c>
      <c r="H843" s="1">
        <v>43465</v>
      </c>
      <c r="I843" t="s">
        <v>665</v>
      </c>
      <c r="J843" t="s">
        <v>666</v>
      </c>
      <c r="K843" t="s">
        <v>24</v>
      </c>
      <c r="L843" t="s">
        <v>1045</v>
      </c>
      <c r="M843" t="s">
        <v>1030</v>
      </c>
      <c r="N843" t="s">
        <v>255</v>
      </c>
      <c r="O843" t="s">
        <v>1405</v>
      </c>
      <c r="P843" t="s">
        <v>1406</v>
      </c>
      <c r="Q843" t="s">
        <v>2213</v>
      </c>
      <c r="R843" t="s">
        <v>237</v>
      </c>
      <c r="S843" t="s">
        <v>550</v>
      </c>
      <c r="T843" t="s">
        <v>550</v>
      </c>
      <c r="U843" t="s">
        <v>550</v>
      </c>
      <c r="V843" t="s">
        <v>3745</v>
      </c>
      <c r="W843" t="s">
        <v>1021</v>
      </c>
      <c r="X843" t="s">
        <v>74</v>
      </c>
      <c r="Y843" t="s">
        <v>1033</v>
      </c>
      <c r="Z843" t="s">
        <v>3743</v>
      </c>
    </row>
    <row r="844" spans="1:26" x14ac:dyDescent="0.3">
      <c r="A844" t="s">
        <v>525</v>
      </c>
      <c r="B844" t="s">
        <v>3746</v>
      </c>
      <c r="C844" t="s">
        <v>3747</v>
      </c>
      <c r="D844" t="s">
        <v>3734</v>
      </c>
      <c r="E844" t="s">
        <v>3748</v>
      </c>
      <c r="F844" t="s">
        <v>3749</v>
      </c>
      <c r="G844" s="1">
        <v>43102</v>
      </c>
      <c r="H844" s="1">
        <v>43465</v>
      </c>
      <c r="I844" t="s">
        <v>665</v>
      </c>
      <c r="J844" t="s">
        <v>3750</v>
      </c>
      <c r="K844" t="s">
        <v>24</v>
      </c>
      <c r="L844" t="s">
        <v>1045</v>
      </c>
      <c r="M844" t="s">
        <v>1030</v>
      </c>
      <c r="N844" t="s">
        <v>255</v>
      </c>
      <c r="O844" t="s">
        <v>1405</v>
      </c>
      <c r="P844" t="s">
        <v>1406</v>
      </c>
      <c r="Q844" t="s">
        <v>2213</v>
      </c>
      <c r="R844" t="s">
        <v>237</v>
      </c>
      <c r="S844" t="s">
        <v>550</v>
      </c>
      <c r="T844" t="s">
        <v>550</v>
      </c>
      <c r="U844" t="s">
        <v>550</v>
      </c>
      <c r="V844" t="s">
        <v>3751</v>
      </c>
      <c r="W844" t="s">
        <v>1021</v>
      </c>
      <c r="X844" t="s">
        <v>74</v>
      </c>
      <c r="Y844" t="s">
        <v>1033</v>
      </c>
      <c r="Z844" t="s">
        <v>3746</v>
      </c>
    </row>
    <row r="845" spans="1:26" x14ac:dyDescent="0.3">
      <c r="A845" t="s">
        <v>525</v>
      </c>
      <c r="B845" t="s">
        <v>3752</v>
      </c>
      <c r="C845" t="s">
        <v>3753</v>
      </c>
      <c r="D845" t="s">
        <v>3734</v>
      </c>
      <c r="E845" t="s">
        <v>3754</v>
      </c>
      <c r="F845" t="s">
        <v>3755</v>
      </c>
      <c r="G845" s="1">
        <v>43102</v>
      </c>
      <c r="H845" s="1">
        <v>43465</v>
      </c>
      <c r="I845" t="s">
        <v>665</v>
      </c>
      <c r="J845" t="s">
        <v>3756</v>
      </c>
      <c r="K845" t="s">
        <v>24</v>
      </c>
      <c r="L845" t="s">
        <v>1045</v>
      </c>
      <c r="M845" t="s">
        <v>1030</v>
      </c>
      <c r="N845" t="s">
        <v>255</v>
      </c>
      <c r="O845" t="s">
        <v>1405</v>
      </c>
      <c r="P845" t="s">
        <v>1406</v>
      </c>
      <c r="Q845" t="s">
        <v>2213</v>
      </c>
      <c r="R845" t="s">
        <v>237</v>
      </c>
      <c r="S845" t="s">
        <v>550</v>
      </c>
      <c r="T845" t="s">
        <v>550</v>
      </c>
      <c r="U845" t="s">
        <v>550</v>
      </c>
      <c r="V845" t="s">
        <v>3757</v>
      </c>
      <c r="W845" t="s">
        <v>1021</v>
      </c>
      <c r="X845" t="s">
        <v>74</v>
      </c>
      <c r="Y845" t="s">
        <v>1033</v>
      </c>
      <c r="Z845" t="s">
        <v>3752</v>
      </c>
    </row>
    <row r="846" spans="1:26" x14ac:dyDescent="0.3">
      <c r="A846" t="s">
        <v>525</v>
      </c>
      <c r="B846" t="s">
        <v>3758</v>
      </c>
      <c r="C846" t="s">
        <v>3759</v>
      </c>
      <c r="D846" t="s">
        <v>3734</v>
      </c>
      <c r="E846" t="s">
        <v>3760</v>
      </c>
      <c r="F846" t="s">
        <v>3761</v>
      </c>
      <c r="G846" s="1">
        <v>43102</v>
      </c>
      <c r="H846" s="1">
        <v>43465</v>
      </c>
      <c r="I846" t="s">
        <v>665</v>
      </c>
      <c r="J846" t="s">
        <v>3762</v>
      </c>
      <c r="K846" t="s">
        <v>24</v>
      </c>
      <c r="L846" t="s">
        <v>1045</v>
      </c>
      <c r="M846" t="s">
        <v>1030</v>
      </c>
      <c r="N846" t="s">
        <v>255</v>
      </c>
      <c r="O846" t="s">
        <v>1405</v>
      </c>
      <c r="P846" t="s">
        <v>1406</v>
      </c>
      <c r="Q846" t="s">
        <v>2213</v>
      </c>
      <c r="R846" t="s">
        <v>237</v>
      </c>
      <c r="S846" t="s">
        <v>550</v>
      </c>
      <c r="T846" t="s">
        <v>550</v>
      </c>
      <c r="U846" t="s">
        <v>550</v>
      </c>
      <c r="V846" t="s">
        <v>3763</v>
      </c>
      <c r="W846" t="s">
        <v>1021</v>
      </c>
      <c r="X846" t="s">
        <v>74</v>
      </c>
      <c r="Y846" t="s">
        <v>1033</v>
      </c>
      <c r="Z846" t="s">
        <v>3758</v>
      </c>
    </row>
    <row r="847" spans="1:26" x14ac:dyDescent="0.3">
      <c r="A847" t="s">
        <v>525</v>
      </c>
      <c r="B847" t="s">
        <v>3764</v>
      </c>
      <c r="C847" t="s">
        <v>3765</v>
      </c>
      <c r="D847" t="s">
        <v>3734</v>
      </c>
      <c r="E847" t="s">
        <v>3766</v>
      </c>
      <c r="F847" t="s">
        <v>3767</v>
      </c>
      <c r="G847" s="1">
        <v>43102</v>
      </c>
      <c r="H847" s="1">
        <v>43465</v>
      </c>
      <c r="I847" t="s">
        <v>665</v>
      </c>
      <c r="J847" t="s">
        <v>3768</v>
      </c>
      <c r="K847" t="s">
        <v>24</v>
      </c>
      <c r="L847" t="s">
        <v>1045</v>
      </c>
      <c r="M847" t="s">
        <v>1030</v>
      </c>
      <c r="N847" t="s">
        <v>255</v>
      </c>
      <c r="O847" t="s">
        <v>1405</v>
      </c>
      <c r="P847" t="s">
        <v>1406</v>
      </c>
      <c r="Q847" t="s">
        <v>2213</v>
      </c>
      <c r="R847" t="s">
        <v>237</v>
      </c>
      <c r="S847" t="s">
        <v>550</v>
      </c>
      <c r="T847" t="s">
        <v>550</v>
      </c>
      <c r="U847" t="s">
        <v>550</v>
      </c>
      <c r="V847" t="s">
        <v>3769</v>
      </c>
      <c r="W847" t="s">
        <v>1021</v>
      </c>
      <c r="X847" t="s">
        <v>74</v>
      </c>
      <c r="Y847" t="s">
        <v>1033</v>
      </c>
      <c r="Z847" t="s">
        <v>3764</v>
      </c>
    </row>
    <row r="848" spans="1:26" x14ac:dyDescent="0.3">
      <c r="A848" t="s">
        <v>525</v>
      </c>
      <c r="B848" t="s">
        <v>3770</v>
      </c>
      <c r="C848" t="s">
        <v>3771</v>
      </c>
      <c r="D848" t="s">
        <v>3734</v>
      </c>
      <c r="E848" t="s">
        <v>3772</v>
      </c>
      <c r="F848" t="s">
        <v>3773</v>
      </c>
      <c r="G848" s="1">
        <v>43102</v>
      </c>
      <c r="H848" s="1">
        <v>43465</v>
      </c>
      <c r="I848" t="s">
        <v>665</v>
      </c>
      <c r="J848" t="s">
        <v>3774</v>
      </c>
      <c r="K848" t="s">
        <v>24</v>
      </c>
      <c r="L848" t="s">
        <v>1045</v>
      </c>
      <c r="M848" t="s">
        <v>1030</v>
      </c>
      <c r="N848" t="s">
        <v>255</v>
      </c>
      <c r="O848" t="s">
        <v>1405</v>
      </c>
      <c r="P848" t="s">
        <v>1406</v>
      </c>
      <c r="Q848" t="s">
        <v>2213</v>
      </c>
      <c r="R848" t="s">
        <v>237</v>
      </c>
      <c r="S848" t="s">
        <v>550</v>
      </c>
      <c r="T848" t="s">
        <v>550</v>
      </c>
      <c r="U848" t="s">
        <v>550</v>
      </c>
      <c r="V848" t="s">
        <v>3775</v>
      </c>
      <c r="W848" t="s">
        <v>1021</v>
      </c>
      <c r="X848" t="s">
        <v>74</v>
      </c>
      <c r="Y848" t="s">
        <v>1033</v>
      </c>
      <c r="Z848" t="s">
        <v>3770</v>
      </c>
    </row>
    <row r="849" spans="1:26" x14ac:dyDescent="0.3">
      <c r="A849" t="s">
        <v>525</v>
      </c>
      <c r="B849" t="s">
        <v>3776</v>
      </c>
      <c r="C849" t="s">
        <v>3777</v>
      </c>
      <c r="D849" t="s">
        <v>3734</v>
      </c>
      <c r="E849" t="s">
        <v>3778</v>
      </c>
      <c r="F849" t="s">
        <v>3779</v>
      </c>
      <c r="G849" s="1">
        <v>43102</v>
      </c>
      <c r="H849" s="1">
        <v>43465</v>
      </c>
      <c r="I849" t="s">
        <v>665</v>
      </c>
      <c r="J849" t="s">
        <v>3780</v>
      </c>
      <c r="K849" t="s">
        <v>24</v>
      </c>
      <c r="L849" t="s">
        <v>1045</v>
      </c>
      <c r="M849" t="s">
        <v>1030</v>
      </c>
      <c r="N849" t="s">
        <v>255</v>
      </c>
      <c r="O849" t="s">
        <v>1405</v>
      </c>
      <c r="P849" t="s">
        <v>1406</v>
      </c>
      <c r="Q849" t="s">
        <v>2213</v>
      </c>
      <c r="R849" t="s">
        <v>237</v>
      </c>
      <c r="S849" t="s">
        <v>550</v>
      </c>
      <c r="T849" t="s">
        <v>550</v>
      </c>
      <c r="U849" t="s">
        <v>550</v>
      </c>
      <c r="V849" t="s">
        <v>3781</v>
      </c>
      <c r="W849" t="s">
        <v>1021</v>
      </c>
      <c r="X849" t="s">
        <v>74</v>
      </c>
      <c r="Y849" t="s">
        <v>1033</v>
      </c>
      <c r="Z849" t="s">
        <v>3776</v>
      </c>
    </row>
    <row r="850" spans="1:26" x14ac:dyDescent="0.3">
      <c r="A850" t="s">
        <v>525</v>
      </c>
      <c r="B850" t="s">
        <v>3782</v>
      </c>
      <c r="C850" t="s">
        <v>3783</v>
      </c>
      <c r="D850" t="s">
        <v>3734</v>
      </c>
      <c r="E850" t="s">
        <v>3784</v>
      </c>
      <c r="F850" t="s">
        <v>3785</v>
      </c>
      <c r="G850" s="1">
        <v>43102</v>
      </c>
      <c r="H850" s="1">
        <v>43465</v>
      </c>
      <c r="I850" t="s">
        <v>665</v>
      </c>
      <c r="J850" t="s">
        <v>3786</v>
      </c>
      <c r="K850" t="s">
        <v>24</v>
      </c>
      <c r="L850" t="s">
        <v>1045</v>
      </c>
      <c r="M850" t="s">
        <v>1030</v>
      </c>
      <c r="N850" t="s">
        <v>255</v>
      </c>
      <c r="O850" t="s">
        <v>1405</v>
      </c>
      <c r="P850" t="s">
        <v>1406</v>
      </c>
      <c r="Q850" t="s">
        <v>2213</v>
      </c>
      <c r="R850" t="s">
        <v>237</v>
      </c>
      <c r="S850" t="s">
        <v>550</v>
      </c>
      <c r="T850" t="s">
        <v>550</v>
      </c>
      <c r="U850" t="s">
        <v>550</v>
      </c>
      <c r="V850" t="s">
        <v>3787</v>
      </c>
      <c r="W850" t="s">
        <v>1021</v>
      </c>
      <c r="X850" t="s">
        <v>74</v>
      </c>
      <c r="Y850" t="s">
        <v>1033</v>
      </c>
      <c r="Z850" t="s">
        <v>3782</v>
      </c>
    </row>
    <row r="851" spans="1:26" x14ac:dyDescent="0.3">
      <c r="A851" t="s">
        <v>525</v>
      </c>
      <c r="B851" t="s">
        <v>3788</v>
      </c>
      <c r="C851" t="s">
        <v>3789</v>
      </c>
      <c r="D851" t="s">
        <v>3734</v>
      </c>
      <c r="E851" t="s">
        <v>3790</v>
      </c>
      <c r="F851" t="s">
        <v>3791</v>
      </c>
      <c r="G851" s="1">
        <v>43102</v>
      </c>
      <c r="H851" s="1">
        <v>43465</v>
      </c>
      <c r="I851" t="s">
        <v>665</v>
      </c>
      <c r="J851" t="s">
        <v>3792</v>
      </c>
      <c r="K851" t="s">
        <v>24</v>
      </c>
      <c r="L851" t="s">
        <v>1045</v>
      </c>
      <c r="M851" t="s">
        <v>1030</v>
      </c>
      <c r="N851" t="s">
        <v>255</v>
      </c>
      <c r="O851" t="s">
        <v>1405</v>
      </c>
      <c r="P851" t="s">
        <v>1406</v>
      </c>
      <c r="Q851" t="s">
        <v>2213</v>
      </c>
      <c r="R851" t="s">
        <v>237</v>
      </c>
      <c r="S851" t="s">
        <v>550</v>
      </c>
      <c r="T851" t="s">
        <v>550</v>
      </c>
      <c r="U851" t="s">
        <v>550</v>
      </c>
      <c r="V851" t="s">
        <v>3793</v>
      </c>
      <c r="W851" t="s">
        <v>1021</v>
      </c>
      <c r="X851" t="s">
        <v>74</v>
      </c>
      <c r="Y851" t="s">
        <v>1033</v>
      </c>
      <c r="Z851" t="s">
        <v>3788</v>
      </c>
    </row>
    <row r="852" spans="1:26" x14ac:dyDescent="0.3">
      <c r="A852" t="s">
        <v>525</v>
      </c>
      <c r="B852" t="s">
        <v>3794</v>
      </c>
      <c r="C852" t="s">
        <v>3795</v>
      </c>
      <c r="D852" t="s">
        <v>3734</v>
      </c>
      <c r="E852" t="s">
        <v>3796</v>
      </c>
      <c r="F852" t="s">
        <v>3797</v>
      </c>
      <c r="G852" s="1">
        <v>43102</v>
      </c>
      <c r="H852" s="1">
        <v>43465</v>
      </c>
      <c r="I852" t="s">
        <v>665</v>
      </c>
      <c r="J852" t="s">
        <v>3798</v>
      </c>
      <c r="K852" t="s">
        <v>24</v>
      </c>
      <c r="L852" t="s">
        <v>1045</v>
      </c>
      <c r="M852" t="s">
        <v>1030</v>
      </c>
      <c r="N852" t="s">
        <v>255</v>
      </c>
      <c r="O852" t="s">
        <v>1405</v>
      </c>
      <c r="P852" t="s">
        <v>1406</v>
      </c>
      <c r="Q852" t="s">
        <v>2213</v>
      </c>
      <c r="R852" t="s">
        <v>237</v>
      </c>
      <c r="S852" t="s">
        <v>550</v>
      </c>
      <c r="T852" t="s">
        <v>550</v>
      </c>
      <c r="U852" t="s">
        <v>550</v>
      </c>
      <c r="V852" t="s">
        <v>3799</v>
      </c>
      <c r="W852" t="s">
        <v>1021</v>
      </c>
      <c r="X852" t="s">
        <v>74</v>
      </c>
      <c r="Y852" t="s">
        <v>1033</v>
      </c>
      <c r="Z852" t="s">
        <v>3794</v>
      </c>
    </row>
    <row r="853" spans="1:26" x14ac:dyDescent="0.3">
      <c r="A853" t="s">
        <v>525</v>
      </c>
      <c r="B853" t="s">
        <v>3800</v>
      </c>
      <c r="C853" t="s">
        <v>3801</v>
      </c>
      <c r="D853" t="s">
        <v>3734</v>
      </c>
      <c r="E853" t="s">
        <v>3802</v>
      </c>
      <c r="F853" t="s">
        <v>3803</v>
      </c>
      <c r="G853" s="1">
        <v>43102</v>
      </c>
      <c r="H853" s="1">
        <v>43465</v>
      </c>
      <c r="I853" t="s">
        <v>665</v>
      </c>
      <c r="J853" t="s">
        <v>3804</v>
      </c>
      <c r="K853" t="s">
        <v>24</v>
      </c>
      <c r="L853" t="s">
        <v>1045</v>
      </c>
      <c r="M853" t="s">
        <v>1030</v>
      </c>
      <c r="N853" t="s">
        <v>255</v>
      </c>
      <c r="O853" t="s">
        <v>1405</v>
      </c>
      <c r="P853" t="s">
        <v>1406</v>
      </c>
      <c r="Q853" t="s">
        <v>2213</v>
      </c>
      <c r="R853" t="s">
        <v>237</v>
      </c>
      <c r="S853" t="s">
        <v>550</v>
      </c>
      <c r="T853" t="s">
        <v>550</v>
      </c>
      <c r="U853" t="s">
        <v>550</v>
      </c>
      <c r="V853" t="s">
        <v>3805</v>
      </c>
      <c r="W853" t="s">
        <v>1021</v>
      </c>
      <c r="X853" t="s">
        <v>74</v>
      </c>
      <c r="Y853" t="s">
        <v>1033</v>
      </c>
      <c r="Z853" t="s">
        <v>3800</v>
      </c>
    </row>
    <row r="854" spans="1:26" x14ac:dyDescent="0.3">
      <c r="A854" t="s">
        <v>525</v>
      </c>
      <c r="B854" t="s">
        <v>3806</v>
      </c>
      <c r="C854" t="s">
        <v>3807</v>
      </c>
      <c r="D854" t="s">
        <v>550</v>
      </c>
      <c r="E854" t="s">
        <v>664</v>
      </c>
      <c r="F854" t="s">
        <v>27</v>
      </c>
      <c r="G854" s="1">
        <v>43831</v>
      </c>
      <c r="H854" s="1">
        <v>43909</v>
      </c>
      <c r="I854" t="s">
        <v>665</v>
      </c>
      <c r="J854" t="s">
        <v>666</v>
      </c>
      <c r="K854" t="s">
        <v>24</v>
      </c>
      <c r="L854" t="s">
        <v>1010</v>
      </c>
      <c r="M854" t="s">
        <v>2408</v>
      </c>
      <c r="N854" t="s">
        <v>2409</v>
      </c>
      <c r="O854" t="s">
        <v>3808</v>
      </c>
      <c r="P854" t="s">
        <v>3809</v>
      </c>
      <c r="Q854" t="s">
        <v>2213</v>
      </c>
      <c r="R854" t="s">
        <v>237</v>
      </c>
      <c r="S854" t="s">
        <v>550</v>
      </c>
      <c r="T854" t="s">
        <v>550</v>
      </c>
      <c r="U854" t="s">
        <v>550</v>
      </c>
      <c r="V854" t="s">
        <v>3810</v>
      </c>
      <c r="W854" t="s">
        <v>554</v>
      </c>
      <c r="X854" t="s">
        <v>669</v>
      </c>
      <c r="Y854" t="s">
        <v>799</v>
      </c>
      <c r="Z854" t="s">
        <v>3806</v>
      </c>
    </row>
    <row r="855" spans="1:26" x14ac:dyDescent="0.3">
      <c r="A855" t="s">
        <v>525</v>
      </c>
      <c r="B855" t="s">
        <v>3811</v>
      </c>
      <c r="C855" t="s">
        <v>3812</v>
      </c>
      <c r="D855" t="s">
        <v>550</v>
      </c>
      <c r="E855" t="s">
        <v>664</v>
      </c>
      <c r="F855" t="s">
        <v>27</v>
      </c>
      <c r="G855" s="1">
        <v>43831</v>
      </c>
      <c r="H855" s="1">
        <v>43831</v>
      </c>
      <c r="I855" t="s">
        <v>665</v>
      </c>
      <c r="J855" t="s">
        <v>666</v>
      </c>
      <c r="K855" t="s">
        <v>24</v>
      </c>
      <c r="L855" t="s">
        <v>216</v>
      </c>
      <c r="M855" t="s">
        <v>2408</v>
      </c>
      <c r="N855" t="s">
        <v>2409</v>
      </c>
      <c r="O855" t="s">
        <v>3808</v>
      </c>
      <c r="P855" t="s">
        <v>3809</v>
      </c>
      <c r="Q855" t="s">
        <v>2213</v>
      </c>
      <c r="R855" t="s">
        <v>237</v>
      </c>
      <c r="S855" t="s">
        <v>550</v>
      </c>
      <c r="T855" t="s">
        <v>550</v>
      </c>
      <c r="U855" t="s">
        <v>550</v>
      </c>
      <c r="V855" t="s">
        <v>3813</v>
      </c>
      <c r="W855" t="s">
        <v>554</v>
      </c>
      <c r="X855" t="s">
        <v>669</v>
      </c>
      <c r="Y855" t="s">
        <v>799</v>
      </c>
      <c r="Z855" t="s">
        <v>3811</v>
      </c>
    </row>
    <row r="856" spans="1:26" x14ac:dyDescent="0.3">
      <c r="A856" t="s">
        <v>525</v>
      </c>
      <c r="B856" t="s">
        <v>3814</v>
      </c>
      <c r="C856" t="s">
        <v>3815</v>
      </c>
      <c r="D856" t="s">
        <v>550</v>
      </c>
      <c r="E856" t="s">
        <v>664</v>
      </c>
      <c r="F856" t="s">
        <v>27</v>
      </c>
      <c r="G856" s="1">
        <v>43831</v>
      </c>
      <c r="H856" s="1">
        <v>43831</v>
      </c>
      <c r="I856" t="s">
        <v>665</v>
      </c>
      <c r="J856" t="s">
        <v>666</v>
      </c>
      <c r="K856" t="s">
        <v>841</v>
      </c>
      <c r="L856" t="s">
        <v>216</v>
      </c>
      <c r="M856" t="s">
        <v>2408</v>
      </c>
      <c r="N856" t="s">
        <v>2409</v>
      </c>
      <c r="O856" t="s">
        <v>3808</v>
      </c>
      <c r="P856" t="s">
        <v>3809</v>
      </c>
      <c r="Q856" t="s">
        <v>2213</v>
      </c>
      <c r="R856" t="s">
        <v>237</v>
      </c>
      <c r="S856" t="s">
        <v>550</v>
      </c>
      <c r="T856" t="s">
        <v>550</v>
      </c>
      <c r="U856" t="s">
        <v>550</v>
      </c>
      <c r="V856" t="s">
        <v>3816</v>
      </c>
      <c r="W856" t="s">
        <v>554</v>
      </c>
      <c r="X856" t="s">
        <v>669</v>
      </c>
      <c r="Y856" t="s">
        <v>799</v>
      </c>
      <c r="Z856" t="s">
        <v>3814</v>
      </c>
    </row>
    <row r="857" spans="1:26" x14ac:dyDescent="0.3">
      <c r="A857" t="s">
        <v>525</v>
      </c>
      <c r="B857" t="s">
        <v>3817</v>
      </c>
      <c r="C857" t="s">
        <v>3818</v>
      </c>
      <c r="D857" t="s">
        <v>550</v>
      </c>
      <c r="E857" t="s">
        <v>664</v>
      </c>
      <c r="F857" t="s">
        <v>27</v>
      </c>
      <c r="G857" s="1">
        <v>43831</v>
      </c>
      <c r="H857" s="1">
        <v>43917</v>
      </c>
      <c r="I857" t="s">
        <v>665</v>
      </c>
      <c r="J857" t="s">
        <v>666</v>
      </c>
      <c r="K857" t="s">
        <v>24</v>
      </c>
      <c r="L857" t="s">
        <v>1010</v>
      </c>
      <c r="M857" t="s">
        <v>3819</v>
      </c>
      <c r="N857" t="s">
        <v>250</v>
      </c>
      <c r="O857" t="s">
        <v>891</v>
      </c>
      <c r="P857" t="s">
        <v>892</v>
      </c>
      <c r="Q857" t="s">
        <v>2213</v>
      </c>
      <c r="R857" t="s">
        <v>237</v>
      </c>
      <c r="S857" t="s">
        <v>550</v>
      </c>
      <c r="T857" t="s">
        <v>550</v>
      </c>
      <c r="U857" t="s">
        <v>550</v>
      </c>
      <c r="V857" t="s">
        <v>3820</v>
      </c>
      <c r="W857" t="s">
        <v>565</v>
      </c>
      <c r="X857" t="s">
        <v>669</v>
      </c>
      <c r="Y857" t="s">
        <v>856</v>
      </c>
      <c r="Z857" t="s">
        <v>3817</v>
      </c>
    </row>
    <row r="858" spans="1:26" x14ac:dyDescent="0.3">
      <c r="A858" t="s">
        <v>525</v>
      </c>
      <c r="B858" t="s">
        <v>3821</v>
      </c>
      <c r="C858" t="s">
        <v>3822</v>
      </c>
      <c r="D858" t="s">
        <v>550</v>
      </c>
      <c r="E858" t="s">
        <v>664</v>
      </c>
      <c r="F858" t="s">
        <v>27</v>
      </c>
      <c r="G858" s="1">
        <v>43831</v>
      </c>
      <c r="H858" s="1">
        <v>44069</v>
      </c>
      <c r="I858" t="s">
        <v>665</v>
      </c>
      <c r="J858" t="s">
        <v>666</v>
      </c>
      <c r="K858" t="s">
        <v>24</v>
      </c>
      <c r="L858" t="s">
        <v>667</v>
      </c>
      <c r="M858" t="s">
        <v>2217</v>
      </c>
      <c r="N858" t="s">
        <v>2218</v>
      </c>
      <c r="O858" t="s">
        <v>891</v>
      </c>
      <c r="P858" t="s">
        <v>892</v>
      </c>
      <c r="Q858" t="s">
        <v>2213</v>
      </c>
      <c r="R858" t="s">
        <v>237</v>
      </c>
      <c r="S858" t="s">
        <v>550</v>
      </c>
      <c r="T858" t="s">
        <v>893</v>
      </c>
      <c r="U858" t="s">
        <v>550</v>
      </c>
      <c r="V858" t="s">
        <v>3823</v>
      </c>
      <c r="W858" t="s">
        <v>978</v>
      </c>
      <c r="X858" t="s">
        <v>669</v>
      </c>
      <c r="Y858" t="s">
        <v>803</v>
      </c>
      <c r="Z858" t="s">
        <v>3821</v>
      </c>
    </row>
    <row r="859" spans="1:26" x14ac:dyDescent="0.3">
      <c r="A859" t="s">
        <v>525</v>
      </c>
      <c r="B859" t="s">
        <v>3824</v>
      </c>
      <c r="C859" t="s">
        <v>3825</v>
      </c>
      <c r="D859" t="s">
        <v>550</v>
      </c>
      <c r="E859" t="s">
        <v>664</v>
      </c>
      <c r="F859" t="s">
        <v>27</v>
      </c>
      <c r="G859" s="1">
        <v>43831</v>
      </c>
      <c r="H859" s="1">
        <v>43901</v>
      </c>
      <c r="I859" t="s">
        <v>665</v>
      </c>
      <c r="J859" t="s">
        <v>666</v>
      </c>
      <c r="K859" t="s">
        <v>24</v>
      </c>
      <c r="L859" t="s">
        <v>667</v>
      </c>
      <c r="M859" t="s">
        <v>2217</v>
      </c>
      <c r="N859" t="s">
        <v>2218</v>
      </c>
      <c r="O859" t="s">
        <v>891</v>
      </c>
      <c r="P859" t="s">
        <v>892</v>
      </c>
      <c r="Q859" t="s">
        <v>2213</v>
      </c>
      <c r="R859" t="s">
        <v>237</v>
      </c>
      <c r="S859" t="s">
        <v>550</v>
      </c>
      <c r="T859" t="s">
        <v>893</v>
      </c>
      <c r="U859" t="s">
        <v>550</v>
      </c>
      <c r="V859" t="s">
        <v>3826</v>
      </c>
      <c r="W859" t="s">
        <v>565</v>
      </c>
      <c r="X859" t="s">
        <v>669</v>
      </c>
      <c r="Y859" t="s">
        <v>856</v>
      </c>
      <c r="Z859" t="s">
        <v>3824</v>
      </c>
    </row>
    <row r="860" spans="1:26" x14ac:dyDescent="0.3">
      <c r="A860" t="s">
        <v>525</v>
      </c>
      <c r="B860" t="s">
        <v>3827</v>
      </c>
      <c r="C860" t="s">
        <v>3828</v>
      </c>
      <c r="D860" t="s">
        <v>550</v>
      </c>
      <c r="E860" t="s">
        <v>664</v>
      </c>
      <c r="F860" t="s">
        <v>27</v>
      </c>
      <c r="G860" s="1">
        <v>43922</v>
      </c>
      <c r="H860" s="1">
        <v>44018</v>
      </c>
      <c r="I860" t="s">
        <v>665</v>
      </c>
      <c r="J860" t="s">
        <v>666</v>
      </c>
      <c r="K860" t="s">
        <v>24</v>
      </c>
      <c r="L860" t="s">
        <v>667</v>
      </c>
      <c r="M860" t="s">
        <v>797</v>
      </c>
      <c r="N860" t="s">
        <v>313</v>
      </c>
      <c r="O860" t="s">
        <v>891</v>
      </c>
      <c r="P860" t="s">
        <v>892</v>
      </c>
      <c r="Q860" t="s">
        <v>2213</v>
      </c>
      <c r="R860" t="s">
        <v>237</v>
      </c>
      <c r="S860" t="s">
        <v>550</v>
      </c>
      <c r="T860" t="s">
        <v>550</v>
      </c>
      <c r="U860" t="s">
        <v>550</v>
      </c>
      <c r="V860" t="s">
        <v>3829</v>
      </c>
      <c r="W860" t="s">
        <v>978</v>
      </c>
      <c r="X860" t="s">
        <v>669</v>
      </c>
      <c r="Y860" t="s">
        <v>803</v>
      </c>
      <c r="Z860" t="s">
        <v>3827</v>
      </c>
    </row>
    <row r="861" spans="1:26" x14ac:dyDescent="0.3">
      <c r="A861" t="s">
        <v>525</v>
      </c>
      <c r="B861" t="s">
        <v>3830</v>
      </c>
      <c r="C861" t="s">
        <v>3831</v>
      </c>
      <c r="D861" t="s">
        <v>550</v>
      </c>
      <c r="E861" t="s">
        <v>664</v>
      </c>
      <c r="F861" t="s">
        <v>27</v>
      </c>
      <c r="G861" s="1">
        <v>43831</v>
      </c>
      <c r="H861" s="1">
        <v>43917</v>
      </c>
      <c r="I861" t="s">
        <v>665</v>
      </c>
      <c r="J861" t="s">
        <v>666</v>
      </c>
      <c r="K861" t="s">
        <v>24</v>
      </c>
      <c r="L861" t="s">
        <v>667</v>
      </c>
      <c r="M861" t="s">
        <v>797</v>
      </c>
      <c r="N861" t="s">
        <v>313</v>
      </c>
      <c r="O861" t="s">
        <v>891</v>
      </c>
      <c r="P861" t="s">
        <v>892</v>
      </c>
      <c r="Q861" t="s">
        <v>2213</v>
      </c>
      <c r="R861" t="s">
        <v>237</v>
      </c>
      <c r="S861" t="s">
        <v>550</v>
      </c>
      <c r="T861" t="s">
        <v>893</v>
      </c>
      <c r="U861" t="s">
        <v>1509</v>
      </c>
      <c r="V861" t="s">
        <v>3832</v>
      </c>
      <c r="W861" t="s">
        <v>978</v>
      </c>
      <c r="X861" t="s">
        <v>669</v>
      </c>
      <c r="Y861" t="s">
        <v>803</v>
      </c>
      <c r="Z861" t="s">
        <v>3830</v>
      </c>
    </row>
    <row r="862" spans="1:26" x14ac:dyDescent="0.3">
      <c r="A862" t="s">
        <v>525</v>
      </c>
      <c r="B862" t="s">
        <v>3833</v>
      </c>
      <c r="C862" t="s">
        <v>3834</v>
      </c>
      <c r="D862" t="s">
        <v>550</v>
      </c>
      <c r="E862" t="s">
        <v>982</v>
      </c>
      <c r="F862" t="s">
        <v>983</v>
      </c>
      <c r="G862" s="1">
        <v>43102</v>
      </c>
      <c r="H862" s="1">
        <v>43153</v>
      </c>
      <c r="I862" t="s">
        <v>665</v>
      </c>
      <c r="J862" t="s">
        <v>984</v>
      </c>
      <c r="K862" t="s">
        <v>635</v>
      </c>
      <c r="L862" t="s">
        <v>901</v>
      </c>
      <c r="M862" t="s">
        <v>2223</v>
      </c>
      <c r="N862" t="s">
        <v>310</v>
      </c>
      <c r="O862" t="s">
        <v>891</v>
      </c>
      <c r="P862" t="s">
        <v>892</v>
      </c>
      <c r="Q862" t="s">
        <v>2213</v>
      </c>
      <c r="R862" t="s">
        <v>237</v>
      </c>
      <c r="S862" t="s">
        <v>550</v>
      </c>
      <c r="T862" t="s">
        <v>550</v>
      </c>
      <c r="U862" t="s">
        <v>550</v>
      </c>
      <c r="V862" t="s">
        <v>3835</v>
      </c>
      <c r="W862" t="s">
        <v>988</v>
      </c>
      <c r="X862" t="s">
        <v>979</v>
      </c>
      <c r="Y862" t="s">
        <v>803</v>
      </c>
      <c r="Z862" t="s">
        <v>3833</v>
      </c>
    </row>
    <row r="863" spans="1:26" x14ac:dyDescent="0.3">
      <c r="A863" t="s">
        <v>525</v>
      </c>
      <c r="B863" t="s">
        <v>3836</v>
      </c>
      <c r="C863" t="s">
        <v>3837</v>
      </c>
      <c r="D863" t="s">
        <v>3833</v>
      </c>
      <c r="E863" t="s">
        <v>982</v>
      </c>
      <c r="F863" t="s">
        <v>983</v>
      </c>
      <c r="G863" s="1">
        <v>43356</v>
      </c>
      <c r="H863" s="1">
        <v>43409</v>
      </c>
      <c r="I863" t="s">
        <v>665</v>
      </c>
      <c r="J863" t="s">
        <v>984</v>
      </c>
      <c r="K863" t="s">
        <v>635</v>
      </c>
      <c r="L863" t="s">
        <v>901</v>
      </c>
      <c r="M863" t="s">
        <v>2223</v>
      </c>
      <c r="N863" t="s">
        <v>310</v>
      </c>
      <c r="O863" t="s">
        <v>891</v>
      </c>
      <c r="P863" t="s">
        <v>892</v>
      </c>
      <c r="Q863" t="s">
        <v>2213</v>
      </c>
      <c r="R863" t="s">
        <v>237</v>
      </c>
      <c r="S863" t="s">
        <v>550</v>
      </c>
      <c r="T863" t="s">
        <v>550</v>
      </c>
      <c r="U863" t="s">
        <v>550</v>
      </c>
      <c r="V863" t="s">
        <v>3838</v>
      </c>
      <c r="W863" t="s">
        <v>988</v>
      </c>
      <c r="X863" t="s">
        <v>979</v>
      </c>
      <c r="Y863" t="s">
        <v>803</v>
      </c>
      <c r="Z863" t="s">
        <v>3836</v>
      </c>
    </row>
    <row r="864" spans="1:26" x14ac:dyDescent="0.3">
      <c r="A864" t="s">
        <v>525</v>
      </c>
      <c r="B864" t="s">
        <v>3839</v>
      </c>
      <c r="C864" t="s">
        <v>3840</v>
      </c>
      <c r="D864" t="s">
        <v>550</v>
      </c>
      <c r="E864" t="s">
        <v>982</v>
      </c>
      <c r="F864" t="s">
        <v>983</v>
      </c>
      <c r="G864" s="1">
        <v>43831</v>
      </c>
      <c r="H864" s="1">
        <v>43831</v>
      </c>
      <c r="I864" t="s">
        <v>665</v>
      </c>
      <c r="J864" t="s">
        <v>984</v>
      </c>
      <c r="K864" t="s">
        <v>24</v>
      </c>
      <c r="L864" t="s">
        <v>901</v>
      </c>
      <c r="M864" t="s">
        <v>3841</v>
      </c>
      <c r="N864" t="s">
        <v>3842</v>
      </c>
      <c r="O864" t="s">
        <v>985</v>
      </c>
      <c r="P864" t="s">
        <v>986</v>
      </c>
      <c r="Q864" t="s">
        <v>2213</v>
      </c>
      <c r="R864" t="s">
        <v>237</v>
      </c>
      <c r="S864" t="s">
        <v>550</v>
      </c>
      <c r="T864" t="s">
        <v>893</v>
      </c>
      <c r="U864" t="s">
        <v>550</v>
      </c>
      <c r="V864" t="s">
        <v>3843</v>
      </c>
      <c r="W864" t="s">
        <v>988</v>
      </c>
      <c r="X864" t="s">
        <v>979</v>
      </c>
      <c r="Y864" t="s">
        <v>803</v>
      </c>
      <c r="Z864" t="s">
        <v>3839</v>
      </c>
    </row>
    <row r="865" spans="1:26" x14ac:dyDescent="0.3">
      <c r="A865" t="s">
        <v>525</v>
      </c>
      <c r="B865" t="s">
        <v>3844</v>
      </c>
      <c r="C865" t="s">
        <v>3845</v>
      </c>
      <c r="D865" t="s">
        <v>550</v>
      </c>
      <c r="E865" t="s">
        <v>982</v>
      </c>
      <c r="F865" t="s">
        <v>983</v>
      </c>
      <c r="G865" s="1">
        <v>43831</v>
      </c>
      <c r="H865" s="1">
        <v>43831</v>
      </c>
      <c r="I865" t="s">
        <v>665</v>
      </c>
      <c r="J865" t="s">
        <v>984</v>
      </c>
      <c r="K865" t="s">
        <v>24</v>
      </c>
      <c r="L865" t="s">
        <v>901</v>
      </c>
      <c r="M865" t="s">
        <v>3841</v>
      </c>
      <c r="N865" t="s">
        <v>3842</v>
      </c>
      <c r="O865" t="s">
        <v>985</v>
      </c>
      <c r="P865" t="s">
        <v>986</v>
      </c>
      <c r="Q865" t="s">
        <v>2213</v>
      </c>
      <c r="R865" t="s">
        <v>237</v>
      </c>
      <c r="S865" t="s">
        <v>550</v>
      </c>
      <c r="T865" t="s">
        <v>550</v>
      </c>
      <c r="U865" t="s">
        <v>550</v>
      </c>
      <c r="V865" t="s">
        <v>3846</v>
      </c>
      <c r="W865" t="s">
        <v>988</v>
      </c>
      <c r="X865" t="s">
        <v>979</v>
      </c>
      <c r="Y865" t="s">
        <v>803</v>
      </c>
      <c r="Z865" t="s">
        <v>3844</v>
      </c>
    </row>
    <row r="866" spans="1:26" x14ac:dyDescent="0.3">
      <c r="A866" t="s">
        <v>525</v>
      </c>
      <c r="B866" t="s">
        <v>3847</v>
      </c>
      <c r="C866" t="s">
        <v>3848</v>
      </c>
      <c r="D866" t="s">
        <v>550</v>
      </c>
      <c r="E866" t="s">
        <v>3849</v>
      </c>
      <c r="F866" t="s">
        <v>3850</v>
      </c>
      <c r="G866" s="1">
        <v>44501</v>
      </c>
      <c r="H866" s="1">
        <v>44501</v>
      </c>
      <c r="I866" t="s">
        <v>665</v>
      </c>
      <c r="J866" t="s">
        <v>3851</v>
      </c>
      <c r="K866" t="s">
        <v>862</v>
      </c>
      <c r="L866" t="s">
        <v>863</v>
      </c>
      <c r="M866" t="s">
        <v>3852</v>
      </c>
      <c r="N866" t="s">
        <v>3853</v>
      </c>
      <c r="O866" t="s">
        <v>1459</v>
      </c>
      <c r="P866" t="s">
        <v>1460</v>
      </c>
      <c r="Q866" t="s">
        <v>3854</v>
      </c>
      <c r="R866" t="s">
        <v>3855</v>
      </c>
      <c r="S866" t="s">
        <v>550</v>
      </c>
      <c r="T866" t="s">
        <v>550</v>
      </c>
      <c r="U866" t="s">
        <v>550</v>
      </c>
      <c r="V866" t="s">
        <v>3856</v>
      </c>
      <c r="W866" t="s">
        <v>869</v>
      </c>
      <c r="X866" t="s">
        <v>870</v>
      </c>
      <c r="Y866" t="s">
        <v>847</v>
      </c>
      <c r="Z866" t="s">
        <v>3847</v>
      </c>
    </row>
    <row r="867" spans="1:26" x14ac:dyDescent="0.3">
      <c r="A867" t="s">
        <v>525</v>
      </c>
      <c r="B867" t="s">
        <v>3857</v>
      </c>
      <c r="C867" t="s">
        <v>3858</v>
      </c>
      <c r="D867" t="s">
        <v>3847</v>
      </c>
      <c r="E867" t="s">
        <v>3849</v>
      </c>
      <c r="F867" t="s">
        <v>3850</v>
      </c>
      <c r="G867" s="1">
        <v>44470</v>
      </c>
      <c r="H867" s="1">
        <v>44477</v>
      </c>
      <c r="I867" t="s">
        <v>665</v>
      </c>
      <c r="J867" t="s">
        <v>3851</v>
      </c>
      <c r="K867" t="s">
        <v>862</v>
      </c>
      <c r="L867" t="s">
        <v>863</v>
      </c>
      <c r="M867" t="s">
        <v>3852</v>
      </c>
      <c r="N867" t="s">
        <v>3853</v>
      </c>
      <c r="O867" t="s">
        <v>1459</v>
      </c>
      <c r="P867" t="s">
        <v>1460</v>
      </c>
      <c r="Q867" t="s">
        <v>3854</v>
      </c>
      <c r="R867" t="s">
        <v>3855</v>
      </c>
      <c r="S867" t="s">
        <v>550</v>
      </c>
      <c r="T867" t="s">
        <v>550</v>
      </c>
      <c r="U867" t="s">
        <v>550</v>
      </c>
      <c r="V867" t="s">
        <v>3859</v>
      </c>
      <c r="W867" t="s">
        <v>869</v>
      </c>
      <c r="X867" t="s">
        <v>870</v>
      </c>
      <c r="Y867" t="s">
        <v>847</v>
      </c>
      <c r="Z867" t="s">
        <v>3857</v>
      </c>
    </row>
    <row r="868" spans="1:26" x14ac:dyDescent="0.3">
      <c r="A868" t="s">
        <v>525</v>
      </c>
      <c r="B868" t="s">
        <v>3860</v>
      </c>
      <c r="C868" t="s">
        <v>3861</v>
      </c>
      <c r="D868" t="s">
        <v>3847</v>
      </c>
      <c r="E868" t="s">
        <v>3849</v>
      </c>
      <c r="F868" t="s">
        <v>3850</v>
      </c>
      <c r="G868" s="1">
        <v>44562</v>
      </c>
      <c r="H868" s="1">
        <v>44602</v>
      </c>
      <c r="I868" t="s">
        <v>665</v>
      </c>
      <c r="J868" t="s">
        <v>3851</v>
      </c>
      <c r="K868" t="s">
        <v>862</v>
      </c>
      <c r="L868" t="s">
        <v>863</v>
      </c>
      <c r="M868" t="s">
        <v>3852</v>
      </c>
      <c r="N868" t="s">
        <v>3853</v>
      </c>
      <c r="O868" t="s">
        <v>1459</v>
      </c>
      <c r="P868" t="s">
        <v>1460</v>
      </c>
      <c r="Q868" t="s">
        <v>3854</v>
      </c>
      <c r="R868" t="s">
        <v>3855</v>
      </c>
      <c r="S868" t="s">
        <v>783</v>
      </c>
      <c r="T868" t="s">
        <v>550</v>
      </c>
      <c r="U868" t="s">
        <v>550</v>
      </c>
      <c r="V868" t="s">
        <v>3862</v>
      </c>
      <c r="W868" t="s">
        <v>869</v>
      </c>
      <c r="X868" t="s">
        <v>870</v>
      </c>
      <c r="Y868" t="s">
        <v>847</v>
      </c>
      <c r="Z868" t="s">
        <v>3860</v>
      </c>
    </row>
    <row r="869" spans="1:26" x14ac:dyDescent="0.3">
      <c r="A869" t="s">
        <v>525</v>
      </c>
      <c r="B869" t="s">
        <v>3863</v>
      </c>
      <c r="C869" t="s">
        <v>3864</v>
      </c>
      <c r="D869" t="s">
        <v>550</v>
      </c>
      <c r="E869" t="s">
        <v>3865</v>
      </c>
      <c r="F869" t="s">
        <v>3866</v>
      </c>
      <c r="G869" s="1">
        <v>44434</v>
      </c>
      <c r="H869" s="1">
        <v>44434</v>
      </c>
      <c r="I869" t="s">
        <v>665</v>
      </c>
      <c r="J869" t="s">
        <v>3867</v>
      </c>
      <c r="K869" t="s">
        <v>841</v>
      </c>
      <c r="L869" t="s">
        <v>216</v>
      </c>
      <c r="M869" t="s">
        <v>1904</v>
      </c>
      <c r="N869" t="s">
        <v>1905</v>
      </c>
      <c r="O869" t="s">
        <v>1459</v>
      </c>
      <c r="P869" t="s">
        <v>1460</v>
      </c>
      <c r="Q869" t="s">
        <v>3854</v>
      </c>
      <c r="R869" t="s">
        <v>3855</v>
      </c>
      <c r="S869" t="s">
        <v>550</v>
      </c>
      <c r="T869" t="s">
        <v>550</v>
      </c>
      <c r="U869" t="s">
        <v>550</v>
      </c>
      <c r="V869" t="s">
        <v>3868</v>
      </c>
      <c r="W869" t="s">
        <v>869</v>
      </c>
      <c r="X869" t="s">
        <v>870</v>
      </c>
      <c r="Y869" t="s">
        <v>847</v>
      </c>
      <c r="Z869" t="s">
        <v>3863</v>
      </c>
    </row>
    <row r="870" spans="1:26" x14ac:dyDescent="0.3">
      <c r="A870" t="s">
        <v>525</v>
      </c>
      <c r="B870" t="s">
        <v>3869</v>
      </c>
      <c r="C870" t="s">
        <v>3870</v>
      </c>
      <c r="D870" t="s">
        <v>3863</v>
      </c>
      <c r="E870" t="s">
        <v>3865</v>
      </c>
      <c r="F870" t="s">
        <v>3866</v>
      </c>
      <c r="G870" s="1">
        <v>44460</v>
      </c>
      <c r="H870" s="1">
        <v>44480</v>
      </c>
      <c r="I870" t="s">
        <v>665</v>
      </c>
      <c r="J870" t="s">
        <v>3867</v>
      </c>
      <c r="K870" t="s">
        <v>841</v>
      </c>
      <c r="L870" t="s">
        <v>216</v>
      </c>
      <c r="M870" t="s">
        <v>1904</v>
      </c>
      <c r="N870" t="s">
        <v>1905</v>
      </c>
      <c r="O870" t="s">
        <v>1459</v>
      </c>
      <c r="P870" t="s">
        <v>1460</v>
      </c>
      <c r="Q870" t="s">
        <v>3854</v>
      </c>
      <c r="R870" t="s">
        <v>3855</v>
      </c>
      <c r="S870" t="s">
        <v>550</v>
      </c>
      <c r="T870" t="s">
        <v>550</v>
      </c>
      <c r="U870" t="s">
        <v>550</v>
      </c>
      <c r="V870" t="s">
        <v>3871</v>
      </c>
      <c r="W870" t="s">
        <v>869</v>
      </c>
      <c r="X870" t="s">
        <v>870</v>
      </c>
      <c r="Y870" t="s">
        <v>847</v>
      </c>
      <c r="Z870" t="s">
        <v>3869</v>
      </c>
    </row>
    <row r="871" spans="1:26" x14ac:dyDescent="0.3">
      <c r="A871" t="s">
        <v>525</v>
      </c>
      <c r="B871" t="s">
        <v>3872</v>
      </c>
      <c r="C871" t="s">
        <v>3873</v>
      </c>
      <c r="D871" t="s">
        <v>1945</v>
      </c>
      <c r="E871" t="s">
        <v>1896</v>
      </c>
      <c r="F871" t="s">
        <v>1897</v>
      </c>
      <c r="G871" s="1">
        <v>44523</v>
      </c>
      <c r="H871" s="1">
        <v>44523</v>
      </c>
      <c r="I871" t="s">
        <v>665</v>
      </c>
      <c r="J871" t="s">
        <v>1898</v>
      </c>
      <c r="K871" t="s">
        <v>862</v>
      </c>
      <c r="L871" t="s">
        <v>863</v>
      </c>
      <c r="M871" t="s">
        <v>1946</v>
      </c>
      <c r="N871" t="s">
        <v>1947</v>
      </c>
      <c r="O871" t="s">
        <v>1459</v>
      </c>
      <c r="P871" t="s">
        <v>1460</v>
      </c>
      <c r="Q871" t="s">
        <v>3854</v>
      </c>
      <c r="R871" t="s">
        <v>3855</v>
      </c>
      <c r="S871" t="s">
        <v>550</v>
      </c>
      <c r="T871" t="s">
        <v>550</v>
      </c>
      <c r="U871" t="s">
        <v>162</v>
      </c>
      <c r="V871" t="s">
        <v>3874</v>
      </c>
      <c r="W871" t="s">
        <v>869</v>
      </c>
      <c r="X871" t="s">
        <v>870</v>
      </c>
      <c r="Y871" t="s">
        <v>847</v>
      </c>
      <c r="Z871" t="s">
        <v>3872</v>
      </c>
    </row>
    <row r="872" spans="1:26" x14ac:dyDescent="0.3">
      <c r="A872" t="s">
        <v>525</v>
      </c>
      <c r="B872" t="s">
        <v>3875</v>
      </c>
      <c r="C872" t="s">
        <v>3876</v>
      </c>
      <c r="D872" t="s">
        <v>550</v>
      </c>
      <c r="E872" t="s">
        <v>3877</v>
      </c>
      <c r="F872" t="s">
        <v>3878</v>
      </c>
      <c r="G872" s="1">
        <v>44470</v>
      </c>
      <c r="H872" s="1">
        <v>44470</v>
      </c>
      <c r="I872" t="s">
        <v>665</v>
      </c>
      <c r="J872" t="s">
        <v>3879</v>
      </c>
      <c r="K872" t="s">
        <v>24</v>
      </c>
      <c r="L872" t="s">
        <v>863</v>
      </c>
      <c r="M872" t="s">
        <v>1904</v>
      </c>
      <c r="N872" t="s">
        <v>1905</v>
      </c>
      <c r="O872" t="s">
        <v>1459</v>
      </c>
      <c r="P872" t="s">
        <v>1460</v>
      </c>
      <c r="Q872" t="s">
        <v>3854</v>
      </c>
      <c r="R872" t="s">
        <v>3855</v>
      </c>
      <c r="S872" t="s">
        <v>550</v>
      </c>
      <c r="T872" t="s">
        <v>550</v>
      </c>
      <c r="U872" t="s">
        <v>550</v>
      </c>
      <c r="V872" t="s">
        <v>3880</v>
      </c>
      <c r="W872" t="s">
        <v>1014</v>
      </c>
      <c r="X872" t="s">
        <v>870</v>
      </c>
      <c r="Y872" t="s">
        <v>799</v>
      </c>
      <c r="Z872" t="s">
        <v>3875</v>
      </c>
    </row>
    <row r="873" spans="1:26" x14ac:dyDescent="0.3">
      <c r="A873" t="s">
        <v>525</v>
      </c>
      <c r="B873" t="s">
        <v>3881</v>
      </c>
      <c r="C873" t="s">
        <v>3882</v>
      </c>
      <c r="D873" t="s">
        <v>3875</v>
      </c>
      <c r="E873" t="s">
        <v>3877</v>
      </c>
      <c r="F873" t="s">
        <v>3878</v>
      </c>
      <c r="G873" s="1">
        <v>44470</v>
      </c>
      <c r="H873" s="1">
        <v>44498</v>
      </c>
      <c r="I873" t="s">
        <v>665</v>
      </c>
      <c r="J873" t="s">
        <v>3879</v>
      </c>
      <c r="K873" t="s">
        <v>24</v>
      </c>
      <c r="L873" t="s">
        <v>863</v>
      </c>
      <c r="M873" t="s">
        <v>1904</v>
      </c>
      <c r="N873" t="s">
        <v>1905</v>
      </c>
      <c r="O873" t="s">
        <v>1459</v>
      </c>
      <c r="P873" t="s">
        <v>1460</v>
      </c>
      <c r="Q873" t="s">
        <v>3854</v>
      </c>
      <c r="R873" t="s">
        <v>3855</v>
      </c>
      <c r="S873" t="s">
        <v>550</v>
      </c>
      <c r="T873" t="s">
        <v>550</v>
      </c>
      <c r="U873" t="s">
        <v>550</v>
      </c>
      <c r="V873" t="s">
        <v>3883</v>
      </c>
      <c r="W873" t="s">
        <v>1014</v>
      </c>
      <c r="X873" t="s">
        <v>870</v>
      </c>
      <c r="Y873" t="s">
        <v>799</v>
      </c>
      <c r="Z873" t="s">
        <v>3881</v>
      </c>
    </row>
    <row r="874" spans="1:26" x14ac:dyDescent="0.3">
      <c r="A874" t="s">
        <v>525</v>
      </c>
      <c r="B874" t="s">
        <v>3884</v>
      </c>
      <c r="C874" t="s">
        <v>3885</v>
      </c>
      <c r="D874" t="s">
        <v>3875</v>
      </c>
      <c r="E874" t="s">
        <v>3877</v>
      </c>
      <c r="F874" t="s">
        <v>3878</v>
      </c>
      <c r="G874" s="1">
        <v>44562</v>
      </c>
      <c r="H874" s="1">
        <v>44574</v>
      </c>
      <c r="I874" t="s">
        <v>665</v>
      </c>
      <c r="J874" t="s">
        <v>3879</v>
      </c>
      <c r="K874" t="s">
        <v>24</v>
      </c>
      <c r="L874" t="s">
        <v>863</v>
      </c>
      <c r="M874" t="s">
        <v>1904</v>
      </c>
      <c r="N874" t="s">
        <v>1905</v>
      </c>
      <c r="O874" t="s">
        <v>1459</v>
      </c>
      <c r="P874" t="s">
        <v>1460</v>
      </c>
      <c r="Q874" t="s">
        <v>3854</v>
      </c>
      <c r="R874" t="s">
        <v>3855</v>
      </c>
      <c r="S874" t="s">
        <v>783</v>
      </c>
      <c r="T874" t="s">
        <v>550</v>
      </c>
      <c r="U874" t="s">
        <v>550</v>
      </c>
      <c r="V874" t="s">
        <v>3886</v>
      </c>
      <c r="W874" t="s">
        <v>1014</v>
      </c>
      <c r="X874" t="s">
        <v>870</v>
      </c>
      <c r="Y874" t="s">
        <v>799</v>
      </c>
      <c r="Z874" t="s">
        <v>3884</v>
      </c>
    </row>
    <row r="875" spans="1:26" x14ac:dyDescent="0.3">
      <c r="A875" t="s">
        <v>525</v>
      </c>
      <c r="B875" t="s">
        <v>3887</v>
      </c>
      <c r="C875" t="s">
        <v>3888</v>
      </c>
      <c r="D875" t="s">
        <v>2286</v>
      </c>
      <c r="E875" t="s">
        <v>2287</v>
      </c>
      <c r="F875" t="s">
        <v>2288</v>
      </c>
      <c r="G875" s="1">
        <v>44470</v>
      </c>
      <c r="H875" s="1">
        <v>44488</v>
      </c>
      <c r="I875" t="s">
        <v>665</v>
      </c>
      <c r="J875" t="s">
        <v>2289</v>
      </c>
      <c r="K875" t="s">
        <v>958</v>
      </c>
      <c r="L875" t="s">
        <v>863</v>
      </c>
      <c r="M875" t="s">
        <v>1459</v>
      </c>
      <c r="N875" t="s">
        <v>1460</v>
      </c>
      <c r="O875" t="s">
        <v>1459</v>
      </c>
      <c r="P875" t="s">
        <v>1460</v>
      </c>
      <c r="Q875" t="s">
        <v>3854</v>
      </c>
      <c r="R875" t="s">
        <v>3855</v>
      </c>
      <c r="S875" t="s">
        <v>550</v>
      </c>
      <c r="T875" t="s">
        <v>550</v>
      </c>
      <c r="U875" t="s">
        <v>550</v>
      </c>
      <c r="V875" t="s">
        <v>3889</v>
      </c>
      <c r="W875" t="s">
        <v>1014</v>
      </c>
      <c r="X875" t="s">
        <v>870</v>
      </c>
      <c r="Y875" t="s">
        <v>856</v>
      </c>
      <c r="Z875" t="s">
        <v>3887</v>
      </c>
    </row>
    <row r="876" spans="1:26" x14ac:dyDescent="0.3">
      <c r="A876" t="s">
        <v>525</v>
      </c>
      <c r="B876" t="s">
        <v>3890</v>
      </c>
      <c r="C876" t="s">
        <v>3891</v>
      </c>
      <c r="D876" t="s">
        <v>2286</v>
      </c>
      <c r="E876" t="s">
        <v>2287</v>
      </c>
      <c r="F876" t="s">
        <v>2288</v>
      </c>
      <c r="G876" s="1">
        <v>44562</v>
      </c>
      <c r="H876" s="1">
        <v>44839</v>
      </c>
      <c r="I876" t="s">
        <v>665</v>
      </c>
      <c r="J876" t="s">
        <v>2289</v>
      </c>
      <c r="K876" t="s">
        <v>958</v>
      </c>
      <c r="L876" t="s">
        <v>863</v>
      </c>
      <c r="M876" t="s">
        <v>1459</v>
      </c>
      <c r="N876" t="s">
        <v>1460</v>
      </c>
      <c r="O876" t="s">
        <v>1459</v>
      </c>
      <c r="P876" t="s">
        <v>1460</v>
      </c>
      <c r="Q876" t="s">
        <v>3854</v>
      </c>
      <c r="R876" t="s">
        <v>3855</v>
      </c>
      <c r="S876" t="s">
        <v>783</v>
      </c>
      <c r="T876" t="s">
        <v>550</v>
      </c>
      <c r="U876" t="s">
        <v>550</v>
      </c>
      <c r="V876" t="s">
        <v>3892</v>
      </c>
      <c r="W876" t="s">
        <v>1014</v>
      </c>
      <c r="X876" t="s">
        <v>870</v>
      </c>
      <c r="Y876" t="s">
        <v>856</v>
      </c>
      <c r="Z876" t="s">
        <v>3890</v>
      </c>
    </row>
    <row r="877" spans="1:26" x14ac:dyDescent="0.3">
      <c r="A877" t="s">
        <v>525</v>
      </c>
      <c r="B877" t="s">
        <v>3893</v>
      </c>
      <c r="C877" t="s">
        <v>3894</v>
      </c>
      <c r="D877" t="s">
        <v>1978</v>
      </c>
      <c r="E877" t="s">
        <v>664</v>
      </c>
      <c r="F877" t="s">
        <v>27</v>
      </c>
      <c r="G877" s="1">
        <v>44197</v>
      </c>
      <c r="H877" s="1">
        <v>44197</v>
      </c>
      <c r="I877" t="s">
        <v>665</v>
      </c>
      <c r="J877" t="s">
        <v>666</v>
      </c>
      <c r="K877" t="s">
        <v>958</v>
      </c>
      <c r="L877" t="s">
        <v>863</v>
      </c>
      <c r="M877" t="s">
        <v>1459</v>
      </c>
      <c r="N877" t="s">
        <v>1460</v>
      </c>
      <c r="O877" t="s">
        <v>1459</v>
      </c>
      <c r="P877" t="s">
        <v>1460</v>
      </c>
      <c r="Q877" t="s">
        <v>3854</v>
      </c>
      <c r="R877" t="s">
        <v>3855</v>
      </c>
      <c r="S877" t="s">
        <v>550</v>
      </c>
      <c r="T877" t="s">
        <v>550</v>
      </c>
      <c r="U877" t="s">
        <v>550</v>
      </c>
      <c r="V877" t="s">
        <v>3895</v>
      </c>
      <c r="W877" t="s">
        <v>1014</v>
      </c>
      <c r="X877" t="s">
        <v>870</v>
      </c>
      <c r="Y877" t="s">
        <v>799</v>
      </c>
      <c r="Z877" t="s">
        <v>3893</v>
      </c>
    </row>
    <row r="878" spans="1:26" x14ac:dyDescent="0.3">
      <c r="A878" t="s">
        <v>525</v>
      </c>
      <c r="B878" t="s">
        <v>2286</v>
      </c>
      <c r="C878" t="s">
        <v>3896</v>
      </c>
      <c r="D878" t="s">
        <v>550</v>
      </c>
      <c r="E878" t="s">
        <v>2287</v>
      </c>
      <c r="F878" t="s">
        <v>2288</v>
      </c>
      <c r="G878" s="1">
        <v>44470</v>
      </c>
      <c r="H878" s="1">
        <v>44470</v>
      </c>
      <c r="I878" t="s">
        <v>780</v>
      </c>
      <c r="J878" t="s">
        <v>2289</v>
      </c>
      <c r="K878" t="s">
        <v>958</v>
      </c>
      <c r="L878" t="s">
        <v>863</v>
      </c>
      <c r="M878" t="s">
        <v>1459</v>
      </c>
      <c r="N878" t="s">
        <v>1460</v>
      </c>
      <c r="O878" t="s">
        <v>1459</v>
      </c>
      <c r="P878" t="s">
        <v>1460</v>
      </c>
      <c r="Q878" t="s">
        <v>3854</v>
      </c>
      <c r="R878" t="s">
        <v>3855</v>
      </c>
      <c r="S878" t="s">
        <v>550</v>
      </c>
      <c r="T878" t="s">
        <v>550</v>
      </c>
      <c r="U878" t="s">
        <v>550</v>
      </c>
      <c r="V878" t="s">
        <v>3897</v>
      </c>
      <c r="W878" t="s">
        <v>1014</v>
      </c>
      <c r="X878" t="s">
        <v>263</v>
      </c>
      <c r="Z878" t="s">
        <v>2286</v>
      </c>
    </row>
    <row r="879" spans="1:26" x14ac:dyDescent="0.3">
      <c r="A879" t="s">
        <v>525</v>
      </c>
      <c r="B879" t="s">
        <v>3898</v>
      </c>
      <c r="C879" t="s">
        <v>3899</v>
      </c>
      <c r="D879" t="s">
        <v>3900</v>
      </c>
      <c r="E879" t="s">
        <v>3901</v>
      </c>
      <c r="F879" t="s">
        <v>3902</v>
      </c>
      <c r="G879" s="1">
        <v>44378</v>
      </c>
      <c r="H879" s="1">
        <v>44392</v>
      </c>
      <c r="I879" t="s">
        <v>665</v>
      </c>
      <c r="J879" t="s">
        <v>3903</v>
      </c>
      <c r="K879" t="s">
        <v>862</v>
      </c>
      <c r="L879" t="s">
        <v>863</v>
      </c>
      <c r="M879" t="s">
        <v>1377</v>
      </c>
      <c r="N879" t="s">
        <v>1378</v>
      </c>
      <c r="O879" t="s">
        <v>1459</v>
      </c>
      <c r="P879" t="s">
        <v>1460</v>
      </c>
      <c r="Q879" t="s">
        <v>3854</v>
      </c>
      <c r="R879" t="s">
        <v>3855</v>
      </c>
      <c r="S879" t="s">
        <v>550</v>
      </c>
      <c r="T879" t="s">
        <v>550</v>
      </c>
      <c r="U879" t="s">
        <v>162</v>
      </c>
      <c r="V879" t="s">
        <v>3904</v>
      </c>
      <c r="W879" t="s">
        <v>869</v>
      </c>
      <c r="X879" t="s">
        <v>870</v>
      </c>
      <c r="Y879" t="s">
        <v>847</v>
      </c>
      <c r="Z879" t="s">
        <v>3898</v>
      </c>
    </row>
    <row r="880" spans="1:26" x14ac:dyDescent="0.3">
      <c r="A880" t="s">
        <v>525</v>
      </c>
      <c r="B880" t="s">
        <v>3905</v>
      </c>
      <c r="C880" t="s">
        <v>3906</v>
      </c>
      <c r="D880" t="s">
        <v>550</v>
      </c>
      <c r="E880" t="s">
        <v>3907</v>
      </c>
      <c r="F880" t="s">
        <v>3908</v>
      </c>
      <c r="G880" s="1">
        <v>44433</v>
      </c>
      <c r="H880" s="1">
        <v>44433</v>
      </c>
      <c r="I880" t="s">
        <v>665</v>
      </c>
      <c r="J880" t="s">
        <v>3909</v>
      </c>
      <c r="K880" t="s">
        <v>862</v>
      </c>
      <c r="L880" t="s">
        <v>863</v>
      </c>
      <c r="M880" t="s">
        <v>1946</v>
      </c>
      <c r="N880" t="s">
        <v>1947</v>
      </c>
      <c r="O880" t="s">
        <v>1459</v>
      </c>
      <c r="P880" t="s">
        <v>1460</v>
      </c>
      <c r="Q880" t="s">
        <v>3854</v>
      </c>
      <c r="R880" t="s">
        <v>3855</v>
      </c>
      <c r="S880" t="s">
        <v>550</v>
      </c>
      <c r="T880" t="s">
        <v>550</v>
      </c>
      <c r="U880" t="s">
        <v>550</v>
      </c>
      <c r="V880" t="s">
        <v>3910</v>
      </c>
      <c r="W880" t="s">
        <v>869</v>
      </c>
      <c r="X880" t="s">
        <v>870</v>
      </c>
      <c r="Y880" t="s">
        <v>803</v>
      </c>
      <c r="Z880" t="s">
        <v>3905</v>
      </c>
    </row>
    <row r="881" spans="1:26" x14ac:dyDescent="0.3">
      <c r="A881" t="s">
        <v>525</v>
      </c>
      <c r="B881" t="s">
        <v>3911</v>
      </c>
      <c r="C881" t="s">
        <v>3912</v>
      </c>
      <c r="D881" t="s">
        <v>3905</v>
      </c>
      <c r="E881" t="s">
        <v>3907</v>
      </c>
      <c r="F881" t="s">
        <v>3908</v>
      </c>
      <c r="G881" s="1">
        <v>44433</v>
      </c>
      <c r="H881" s="1">
        <v>44436</v>
      </c>
      <c r="I881" t="s">
        <v>665</v>
      </c>
      <c r="J881" t="s">
        <v>3909</v>
      </c>
      <c r="K881" t="s">
        <v>862</v>
      </c>
      <c r="L881" t="s">
        <v>863</v>
      </c>
      <c r="M881" t="s">
        <v>1946</v>
      </c>
      <c r="N881" t="s">
        <v>1947</v>
      </c>
      <c r="O881" t="s">
        <v>1459</v>
      </c>
      <c r="P881" t="s">
        <v>1460</v>
      </c>
      <c r="Q881" t="s">
        <v>3854</v>
      </c>
      <c r="R881" t="s">
        <v>3855</v>
      </c>
      <c r="S881" t="s">
        <v>550</v>
      </c>
      <c r="T881" t="s">
        <v>550</v>
      </c>
      <c r="U881" t="s">
        <v>550</v>
      </c>
      <c r="V881" t="s">
        <v>3913</v>
      </c>
      <c r="W881" t="s">
        <v>869</v>
      </c>
      <c r="X881" t="s">
        <v>870</v>
      </c>
      <c r="Y881" t="s">
        <v>803</v>
      </c>
      <c r="Z881" t="s">
        <v>3911</v>
      </c>
    </row>
    <row r="882" spans="1:26" x14ac:dyDescent="0.3">
      <c r="A882" t="s">
        <v>525</v>
      </c>
      <c r="B882" t="s">
        <v>3914</v>
      </c>
      <c r="C882" t="s">
        <v>3915</v>
      </c>
      <c r="D882" t="s">
        <v>3905</v>
      </c>
      <c r="E882" t="s">
        <v>3907</v>
      </c>
      <c r="F882" t="s">
        <v>3908</v>
      </c>
      <c r="G882" s="1">
        <v>44562</v>
      </c>
      <c r="H882" s="1">
        <v>44577</v>
      </c>
      <c r="I882" t="s">
        <v>665</v>
      </c>
      <c r="J882" t="s">
        <v>3909</v>
      </c>
      <c r="K882" t="s">
        <v>862</v>
      </c>
      <c r="L882" t="s">
        <v>863</v>
      </c>
      <c r="M882" t="s">
        <v>1946</v>
      </c>
      <c r="N882" t="s">
        <v>1947</v>
      </c>
      <c r="O882" t="s">
        <v>1459</v>
      </c>
      <c r="P882" t="s">
        <v>1460</v>
      </c>
      <c r="Q882" t="s">
        <v>3854</v>
      </c>
      <c r="R882" t="s">
        <v>3855</v>
      </c>
      <c r="S882" t="s">
        <v>783</v>
      </c>
      <c r="T882" t="s">
        <v>550</v>
      </c>
      <c r="U882" t="s">
        <v>550</v>
      </c>
      <c r="V882" t="s">
        <v>3916</v>
      </c>
      <c r="W882" t="s">
        <v>869</v>
      </c>
      <c r="X882" t="s">
        <v>870</v>
      </c>
      <c r="Y882" t="s">
        <v>803</v>
      </c>
      <c r="Z882" t="s">
        <v>3914</v>
      </c>
    </row>
    <row r="883" spans="1:26" x14ac:dyDescent="0.3">
      <c r="A883" t="s">
        <v>525</v>
      </c>
      <c r="B883" t="s">
        <v>3900</v>
      </c>
      <c r="C883" t="s">
        <v>3917</v>
      </c>
      <c r="D883" t="s">
        <v>550</v>
      </c>
      <c r="E883" t="s">
        <v>3901</v>
      </c>
      <c r="F883" t="s">
        <v>3902</v>
      </c>
      <c r="G883" s="1">
        <v>44378</v>
      </c>
      <c r="H883" s="1">
        <v>44378</v>
      </c>
      <c r="I883" t="s">
        <v>665</v>
      </c>
      <c r="J883" t="s">
        <v>3903</v>
      </c>
      <c r="K883" t="s">
        <v>862</v>
      </c>
      <c r="L883" t="s">
        <v>863</v>
      </c>
      <c r="M883" t="s">
        <v>1459</v>
      </c>
      <c r="N883" t="s">
        <v>1460</v>
      </c>
      <c r="O883" t="s">
        <v>1459</v>
      </c>
      <c r="P883" t="s">
        <v>1460</v>
      </c>
      <c r="Q883" t="s">
        <v>3854</v>
      </c>
      <c r="R883" t="s">
        <v>3855</v>
      </c>
      <c r="S883" t="s">
        <v>550</v>
      </c>
      <c r="T883" t="s">
        <v>550</v>
      </c>
      <c r="U883" t="s">
        <v>550</v>
      </c>
      <c r="V883" t="s">
        <v>3918</v>
      </c>
      <c r="W883" t="s">
        <v>869</v>
      </c>
      <c r="X883" t="s">
        <v>870</v>
      </c>
      <c r="Y883" t="s">
        <v>847</v>
      </c>
      <c r="Z883" t="s">
        <v>3900</v>
      </c>
    </row>
    <row r="884" spans="1:26" x14ac:dyDescent="0.3">
      <c r="A884" t="s">
        <v>525</v>
      </c>
      <c r="B884" t="s">
        <v>2009</v>
      </c>
      <c r="C884" t="s">
        <v>3919</v>
      </c>
      <c r="D884" t="s">
        <v>3920</v>
      </c>
      <c r="E884" t="s">
        <v>1117</v>
      </c>
      <c r="F884" t="s">
        <v>1118</v>
      </c>
      <c r="G884" s="1">
        <v>43831</v>
      </c>
      <c r="H884" s="1">
        <v>43879</v>
      </c>
      <c r="I884" t="s">
        <v>665</v>
      </c>
      <c r="J884" t="s">
        <v>1119</v>
      </c>
      <c r="K884" t="s">
        <v>24</v>
      </c>
      <c r="L884" t="s">
        <v>216</v>
      </c>
      <c r="M884" t="s">
        <v>1120</v>
      </c>
      <c r="N884" t="s">
        <v>1121</v>
      </c>
      <c r="O884" t="s">
        <v>1405</v>
      </c>
      <c r="P884" t="s">
        <v>1406</v>
      </c>
      <c r="Q884" t="s">
        <v>3854</v>
      </c>
      <c r="R884" t="s">
        <v>3855</v>
      </c>
      <c r="S884" t="s">
        <v>550</v>
      </c>
      <c r="T884" t="s">
        <v>550</v>
      </c>
      <c r="U884" t="s">
        <v>550</v>
      </c>
      <c r="V884" t="s">
        <v>3921</v>
      </c>
      <c r="W884" t="s">
        <v>613</v>
      </c>
      <c r="X884" t="s">
        <v>74</v>
      </c>
      <c r="Y884" t="s">
        <v>786</v>
      </c>
      <c r="Z884" t="s">
        <v>2009</v>
      </c>
    </row>
    <row r="885" spans="1:26" x14ac:dyDescent="0.3">
      <c r="A885" t="s">
        <v>525</v>
      </c>
      <c r="B885" t="s">
        <v>3922</v>
      </c>
      <c r="C885" t="s">
        <v>3923</v>
      </c>
      <c r="D885" t="s">
        <v>3924</v>
      </c>
      <c r="E885" t="s">
        <v>664</v>
      </c>
      <c r="F885" t="s">
        <v>27</v>
      </c>
      <c r="G885" s="1">
        <v>44440</v>
      </c>
      <c r="H885" s="1">
        <v>44440</v>
      </c>
      <c r="I885" t="s">
        <v>665</v>
      </c>
      <c r="J885" t="s">
        <v>666</v>
      </c>
      <c r="K885" t="s">
        <v>24</v>
      </c>
      <c r="L885" t="s">
        <v>667</v>
      </c>
      <c r="M885" t="s">
        <v>797</v>
      </c>
      <c r="N885" t="s">
        <v>313</v>
      </c>
      <c r="O885" t="s">
        <v>891</v>
      </c>
      <c r="P885" t="s">
        <v>892</v>
      </c>
      <c r="Q885" t="s">
        <v>3854</v>
      </c>
      <c r="R885" t="s">
        <v>3855</v>
      </c>
      <c r="S885" t="s">
        <v>550</v>
      </c>
      <c r="T885" t="s">
        <v>893</v>
      </c>
      <c r="U885" t="s">
        <v>550</v>
      </c>
      <c r="V885" t="s">
        <v>3925</v>
      </c>
      <c r="W885" t="s">
        <v>978</v>
      </c>
      <c r="X885" t="s">
        <v>669</v>
      </c>
      <c r="Y885" t="s">
        <v>803</v>
      </c>
      <c r="Z885" t="s">
        <v>3924</v>
      </c>
    </row>
    <row r="886" spans="1:26" x14ac:dyDescent="0.3">
      <c r="A886" t="s">
        <v>525</v>
      </c>
      <c r="B886" t="s">
        <v>3926</v>
      </c>
      <c r="C886" t="s">
        <v>3927</v>
      </c>
      <c r="D886" t="s">
        <v>3924</v>
      </c>
      <c r="E886" t="s">
        <v>664</v>
      </c>
      <c r="F886" t="s">
        <v>27</v>
      </c>
      <c r="G886" s="1">
        <v>44440</v>
      </c>
      <c r="H886" s="1">
        <v>44440</v>
      </c>
      <c r="I886" t="s">
        <v>665</v>
      </c>
      <c r="J886" t="s">
        <v>666</v>
      </c>
      <c r="K886" t="s">
        <v>24</v>
      </c>
      <c r="L886" t="s">
        <v>667</v>
      </c>
      <c r="M886" t="s">
        <v>797</v>
      </c>
      <c r="N886" t="s">
        <v>313</v>
      </c>
      <c r="O886" t="s">
        <v>891</v>
      </c>
      <c r="P886" t="s">
        <v>892</v>
      </c>
      <c r="Q886" t="s">
        <v>3854</v>
      </c>
      <c r="R886" t="s">
        <v>3855</v>
      </c>
      <c r="S886" t="s">
        <v>550</v>
      </c>
      <c r="T886" t="s">
        <v>893</v>
      </c>
      <c r="U886" t="s">
        <v>550</v>
      </c>
      <c r="V886" t="s">
        <v>3925</v>
      </c>
      <c r="W886" t="s">
        <v>978</v>
      </c>
      <c r="X886" t="s">
        <v>669</v>
      </c>
      <c r="Y886" t="s">
        <v>803</v>
      </c>
      <c r="Z886" t="s">
        <v>3924</v>
      </c>
    </row>
    <row r="887" spans="1:26" x14ac:dyDescent="0.3">
      <c r="A887" t="s">
        <v>525</v>
      </c>
      <c r="B887" t="s">
        <v>3928</v>
      </c>
      <c r="C887" t="s">
        <v>3929</v>
      </c>
      <c r="D887" t="s">
        <v>3924</v>
      </c>
      <c r="E887" t="s">
        <v>664</v>
      </c>
      <c r="F887" t="s">
        <v>27</v>
      </c>
      <c r="G887" s="1">
        <v>44440</v>
      </c>
      <c r="H887" s="1">
        <v>44440</v>
      </c>
      <c r="I887" t="s">
        <v>665</v>
      </c>
      <c r="J887" t="s">
        <v>666</v>
      </c>
      <c r="K887" t="s">
        <v>24</v>
      </c>
      <c r="L887" t="s">
        <v>667</v>
      </c>
      <c r="M887" t="s">
        <v>797</v>
      </c>
      <c r="N887" t="s">
        <v>313</v>
      </c>
      <c r="O887" t="s">
        <v>891</v>
      </c>
      <c r="P887" t="s">
        <v>892</v>
      </c>
      <c r="Q887" t="s">
        <v>3854</v>
      </c>
      <c r="R887" t="s">
        <v>3855</v>
      </c>
      <c r="S887" t="s">
        <v>550</v>
      </c>
      <c r="T887" t="s">
        <v>893</v>
      </c>
      <c r="U887" t="s">
        <v>550</v>
      </c>
      <c r="V887" t="s">
        <v>3925</v>
      </c>
      <c r="W887" t="s">
        <v>978</v>
      </c>
      <c r="X887" t="s">
        <v>669</v>
      </c>
      <c r="Y887" t="s">
        <v>803</v>
      </c>
      <c r="Z887" t="s">
        <v>3924</v>
      </c>
    </row>
    <row r="888" spans="1:26" x14ac:dyDescent="0.3">
      <c r="A888" t="s">
        <v>525</v>
      </c>
      <c r="B888" t="s">
        <v>3930</v>
      </c>
      <c r="C888" t="s">
        <v>3931</v>
      </c>
      <c r="D888" t="s">
        <v>3924</v>
      </c>
      <c r="E888" t="s">
        <v>664</v>
      </c>
      <c r="F888" t="s">
        <v>27</v>
      </c>
      <c r="G888" s="1">
        <v>44440</v>
      </c>
      <c r="H888" s="1">
        <v>44440</v>
      </c>
      <c r="I888" t="s">
        <v>665</v>
      </c>
      <c r="J888" t="s">
        <v>666</v>
      </c>
      <c r="K888" t="s">
        <v>24</v>
      </c>
      <c r="L888" t="s">
        <v>667</v>
      </c>
      <c r="M888" t="s">
        <v>797</v>
      </c>
      <c r="N888" t="s">
        <v>313</v>
      </c>
      <c r="O888" t="s">
        <v>891</v>
      </c>
      <c r="P888" t="s">
        <v>892</v>
      </c>
      <c r="Q888" t="s">
        <v>3854</v>
      </c>
      <c r="R888" t="s">
        <v>3855</v>
      </c>
      <c r="S888" t="s">
        <v>550</v>
      </c>
      <c r="T888" t="s">
        <v>893</v>
      </c>
      <c r="U888" t="s">
        <v>550</v>
      </c>
      <c r="V888" t="s">
        <v>3925</v>
      </c>
      <c r="W888" t="s">
        <v>978</v>
      </c>
      <c r="X888" t="s">
        <v>669</v>
      </c>
      <c r="Y888" t="s">
        <v>803</v>
      </c>
      <c r="Z888" t="s">
        <v>3924</v>
      </c>
    </row>
    <row r="889" spans="1:26" x14ac:dyDescent="0.3">
      <c r="A889" t="s">
        <v>525</v>
      </c>
      <c r="B889" t="s">
        <v>3932</v>
      </c>
      <c r="C889" t="s">
        <v>3933</v>
      </c>
      <c r="D889" t="s">
        <v>3924</v>
      </c>
      <c r="E889" t="s">
        <v>664</v>
      </c>
      <c r="F889" t="s">
        <v>27</v>
      </c>
      <c r="G889" s="1">
        <v>44440</v>
      </c>
      <c r="H889" s="1">
        <v>44440</v>
      </c>
      <c r="I889" t="s">
        <v>665</v>
      </c>
      <c r="J889" t="s">
        <v>666</v>
      </c>
      <c r="K889" t="s">
        <v>24</v>
      </c>
      <c r="L889" t="s">
        <v>667</v>
      </c>
      <c r="M889" t="s">
        <v>797</v>
      </c>
      <c r="N889" t="s">
        <v>313</v>
      </c>
      <c r="O889" t="s">
        <v>891</v>
      </c>
      <c r="P889" t="s">
        <v>892</v>
      </c>
      <c r="Q889" t="s">
        <v>3854</v>
      </c>
      <c r="R889" t="s">
        <v>3855</v>
      </c>
      <c r="S889" t="s">
        <v>550</v>
      </c>
      <c r="T889" t="s">
        <v>893</v>
      </c>
      <c r="U889" t="s">
        <v>550</v>
      </c>
      <c r="V889" t="s">
        <v>3925</v>
      </c>
      <c r="W889" t="s">
        <v>978</v>
      </c>
      <c r="X889" t="s">
        <v>669</v>
      </c>
      <c r="Y889" t="s">
        <v>803</v>
      </c>
      <c r="Z889" t="s">
        <v>3924</v>
      </c>
    </row>
    <row r="890" spans="1:26" x14ac:dyDescent="0.3">
      <c r="A890" t="s">
        <v>525</v>
      </c>
      <c r="B890" t="s">
        <v>3934</v>
      </c>
      <c r="C890" t="s">
        <v>3935</v>
      </c>
      <c r="D890" t="s">
        <v>3924</v>
      </c>
      <c r="E890" t="s">
        <v>664</v>
      </c>
      <c r="F890" t="s">
        <v>27</v>
      </c>
      <c r="G890" s="1">
        <v>44440</v>
      </c>
      <c r="H890" s="1">
        <v>44440</v>
      </c>
      <c r="I890" t="s">
        <v>665</v>
      </c>
      <c r="J890" t="s">
        <v>666</v>
      </c>
      <c r="K890" t="s">
        <v>24</v>
      </c>
      <c r="L890" t="s">
        <v>667</v>
      </c>
      <c r="M890" t="s">
        <v>797</v>
      </c>
      <c r="N890" t="s">
        <v>313</v>
      </c>
      <c r="O890" t="s">
        <v>891</v>
      </c>
      <c r="P890" t="s">
        <v>892</v>
      </c>
      <c r="Q890" t="s">
        <v>3854</v>
      </c>
      <c r="R890" t="s">
        <v>3855</v>
      </c>
      <c r="S890" t="s">
        <v>550</v>
      </c>
      <c r="T890" t="s">
        <v>893</v>
      </c>
      <c r="U890" t="s">
        <v>550</v>
      </c>
      <c r="V890" t="s">
        <v>3925</v>
      </c>
      <c r="W890" t="s">
        <v>978</v>
      </c>
      <c r="X890" t="s">
        <v>669</v>
      </c>
      <c r="Y890" t="s">
        <v>803</v>
      </c>
      <c r="Z890" t="s">
        <v>3924</v>
      </c>
    </row>
    <row r="891" spans="1:26" x14ac:dyDescent="0.3">
      <c r="A891" t="s">
        <v>525</v>
      </c>
      <c r="B891" t="s">
        <v>3936</v>
      </c>
      <c r="C891" t="s">
        <v>3937</v>
      </c>
      <c r="D891" t="s">
        <v>3924</v>
      </c>
      <c r="E891" t="s">
        <v>664</v>
      </c>
      <c r="F891" t="s">
        <v>27</v>
      </c>
      <c r="G891" s="1">
        <v>44440</v>
      </c>
      <c r="H891" s="1">
        <v>44440</v>
      </c>
      <c r="I891" t="s">
        <v>665</v>
      </c>
      <c r="J891" t="s">
        <v>666</v>
      </c>
      <c r="K891" t="s">
        <v>24</v>
      </c>
      <c r="L891" t="s">
        <v>667</v>
      </c>
      <c r="M891" t="s">
        <v>797</v>
      </c>
      <c r="N891" t="s">
        <v>313</v>
      </c>
      <c r="O891" t="s">
        <v>891</v>
      </c>
      <c r="P891" t="s">
        <v>892</v>
      </c>
      <c r="Q891" t="s">
        <v>3854</v>
      </c>
      <c r="R891" t="s">
        <v>3855</v>
      </c>
      <c r="S891" t="s">
        <v>550</v>
      </c>
      <c r="T891" t="s">
        <v>893</v>
      </c>
      <c r="U891" t="s">
        <v>550</v>
      </c>
      <c r="V891" t="s">
        <v>3925</v>
      </c>
      <c r="W891" t="s">
        <v>978</v>
      </c>
      <c r="X891" t="s">
        <v>669</v>
      </c>
      <c r="Y891" t="s">
        <v>803</v>
      </c>
      <c r="Z891" t="s">
        <v>3924</v>
      </c>
    </row>
    <row r="892" spans="1:26" x14ac:dyDescent="0.3">
      <c r="A892" t="s">
        <v>525</v>
      </c>
      <c r="B892" t="s">
        <v>3938</v>
      </c>
      <c r="C892" t="s">
        <v>3939</v>
      </c>
      <c r="D892" t="s">
        <v>3924</v>
      </c>
      <c r="E892" t="s">
        <v>664</v>
      </c>
      <c r="F892" t="s">
        <v>27</v>
      </c>
      <c r="G892" s="1">
        <v>44440</v>
      </c>
      <c r="H892" s="1">
        <v>44440</v>
      </c>
      <c r="I892" t="s">
        <v>665</v>
      </c>
      <c r="J892" t="s">
        <v>666</v>
      </c>
      <c r="K892" t="s">
        <v>24</v>
      </c>
      <c r="L892" t="s">
        <v>667</v>
      </c>
      <c r="M892" t="s">
        <v>797</v>
      </c>
      <c r="N892" t="s">
        <v>313</v>
      </c>
      <c r="O892" t="s">
        <v>891</v>
      </c>
      <c r="P892" t="s">
        <v>892</v>
      </c>
      <c r="Q892" t="s">
        <v>3854</v>
      </c>
      <c r="R892" t="s">
        <v>3855</v>
      </c>
      <c r="S892" t="s">
        <v>550</v>
      </c>
      <c r="T892" t="s">
        <v>893</v>
      </c>
      <c r="U892" t="s">
        <v>550</v>
      </c>
      <c r="V892" t="s">
        <v>3925</v>
      </c>
      <c r="W892" t="s">
        <v>978</v>
      </c>
      <c r="X892" t="s">
        <v>669</v>
      </c>
      <c r="Y892" t="s">
        <v>803</v>
      </c>
      <c r="Z892" t="s">
        <v>3924</v>
      </c>
    </row>
    <row r="893" spans="1:26" x14ac:dyDescent="0.3">
      <c r="A893" t="s">
        <v>525</v>
      </c>
      <c r="B893" t="s">
        <v>3924</v>
      </c>
      <c r="C893" t="s">
        <v>3923</v>
      </c>
      <c r="D893" t="s">
        <v>550</v>
      </c>
      <c r="E893" t="s">
        <v>664</v>
      </c>
      <c r="F893" t="s">
        <v>27</v>
      </c>
      <c r="G893" s="1">
        <v>44440</v>
      </c>
      <c r="H893" s="1">
        <v>44440</v>
      </c>
      <c r="I893" t="s">
        <v>665</v>
      </c>
      <c r="J893" t="s">
        <v>666</v>
      </c>
      <c r="K893" t="s">
        <v>24</v>
      </c>
      <c r="L893" t="s">
        <v>667</v>
      </c>
      <c r="M893" t="s">
        <v>797</v>
      </c>
      <c r="N893" t="s">
        <v>313</v>
      </c>
      <c r="O893" t="s">
        <v>891</v>
      </c>
      <c r="P893" t="s">
        <v>892</v>
      </c>
      <c r="Q893" t="s">
        <v>3854</v>
      </c>
      <c r="R893" t="s">
        <v>3855</v>
      </c>
      <c r="S893" t="s">
        <v>550</v>
      </c>
      <c r="T893" t="s">
        <v>550</v>
      </c>
      <c r="U893" t="s">
        <v>550</v>
      </c>
      <c r="V893" t="s">
        <v>3940</v>
      </c>
      <c r="W893" t="s">
        <v>835</v>
      </c>
      <c r="X893" t="s">
        <v>669</v>
      </c>
      <c r="Y893" t="s">
        <v>803</v>
      </c>
      <c r="Z893" t="s">
        <v>3924</v>
      </c>
    </row>
    <row r="894" spans="1:26" x14ac:dyDescent="0.3">
      <c r="A894" t="s">
        <v>525</v>
      </c>
      <c r="B894" t="s">
        <v>3941</v>
      </c>
      <c r="C894" t="s">
        <v>3942</v>
      </c>
      <c r="D894" t="s">
        <v>1548</v>
      </c>
      <c r="E894" t="s">
        <v>664</v>
      </c>
      <c r="F894" t="s">
        <v>27</v>
      </c>
      <c r="G894" s="1">
        <v>44440</v>
      </c>
      <c r="H894" s="1">
        <v>44440</v>
      </c>
      <c r="I894" t="s">
        <v>665</v>
      </c>
      <c r="J894" t="s">
        <v>666</v>
      </c>
      <c r="K894" t="s">
        <v>24</v>
      </c>
      <c r="L894" t="s">
        <v>667</v>
      </c>
      <c r="M894" t="s">
        <v>797</v>
      </c>
      <c r="N894" t="s">
        <v>313</v>
      </c>
      <c r="O894" t="s">
        <v>891</v>
      </c>
      <c r="P894" t="s">
        <v>892</v>
      </c>
      <c r="Q894" t="s">
        <v>3854</v>
      </c>
      <c r="R894" t="s">
        <v>3855</v>
      </c>
      <c r="S894" t="s">
        <v>550</v>
      </c>
      <c r="T894" t="s">
        <v>893</v>
      </c>
      <c r="U894" t="s">
        <v>1509</v>
      </c>
      <c r="V894" t="s">
        <v>3943</v>
      </c>
      <c r="W894" t="s">
        <v>978</v>
      </c>
      <c r="X894" t="s">
        <v>669</v>
      </c>
      <c r="Y894" t="s">
        <v>803</v>
      </c>
      <c r="Z894" t="s">
        <v>3941</v>
      </c>
    </row>
    <row r="895" spans="1:26" x14ac:dyDescent="0.3">
      <c r="A895" t="s">
        <v>525</v>
      </c>
      <c r="B895" t="s">
        <v>3944</v>
      </c>
      <c r="C895" t="s">
        <v>3945</v>
      </c>
      <c r="D895" t="s">
        <v>1548</v>
      </c>
      <c r="E895" t="s">
        <v>664</v>
      </c>
      <c r="F895" t="s">
        <v>27</v>
      </c>
      <c r="G895" s="1">
        <v>44440</v>
      </c>
      <c r="H895" s="1">
        <v>44440</v>
      </c>
      <c r="I895" t="s">
        <v>665</v>
      </c>
      <c r="J895" t="s">
        <v>666</v>
      </c>
      <c r="K895" t="s">
        <v>24</v>
      </c>
      <c r="L895" t="s">
        <v>667</v>
      </c>
      <c r="M895" t="s">
        <v>797</v>
      </c>
      <c r="N895" t="s">
        <v>313</v>
      </c>
      <c r="O895" t="s">
        <v>891</v>
      </c>
      <c r="P895" t="s">
        <v>892</v>
      </c>
      <c r="Q895" t="s">
        <v>3854</v>
      </c>
      <c r="R895" t="s">
        <v>3855</v>
      </c>
      <c r="S895" t="s">
        <v>550</v>
      </c>
      <c r="T895" t="s">
        <v>3946</v>
      </c>
      <c r="U895" t="s">
        <v>1509</v>
      </c>
      <c r="V895" t="s">
        <v>3947</v>
      </c>
      <c r="W895" t="s">
        <v>978</v>
      </c>
      <c r="X895" t="s">
        <v>669</v>
      </c>
      <c r="Y895" t="s">
        <v>803</v>
      </c>
      <c r="Z895" t="s">
        <v>3944</v>
      </c>
    </row>
    <row r="896" spans="1:26" x14ac:dyDescent="0.3">
      <c r="A896" t="s">
        <v>525</v>
      </c>
      <c r="B896" t="s">
        <v>3948</v>
      </c>
      <c r="C896" t="s">
        <v>3949</v>
      </c>
      <c r="D896" t="s">
        <v>1548</v>
      </c>
      <c r="E896" t="s">
        <v>664</v>
      </c>
      <c r="F896" t="s">
        <v>27</v>
      </c>
      <c r="G896" s="1">
        <v>44440</v>
      </c>
      <c r="H896" s="1">
        <v>44440</v>
      </c>
      <c r="I896" t="s">
        <v>665</v>
      </c>
      <c r="J896" t="s">
        <v>666</v>
      </c>
      <c r="K896" t="s">
        <v>24</v>
      </c>
      <c r="L896" t="s">
        <v>667</v>
      </c>
      <c r="M896" t="s">
        <v>797</v>
      </c>
      <c r="N896" t="s">
        <v>313</v>
      </c>
      <c r="O896" t="s">
        <v>891</v>
      </c>
      <c r="P896" t="s">
        <v>892</v>
      </c>
      <c r="Q896" t="s">
        <v>3854</v>
      </c>
      <c r="R896" t="s">
        <v>3855</v>
      </c>
      <c r="S896" t="s">
        <v>550</v>
      </c>
      <c r="T896" t="s">
        <v>3946</v>
      </c>
      <c r="U896" t="s">
        <v>1509</v>
      </c>
      <c r="V896" t="s">
        <v>3950</v>
      </c>
      <c r="W896" t="s">
        <v>978</v>
      </c>
      <c r="X896" t="s">
        <v>669</v>
      </c>
      <c r="Y896" t="s">
        <v>803</v>
      </c>
      <c r="Z896" t="s">
        <v>3948</v>
      </c>
    </row>
    <row r="897" spans="1:26" x14ac:dyDescent="0.3">
      <c r="A897" t="s">
        <v>525</v>
      </c>
      <c r="B897" t="s">
        <v>3951</v>
      </c>
      <c r="C897" t="s">
        <v>3952</v>
      </c>
      <c r="D897" t="s">
        <v>1548</v>
      </c>
      <c r="E897" t="s">
        <v>664</v>
      </c>
      <c r="F897" t="s">
        <v>27</v>
      </c>
      <c r="G897" s="1">
        <v>44440</v>
      </c>
      <c r="H897" s="1">
        <v>44440</v>
      </c>
      <c r="I897" t="s">
        <v>665</v>
      </c>
      <c r="J897" t="s">
        <v>666</v>
      </c>
      <c r="K897" t="s">
        <v>24</v>
      </c>
      <c r="L897" t="s">
        <v>667</v>
      </c>
      <c r="M897" t="s">
        <v>797</v>
      </c>
      <c r="N897" t="s">
        <v>313</v>
      </c>
      <c r="O897" t="s">
        <v>891</v>
      </c>
      <c r="P897" t="s">
        <v>892</v>
      </c>
      <c r="Q897" t="s">
        <v>3854</v>
      </c>
      <c r="R897" t="s">
        <v>3855</v>
      </c>
      <c r="S897" t="s">
        <v>550</v>
      </c>
      <c r="T897" t="s">
        <v>3946</v>
      </c>
      <c r="U897" t="s">
        <v>1509</v>
      </c>
      <c r="V897" t="s">
        <v>3953</v>
      </c>
      <c r="W897" t="s">
        <v>978</v>
      </c>
      <c r="X897" t="s">
        <v>669</v>
      </c>
      <c r="Y897" t="s">
        <v>803</v>
      </c>
      <c r="Z897" t="s">
        <v>3951</v>
      </c>
    </row>
    <row r="898" spans="1:26" x14ac:dyDescent="0.3">
      <c r="A898" t="s">
        <v>525</v>
      </c>
      <c r="B898" t="s">
        <v>3954</v>
      </c>
      <c r="C898" t="s">
        <v>3955</v>
      </c>
      <c r="D898" t="s">
        <v>1548</v>
      </c>
      <c r="E898" t="s">
        <v>664</v>
      </c>
      <c r="F898" t="s">
        <v>27</v>
      </c>
      <c r="G898" s="1">
        <v>44440</v>
      </c>
      <c r="H898" s="1">
        <v>44440</v>
      </c>
      <c r="I898" t="s">
        <v>665</v>
      </c>
      <c r="J898" t="s">
        <v>666</v>
      </c>
      <c r="K898" t="s">
        <v>24</v>
      </c>
      <c r="L898" t="s">
        <v>667</v>
      </c>
      <c r="M898" t="s">
        <v>797</v>
      </c>
      <c r="N898" t="s">
        <v>313</v>
      </c>
      <c r="O898" t="s">
        <v>891</v>
      </c>
      <c r="P898" t="s">
        <v>892</v>
      </c>
      <c r="Q898" t="s">
        <v>3854</v>
      </c>
      <c r="R898" t="s">
        <v>3855</v>
      </c>
      <c r="S898" t="s">
        <v>550</v>
      </c>
      <c r="T898" t="s">
        <v>3946</v>
      </c>
      <c r="U898" t="s">
        <v>1509</v>
      </c>
      <c r="V898" t="s">
        <v>3956</v>
      </c>
      <c r="W898" t="s">
        <v>978</v>
      </c>
      <c r="X898" t="s">
        <v>669</v>
      </c>
      <c r="Y898" t="s">
        <v>803</v>
      </c>
      <c r="Z898" t="s">
        <v>3954</v>
      </c>
    </row>
    <row r="899" spans="1:26" x14ac:dyDescent="0.3">
      <c r="A899" t="s">
        <v>525</v>
      </c>
      <c r="B899" t="s">
        <v>3957</v>
      </c>
      <c r="C899" t="s">
        <v>3958</v>
      </c>
      <c r="D899" t="s">
        <v>1548</v>
      </c>
      <c r="E899" t="s">
        <v>664</v>
      </c>
      <c r="F899" t="s">
        <v>27</v>
      </c>
      <c r="G899" s="1">
        <v>44440</v>
      </c>
      <c r="H899" s="1">
        <v>44440</v>
      </c>
      <c r="I899" t="s">
        <v>665</v>
      </c>
      <c r="J899" t="s">
        <v>666</v>
      </c>
      <c r="K899" t="s">
        <v>24</v>
      </c>
      <c r="L899" t="s">
        <v>667</v>
      </c>
      <c r="M899" t="s">
        <v>797</v>
      </c>
      <c r="N899" t="s">
        <v>313</v>
      </c>
      <c r="O899" t="s">
        <v>891</v>
      </c>
      <c r="P899" t="s">
        <v>892</v>
      </c>
      <c r="Q899" t="s">
        <v>3854</v>
      </c>
      <c r="R899" t="s">
        <v>3855</v>
      </c>
      <c r="S899" t="s">
        <v>550</v>
      </c>
      <c r="T899" t="s">
        <v>3946</v>
      </c>
      <c r="U899" t="s">
        <v>1509</v>
      </c>
      <c r="V899" t="s">
        <v>3959</v>
      </c>
      <c r="W899" t="s">
        <v>978</v>
      </c>
      <c r="X899" t="s">
        <v>669</v>
      </c>
      <c r="Y899" t="s">
        <v>803</v>
      </c>
      <c r="Z899" t="s">
        <v>3957</v>
      </c>
    </row>
    <row r="900" spans="1:26" x14ac:dyDescent="0.3">
      <c r="A900" t="s">
        <v>525</v>
      </c>
      <c r="B900" t="s">
        <v>3960</v>
      </c>
      <c r="C900" t="s">
        <v>3961</v>
      </c>
      <c r="D900" t="s">
        <v>1548</v>
      </c>
      <c r="E900" t="s">
        <v>664</v>
      </c>
      <c r="F900" t="s">
        <v>27</v>
      </c>
      <c r="G900" s="1">
        <v>44440</v>
      </c>
      <c r="H900" s="1">
        <v>44440</v>
      </c>
      <c r="I900" t="s">
        <v>665</v>
      </c>
      <c r="J900" t="s">
        <v>666</v>
      </c>
      <c r="K900" t="s">
        <v>24</v>
      </c>
      <c r="L900" t="s">
        <v>667</v>
      </c>
      <c r="M900" t="s">
        <v>797</v>
      </c>
      <c r="N900" t="s">
        <v>313</v>
      </c>
      <c r="O900" t="s">
        <v>891</v>
      </c>
      <c r="P900" t="s">
        <v>892</v>
      </c>
      <c r="Q900" t="s">
        <v>3854</v>
      </c>
      <c r="R900" t="s">
        <v>3855</v>
      </c>
      <c r="S900" t="s">
        <v>550</v>
      </c>
      <c r="T900" t="s">
        <v>3946</v>
      </c>
      <c r="U900" t="s">
        <v>1509</v>
      </c>
      <c r="V900" t="s">
        <v>3962</v>
      </c>
      <c r="W900" t="s">
        <v>978</v>
      </c>
      <c r="X900" t="s">
        <v>669</v>
      </c>
      <c r="Y900" t="s">
        <v>803</v>
      </c>
      <c r="Z900" t="s">
        <v>3960</v>
      </c>
    </row>
    <row r="901" spans="1:26" x14ac:dyDescent="0.3">
      <c r="A901" t="s">
        <v>525</v>
      </c>
      <c r="B901" t="s">
        <v>3963</v>
      </c>
      <c r="C901" t="s">
        <v>3964</v>
      </c>
      <c r="D901" t="s">
        <v>550</v>
      </c>
      <c r="E901" t="s">
        <v>1878</v>
      </c>
      <c r="F901" t="s">
        <v>1879</v>
      </c>
      <c r="G901" s="1">
        <v>44396</v>
      </c>
      <c r="H901" s="1">
        <v>44398</v>
      </c>
      <c r="I901" t="s">
        <v>665</v>
      </c>
      <c r="J901" t="s">
        <v>1880</v>
      </c>
      <c r="K901" t="s">
        <v>862</v>
      </c>
      <c r="L901" t="s">
        <v>863</v>
      </c>
      <c r="M901" t="s">
        <v>1459</v>
      </c>
      <c r="N901" t="s">
        <v>1460</v>
      </c>
      <c r="O901" t="s">
        <v>550</v>
      </c>
      <c r="Q901" t="s">
        <v>3854</v>
      </c>
      <c r="R901" t="s">
        <v>3855</v>
      </c>
      <c r="S901" t="s">
        <v>550</v>
      </c>
      <c r="T901" t="s">
        <v>550</v>
      </c>
      <c r="U901" t="s">
        <v>550</v>
      </c>
      <c r="V901" t="s">
        <v>3965</v>
      </c>
      <c r="W901" t="s">
        <v>869</v>
      </c>
      <c r="X901" t="s">
        <v>870</v>
      </c>
      <c r="Y901" t="s">
        <v>847</v>
      </c>
      <c r="Z901" t="s">
        <v>3963</v>
      </c>
    </row>
    <row r="902" spans="1:26" x14ac:dyDescent="0.3">
      <c r="A902" t="s">
        <v>525</v>
      </c>
      <c r="B902" t="s">
        <v>3920</v>
      </c>
      <c r="C902" t="s">
        <v>3966</v>
      </c>
      <c r="D902" t="s">
        <v>550</v>
      </c>
      <c r="E902" t="s">
        <v>1117</v>
      </c>
      <c r="F902" t="s">
        <v>1118</v>
      </c>
      <c r="G902" s="1">
        <v>43831</v>
      </c>
      <c r="H902" s="1">
        <v>43831</v>
      </c>
      <c r="I902" t="s">
        <v>665</v>
      </c>
      <c r="J902" t="s">
        <v>1119</v>
      </c>
      <c r="K902" t="s">
        <v>24</v>
      </c>
      <c r="L902" t="s">
        <v>216</v>
      </c>
      <c r="M902" t="s">
        <v>1120</v>
      </c>
      <c r="N902" t="s">
        <v>1121</v>
      </c>
      <c r="O902" t="s">
        <v>1031</v>
      </c>
      <c r="P902" t="s">
        <v>239</v>
      </c>
      <c r="Q902" t="s">
        <v>3854</v>
      </c>
      <c r="R902" t="s">
        <v>3855</v>
      </c>
      <c r="S902" t="s">
        <v>550</v>
      </c>
      <c r="T902" t="s">
        <v>550</v>
      </c>
      <c r="U902" t="s">
        <v>550</v>
      </c>
      <c r="V902" t="s">
        <v>3967</v>
      </c>
      <c r="W902" t="s">
        <v>613</v>
      </c>
      <c r="X902" t="s">
        <v>74</v>
      </c>
      <c r="Y902" t="s">
        <v>786</v>
      </c>
      <c r="Z902" t="s">
        <v>3920</v>
      </c>
    </row>
    <row r="903" spans="1:26" x14ac:dyDescent="0.3">
      <c r="A903" t="s">
        <v>525</v>
      </c>
      <c r="B903" t="s">
        <v>3968</v>
      </c>
      <c r="C903" t="s">
        <v>3969</v>
      </c>
      <c r="D903" t="s">
        <v>3920</v>
      </c>
      <c r="E903" t="s">
        <v>1117</v>
      </c>
      <c r="F903" t="s">
        <v>1118</v>
      </c>
      <c r="G903" s="1">
        <v>44197</v>
      </c>
      <c r="H903" s="1">
        <v>44274</v>
      </c>
      <c r="I903" t="s">
        <v>665</v>
      </c>
      <c r="J903" t="s">
        <v>1119</v>
      </c>
      <c r="K903" t="s">
        <v>24</v>
      </c>
      <c r="L903" t="s">
        <v>216</v>
      </c>
      <c r="M903" t="s">
        <v>1120</v>
      </c>
      <c r="N903" t="s">
        <v>1121</v>
      </c>
      <c r="O903" t="s">
        <v>1031</v>
      </c>
      <c r="P903" t="s">
        <v>239</v>
      </c>
      <c r="Q903" t="s">
        <v>3854</v>
      </c>
      <c r="R903" t="s">
        <v>3855</v>
      </c>
      <c r="S903" t="s">
        <v>550</v>
      </c>
      <c r="T903" t="s">
        <v>550</v>
      </c>
      <c r="U903" t="s">
        <v>550</v>
      </c>
      <c r="V903" t="s">
        <v>3970</v>
      </c>
      <c r="W903" t="s">
        <v>613</v>
      </c>
      <c r="X903" t="s">
        <v>74</v>
      </c>
      <c r="Y903" t="s">
        <v>786</v>
      </c>
      <c r="Z903" t="s">
        <v>3968</v>
      </c>
    </row>
    <row r="904" spans="1:26" x14ac:dyDescent="0.3">
      <c r="A904" t="s">
        <v>525</v>
      </c>
      <c r="B904" t="s">
        <v>3971</v>
      </c>
      <c r="C904" t="s">
        <v>3972</v>
      </c>
      <c r="D904" t="s">
        <v>550</v>
      </c>
      <c r="E904" t="s">
        <v>1117</v>
      </c>
      <c r="F904" t="s">
        <v>1118</v>
      </c>
      <c r="G904" s="1">
        <v>44440</v>
      </c>
      <c r="H904" s="1">
        <v>44440</v>
      </c>
      <c r="I904" t="s">
        <v>780</v>
      </c>
      <c r="J904" t="s">
        <v>1119</v>
      </c>
      <c r="K904" t="s">
        <v>24</v>
      </c>
      <c r="L904" t="s">
        <v>216</v>
      </c>
      <c r="M904" t="s">
        <v>1120</v>
      </c>
      <c r="N904" t="s">
        <v>1121</v>
      </c>
      <c r="O904" t="s">
        <v>1031</v>
      </c>
      <c r="P904" t="s">
        <v>239</v>
      </c>
      <c r="Q904" t="s">
        <v>3854</v>
      </c>
      <c r="R904" t="s">
        <v>3855</v>
      </c>
      <c r="S904" t="s">
        <v>550</v>
      </c>
      <c r="T904" t="s">
        <v>550</v>
      </c>
      <c r="U904" t="s">
        <v>550</v>
      </c>
      <c r="V904" t="s">
        <v>3973</v>
      </c>
      <c r="W904" t="s">
        <v>613</v>
      </c>
      <c r="X904" t="s">
        <v>74</v>
      </c>
      <c r="Y904" t="s">
        <v>786</v>
      </c>
      <c r="Z904" t="s">
        <v>3971</v>
      </c>
    </row>
    <row r="905" spans="1:26" x14ac:dyDescent="0.3">
      <c r="A905" t="s">
        <v>525</v>
      </c>
      <c r="B905" t="s">
        <v>3974</v>
      </c>
      <c r="C905" t="s">
        <v>3975</v>
      </c>
      <c r="D905" t="s">
        <v>3971</v>
      </c>
      <c r="E905" t="s">
        <v>1117</v>
      </c>
      <c r="F905" t="s">
        <v>1118</v>
      </c>
      <c r="G905" s="1">
        <v>44440</v>
      </c>
      <c r="H905" s="1">
        <v>44534</v>
      </c>
      <c r="I905" t="s">
        <v>665</v>
      </c>
      <c r="J905" t="s">
        <v>1119</v>
      </c>
      <c r="K905" t="s">
        <v>24</v>
      </c>
      <c r="L905" t="s">
        <v>216</v>
      </c>
      <c r="M905" t="s">
        <v>1120</v>
      </c>
      <c r="N905" t="s">
        <v>1121</v>
      </c>
      <c r="O905" t="s">
        <v>1031</v>
      </c>
      <c r="P905" t="s">
        <v>239</v>
      </c>
      <c r="Q905" t="s">
        <v>3854</v>
      </c>
      <c r="R905" t="s">
        <v>3855</v>
      </c>
      <c r="S905" t="s">
        <v>550</v>
      </c>
      <c r="T905" t="s">
        <v>550</v>
      </c>
      <c r="U905" t="s">
        <v>550</v>
      </c>
      <c r="V905" t="s">
        <v>3976</v>
      </c>
      <c r="W905" t="s">
        <v>613</v>
      </c>
      <c r="X905" t="s">
        <v>74</v>
      </c>
      <c r="Y905" t="s">
        <v>786</v>
      </c>
      <c r="Z905" t="s">
        <v>3974</v>
      </c>
    </row>
    <row r="906" spans="1:26" x14ac:dyDescent="0.3">
      <c r="A906" t="s">
        <v>525</v>
      </c>
      <c r="B906" t="s">
        <v>3977</v>
      </c>
      <c r="C906" t="s">
        <v>3978</v>
      </c>
      <c r="D906" t="s">
        <v>550</v>
      </c>
      <c r="E906" t="s">
        <v>1117</v>
      </c>
      <c r="F906" t="s">
        <v>1118</v>
      </c>
      <c r="G906" s="1">
        <v>44440</v>
      </c>
      <c r="H906" s="1">
        <v>44440</v>
      </c>
      <c r="I906" t="s">
        <v>780</v>
      </c>
      <c r="J906" t="s">
        <v>1119</v>
      </c>
      <c r="K906" t="s">
        <v>24</v>
      </c>
      <c r="L906" t="s">
        <v>216</v>
      </c>
      <c r="M906" t="s">
        <v>1120</v>
      </c>
      <c r="N906" t="s">
        <v>1121</v>
      </c>
      <c r="O906" t="s">
        <v>1031</v>
      </c>
      <c r="P906" t="s">
        <v>239</v>
      </c>
      <c r="Q906" t="s">
        <v>3854</v>
      </c>
      <c r="R906" t="s">
        <v>3855</v>
      </c>
      <c r="S906" t="s">
        <v>550</v>
      </c>
      <c r="T906" t="s">
        <v>550</v>
      </c>
      <c r="U906" t="s">
        <v>550</v>
      </c>
      <c r="V906" t="s">
        <v>3979</v>
      </c>
      <c r="W906" t="s">
        <v>613</v>
      </c>
      <c r="X906" t="s">
        <v>74</v>
      </c>
      <c r="Y906" t="s">
        <v>786</v>
      </c>
      <c r="Z906" t="s">
        <v>3977</v>
      </c>
    </row>
    <row r="907" spans="1:26" x14ac:dyDescent="0.3">
      <c r="A907" t="s">
        <v>525</v>
      </c>
      <c r="B907" t="s">
        <v>3980</v>
      </c>
      <c r="C907" t="s">
        <v>3981</v>
      </c>
      <c r="D907" t="s">
        <v>3977</v>
      </c>
      <c r="E907" t="s">
        <v>1117</v>
      </c>
      <c r="F907" t="s">
        <v>1118</v>
      </c>
      <c r="G907" s="1">
        <v>44440</v>
      </c>
      <c r="H907" s="1">
        <v>44456</v>
      </c>
      <c r="I907" t="s">
        <v>665</v>
      </c>
      <c r="J907" t="s">
        <v>1119</v>
      </c>
      <c r="K907" t="s">
        <v>24</v>
      </c>
      <c r="L907" t="s">
        <v>216</v>
      </c>
      <c r="M907" t="s">
        <v>1120</v>
      </c>
      <c r="N907" t="s">
        <v>1121</v>
      </c>
      <c r="O907" t="s">
        <v>1031</v>
      </c>
      <c r="P907" t="s">
        <v>239</v>
      </c>
      <c r="Q907" t="s">
        <v>3854</v>
      </c>
      <c r="R907" t="s">
        <v>3855</v>
      </c>
      <c r="S907" t="s">
        <v>550</v>
      </c>
      <c r="T907" t="s">
        <v>550</v>
      </c>
      <c r="U907" t="s">
        <v>550</v>
      </c>
      <c r="V907" t="s">
        <v>3982</v>
      </c>
      <c r="W907" t="s">
        <v>613</v>
      </c>
      <c r="X907" t="s">
        <v>74</v>
      </c>
      <c r="Y907" t="s">
        <v>786</v>
      </c>
      <c r="Z907" t="s">
        <v>3980</v>
      </c>
    </row>
    <row r="908" spans="1:26" x14ac:dyDescent="0.3">
      <c r="A908" t="s">
        <v>525</v>
      </c>
      <c r="B908" t="s">
        <v>3983</v>
      </c>
      <c r="C908" t="s">
        <v>3984</v>
      </c>
      <c r="D908" t="s">
        <v>550</v>
      </c>
      <c r="E908" t="s">
        <v>1117</v>
      </c>
      <c r="F908" t="s">
        <v>1118</v>
      </c>
      <c r="G908" s="1">
        <v>44440</v>
      </c>
      <c r="H908" s="1">
        <v>44440</v>
      </c>
      <c r="I908" t="s">
        <v>780</v>
      </c>
      <c r="J908" t="s">
        <v>1119</v>
      </c>
      <c r="K908" t="s">
        <v>24</v>
      </c>
      <c r="L908" t="s">
        <v>216</v>
      </c>
      <c r="M908" t="s">
        <v>1120</v>
      </c>
      <c r="N908" t="s">
        <v>1121</v>
      </c>
      <c r="O908" t="s">
        <v>1031</v>
      </c>
      <c r="P908" t="s">
        <v>239</v>
      </c>
      <c r="Q908" t="s">
        <v>3854</v>
      </c>
      <c r="R908" t="s">
        <v>3855</v>
      </c>
      <c r="S908" t="s">
        <v>550</v>
      </c>
      <c r="T908" t="s">
        <v>550</v>
      </c>
      <c r="U908" t="s">
        <v>550</v>
      </c>
      <c r="V908" t="s">
        <v>3985</v>
      </c>
      <c r="W908" t="s">
        <v>613</v>
      </c>
      <c r="X908" t="s">
        <v>74</v>
      </c>
      <c r="Y908" t="s">
        <v>786</v>
      </c>
      <c r="Z908" t="s">
        <v>3983</v>
      </c>
    </row>
    <row r="909" spans="1:26" x14ac:dyDescent="0.3">
      <c r="A909" t="s">
        <v>525</v>
      </c>
      <c r="B909" t="s">
        <v>3986</v>
      </c>
      <c r="C909" t="s">
        <v>3987</v>
      </c>
      <c r="D909" t="s">
        <v>3983</v>
      </c>
      <c r="E909" t="s">
        <v>1117</v>
      </c>
      <c r="F909" t="s">
        <v>1118</v>
      </c>
      <c r="G909" s="1">
        <v>44440</v>
      </c>
      <c r="H909" s="1">
        <v>44513</v>
      </c>
      <c r="I909" t="s">
        <v>665</v>
      </c>
      <c r="J909" t="s">
        <v>1119</v>
      </c>
      <c r="K909" t="s">
        <v>24</v>
      </c>
      <c r="L909" t="s">
        <v>216</v>
      </c>
      <c r="M909" t="s">
        <v>1120</v>
      </c>
      <c r="N909" t="s">
        <v>1121</v>
      </c>
      <c r="O909" t="s">
        <v>1031</v>
      </c>
      <c r="P909" t="s">
        <v>239</v>
      </c>
      <c r="Q909" t="s">
        <v>3854</v>
      </c>
      <c r="R909" t="s">
        <v>3855</v>
      </c>
      <c r="S909" t="s">
        <v>550</v>
      </c>
      <c r="T909" t="s">
        <v>550</v>
      </c>
      <c r="U909" t="s">
        <v>550</v>
      </c>
      <c r="V909" t="s">
        <v>3988</v>
      </c>
      <c r="W909" t="s">
        <v>613</v>
      </c>
      <c r="X909" t="s">
        <v>74</v>
      </c>
      <c r="Y909" t="s">
        <v>786</v>
      </c>
      <c r="Z909" t="s">
        <v>3986</v>
      </c>
    </row>
    <row r="910" spans="1:26" x14ac:dyDescent="0.3">
      <c r="A910" t="s">
        <v>330</v>
      </c>
      <c r="B910" t="s">
        <v>3989</v>
      </c>
      <c r="C910" t="s">
        <v>3990</v>
      </c>
      <c r="D910" t="s">
        <v>550</v>
      </c>
      <c r="E910" t="s">
        <v>816</v>
      </c>
      <c r="F910" t="s">
        <v>817</v>
      </c>
      <c r="G910" s="1">
        <v>46024</v>
      </c>
      <c r="H910" s="1">
        <v>46024</v>
      </c>
      <c r="I910" t="s">
        <v>551</v>
      </c>
      <c r="J910" t="s">
        <v>816</v>
      </c>
      <c r="K910" t="s">
        <v>900</v>
      </c>
      <c r="L910" t="s">
        <v>217</v>
      </c>
      <c r="M910" t="s">
        <v>3991</v>
      </c>
      <c r="N910" t="s">
        <v>3992</v>
      </c>
      <c r="O910" t="s">
        <v>3991</v>
      </c>
      <c r="P910" t="s">
        <v>3992</v>
      </c>
      <c r="Q910" t="s">
        <v>3993</v>
      </c>
      <c r="R910" t="s">
        <v>3994</v>
      </c>
      <c r="S910" t="s">
        <v>550</v>
      </c>
      <c r="T910" t="s">
        <v>550</v>
      </c>
      <c r="U910" t="s">
        <v>550</v>
      </c>
      <c r="V910" t="s">
        <v>3995</v>
      </c>
      <c r="W910" t="s">
        <v>3996</v>
      </c>
      <c r="Z910" t="s">
        <v>3989</v>
      </c>
    </row>
    <row r="911" spans="1:26" x14ac:dyDescent="0.3">
      <c r="A911" t="s">
        <v>330</v>
      </c>
      <c r="B911" t="s">
        <v>3997</v>
      </c>
      <c r="C911" t="s">
        <v>3990</v>
      </c>
      <c r="D911" t="s">
        <v>3989</v>
      </c>
      <c r="E911" t="s">
        <v>816</v>
      </c>
      <c r="F911" t="s">
        <v>817</v>
      </c>
      <c r="G911" s="1">
        <v>46023</v>
      </c>
      <c r="H911" s="1">
        <v>46068</v>
      </c>
      <c r="I911" t="s">
        <v>551</v>
      </c>
      <c r="J911" t="s">
        <v>816</v>
      </c>
      <c r="K911" t="s">
        <v>900</v>
      </c>
      <c r="L911" t="s">
        <v>217</v>
      </c>
      <c r="M911" t="s">
        <v>3991</v>
      </c>
      <c r="N911" t="s">
        <v>3992</v>
      </c>
      <c r="O911" t="s">
        <v>3991</v>
      </c>
      <c r="P911" t="s">
        <v>3992</v>
      </c>
      <c r="Q911" t="s">
        <v>3993</v>
      </c>
      <c r="R911" t="s">
        <v>3994</v>
      </c>
      <c r="S911" t="s">
        <v>550</v>
      </c>
      <c r="T911" t="s">
        <v>550</v>
      </c>
      <c r="U911" t="s">
        <v>550</v>
      </c>
      <c r="V911" t="s">
        <v>3998</v>
      </c>
      <c r="W911" t="s">
        <v>3996</v>
      </c>
      <c r="Z911" t="s">
        <v>3997</v>
      </c>
    </row>
    <row r="912" spans="1:26" x14ac:dyDescent="0.3">
      <c r="A912" t="s">
        <v>330</v>
      </c>
      <c r="B912" t="s">
        <v>3999</v>
      </c>
      <c r="C912" t="s">
        <v>4000</v>
      </c>
      <c r="D912" t="s">
        <v>550</v>
      </c>
      <c r="E912" t="s">
        <v>816</v>
      </c>
      <c r="F912" t="s">
        <v>817</v>
      </c>
      <c r="G912" s="1">
        <v>46024</v>
      </c>
      <c r="H912" s="1">
        <v>46024</v>
      </c>
      <c r="I912" t="s">
        <v>551</v>
      </c>
      <c r="J912" t="s">
        <v>816</v>
      </c>
      <c r="K912" t="s">
        <v>900</v>
      </c>
      <c r="L912" t="s">
        <v>217</v>
      </c>
      <c r="M912" t="s">
        <v>4001</v>
      </c>
      <c r="N912" t="s">
        <v>4002</v>
      </c>
      <c r="O912" t="s">
        <v>4001</v>
      </c>
      <c r="P912" t="s">
        <v>4002</v>
      </c>
      <c r="Q912" t="s">
        <v>3993</v>
      </c>
      <c r="R912" t="s">
        <v>3994</v>
      </c>
      <c r="S912" t="s">
        <v>550</v>
      </c>
      <c r="T912" t="s">
        <v>550</v>
      </c>
      <c r="U912" t="s">
        <v>550</v>
      </c>
      <c r="V912" t="s">
        <v>4003</v>
      </c>
      <c r="W912" t="s">
        <v>4004</v>
      </c>
      <c r="Z912" t="s">
        <v>3999</v>
      </c>
    </row>
    <row r="913" spans="1:26" x14ac:dyDescent="0.3">
      <c r="A913" t="s">
        <v>330</v>
      </c>
      <c r="B913" t="s">
        <v>4005</v>
      </c>
      <c r="C913" t="s">
        <v>4000</v>
      </c>
      <c r="D913" t="s">
        <v>3999</v>
      </c>
      <c r="E913" t="s">
        <v>816</v>
      </c>
      <c r="F913" t="s">
        <v>817</v>
      </c>
      <c r="G913" s="1">
        <v>46023</v>
      </c>
      <c r="H913" s="1">
        <v>46038</v>
      </c>
      <c r="I913" t="s">
        <v>551</v>
      </c>
      <c r="J913" t="s">
        <v>816</v>
      </c>
      <c r="K913" t="s">
        <v>900</v>
      </c>
      <c r="L913" t="s">
        <v>217</v>
      </c>
      <c r="M913" t="s">
        <v>4001</v>
      </c>
      <c r="N913" t="s">
        <v>4002</v>
      </c>
      <c r="O913" t="s">
        <v>4001</v>
      </c>
      <c r="P913" t="s">
        <v>4002</v>
      </c>
      <c r="Q913" t="s">
        <v>3993</v>
      </c>
      <c r="R913" t="s">
        <v>3994</v>
      </c>
      <c r="S913" t="s">
        <v>550</v>
      </c>
      <c r="T913" t="s">
        <v>550</v>
      </c>
      <c r="U913" t="s">
        <v>550</v>
      </c>
      <c r="V913" t="s">
        <v>4006</v>
      </c>
      <c r="W913" t="s">
        <v>4004</v>
      </c>
      <c r="Z913" t="s">
        <v>4005</v>
      </c>
    </row>
    <row r="914" spans="1:26" x14ac:dyDescent="0.3">
      <c r="A914" t="s">
        <v>330</v>
      </c>
      <c r="B914" t="s">
        <v>4007</v>
      </c>
      <c r="C914" t="s">
        <v>4008</v>
      </c>
      <c r="D914" t="s">
        <v>550</v>
      </c>
      <c r="E914" t="s">
        <v>816</v>
      </c>
      <c r="F914" t="s">
        <v>817</v>
      </c>
      <c r="G914" s="1">
        <v>46024</v>
      </c>
      <c r="H914" s="1">
        <v>46024</v>
      </c>
      <c r="I914" t="s">
        <v>551</v>
      </c>
      <c r="J914" t="s">
        <v>816</v>
      </c>
      <c r="K914" t="s">
        <v>900</v>
      </c>
      <c r="L914" t="s">
        <v>217</v>
      </c>
      <c r="M914" t="s">
        <v>4001</v>
      </c>
      <c r="N914" t="s">
        <v>4002</v>
      </c>
      <c r="O914" t="s">
        <v>4001</v>
      </c>
      <c r="P914" t="s">
        <v>4002</v>
      </c>
      <c r="Q914" t="s">
        <v>3993</v>
      </c>
      <c r="R914" t="s">
        <v>3994</v>
      </c>
      <c r="S914" t="s">
        <v>550</v>
      </c>
      <c r="T914" t="s">
        <v>550</v>
      </c>
      <c r="U914" t="s">
        <v>550</v>
      </c>
      <c r="V914" t="s">
        <v>4009</v>
      </c>
      <c r="W914" t="s">
        <v>4004</v>
      </c>
      <c r="Z914" t="s">
        <v>4007</v>
      </c>
    </row>
    <row r="915" spans="1:26" x14ac:dyDescent="0.3">
      <c r="A915" t="s">
        <v>330</v>
      </c>
      <c r="B915" t="s">
        <v>4010</v>
      </c>
      <c r="C915" t="s">
        <v>4008</v>
      </c>
      <c r="D915" t="s">
        <v>4007</v>
      </c>
      <c r="E915" t="s">
        <v>816</v>
      </c>
      <c r="F915" t="s">
        <v>817</v>
      </c>
      <c r="G915" s="1">
        <v>46023</v>
      </c>
      <c r="H915" s="1">
        <v>46023</v>
      </c>
      <c r="I915" t="s">
        <v>551</v>
      </c>
      <c r="J915" t="s">
        <v>816</v>
      </c>
      <c r="K915" t="s">
        <v>900</v>
      </c>
      <c r="L915" t="s">
        <v>217</v>
      </c>
      <c r="M915" t="s">
        <v>4001</v>
      </c>
      <c r="N915" t="s">
        <v>4002</v>
      </c>
      <c r="O915" t="s">
        <v>4001</v>
      </c>
      <c r="P915" t="s">
        <v>4002</v>
      </c>
      <c r="Q915" t="s">
        <v>3993</v>
      </c>
      <c r="R915" t="s">
        <v>3994</v>
      </c>
      <c r="S915" t="s">
        <v>550</v>
      </c>
      <c r="T915" t="s">
        <v>550</v>
      </c>
      <c r="U915" t="s">
        <v>550</v>
      </c>
      <c r="V915" t="s">
        <v>4011</v>
      </c>
      <c r="W915" t="s">
        <v>4004</v>
      </c>
      <c r="Z915" t="s">
        <v>4010</v>
      </c>
    </row>
    <row r="916" spans="1:26" x14ac:dyDescent="0.3">
      <c r="A916" t="s">
        <v>330</v>
      </c>
      <c r="B916" t="s">
        <v>4012</v>
      </c>
      <c r="C916" t="s">
        <v>4013</v>
      </c>
      <c r="D916" t="s">
        <v>550</v>
      </c>
      <c r="E916" t="s">
        <v>816</v>
      </c>
      <c r="F916" t="s">
        <v>817</v>
      </c>
      <c r="G916" s="1">
        <v>46024</v>
      </c>
      <c r="H916" s="1">
        <v>46024</v>
      </c>
      <c r="I916" t="s">
        <v>551</v>
      </c>
      <c r="J916" t="s">
        <v>816</v>
      </c>
      <c r="K916" t="s">
        <v>900</v>
      </c>
      <c r="L916" t="s">
        <v>217</v>
      </c>
      <c r="M916" t="s">
        <v>4014</v>
      </c>
      <c r="N916" t="s">
        <v>4015</v>
      </c>
      <c r="O916" t="s">
        <v>818</v>
      </c>
      <c r="P916" t="s">
        <v>819</v>
      </c>
      <c r="Q916" t="s">
        <v>3993</v>
      </c>
      <c r="R916" t="s">
        <v>3994</v>
      </c>
      <c r="S916" t="s">
        <v>550</v>
      </c>
      <c r="T916" t="s">
        <v>550</v>
      </c>
      <c r="U916" t="s">
        <v>550</v>
      </c>
      <c r="V916" t="s">
        <v>4016</v>
      </c>
      <c r="W916" t="s">
        <v>4017</v>
      </c>
      <c r="Z916" t="s">
        <v>4012</v>
      </c>
    </row>
    <row r="917" spans="1:26" x14ac:dyDescent="0.3">
      <c r="A917" t="s">
        <v>330</v>
      </c>
      <c r="B917" t="s">
        <v>4018</v>
      </c>
      <c r="C917" t="s">
        <v>4019</v>
      </c>
      <c r="D917" t="s">
        <v>4012</v>
      </c>
      <c r="E917" t="s">
        <v>816</v>
      </c>
      <c r="F917" t="s">
        <v>817</v>
      </c>
      <c r="G917" s="1">
        <v>46023</v>
      </c>
      <c r="H917" s="1">
        <v>46023</v>
      </c>
      <c r="I917" t="s">
        <v>551</v>
      </c>
      <c r="J917" t="s">
        <v>816</v>
      </c>
      <c r="K917" t="s">
        <v>900</v>
      </c>
      <c r="L917" t="s">
        <v>217</v>
      </c>
      <c r="M917" t="s">
        <v>4014</v>
      </c>
      <c r="N917" t="s">
        <v>4015</v>
      </c>
      <c r="O917" t="s">
        <v>818</v>
      </c>
      <c r="P917" t="s">
        <v>819</v>
      </c>
      <c r="Q917" t="s">
        <v>3993</v>
      </c>
      <c r="R917" t="s">
        <v>3994</v>
      </c>
      <c r="S917" t="s">
        <v>550</v>
      </c>
      <c r="T917" t="s">
        <v>550</v>
      </c>
      <c r="U917" t="s">
        <v>550</v>
      </c>
      <c r="V917" t="s">
        <v>4020</v>
      </c>
      <c r="W917" t="s">
        <v>4017</v>
      </c>
      <c r="Z917" t="s">
        <v>4018</v>
      </c>
    </row>
    <row r="918" spans="1:26" x14ac:dyDescent="0.3">
      <c r="A918" t="s">
        <v>330</v>
      </c>
      <c r="B918" t="s">
        <v>4021</v>
      </c>
      <c r="C918" t="s">
        <v>4022</v>
      </c>
      <c r="D918" t="s">
        <v>4012</v>
      </c>
      <c r="E918" t="s">
        <v>816</v>
      </c>
      <c r="F918" t="s">
        <v>817</v>
      </c>
      <c r="G918" s="1">
        <v>46023</v>
      </c>
      <c r="H918" s="1">
        <v>46023</v>
      </c>
      <c r="I918" t="s">
        <v>551</v>
      </c>
      <c r="J918" t="s">
        <v>816</v>
      </c>
      <c r="K918" t="s">
        <v>900</v>
      </c>
      <c r="L918" t="s">
        <v>217</v>
      </c>
      <c r="M918" t="s">
        <v>4014</v>
      </c>
      <c r="N918" t="s">
        <v>4015</v>
      </c>
      <c r="O918" t="s">
        <v>818</v>
      </c>
      <c r="P918" t="s">
        <v>819</v>
      </c>
      <c r="Q918" t="s">
        <v>3993</v>
      </c>
      <c r="R918" t="s">
        <v>3994</v>
      </c>
      <c r="S918" t="s">
        <v>550</v>
      </c>
      <c r="T918" t="s">
        <v>550</v>
      </c>
      <c r="U918" t="s">
        <v>550</v>
      </c>
      <c r="V918" t="s">
        <v>4023</v>
      </c>
      <c r="W918" t="s">
        <v>4017</v>
      </c>
      <c r="Z918" t="s">
        <v>4021</v>
      </c>
    </row>
    <row r="919" spans="1:26" x14ac:dyDescent="0.3">
      <c r="A919" t="s">
        <v>330</v>
      </c>
      <c r="B919" t="s">
        <v>4024</v>
      </c>
      <c r="C919" t="s">
        <v>4025</v>
      </c>
      <c r="D919" t="s">
        <v>4012</v>
      </c>
      <c r="E919" t="s">
        <v>816</v>
      </c>
      <c r="F919" t="s">
        <v>817</v>
      </c>
      <c r="G919" s="1">
        <v>46023</v>
      </c>
      <c r="H919" s="1">
        <v>46023</v>
      </c>
      <c r="I919" t="s">
        <v>551</v>
      </c>
      <c r="J919" t="s">
        <v>816</v>
      </c>
      <c r="K919" t="s">
        <v>900</v>
      </c>
      <c r="L919" t="s">
        <v>217</v>
      </c>
      <c r="M919" t="s">
        <v>4014</v>
      </c>
      <c r="N919" t="s">
        <v>4015</v>
      </c>
      <c r="O919" t="s">
        <v>818</v>
      </c>
      <c r="P919" t="s">
        <v>819</v>
      </c>
      <c r="Q919" t="s">
        <v>3993</v>
      </c>
      <c r="R919" t="s">
        <v>3994</v>
      </c>
      <c r="S919" t="s">
        <v>550</v>
      </c>
      <c r="T919" t="s">
        <v>550</v>
      </c>
      <c r="U919" t="s">
        <v>550</v>
      </c>
      <c r="V919" t="s">
        <v>4026</v>
      </c>
      <c r="W919" t="s">
        <v>4017</v>
      </c>
      <c r="Z919" t="s">
        <v>4024</v>
      </c>
    </row>
    <row r="920" spans="1:26" x14ac:dyDescent="0.3">
      <c r="A920" t="s">
        <v>330</v>
      </c>
      <c r="B920" t="s">
        <v>4027</v>
      </c>
      <c r="C920" t="s">
        <v>4028</v>
      </c>
      <c r="D920" t="s">
        <v>4012</v>
      </c>
      <c r="E920" t="s">
        <v>816</v>
      </c>
      <c r="F920" t="s">
        <v>817</v>
      </c>
      <c r="G920" s="1">
        <v>46023</v>
      </c>
      <c r="H920" s="1">
        <v>46023</v>
      </c>
      <c r="I920" t="s">
        <v>551</v>
      </c>
      <c r="J920" t="s">
        <v>816</v>
      </c>
      <c r="K920" t="s">
        <v>900</v>
      </c>
      <c r="L920" t="s">
        <v>217</v>
      </c>
      <c r="M920" t="s">
        <v>4014</v>
      </c>
      <c r="N920" t="s">
        <v>4015</v>
      </c>
      <c r="O920" t="s">
        <v>818</v>
      </c>
      <c r="P920" t="s">
        <v>819</v>
      </c>
      <c r="Q920" t="s">
        <v>3993</v>
      </c>
      <c r="R920" t="s">
        <v>3994</v>
      </c>
      <c r="S920" t="s">
        <v>550</v>
      </c>
      <c r="T920" t="s">
        <v>550</v>
      </c>
      <c r="U920" t="s">
        <v>550</v>
      </c>
      <c r="V920" t="s">
        <v>4029</v>
      </c>
      <c r="W920" t="s">
        <v>4017</v>
      </c>
      <c r="Z920" t="s">
        <v>4027</v>
      </c>
    </row>
    <row r="921" spans="1:26" x14ac:dyDescent="0.3">
      <c r="A921" t="s">
        <v>330</v>
      </c>
      <c r="B921" t="s">
        <v>4030</v>
      </c>
      <c r="C921" t="s">
        <v>4031</v>
      </c>
      <c r="D921" t="s">
        <v>4012</v>
      </c>
      <c r="E921" t="s">
        <v>816</v>
      </c>
      <c r="F921" t="s">
        <v>817</v>
      </c>
      <c r="G921" s="1">
        <v>46023</v>
      </c>
      <c r="H921" s="1">
        <v>46023</v>
      </c>
      <c r="I921" t="s">
        <v>551</v>
      </c>
      <c r="J921" t="s">
        <v>816</v>
      </c>
      <c r="K921" t="s">
        <v>900</v>
      </c>
      <c r="L921" t="s">
        <v>217</v>
      </c>
      <c r="M921" t="s">
        <v>4014</v>
      </c>
      <c r="N921" t="s">
        <v>4015</v>
      </c>
      <c r="O921" t="s">
        <v>818</v>
      </c>
      <c r="P921" t="s">
        <v>819</v>
      </c>
      <c r="Q921" t="s">
        <v>3993</v>
      </c>
      <c r="R921" t="s">
        <v>3994</v>
      </c>
      <c r="S921" t="s">
        <v>550</v>
      </c>
      <c r="T921" t="s">
        <v>550</v>
      </c>
      <c r="U921" t="s">
        <v>550</v>
      </c>
      <c r="V921" t="s">
        <v>4032</v>
      </c>
      <c r="W921" t="s">
        <v>4017</v>
      </c>
      <c r="Z921" t="s">
        <v>4030</v>
      </c>
    </row>
    <row r="922" spans="1:26" x14ac:dyDescent="0.3">
      <c r="A922" t="s">
        <v>330</v>
      </c>
      <c r="B922" t="s">
        <v>4033</v>
      </c>
      <c r="C922" t="s">
        <v>4034</v>
      </c>
      <c r="D922" t="s">
        <v>4012</v>
      </c>
      <c r="E922" t="s">
        <v>816</v>
      </c>
      <c r="F922" t="s">
        <v>817</v>
      </c>
      <c r="G922" s="1">
        <v>46023</v>
      </c>
      <c r="H922" s="1">
        <v>46023</v>
      </c>
      <c r="I922" t="s">
        <v>551</v>
      </c>
      <c r="J922" t="s">
        <v>816</v>
      </c>
      <c r="K922" t="s">
        <v>900</v>
      </c>
      <c r="L922" t="s">
        <v>217</v>
      </c>
      <c r="M922" t="s">
        <v>4014</v>
      </c>
      <c r="N922" t="s">
        <v>4015</v>
      </c>
      <c r="O922" t="s">
        <v>818</v>
      </c>
      <c r="P922" t="s">
        <v>819</v>
      </c>
      <c r="Q922" t="s">
        <v>3993</v>
      </c>
      <c r="R922" t="s">
        <v>3994</v>
      </c>
      <c r="S922" t="s">
        <v>550</v>
      </c>
      <c r="T922" t="s">
        <v>550</v>
      </c>
      <c r="U922" t="s">
        <v>550</v>
      </c>
      <c r="V922" t="s">
        <v>4035</v>
      </c>
      <c r="W922" t="s">
        <v>4017</v>
      </c>
      <c r="Z922" t="s">
        <v>4033</v>
      </c>
    </row>
    <row r="923" spans="1:26" x14ac:dyDescent="0.3">
      <c r="A923" t="s">
        <v>330</v>
      </c>
      <c r="B923" t="s">
        <v>4036</v>
      </c>
      <c r="C923" t="s">
        <v>4037</v>
      </c>
      <c r="D923" t="s">
        <v>4012</v>
      </c>
      <c r="E923" t="s">
        <v>816</v>
      </c>
      <c r="F923" t="s">
        <v>817</v>
      </c>
      <c r="G923" s="1">
        <v>46023</v>
      </c>
      <c r="H923" s="1">
        <v>46023</v>
      </c>
      <c r="I923" t="s">
        <v>551</v>
      </c>
      <c r="J923" t="s">
        <v>816</v>
      </c>
      <c r="K923" t="s">
        <v>900</v>
      </c>
      <c r="L923" t="s">
        <v>217</v>
      </c>
      <c r="M923" t="s">
        <v>4014</v>
      </c>
      <c r="N923" t="s">
        <v>4015</v>
      </c>
      <c r="O923" t="s">
        <v>818</v>
      </c>
      <c r="P923" t="s">
        <v>819</v>
      </c>
      <c r="Q923" t="s">
        <v>3993</v>
      </c>
      <c r="R923" t="s">
        <v>3994</v>
      </c>
      <c r="S923" t="s">
        <v>550</v>
      </c>
      <c r="T923" t="s">
        <v>550</v>
      </c>
      <c r="U923" t="s">
        <v>550</v>
      </c>
      <c r="V923" t="s">
        <v>4038</v>
      </c>
      <c r="W923" t="s">
        <v>4017</v>
      </c>
      <c r="Z923" t="s">
        <v>4036</v>
      </c>
    </row>
    <row r="924" spans="1:26" x14ac:dyDescent="0.3">
      <c r="A924" t="s">
        <v>330</v>
      </c>
      <c r="B924" t="s">
        <v>4039</v>
      </c>
      <c r="C924" t="s">
        <v>4040</v>
      </c>
      <c r="D924" t="s">
        <v>550</v>
      </c>
      <c r="E924" t="s">
        <v>816</v>
      </c>
      <c r="F924" t="s">
        <v>817</v>
      </c>
      <c r="G924" s="1">
        <v>46024</v>
      </c>
      <c r="H924" s="1">
        <v>46024</v>
      </c>
      <c r="I924" t="s">
        <v>551</v>
      </c>
      <c r="J924" t="s">
        <v>816</v>
      </c>
      <c r="K924" t="s">
        <v>900</v>
      </c>
      <c r="L924" t="s">
        <v>217</v>
      </c>
      <c r="M924" t="s">
        <v>2201</v>
      </c>
      <c r="N924" t="s">
        <v>2202</v>
      </c>
      <c r="O924" t="s">
        <v>2201</v>
      </c>
      <c r="P924" t="s">
        <v>2202</v>
      </c>
      <c r="Q924" t="s">
        <v>3993</v>
      </c>
      <c r="R924" t="s">
        <v>3994</v>
      </c>
      <c r="S924" t="s">
        <v>550</v>
      </c>
      <c r="T924" t="s">
        <v>550</v>
      </c>
      <c r="U924" t="s">
        <v>550</v>
      </c>
      <c r="V924" t="s">
        <v>4041</v>
      </c>
      <c r="W924" t="s">
        <v>907</v>
      </c>
      <c r="Z924" t="s">
        <v>4039</v>
      </c>
    </row>
    <row r="925" spans="1:26" x14ac:dyDescent="0.3">
      <c r="A925" t="s">
        <v>330</v>
      </c>
      <c r="B925" t="s">
        <v>4042</v>
      </c>
      <c r="C925" t="s">
        <v>4043</v>
      </c>
      <c r="D925" t="s">
        <v>4039</v>
      </c>
      <c r="E925" t="s">
        <v>816</v>
      </c>
      <c r="F925" t="s">
        <v>817</v>
      </c>
      <c r="G925" s="1">
        <v>46023</v>
      </c>
      <c r="H925" s="1">
        <v>46023</v>
      </c>
      <c r="I925" t="s">
        <v>551</v>
      </c>
      <c r="J925" t="s">
        <v>816</v>
      </c>
      <c r="K925" t="s">
        <v>900</v>
      </c>
      <c r="L925" t="s">
        <v>217</v>
      </c>
      <c r="M925" t="s">
        <v>2201</v>
      </c>
      <c r="N925" t="s">
        <v>2202</v>
      </c>
      <c r="O925" t="s">
        <v>2201</v>
      </c>
      <c r="P925" t="s">
        <v>2202</v>
      </c>
      <c r="Q925" t="s">
        <v>3993</v>
      </c>
      <c r="R925" t="s">
        <v>3994</v>
      </c>
      <c r="S925" t="s">
        <v>550</v>
      </c>
      <c r="T925" t="s">
        <v>550</v>
      </c>
      <c r="U925" t="s">
        <v>550</v>
      </c>
      <c r="V925" t="s">
        <v>4044</v>
      </c>
      <c r="W925" t="s">
        <v>907</v>
      </c>
      <c r="Z925" t="s">
        <v>4042</v>
      </c>
    </row>
    <row r="926" spans="1:26" x14ac:dyDescent="0.3">
      <c r="A926" t="s">
        <v>330</v>
      </c>
      <c r="B926" t="s">
        <v>4045</v>
      </c>
      <c r="C926" t="s">
        <v>4046</v>
      </c>
      <c r="D926" t="s">
        <v>550</v>
      </c>
      <c r="E926" t="s">
        <v>816</v>
      </c>
      <c r="F926" t="s">
        <v>817</v>
      </c>
      <c r="G926" s="1">
        <v>46024</v>
      </c>
      <c r="H926" s="1">
        <v>46024</v>
      </c>
      <c r="I926" t="s">
        <v>551</v>
      </c>
      <c r="J926" t="s">
        <v>816</v>
      </c>
      <c r="K926" t="s">
        <v>900</v>
      </c>
      <c r="L926" t="s">
        <v>217</v>
      </c>
      <c r="M926" t="s">
        <v>2201</v>
      </c>
      <c r="N926" t="s">
        <v>2202</v>
      </c>
      <c r="O926" t="s">
        <v>2201</v>
      </c>
      <c r="P926" t="s">
        <v>2202</v>
      </c>
      <c r="Q926" t="s">
        <v>3993</v>
      </c>
      <c r="R926" t="s">
        <v>3994</v>
      </c>
      <c r="S926" t="s">
        <v>550</v>
      </c>
      <c r="T926" t="s">
        <v>550</v>
      </c>
      <c r="U926" t="s">
        <v>550</v>
      </c>
      <c r="V926" t="s">
        <v>4047</v>
      </c>
      <c r="W926" t="s">
        <v>907</v>
      </c>
      <c r="Z926" t="s">
        <v>4045</v>
      </c>
    </row>
    <row r="927" spans="1:26" x14ac:dyDescent="0.3">
      <c r="A927" t="s">
        <v>330</v>
      </c>
      <c r="B927" t="s">
        <v>4048</v>
      </c>
      <c r="C927" t="s">
        <v>4049</v>
      </c>
      <c r="D927" t="s">
        <v>4045</v>
      </c>
      <c r="E927" t="s">
        <v>816</v>
      </c>
      <c r="F927" t="s">
        <v>817</v>
      </c>
      <c r="G927" s="1">
        <v>46023</v>
      </c>
      <c r="H927" s="1">
        <v>46023</v>
      </c>
      <c r="I927" t="s">
        <v>551</v>
      </c>
      <c r="J927" t="s">
        <v>816</v>
      </c>
      <c r="K927" t="s">
        <v>900</v>
      </c>
      <c r="L927" t="s">
        <v>217</v>
      </c>
      <c r="M927" t="s">
        <v>2201</v>
      </c>
      <c r="N927" t="s">
        <v>2202</v>
      </c>
      <c r="O927" t="s">
        <v>2201</v>
      </c>
      <c r="P927" t="s">
        <v>2202</v>
      </c>
      <c r="Q927" t="s">
        <v>3993</v>
      </c>
      <c r="R927" t="s">
        <v>3994</v>
      </c>
      <c r="S927" t="s">
        <v>550</v>
      </c>
      <c r="T927" t="s">
        <v>550</v>
      </c>
      <c r="U927" t="s">
        <v>550</v>
      </c>
      <c r="V927" t="s">
        <v>4050</v>
      </c>
      <c r="W927" t="s">
        <v>907</v>
      </c>
      <c r="Z927" t="s">
        <v>4048</v>
      </c>
    </row>
    <row r="928" spans="1:26" x14ac:dyDescent="0.3">
      <c r="A928" t="s">
        <v>330</v>
      </c>
      <c r="B928" t="s">
        <v>4051</v>
      </c>
      <c r="C928" t="s">
        <v>4052</v>
      </c>
      <c r="D928" t="s">
        <v>550</v>
      </c>
      <c r="E928" t="s">
        <v>816</v>
      </c>
      <c r="F928" t="s">
        <v>817</v>
      </c>
      <c r="G928" s="1">
        <v>46024</v>
      </c>
      <c r="H928" s="1">
        <v>46024</v>
      </c>
      <c r="I928" t="s">
        <v>551</v>
      </c>
      <c r="J928" t="s">
        <v>816</v>
      </c>
      <c r="K928" t="s">
        <v>900</v>
      </c>
      <c r="L928" t="s">
        <v>217</v>
      </c>
      <c r="M928" t="s">
        <v>2201</v>
      </c>
      <c r="N928" t="s">
        <v>2202</v>
      </c>
      <c r="O928" t="s">
        <v>2201</v>
      </c>
      <c r="P928" t="s">
        <v>2202</v>
      </c>
      <c r="Q928" t="s">
        <v>3993</v>
      </c>
      <c r="R928" t="s">
        <v>3994</v>
      </c>
      <c r="S928" t="s">
        <v>550</v>
      </c>
      <c r="T928" t="s">
        <v>550</v>
      </c>
      <c r="U928" t="s">
        <v>550</v>
      </c>
      <c r="V928" t="s">
        <v>4053</v>
      </c>
      <c r="W928" t="s">
        <v>907</v>
      </c>
      <c r="Z928" t="s">
        <v>4051</v>
      </c>
    </row>
    <row r="929" spans="1:26" x14ac:dyDescent="0.3">
      <c r="A929" t="s">
        <v>330</v>
      </c>
      <c r="B929" t="s">
        <v>4054</v>
      </c>
      <c r="C929" t="s">
        <v>4055</v>
      </c>
      <c r="D929" t="s">
        <v>4051</v>
      </c>
      <c r="E929" t="s">
        <v>816</v>
      </c>
      <c r="F929" t="s">
        <v>817</v>
      </c>
      <c r="G929" s="1">
        <v>46023</v>
      </c>
      <c r="H929" s="1">
        <v>46023</v>
      </c>
      <c r="I929" t="s">
        <v>551</v>
      </c>
      <c r="J929" t="s">
        <v>816</v>
      </c>
      <c r="K929" t="s">
        <v>900</v>
      </c>
      <c r="L929" t="s">
        <v>217</v>
      </c>
      <c r="M929" t="s">
        <v>2201</v>
      </c>
      <c r="N929" t="s">
        <v>2202</v>
      </c>
      <c r="O929" t="s">
        <v>2201</v>
      </c>
      <c r="P929" t="s">
        <v>2202</v>
      </c>
      <c r="Q929" t="s">
        <v>3993</v>
      </c>
      <c r="R929" t="s">
        <v>3994</v>
      </c>
      <c r="S929" t="s">
        <v>550</v>
      </c>
      <c r="T929" t="s">
        <v>550</v>
      </c>
      <c r="U929" t="s">
        <v>550</v>
      </c>
      <c r="V929" t="s">
        <v>4056</v>
      </c>
      <c r="W929" t="s">
        <v>907</v>
      </c>
      <c r="Z929" t="s">
        <v>4054</v>
      </c>
    </row>
    <row r="930" spans="1:26" x14ac:dyDescent="0.3">
      <c r="A930" t="s">
        <v>330</v>
      </c>
      <c r="B930" t="s">
        <v>4057</v>
      </c>
      <c r="C930" t="s">
        <v>4058</v>
      </c>
      <c r="D930" t="s">
        <v>550</v>
      </c>
      <c r="E930" t="s">
        <v>816</v>
      </c>
      <c r="F930" t="s">
        <v>817</v>
      </c>
      <c r="G930" s="1">
        <v>46024</v>
      </c>
      <c r="H930" s="1">
        <v>46024</v>
      </c>
      <c r="I930" t="s">
        <v>551</v>
      </c>
      <c r="J930" t="s">
        <v>816</v>
      </c>
      <c r="K930" t="s">
        <v>900</v>
      </c>
      <c r="L930" t="s">
        <v>217</v>
      </c>
      <c r="M930" t="s">
        <v>883</v>
      </c>
      <c r="N930" t="s">
        <v>884</v>
      </c>
      <c r="O930" t="s">
        <v>883</v>
      </c>
      <c r="P930" t="s">
        <v>884</v>
      </c>
      <c r="Q930" t="s">
        <v>3993</v>
      </c>
      <c r="R930" t="s">
        <v>3994</v>
      </c>
      <c r="S930" t="s">
        <v>550</v>
      </c>
      <c r="T930" t="s">
        <v>550</v>
      </c>
      <c r="U930" t="s">
        <v>550</v>
      </c>
      <c r="V930" t="s">
        <v>4059</v>
      </c>
      <c r="W930" t="s">
        <v>941</v>
      </c>
      <c r="Z930" t="s">
        <v>4057</v>
      </c>
    </row>
    <row r="931" spans="1:26" x14ac:dyDescent="0.3">
      <c r="A931" t="s">
        <v>330</v>
      </c>
      <c r="B931" t="s">
        <v>4060</v>
      </c>
      <c r="C931" t="s">
        <v>4058</v>
      </c>
      <c r="D931" t="s">
        <v>4057</v>
      </c>
      <c r="E931" t="s">
        <v>816</v>
      </c>
      <c r="F931" t="s">
        <v>817</v>
      </c>
      <c r="G931" s="1">
        <v>46023</v>
      </c>
      <c r="H931" s="1">
        <v>46023</v>
      </c>
      <c r="I931" t="s">
        <v>551</v>
      </c>
      <c r="J931" t="s">
        <v>816</v>
      </c>
      <c r="K931" t="s">
        <v>900</v>
      </c>
      <c r="L931" t="s">
        <v>217</v>
      </c>
      <c r="M931" t="s">
        <v>883</v>
      </c>
      <c r="N931" t="s">
        <v>884</v>
      </c>
      <c r="O931" t="s">
        <v>883</v>
      </c>
      <c r="P931" t="s">
        <v>884</v>
      </c>
      <c r="Q931" t="s">
        <v>3993</v>
      </c>
      <c r="R931" t="s">
        <v>3994</v>
      </c>
      <c r="S931" t="s">
        <v>550</v>
      </c>
      <c r="T931" t="s">
        <v>550</v>
      </c>
      <c r="U931" t="s">
        <v>550</v>
      </c>
      <c r="V931" t="s">
        <v>4061</v>
      </c>
      <c r="W931" t="s">
        <v>941</v>
      </c>
      <c r="Z931" t="s">
        <v>4060</v>
      </c>
    </row>
    <row r="932" spans="1:26" x14ac:dyDescent="0.3">
      <c r="A932" t="s">
        <v>330</v>
      </c>
      <c r="B932" t="s">
        <v>4062</v>
      </c>
      <c r="C932" t="s">
        <v>4063</v>
      </c>
      <c r="D932" t="s">
        <v>550</v>
      </c>
      <c r="E932" t="s">
        <v>816</v>
      </c>
      <c r="F932" t="s">
        <v>817</v>
      </c>
      <c r="G932" s="1">
        <v>46024</v>
      </c>
      <c r="H932" s="1">
        <v>46024</v>
      </c>
      <c r="I932" t="s">
        <v>551</v>
      </c>
      <c r="J932" t="s">
        <v>816</v>
      </c>
      <c r="K932" t="s">
        <v>900</v>
      </c>
      <c r="L932" t="s">
        <v>217</v>
      </c>
      <c r="M932" t="s">
        <v>883</v>
      </c>
      <c r="N932" t="s">
        <v>884</v>
      </c>
      <c r="O932" t="s">
        <v>883</v>
      </c>
      <c r="P932" t="s">
        <v>884</v>
      </c>
      <c r="Q932" t="s">
        <v>3993</v>
      </c>
      <c r="R932" t="s">
        <v>3994</v>
      </c>
      <c r="S932" t="s">
        <v>550</v>
      </c>
      <c r="T932" t="s">
        <v>550</v>
      </c>
      <c r="U932" t="s">
        <v>550</v>
      </c>
      <c r="V932" t="s">
        <v>4064</v>
      </c>
      <c r="W932" t="s">
        <v>941</v>
      </c>
      <c r="Z932" t="s">
        <v>4062</v>
      </c>
    </row>
    <row r="933" spans="1:26" x14ac:dyDescent="0.3">
      <c r="A933" t="s">
        <v>330</v>
      </c>
      <c r="B933" t="s">
        <v>4065</v>
      </c>
      <c r="C933" t="s">
        <v>4063</v>
      </c>
      <c r="D933" t="s">
        <v>4062</v>
      </c>
      <c r="E933" t="s">
        <v>816</v>
      </c>
      <c r="F933" t="s">
        <v>817</v>
      </c>
      <c r="G933" s="1">
        <v>46023</v>
      </c>
      <c r="H933" s="1">
        <v>46023</v>
      </c>
      <c r="I933" t="s">
        <v>551</v>
      </c>
      <c r="J933" t="s">
        <v>816</v>
      </c>
      <c r="K933" t="s">
        <v>900</v>
      </c>
      <c r="L933" t="s">
        <v>217</v>
      </c>
      <c r="M933" t="s">
        <v>883</v>
      </c>
      <c r="N933" t="s">
        <v>884</v>
      </c>
      <c r="O933" t="s">
        <v>883</v>
      </c>
      <c r="P933" t="s">
        <v>884</v>
      </c>
      <c r="Q933" t="s">
        <v>3993</v>
      </c>
      <c r="R933" t="s">
        <v>3994</v>
      </c>
      <c r="S933" t="s">
        <v>550</v>
      </c>
      <c r="T933" t="s">
        <v>550</v>
      </c>
      <c r="U933" t="s">
        <v>550</v>
      </c>
      <c r="V933" t="s">
        <v>4066</v>
      </c>
      <c r="W933" t="s">
        <v>941</v>
      </c>
      <c r="Z933" t="s">
        <v>4065</v>
      </c>
    </row>
    <row r="934" spans="1:26" x14ac:dyDescent="0.3">
      <c r="A934" t="s">
        <v>330</v>
      </c>
      <c r="B934" t="s">
        <v>4067</v>
      </c>
      <c r="C934" t="s">
        <v>4068</v>
      </c>
      <c r="D934" t="s">
        <v>550</v>
      </c>
      <c r="E934" t="s">
        <v>816</v>
      </c>
      <c r="F934" t="s">
        <v>817</v>
      </c>
      <c r="G934" s="1">
        <v>46024</v>
      </c>
      <c r="H934" s="1">
        <v>46024</v>
      </c>
      <c r="I934" t="s">
        <v>551</v>
      </c>
      <c r="J934" t="s">
        <v>816</v>
      </c>
      <c r="K934" t="s">
        <v>900</v>
      </c>
      <c r="L934" t="s">
        <v>217</v>
      </c>
      <c r="M934" t="s">
        <v>4069</v>
      </c>
      <c r="N934" t="s">
        <v>4070</v>
      </c>
      <c r="O934" t="s">
        <v>883</v>
      </c>
      <c r="P934" t="s">
        <v>884</v>
      </c>
      <c r="Q934" t="s">
        <v>3993</v>
      </c>
      <c r="R934" t="s">
        <v>3994</v>
      </c>
      <c r="S934" t="s">
        <v>550</v>
      </c>
      <c r="T934" t="s">
        <v>550</v>
      </c>
      <c r="U934" t="s">
        <v>550</v>
      </c>
      <c r="V934" t="s">
        <v>4071</v>
      </c>
      <c r="W934" t="s">
        <v>4072</v>
      </c>
      <c r="Z934" t="s">
        <v>4067</v>
      </c>
    </row>
    <row r="935" spans="1:26" x14ac:dyDescent="0.3">
      <c r="A935" t="s">
        <v>330</v>
      </c>
      <c r="B935" t="s">
        <v>4073</v>
      </c>
      <c r="C935" t="s">
        <v>4068</v>
      </c>
      <c r="D935" t="s">
        <v>4067</v>
      </c>
      <c r="E935" t="s">
        <v>816</v>
      </c>
      <c r="F935" t="s">
        <v>817</v>
      </c>
      <c r="G935" s="1">
        <v>46023</v>
      </c>
      <c r="H935" s="1">
        <v>46023</v>
      </c>
      <c r="I935" t="s">
        <v>551</v>
      </c>
      <c r="J935" t="s">
        <v>816</v>
      </c>
      <c r="K935" t="s">
        <v>900</v>
      </c>
      <c r="L935" t="s">
        <v>217</v>
      </c>
      <c r="M935" t="s">
        <v>4069</v>
      </c>
      <c r="N935" t="s">
        <v>4070</v>
      </c>
      <c r="O935" t="s">
        <v>883</v>
      </c>
      <c r="P935" t="s">
        <v>884</v>
      </c>
      <c r="Q935" t="s">
        <v>3993</v>
      </c>
      <c r="R935" t="s">
        <v>3994</v>
      </c>
      <c r="S935" t="s">
        <v>550</v>
      </c>
      <c r="T935" t="s">
        <v>550</v>
      </c>
      <c r="U935" t="s">
        <v>550</v>
      </c>
      <c r="V935" t="s">
        <v>4074</v>
      </c>
      <c r="W935" t="s">
        <v>4072</v>
      </c>
      <c r="Z935" t="s">
        <v>4073</v>
      </c>
    </row>
    <row r="936" spans="1:26" x14ac:dyDescent="0.3">
      <c r="A936" t="s">
        <v>525</v>
      </c>
      <c r="B936" t="s">
        <v>4075</v>
      </c>
      <c r="C936" t="s">
        <v>4076</v>
      </c>
      <c r="D936" t="s">
        <v>3377</v>
      </c>
      <c r="E936" t="s">
        <v>4077</v>
      </c>
      <c r="F936" t="s">
        <v>4078</v>
      </c>
      <c r="G936" s="1">
        <v>45658</v>
      </c>
      <c r="H936" s="1">
        <v>45658</v>
      </c>
      <c r="I936" t="s">
        <v>665</v>
      </c>
      <c r="J936" t="s">
        <v>4079</v>
      </c>
      <c r="K936" t="s">
        <v>24</v>
      </c>
      <c r="L936" t="s">
        <v>216</v>
      </c>
      <c r="M936" t="s">
        <v>1293</v>
      </c>
      <c r="N936" t="s">
        <v>256</v>
      </c>
      <c r="O936" t="s">
        <v>1293</v>
      </c>
      <c r="P936" t="s">
        <v>256</v>
      </c>
      <c r="Q936" t="s">
        <v>4080</v>
      </c>
      <c r="R936" t="s">
        <v>4081</v>
      </c>
      <c r="S936" t="s">
        <v>1471</v>
      </c>
      <c r="T936" t="s">
        <v>550</v>
      </c>
      <c r="U936" t="s">
        <v>550</v>
      </c>
      <c r="V936" t="s">
        <v>4082</v>
      </c>
      <c r="W936" t="s">
        <v>613</v>
      </c>
      <c r="X936" t="s">
        <v>267</v>
      </c>
      <c r="Y936" t="s">
        <v>3379</v>
      </c>
      <c r="Z936" t="s">
        <v>4075</v>
      </c>
    </row>
    <row r="937" spans="1:26" x14ac:dyDescent="0.3">
      <c r="A937" t="s">
        <v>525</v>
      </c>
      <c r="B937" t="s">
        <v>4083</v>
      </c>
      <c r="C937" t="s">
        <v>3379</v>
      </c>
      <c r="D937" t="s">
        <v>550</v>
      </c>
      <c r="E937" t="s">
        <v>664</v>
      </c>
      <c r="F937" t="s">
        <v>27</v>
      </c>
      <c r="G937" s="1">
        <v>45659</v>
      </c>
      <c r="H937" s="1">
        <v>45659</v>
      </c>
      <c r="I937" t="s">
        <v>780</v>
      </c>
      <c r="J937" t="s">
        <v>666</v>
      </c>
      <c r="K937" t="s">
        <v>24</v>
      </c>
      <c r="L937" t="s">
        <v>216</v>
      </c>
      <c r="M937" t="s">
        <v>1293</v>
      </c>
      <c r="N937" t="s">
        <v>256</v>
      </c>
      <c r="O937" t="s">
        <v>1293</v>
      </c>
      <c r="P937" t="s">
        <v>256</v>
      </c>
      <c r="Q937" t="s">
        <v>4080</v>
      </c>
      <c r="R937" t="s">
        <v>4081</v>
      </c>
      <c r="S937" t="s">
        <v>1471</v>
      </c>
      <c r="T937" t="s">
        <v>550</v>
      </c>
      <c r="U937" t="s">
        <v>550</v>
      </c>
      <c r="V937" t="s">
        <v>4084</v>
      </c>
      <c r="W937" t="s">
        <v>613</v>
      </c>
      <c r="X937" t="s">
        <v>267</v>
      </c>
      <c r="Y937" t="s">
        <v>3379</v>
      </c>
      <c r="Z937" t="s">
        <v>4083</v>
      </c>
    </row>
    <row r="938" spans="1:26" x14ac:dyDescent="0.3">
      <c r="A938" t="s">
        <v>525</v>
      </c>
      <c r="B938" t="s">
        <v>3377</v>
      </c>
      <c r="C938" t="s">
        <v>4085</v>
      </c>
      <c r="D938" t="s">
        <v>4083</v>
      </c>
      <c r="E938" t="s">
        <v>664</v>
      </c>
      <c r="F938" t="s">
        <v>27</v>
      </c>
      <c r="G938" s="1">
        <v>45658</v>
      </c>
      <c r="H938" s="1">
        <v>45661</v>
      </c>
      <c r="I938" t="s">
        <v>665</v>
      </c>
      <c r="J938" t="s">
        <v>666</v>
      </c>
      <c r="K938" t="s">
        <v>24</v>
      </c>
      <c r="L938" t="s">
        <v>216</v>
      </c>
      <c r="M938" t="s">
        <v>1293</v>
      </c>
      <c r="N938" t="s">
        <v>256</v>
      </c>
      <c r="O938" t="s">
        <v>1293</v>
      </c>
      <c r="P938" t="s">
        <v>256</v>
      </c>
      <c r="Q938" t="s">
        <v>4080</v>
      </c>
      <c r="R938" t="s">
        <v>4081</v>
      </c>
      <c r="S938" t="s">
        <v>1471</v>
      </c>
      <c r="T938" t="s">
        <v>550</v>
      </c>
      <c r="U938" t="s">
        <v>550</v>
      </c>
      <c r="V938" t="s">
        <v>4086</v>
      </c>
      <c r="W938" t="s">
        <v>613</v>
      </c>
      <c r="X938" t="s">
        <v>267</v>
      </c>
      <c r="Y938" t="s">
        <v>3379</v>
      </c>
      <c r="Z938" t="s">
        <v>3377</v>
      </c>
    </row>
    <row r="939" spans="1:26" x14ac:dyDescent="0.3">
      <c r="A939" t="s">
        <v>525</v>
      </c>
      <c r="B939" t="s">
        <v>4087</v>
      </c>
      <c r="C939" t="s">
        <v>4088</v>
      </c>
      <c r="D939" t="s">
        <v>1050</v>
      </c>
      <c r="E939" t="s">
        <v>664</v>
      </c>
      <c r="F939" t="s">
        <v>27</v>
      </c>
      <c r="G939" s="1">
        <v>45292</v>
      </c>
      <c r="H939" s="1">
        <v>45301</v>
      </c>
      <c r="I939" t="s">
        <v>665</v>
      </c>
      <c r="J939" t="s">
        <v>666</v>
      </c>
      <c r="K939" t="s">
        <v>24</v>
      </c>
      <c r="L939" t="s">
        <v>216</v>
      </c>
      <c r="M939" t="s">
        <v>1293</v>
      </c>
      <c r="N939" t="s">
        <v>256</v>
      </c>
      <c r="O939" t="s">
        <v>1293</v>
      </c>
      <c r="P939" t="s">
        <v>256</v>
      </c>
      <c r="Q939" t="s">
        <v>4080</v>
      </c>
      <c r="R939" t="s">
        <v>4081</v>
      </c>
      <c r="S939" t="s">
        <v>1471</v>
      </c>
      <c r="T939" t="s">
        <v>550</v>
      </c>
      <c r="U939" t="s">
        <v>550</v>
      </c>
      <c r="V939" t="s">
        <v>4089</v>
      </c>
      <c r="W939" t="s">
        <v>613</v>
      </c>
      <c r="X939" t="s">
        <v>267</v>
      </c>
      <c r="Z939" t="s">
        <v>4087</v>
      </c>
    </row>
    <row r="940" spans="1:26" x14ac:dyDescent="0.3">
      <c r="A940" t="s">
        <v>525</v>
      </c>
      <c r="B940" t="s">
        <v>4090</v>
      </c>
      <c r="C940" t="s">
        <v>4091</v>
      </c>
      <c r="D940" t="s">
        <v>1050</v>
      </c>
      <c r="E940" t="s">
        <v>664</v>
      </c>
      <c r="F940" t="s">
        <v>27</v>
      </c>
      <c r="G940" s="1">
        <v>45658</v>
      </c>
      <c r="H940" s="1">
        <v>45707</v>
      </c>
      <c r="I940" t="s">
        <v>665</v>
      </c>
      <c r="J940" t="s">
        <v>666</v>
      </c>
      <c r="K940" t="s">
        <v>24</v>
      </c>
      <c r="L940" t="s">
        <v>216</v>
      </c>
      <c r="M940" t="s">
        <v>1293</v>
      </c>
      <c r="N940" t="s">
        <v>256</v>
      </c>
      <c r="O940" t="s">
        <v>1293</v>
      </c>
      <c r="P940" t="s">
        <v>256</v>
      </c>
      <c r="Q940" t="s">
        <v>4080</v>
      </c>
      <c r="R940" t="s">
        <v>4081</v>
      </c>
      <c r="S940" t="s">
        <v>1471</v>
      </c>
      <c r="T940" t="s">
        <v>550</v>
      </c>
      <c r="U940" t="s">
        <v>550</v>
      </c>
      <c r="V940" t="s">
        <v>4092</v>
      </c>
      <c r="W940" t="s">
        <v>613</v>
      </c>
      <c r="X940" t="s">
        <v>267</v>
      </c>
      <c r="Z940" t="s">
        <v>4090</v>
      </c>
    </row>
    <row r="941" spans="1:26" x14ac:dyDescent="0.3">
      <c r="A941" t="s">
        <v>525</v>
      </c>
      <c r="B941" t="s">
        <v>4093</v>
      </c>
      <c r="C941" t="s">
        <v>4094</v>
      </c>
      <c r="D941" t="s">
        <v>1274</v>
      </c>
      <c r="E941" t="s">
        <v>1275</v>
      </c>
      <c r="F941" t="s">
        <v>1276</v>
      </c>
      <c r="G941" s="1">
        <v>45658</v>
      </c>
      <c r="H941" s="1">
        <v>45670</v>
      </c>
      <c r="I941" t="s">
        <v>665</v>
      </c>
      <c r="J941" t="s">
        <v>1277</v>
      </c>
      <c r="K941" t="s">
        <v>24</v>
      </c>
      <c r="L941" t="s">
        <v>216</v>
      </c>
      <c r="M941" t="s">
        <v>1293</v>
      </c>
      <c r="N941" t="s">
        <v>256</v>
      </c>
      <c r="O941" t="s">
        <v>1293</v>
      </c>
      <c r="P941" t="s">
        <v>256</v>
      </c>
      <c r="Q941" t="s">
        <v>4080</v>
      </c>
      <c r="R941" t="s">
        <v>4081</v>
      </c>
      <c r="S941" t="s">
        <v>1471</v>
      </c>
      <c r="T941" t="s">
        <v>550</v>
      </c>
      <c r="U941" t="s">
        <v>550</v>
      </c>
      <c r="V941" t="s">
        <v>4095</v>
      </c>
      <c r="W941" t="s">
        <v>613</v>
      </c>
      <c r="X941" t="s">
        <v>267</v>
      </c>
      <c r="Y941" t="s">
        <v>3342</v>
      </c>
      <c r="Z941" t="s">
        <v>4093</v>
      </c>
    </row>
    <row r="942" spans="1:26" x14ac:dyDescent="0.3">
      <c r="A942" t="s">
        <v>525</v>
      </c>
      <c r="B942" t="s">
        <v>4096</v>
      </c>
      <c r="C942" t="s">
        <v>4097</v>
      </c>
      <c r="D942" t="s">
        <v>550</v>
      </c>
      <c r="E942" t="s">
        <v>664</v>
      </c>
      <c r="F942" t="s">
        <v>27</v>
      </c>
      <c r="G942" s="1">
        <v>45659</v>
      </c>
      <c r="H942" s="1">
        <v>45659</v>
      </c>
      <c r="I942" t="s">
        <v>780</v>
      </c>
      <c r="J942" t="s">
        <v>666</v>
      </c>
      <c r="K942" t="s">
        <v>24</v>
      </c>
      <c r="L942" t="s">
        <v>216</v>
      </c>
      <c r="M942" t="s">
        <v>1293</v>
      </c>
      <c r="N942" t="s">
        <v>256</v>
      </c>
      <c r="O942" t="s">
        <v>1293</v>
      </c>
      <c r="P942" t="s">
        <v>256</v>
      </c>
      <c r="Q942" t="s">
        <v>4080</v>
      </c>
      <c r="R942" t="s">
        <v>4081</v>
      </c>
      <c r="S942" t="s">
        <v>783</v>
      </c>
      <c r="T942" t="s">
        <v>550</v>
      </c>
      <c r="U942" t="s">
        <v>550</v>
      </c>
      <c r="V942" t="s">
        <v>4098</v>
      </c>
      <c r="W942" t="s">
        <v>613</v>
      </c>
      <c r="X942" t="s">
        <v>267</v>
      </c>
      <c r="Y942" t="s">
        <v>3342</v>
      </c>
      <c r="Z942" t="s">
        <v>4096</v>
      </c>
    </row>
    <row r="943" spans="1:26" x14ac:dyDescent="0.3">
      <c r="A943" t="s">
        <v>525</v>
      </c>
      <c r="B943" t="s">
        <v>4099</v>
      </c>
      <c r="C943" t="s">
        <v>4100</v>
      </c>
      <c r="D943" t="s">
        <v>4096</v>
      </c>
      <c r="E943" t="s">
        <v>664</v>
      </c>
      <c r="F943" t="s">
        <v>27</v>
      </c>
      <c r="G943" s="1">
        <v>45658</v>
      </c>
      <c r="H943" s="1">
        <v>45660</v>
      </c>
      <c r="I943" t="s">
        <v>665</v>
      </c>
      <c r="J943" t="s">
        <v>666</v>
      </c>
      <c r="K943" t="s">
        <v>24</v>
      </c>
      <c r="L943" t="s">
        <v>216</v>
      </c>
      <c r="M943" t="s">
        <v>1293</v>
      </c>
      <c r="N943" t="s">
        <v>256</v>
      </c>
      <c r="O943" t="s">
        <v>1293</v>
      </c>
      <c r="P943" t="s">
        <v>256</v>
      </c>
      <c r="Q943" t="s">
        <v>4080</v>
      </c>
      <c r="R943" t="s">
        <v>4081</v>
      </c>
      <c r="S943" t="s">
        <v>783</v>
      </c>
      <c r="T943" t="s">
        <v>550</v>
      </c>
      <c r="U943" t="s">
        <v>550</v>
      </c>
      <c r="V943" t="s">
        <v>4101</v>
      </c>
      <c r="W943" t="s">
        <v>613</v>
      </c>
      <c r="X943" t="s">
        <v>267</v>
      </c>
      <c r="Y943" t="s">
        <v>3342</v>
      </c>
      <c r="Z943" t="s">
        <v>4099</v>
      </c>
    </row>
    <row r="944" spans="1:26" x14ac:dyDescent="0.3">
      <c r="A944" t="s">
        <v>525</v>
      </c>
      <c r="B944" t="s">
        <v>4102</v>
      </c>
      <c r="C944" t="s">
        <v>4103</v>
      </c>
      <c r="D944" t="s">
        <v>1085</v>
      </c>
      <c r="E944" t="s">
        <v>664</v>
      </c>
      <c r="F944" t="s">
        <v>27</v>
      </c>
      <c r="G944" s="1">
        <v>45658</v>
      </c>
      <c r="H944" s="1">
        <v>45680</v>
      </c>
      <c r="I944" t="s">
        <v>665</v>
      </c>
      <c r="J944" t="s">
        <v>666</v>
      </c>
      <c r="K944" t="s">
        <v>24</v>
      </c>
      <c r="L944" t="s">
        <v>216</v>
      </c>
      <c r="M944" t="s">
        <v>1293</v>
      </c>
      <c r="N944" t="s">
        <v>256</v>
      </c>
      <c r="O944" t="s">
        <v>1293</v>
      </c>
      <c r="P944" t="s">
        <v>256</v>
      </c>
      <c r="Q944" t="s">
        <v>4080</v>
      </c>
      <c r="R944" t="s">
        <v>4081</v>
      </c>
      <c r="S944" t="s">
        <v>1471</v>
      </c>
      <c r="T944" t="s">
        <v>550</v>
      </c>
      <c r="U944" t="s">
        <v>550</v>
      </c>
      <c r="V944" t="s">
        <v>4104</v>
      </c>
      <c r="W944" t="s">
        <v>1809</v>
      </c>
      <c r="X944" t="s">
        <v>272</v>
      </c>
      <c r="Y944" t="s">
        <v>273</v>
      </c>
      <c r="Z944" t="s">
        <v>4102</v>
      </c>
    </row>
    <row r="945" spans="1:26" x14ac:dyDescent="0.3">
      <c r="A945" t="s">
        <v>525</v>
      </c>
      <c r="B945" t="s">
        <v>4105</v>
      </c>
      <c r="C945" t="s">
        <v>4106</v>
      </c>
      <c r="D945" t="s">
        <v>1290</v>
      </c>
      <c r="E945" t="s">
        <v>1275</v>
      </c>
      <c r="F945" t="s">
        <v>1276</v>
      </c>
      <c r="G945" s="1">
        <v>45292</v>
      </c>
      <c r="H945" s="1">
        <v>45331</v>
      </c>
      <c r="I945" t="s">
        <v>665</v>
      </c>
      <c r="J945" t="s">
        <v>1277</v>
      </c>
      <c r="K945" t="s">
        <v>24</v>
      </c>
      <c r="L945" t="s">
        <v>216</v>
      </c>
      <c r="M945" t="s">
        <v>1293</v>
      </c>
      <c r="N945" t="s">
        <v>256</v>
      </c>
      <c r="O945" t="s">
        <v>1293</v>
      </c>
      <c r="P945" t="s">
        <v>256</v>
      </c>
      <c r="Q945" t="s">
        <v>4080</v>
      </c>
      <c r="R945" t="s">
        <v>4081</v>
      </c>
      <c r="S945" t="s">
        <v>1471</v>
      </c>
      <c r="T945" t="s">
        <v>550</v>
      </c>
      <c r="U945" t="s">
        <v>550</v>
      </c>
      <c r="V945" t="s">
        <v>4107</v>
      </c>
      <c r="W945" t="s">
        <v>613</v>
      </c>
      <c r="X945" t="s">
        <v>267</v>
      </c>
      <c r="Y945" t="s">
        <v>264</v>
      </c>
      <c r="Z945" t="s">
        <v>4105</v>
      </c>
    </row>
    <row r="946" spans="1:26" x14ac:dyDescent="0.3">
      <c r="A946" t="s">
        <v>525</v>
      </c>
      <c r="B946" t="s">
        <v>4108</v>
      </c>
      <c r="C946" t="s">
        <v>4109</v>
      </c>
      <c r="D946" t="s">
        <v>4105</v>
      </c>
      <c r="E946" t="s">
        <v>3368</v>
      </c>
      <c r="F946" t="s">
        <v>3369</v>
      </c>
      <c r="G946" s="1">
        <v>45538</v>
      </c>
      <c r="H946" s="1">
        <v>45538</v>
      </c>
      <c r="I946" t="s">
        <v>665</v>
      </c>
      <c r="J946" t="s">
        <v>3370</v>
      </c>
      <c r="K946" t="s">
        <v>24</v>
      </c>
      <c r="L946" t="s">
        <v>216</v>
      </c>
      <c r="M946" t="s">
        <v>1293</v>
      </c>
      <c r="N946" t="s">
        <v>256</v>
      </c>
      <c r="O946" t="s">
        <v>1293</v>
      </c>
      <c r="P946" t="s">
        <v>256</v>
      </c>
      <c r="Q946" t="s">
        <v>4080</v>
      </c>
      <c r="R946" t="s">
        <v>4081</v>
      </c>
      <c r="S946" t="s">
        <v>1471</v>
      </c>
      <c r="T946" t="s">
        <v>550</v>
      </c>
      <c r="U946" t="s">
        <v>550</v>
      </c>
      <c r="V946" t="s">
        <v>4110</v>
      </c>
      <c r="W946" t="s">
        <v>613</v>
      </c>
      <c r="X946" t="s">
        <v>267</v>
      </c>
      <c r="Y946" t="s">
        <v>264</v>
      </c>
      <c r="Z946" t="s">
        <v>4108</v>
      </c>
    </row>
    <row r="947" spans="1:26" x14ac:dyDescent="0.3">
      <c r="A947" t="s">
        <v>525</v>
      </c>
      <c r="B947" t="s">
        <v>4111</v>
      </c>
      <c r="C947" t="s">
        <v>4112</v>
      </c>
      <c r="D947" t="s">
        <v>4105</v>
      </c>
      <c r="E947" t="s">
        <v>4113</v>
      </c>
      <c r="F947" t="s">
        <v>4114</v>
      </c>
      <c r="G947" s="1">
        <v>45536</v>
      </c>
      <c r="H947" s="1">
        <v>45536</v>
      </c>
      <c r="I947" t="s">
        <v>665</v>
      </c>
      <c r="J947" t="s">
        <v>2589</v>
      </c>
      <c r="K947" t="s">
        <v>24</v>
      </c>
      <c r="L947" t="s">
        <v>216</v>
      </c>
      <c r="M947" t="s">
        <v>1293</v>
      </c>
      <c r="N947" t="s">
        <v>256</v>
      </c>
      <c r="O947" t="s">
        <v>1293</v>
      </c>
      <c r="P947" t="s">
        <v>256</v>
      </c>
      <c r="Q947" t="s">
        <v>4080</v>
      </c>
      <c r="R947" t="s">
        <v>4081</v>
      </c>
      <c r="S947" t="s">
        <v>1471</v>
      </c>
      <c r="T947" t="s">
        <v>550</v>
      </c>
      <c r="U947" t="s">
        <v>550</v>
      </c>
      <c r="V947" t="s">
        <v>4115</v>
      </c>
      <c r="W947" t="s">
        <v>613</v>
      </c>
      <c r="X947" t="s">
        <v>267</v>
      </c>
      <c r="Y947" t="s">
        <v>264</v>
      </c>
      <c r="Z947" t="s">
        <v>4111</v>
      </c>
    </row>
    <row r="948" spans="1:26" x14ac:dyDescent="0.3">
      <c r="A948" t="s">
        <v>525</v>
      </c>
      <c r="B948" t="s">
        <v>4116</v>
      </c>
      <c r="C948" t="s">
        <v>4117</v>
      </c>
      <c r="D948" t="s">
        <v>1274</v>
      </c>
      <c r="E948" t="s">
        <v>1275</v>
      </c>
      <c r="F948" t="s">
        <v>1276</v>
      </c>
      <c r="G948" s="1">
        <v>45292</v>
      </c>
      <c r="H948" s="1">
        <v>45316</v>
      </c>
      <c r="I948" t="s">
        <v>665</v>
      </c>
      <c r="J948" t="s">
        <v>1277</v>
      </c>
      <c r="K948" t="s">
        <v>24</v>
      </c>
      <c r="L948" t="s">
        <v>216</v>
      </c>
      <c r="M948" t="s">
        <v>1293</v>
      </c>
      <c r="N948" t="s">
        <v>256</v>
      </c>
      <c r="O948" t="s">
        <v>1293</v>
      </c>
      <c r="P948" t="s">
        <v>256</v>
      </c>
      <c r="Q948" t="s">
        <v>4080</v>
      </c>
      <c r="R948" t="s">
        <v>4081</v>
      </c>
      <c r="S948" t="s">
        <v>1471</v>
      </c>
      <c r="T948" t="s">
        <v>550</v>
      </c>
      <c r="U948" t="s">
        <v>550</v>
      </c>
      <c r="V948" t="s">
        <v>4118</v>
      </c>
      <c r="W948" t="s">
        <v>613</v>
      </c>
      <c r="X948" t="s">
        <v>267</v>
      </c>
      <c r="Y948" t="s">
        <v>264</v>
      </c>
      <c r="Z948" t="s">
        <v>4116</v>
      </c>
    </row>
    <row r="949" spans="1:26" x14ac:dyDescent="0.3">
      <c r="A949" t="s">
        <v>525</v>
      </c>
      <c r="B949" t="s">
        <v>4119</v>
      </c>
      <c r="C949" t="s">
        <v>4120</v>
      </c>
      <c r="D949" t="s">
        <v>1274</v>
      </c>
      <c r="E949" t="s">
        <v>1275</v>
      </c>
      <c r="F949" t="s">
        <v>1276</v>
      </c>
      <c r="G949" s="1">
        <v>45292</v>
      </c>
      <c r="H949" s="1">
        <v>45301</v>
      </c>
      <c r="I949" t="s">
        <v>665</v>
      </c>
      <c r="J949" t="s">
        <v>1277</v>
      </c>
      <c r="K949" t="s">
        <v>24</v>
      </c>
      <c r="L949" t="s">
        <v>216</v>
      </c>
      <c r="M949" t="s">
        <v>1293</v>
      </c>
      <c r="N949" t="s">
        <v>256</v>
      </c>
      <c r="O949" t="s">
        <v>1293</v>
      </c>
      <c r="P949" t="s">
        <v>256</v>
      </c>
      <c r="Q949" t="s">
        <v>4080</v>
      </c>
      <c r="R949" t="s">
        <v>4081</v>
      </c>
      <c r="S949" t="s">
        <v>1471</v>
      </c>
      <c r="T949" t="s">
        <v>550</v>
      </c>
      <c r="U949" t="s">
        <v>550</v>
      </c>
      <c r="V949" t="s">
        <v>4121</v>
      </c>
      <c r="W949" t="s">
        <v>613</v>
      </c>
      <c r="X949" t="s">
        <v>267</v>
      </c>
      <c r="Y949" t="s">
        <v>264</v>
      </c>
      <c r="Z949" t="s">
        <v>4119</v>
      </c>
    </row>
    <row r="950" spans="1:26" x14ac:dyDescent="0.3">
      <c r="A950" t="s">
        <v>525</v>
      </c>
      <c r="B950" t="s">
        <v>3358</v>
      </c>
      <c r="C950" t="s">
        <v>4122</v>
      </c>
      <c r="D950" t="s">
        <v>1290</v>
      </c>
      <c r="E950" t="s">
        <v>1275</v>
      </c>
      <c r="F950" t="s">
        <v>1276</v>
      </c>
      <c r="G950" s="1">
        <v>45658</v>
      </c>
      <c r="H950" s="1">
        <v>45682</v>
      </c>
      <c r="I950" t="s">
        <v>665</v>
      </c>
      <c r="J950" t="s">
        <v>1277</v>
      </c>
      <c r="K950" t="s">
        <v>24</v>
      </c>
      <c r="L950" t="s">
        <v>216</v>
      </c>
      <c r="M950" t="s">
        <v>1293</v>
      </c>
      <c r="N950" t="s">
        <v>256</v>
      </c>
      <c r="O950" t="s">
        <v>1293</v>
      </c>
      <c r="P950" t="s">
        <v>256</v>
      </c>
      <c r="Q950" t="s">
        <v>4080</v>
      </c>
      <c r="R950" t="s">
        <v>4081</v>
      </c>
      <c r="S950" t="s">
        <v>1471</v>
      </c>
      <c r="T950" t="s">
        <v>550</v>
      </c>
      <c r="U950" t="s">
        <v>550</v>
      </c>
      <c r="V950" t="s">
        <v>4123</v>
      </c>
      <c r="W950" t="s">
        <v>613</v>
      </c>
      <c r="X950" t="s">
        <v>267</v>
      </c>
      <c r="Y950" t="s">
        <v>3342</v>
      </c>
      <c r="Z950" t="s">
        <v>3358</v>
      </c>
    </row>
    <row r="951" spans="1:26" x14ac:dyDescent="0.3">
      <c r="A951" t="s">
        <v>525</v>
      </c>
      <c r="B951" t="s">
        <v>4124</v>
      </c>
      <c r="C951" t="s">
        <v>4125</v>
      </c>
      <c r="D951" t="s">
        <v>4126</v>
      </c>
      <c r="E951" t="s">
        <v>664</v>
      </c>
      <c r="F951" t="s">
        <v>27</v>
      </c>
      <c r="G951" s="1">
        <v>45292</v>
      </c>
      <c r="H951" s="1">
        <v>45294</v>
      </c>
      <c r="I951" t="s">
        <v>665</v>
      </c>
      <c r="J951" t="s">
        <v>666</v>
      </c>
      <c r="K951" t="s">
        <v>958</v>
      </c>
      <c r="L951" t="s">
        <v>216</v>
      </c>
      <c r="M951" t="s">
        <v>797</v>
      </c>
      <c r="N951" t="s">
        <v>313</v>
      </c>
      <c r="O951" t="s">
        <v>1293</v>
      </c>
      <c r="P951" t="s">
        <v>256</v>
      </c>
      <c r="Q951" t="s">
        <v>4080</v>
      </c>
      <c r="R951" t="s">
        <v>4081</v>
      </c>
      <c r="S951" t="s">
        <v>783</v>
      </c>
      <c r="T951" t="s">
        <v>550</v>
      </c>
      <c r="U951" t="s">
        <v>550</v>
      </c>
      <c r="V951" t="s">
        <v>4127</v>
      </c>
      <c r="W951" t="s">
        <v>1809</v>
      </c>
      <c r="X951" t="s">
        <v>272</v>
      </c>
      <c r="Y951" t="s">
        <v>273</v>
      </c>
      <c r="Z951" t="s">
        <v>4124</v>
      </c>
    </row>
    <row r="952" spans="1:26" x14ac:dyDescent="0.3">
      <c r="A952" t="s">
        <v>525</v>
      </c>
      <c r="B952" t="s">
        <v>4128</v>
      </c>
      <c r="C952" t="s">
        <v>4129</v>
      </c>
      <c r="D952" t="s">
        <v>3337</v>
      </c>
      <c r="E952" t="s">
        <v>2825</v>
      </c>
      <c r="F952" t="s">
        <v>2826</v>
      </c>
      <c r="G952" s="1">
        <v>45292</v>
      </c>
      <c r="H952" s="1">
        <v>45300</v>
      </c>
      <c r="I952" t="s">
        <v>665</v>
      </c>
      <c r="J952" t="s">
        <v>2827</v>
      </c>
      <c r="K952" t="s">
        <v>958</v>
      </c>
      <c r="L952" t="s">
        <v>216</v>
      </c>
      <c r="M952" t="s">
        <v>4130</v>
      </c>
      <c r="N952" t="s">
        <v>238</v>
      </c>
      <c r="O952" t="s">
        <v>1293</v>
      </c>
      <c r="P952" t="s">
        <v>256</v>
      </c>
      <c r="Q952" t="s">
        <v>4080</v>
      </c>
      <c r="R952" t="s">
        <v>4081</v>
      </c>
      <c r="S952" t="s">
        <v>783</v>
      </c>
      <c r="T952" t="s">
        <v>550</v>
      </c>
      <c r="U952" t="s">
        <v>550</v>
      </c>
      <c r="V952" t="s">
        <v>4131</v>
      </c>
      <c r="W952" t="s">
        <v>1809</v>
      </c>
      <c r="X952" t="s">
        <v>272</v>
      </c>
      <c r="Y952" t="s">
        <v>273</v>
      </c>
      <c r="Z952" t="s">
        <v>4128</v>
      </c>
    </row>
    <row r="953" spans="1:26" x14ac:dyDescent="0.3">
      <c r="A953" t="s">
        <v>525</v>
      </c>
      <c r="B953" t="s">
        <v>4132</v>
      </c>
      <c r="C953" t="s">
        <v>4133</v>
      </c>
      <c r="D953" t="s">
        <v>1008</v>
      </c>
      <c r="E953" t="s">
        <v>664</v>
      </c>
      <c r="F953" t="s">
        <v>27</v>
      </c>
      <c r="G953" s="1">
        <v>45292</v>
      </c>
      <c r="H953" s="1">
        <v>45292</v>
      </c>
      <c r="I953" t="s">
        <v>665</v>
      </c>
      <c r="J953" t="s">
        <v>666</v>
      </c>
      <c r="K953" t="s">
        <v>24</v>
      </c>
      <c r="L953" t="s">
        <v>217</v>
      </c>
      <c r="M953" t="s">
        <v>4134</v>
      </c>
      <c r="N953" t="s">
        <v>230</v>
      </c>
      <c r="O953" t="s">
        <v>1293</v>
      </c>
      <c r="P953" t="s">
        <v>256</v>
      </c>
      <c r="Q953" t="s">
        <v>4080</v>
      </c>
      <c r="R953" t="s">
        <v>4081</v>
      </c>
      <c r="S953" t="s">
        <v>783</v>
      </c>
      <c r="T953" t="s">
        <v>550</v>
      </c>
      <c r="U953" t="s">
        <v>550</v>
      </c>
      <c r="V953" t="s">
        <v>4135</v>
      </c>
      <c r="W953" t="s">
        <v>613</v>
      </c>
      <c r="X953" t="s">
        <v>267</v>
      </c>
      <c r="Z953" t="s">
        <v>4132</v>
      </c>
    </row>
    <row r="954" spans="1:26" x14ac:dyDescent="0.3">
      <c r="A954" t="s">
        <v>525</v>
      </c>
      <c r="B954" t="s">
        <v>4136</v>
      </c>
      <c r="C954" t="s">
        <v>4137</v>
      </c>
      <c r="D954" t="s">
        <v>2824</v>
      </c>
      <c r="E954" t="s">
        <v>2825</v>
      </c>
      <c r="F954" t="s">
        <v>2826</v>
      </c>
      <c r="G954" s="1">
        <v>45658</v>
      </c>
      <c r="H954" s="1">
        <v>45659</v>
      </c>
      <c r="I954" t="s">
        <v>665</v>
      </c>
      <c r="J954" t="s">
        <v>2827</v>
      </c>
      <c r="K954" t="s">
        <v>958</v>
      </c>
      <c r="L954" t="s">
        <v>216</v>
      </c>
      <c r="M954" t="s">
        <v>1293</v>
      </c>
      <c r="N954" t="s">
        <v>256</v>
      </c>
      <c r="O954" t="s">
        <v>1293</v>
      </c>
      <c r="P954" t="s">
        <v>256</v>
      </c>
      <c r="Q954" t="s">
        <v>4080</v>
      </c>
      <c r="R954" t="s">
        <v>4081</v>
      </c>
      <c r="S954" t="s">
        <v>783</v>
      </c>
      <c r="T954" t="s">
        <v>550</v>
      </c>
      <c r="U954" t="s">
        <v>550</v>
      </c>
      <c r="V954" t="s">
        <v>4138</v>
      </c>
      <c r="W954" t="s">
        <v>1809</v>
      </c>
      <c r="X954" t="s">
        <v>272</v>
      </c>
      <c r="Y954" t="s">
        <v>273</v>
      </c>
      <c r="Z954" t="s">
        <v>4136</v>
      </c>
    </row>
    <row r="955" spans="1:26" x14ac:dyDescent="0.3">
      <c r="A955" t="s">
        <v>525</v>
      </c>
      <c r="B955" t="s">
        <v>4139</v>
      </c>
      <c r="C955" t="s">
        <v>4140</v>
      </c>
      <c r="D955" t="s">
        <v>550</v>
      </c>
      <c r="E955" t="s">
        <v>1318</v>
      </c>
      <c r="F955" t="s">
        <v>1319</v>
      </c>
      <c r="G955" s="1">
        <v>45444</v>
      </c>
      <c r="H955" s="1">
        <v>45444</v>
      </c>
      <c r="I955" t="s">
        <v>780</v>
      </c>
      <c r="J955" t="s">
        <v>1320</v>
      </c>
      <c r="K955" t="s">
        <v>24</v>
      </c>
      <c r="L955" t="s">
        <v>216</v>
      </c>
      <c r="M955" t="s">
        <v>1839</v>
      </c>
      <c r="N955" t="s">
        <v>222</v>
      </c>
      <c r="O955" t="s">
        <v>1293</v>
      </c>
      <c r="P955" t="s">
        <v>256</v>
      </c>
      <c r="Q955" t="s">
        <v>4080</v>
      </c>
      <c r="R955" t="s">
        <v>4081</v>
      </c>
      <c r="S955" t="s">
        <v>783</v>
      </c>
      <c r="T955" t="s">
        <v>550</v>
      </c>
      <c r="U955" t="s">
        <v>550</v>
      </c>
      <c r="V955" t="s">
        <v>4141</v>
      </c>
      <c r="W955" t="s">
        <v>1809</v>
      </c>
      <c r="X955" t="s">
        <v>272</v>
      </c>
      <c r="Y955" t="s">
        <v>273</v>
      </c>
      <c r="Z955" t="s">
        <v>4139</v>
      </c>
    </row>
    <row r="956" spans="1:26" x14ac:dyDescent="0.3">
      <c r="A956" t="s">
        <v>525</v>
      </c>
      <c r="B956" t="s">
        <v>4142</v>
      </c>
      <c r="C956" t="s">
        <v>4143</v>
      </c>
      <c r="D956" t="s">
        <v>4139</v>
      </c>
      <c r="E956" t="s">
        <v>1318</v>
      </c>
      <c r="F956" t="s">
        <v>1319</v>
      </c>
      <c r="G956" s="1">
        <v>45444</v>
      </c>
      <c r="H956" s="1">
        <v>45460</v>
      </c>
      <c r="I956" t="s">
        <v>665</v>
      </c>
      <c r="J956" t="s">
        <v>666</v>
      </c>
      <c r="K956" t="s">
        <v>24</v>
      </c>
      <c r="L956" t="s">
        <v>216</v>
      </c>
      <c r="M956" t="s">
        <v>1839</v>
      </c>
      <c r="N956" t="s">
        <v>222</v>
      </c>
      <c r="O956" t="s">
        <v>1293</v>
      </c>
      <c r="P956" t="s">
        <v>256</v>
      </c>
      <c r="Q956" t="s">
        <v>4080</v>
      </c>
      <c r="R956" t="s">
        <v>4081</v>
      </c>
      <c r="S956" t="s">
        <v>783</v>
      </c>
      <c r="T956" t="s">
        <v>550</v>
      </c>
      <c r="U956" t="s">
        <v>550</v>
      </c>
      <c r="V956" t="s">
        <v>4144</v>
      </c>
      <c r="W956" t="s">
        <v>1809</v>
      </c>
      <c r="X956" t="s">
        <v>272</v>
      </c>
      <c r="Y956" t="s">
        <v>273</v>
      </c>
      <c r="Z956" t="s">
        <v>4142</v>
      </c>
    </row>
    <row r="957" spans="1:26" x14ac:dyDescent="0.3">
      <c r="A957" t="s">
        <v>525</v>
      </c>
      <c r="B957" t="s">
        <v>4145</v>
      </c>
      <c r="C957" t="s">
        <v>4146</v>
      </c>
      <c r="D957" t="s">
        <v>4142</v>
      </c>
      <c r="E957" t="s">
        <v>1318</v>
      </c>
      <c r="F957" t="s">
        <v>1319</v>
      </c>
      <c r="G957" s="1">
        <v>45621</v>
      </c>
      <c r="H957" s="1">
        <v>45621</v>
      </c>
      <c r="I957" t="s">
        <v>665</v>
      </c>
      <c r="J957" t="s">
        <v>1320</v>
      </c>
      <c r="K957" t="s">
        <v>24</v>
      </c>
      <c r="L957" t="s">
        <v>216</v>
      </c>
      <c r="M957" t="s">
        <v>1839</v>
      </c>
      <c r="N957" t="s">
        <v>222</v>
      </c>
      <c r="O957" t="s">
        <v>1293</v>
      </c>
      <c r="P957" t="s">
        <v>256</v>
      </c>
      <c r="Q957" t="s">
        <v>4080</v>
      </c>
      <c r="R957" t="s">
        <v>4081</v>
      </c>
      <c r="S957" t="s">
        <v>783</v>
      </c>
      <c r="T957" t="s">
        <v>550</v>
      </c>
      <c r="U957" t="s">
        <v>550</v>
      </c>
      <c r="V957" t="s">
        <v>4147</v>
      </c>
      <c r="W957" t="s">
        <v>1809</v>
      </c>
      <c r="X957" t="s">
        <v>272</v>
      </c>
      <c r="Y957" t="s">
        <v>273</v>
      </c>
      <c r="Z957" t="s">
        <v>4145</v>
      </c>
    </row>
    <row r="958" spans="1:26" x14ac:dyDescent="0.3">
      <c r="A958" t="s">
        <v>525</v>
      </c>
      <c r="B958" t="s">
        <v>4148</v>
      </c>
      <c r="C958" t="s">
        <v>4149</v>
      </c>
      <c r="D958" t="s">
        <v>2824</v>
      </c>
      <c r="E958" t="s">
        <v>2825</v>
      </c>
      <c r="F958" t="s">
        <v>2826</v>
      </c>
      <c r="G958" s="1">
        <v>45292</v>
      </c>
      <c r="H958" s="1">
        <v>45316</v>
      </c>
      <c r="I958" t="s">
        <v>665</v>
      </c>
      <c r="J958" t="s">
        <v>2827</v>
      </c>
      <c r="K958" t="s">
        <v>958</v>
      </c>
      <c r="L958" t="s">
        <v>216</v>
      </c>
      <c r="M958" t="s">
        <v>1030</v>
      </c>
      <c r="N958" t="s">
        <v>255</v>
      </c>
      <c r="O958" t="s">
        <v>1293</v>
      </c>
      <c r="P958" t="s">
        <v>256</v>
      </c>
      <c r="Q958" t="s">
        <v>4080</v>
      </c>
      <c r="R958" t="s">
        <v>4081</v>
      </c>
      <c r="S958" t="s">
        <v>783</v>
      </c>
      <c r="T958" t="s">
        <v>550</v>
      </c>
      <c r="U958" t="s">
        <v>550</v>
      </c>
      <c r="V958" t="s">
        <v>4150</v>
      </c>
      <c r="W958" t="s">
        <v>1809</v>
      </c>
      <c r="X958" t="s">
        <v>272</v>
      </c>
      <c r="Y958" t="s">
        <v>273</v>
      </c>
      <c r="Z958" t="s">
        <v>4148</v>
      </c>
    </row>
    <row r="959" spans="1:26" x14ac:dyDescent="0.3">
      <c r="A959" t="s">
        <v>525</v>
      </c>
      <c r="B959" t="s">
        <v>4151</v>
      </c>
      <c r="C959" t="s">
        <v>4152</v>
      </c>
      <c r="D959" t="s">
        <v>3333</v>
      </c>
      <c r="E959" t="s">
        <v>1318</v>
      </c>
      <c r="F959" t="s">
        <v>1319</v>
      </c>
      <c r="G959" s="1">
        <v>45292</v>
      </c>
      <c r="H959" s="1">
        <v>45332</v>
      </c>
      <c r="I959" t="s">
        <v>665</v>
      </c>
      <c r="J959" t="s">
        <v>1320</v>
      </c>
      <c r="K959" t="s">
        <v>958</v>
      </c>
      <c r="L959" t="s">
        <v>216</v>
      </c>
      <c r="M959" t="s">
        <v>1839</v>
      </c>
      <c r="N959" t="s">
        <v>222</v>
      </c>
      <c r="O959" t="s">
        <v>1293</v>
      </c>
      <c r="P959" t="s">
        <v>256</v>
      </c>
      <c r="Q959" t="s">
        <v>4080</v>
      </c>
      <c r="R959" t="s">
        <v>4081</v>
      </c>
      <c r="S959" t="s">
        <v>783</v>
      </c>
      <c r="T959" t="s">
        <v>550</v>
      </c>
      <c r="U959" t="s">
        <v>550</v>
      </c>
      <c r="V959" t="s">
        <v>4153</v>
      </c>
      <c r="W959" t="s">
        <v>1809</v>
      </c>
      <c r="X959" t="s">
        <v>272</v>
      </c>
      <c r="Y959" t="s">
        <v>273</v>
      </c>
      <c r="Z959" t="s">
        <v>4151</v>
      </c>
    </row>
    <row r="960" spans="1:26" x14ac:dyDescent="0.3">
      <c r="A960" t="s">
        <v>525</v>
      </c>
      <c r="B960" t="s">
        <v>4154</v>
      </c>
      <c r="C960" t="s">
        <v>4155</v>
      </c>
      <c r="D960" t="s">
        <v>3333</v>
      </c>
      <c r="E960" t="s">
        <v>1318</v>
      </c>
      <c r="F960" t="s">
        <v>1319</v>
      </c>
      <c r="G960" s="1">
        <v>45658</v>
      </c>
      <c r="H960" s="1">
        <v>45665</v>
      </c>
      <c r="I960" t="s">
        <v>665</v>
      </c>
      <c r="J960" t="s">
        <v>1320</v>
      </c>
      <c r="K960" t="s">
        <v>958</v>
      </c>
      <c r="L960" t="s">
        <v>216</v>
      </c>
      <c r="M960" t="s">
        <v>1839</v>
      </c>
      <c r="N960" t="s">
        <v>222</v>
      </c>
      <c r="O960" t="s">
        <v>1293</v>
      </c>
      <c r="P960" t="s">
        <v>256</v>
      </c>
      <c r="Q960" t="s">
        <v>4080</v>
      </c>
      <c r="R960" t="s">
        <v>4081</v>
      </c>
      <c r="S960" t="s">
        <v>783</v>
      </c>
      <c r="T960" t="s">
        <v>550</v>
      </c>
      <c r="U960" t="s">
        <v>550</v>
      </c>
      <c r="V960" t="s">
        <v>4156</v>
      </c>
      <c r="W960" t="s">
        <v>1809</v>
      </c>
      <c r="X960" t="s">
        <v>272</v>
      </c>
      <c r="Y960" t="s">
        <v>273</v>
      </c>
      <c r="Z960" t="s">
        <v>4154</v>
      </c>
    </row>
    <row r="961" spans="1:26" x14ac:dyDescent="0.3">
      <c r="A961" t="s">
        <v>525</v>
      </c>
      <c r="B961" t="s">
        <v>4157</v>
      </c>
      <c r="C961" t="s">
        <v>4158</v>
      </c>
      <c r="D961" t="s">
        <v>1822</v>
      </c>
      <c r="E961" t="s">
        <v>1813</v>
      </c>
      <c r="F961" t="s">
        <v>1339</v>
      </c>
      <c r="G961" s="1">
        <v>45292</v>
      </c>
      <c r="H961" s="1">
        <v>45292</v>
      </c>
      <c r="I961" t="s">
        <v>665</v>
      </c>
      <c r="J961" t="s">
        <v>1814</v>
      </c>
      <c r="K961" t="s">
        <v>958</v>
      </c>
      <c r="L961" t="s">
        <v>216</v>
      </c>
      <c r="M961" t="s">
        <v>3329</v>
      </c>
      <c r="N961" t="s">
        <v>269</v>
      </c>
      <c r="O961" t="s">
        <v>1293</v>
      </c>
      <c r="P961" t="s">
        <v>256</v>
      </c>
      <c r="Q961" t="s">
        <v>4080</v>
      </c>
      <c r="R961" t="s">
        <v>4081</v>
      </c>
      <c r="S961" t="s">
        <v>783</v>
      </c>
      <c r="T961" t="s">
        <v>550</v>
      </c>
      <c r="U961" t="s">
        <v>550</v>
      </c>
      <c r="V961" t="s">
        <v>4159</v>
      </c>
      <c r="W961" t="s">
        <v>1809</v>
      </c>
      <c r="X961" t="s">
        <v>272</v>
      </c>
      <c r="Y961" t="s">
        <v>273</v>
      </c>
      <c r="Z961" t="s">
        <v>4157</v>
      </c>
    </row>
    <row r="962" spans="1:26" x14ac:dyDescent="0.3">
      <c r="A962" t="s">
        <v>525</v>
      </c>
      <c r="B962" t="s">
        <v>4160</v>
      </c>
      <c r="C962" t="s">
        <v>4161</v>
      </c>
      <c r="D962" t="s">
        <v>1336</v>
      </c>
      <c r="E962" t="s">
        <v>1338</v>
      </c>
      <c r="F962" t="s">
        <v>1339</v>
      </c>
      <c r="G962" s="1">
        <v>45292</v>
      </c>
      <c r="H962" s="1">
        <v>45296</v>
      </c>
      <c r="I962" t="s">
        <v>665</v>
      </c>
      <c r="J962" t="s">
        <v>1340</v>
      </c>
      <c r="K962" t="s">
        <v>958</v>
      </c>
      <c r="L962" t="s">
        <v>216</v>
      </c>
      <c r="M962" t="s">
        <v>3329</v>
      </c>
      <c r="N962" t="s">
        <v>269</v>
      </c>
      <c r="O962" t="s">
        <v>1293</v>
      </c>
      <c r="P962" t="s">
        <v>256</v>
      </c>
      <c r="Q962" t="s">
        <v>4080</v>
      </c>
      <c r="R962" t="s">
        <v>4081</v>
      </c>
      <c r="S962" t="s">
        <v>783</v>
      </c>
      <c r="T962" t="s">
        <v>550</v>
      </c>
      <c r="U962" t="s">
        <v>550</v>
      </c>
      <c r="V962" t="s">
        <v>4162</v>
      </c>
      <c r="W962" t="s">
        <v>1809</v>
      </c>
      <c r="X962" t="s">
        <v>272</v>
      </c>
      <c r="Y962" t="s">
        <v>273</v>
      </c>
      <c r="Z962" t="s">
        <v>4160</v>
      </c>
    </row>
    <row r="963" spans="1:26" x14ac:dyDescent="0.3">
      <c r="A963" t="s">
        <v>525</v>
      </c>
      <c r="B963" t="s">
        <v>2222</v>
      </c>
      <c r="C963" t="s">
        <v>4163</v>
      </c>
      <c r="D963" t="s">
        <v>550</v>
      </c>
      <c r="E963" t="s">
        <v>664</v>
      </c>
      <c r="F963" t="s">
        <v>27</v>
      </c>
      <c r="G963" s="1">
        <v>44562</v>
      </c>
      <c r="H963" s="1">
        <v>44562</v>
      </c>
      <c r="I963" t="s">
        <v>780</v>
      </c>
      <c r="J963" t="s">
        <v>666</v>
      </c>
      <c r="K963" t="s">
        <v>24</v>
      </c>
      <c r="L963" t="s">
        <v>901</v>
      </c>
      <c r="M963" t="s">
        <v>985</v>
      </c>
      <c r="N963" t="s">
        <v>986</v>
      </c>
      <c r="O963" t="s">
        <v>891</v>
      </c>
      <c r="P963" t="s">
        <v>892</v>
      </c>
      <c r="Q963" t="s">
        <v>4080</v>
      </c>
      <c r="R963" t="s">
        <v>4081</v>
      </c>
      <c r="S963" t="s">
        <v>783</v>
      </c>
      <c r="T963" t="s">
        <v>550</v>
      </c>
      <c r="U963" t="s">
        <v>550</v>
      </c>
      <c r="V963" t="s">
        <v>4164</v>
      </c>
      <c r="W963" t="s">
        <v>988</v>
      </c>
      <c r="X963" t="s">
        <v>979</v>
      </c>
      <c r="Y963" t="s">
        <v>803</v>
      </c>
      <c r="Z963" t="s">
        <v>2222</v>
      </c>
    </row>
    <row r="964" spans="1:26" x14ac:dyDescent="0.3">
      <c r="A964" t="s">
        <v>525</v>
      </c>
      <c r="B964" t="s">
        <v>4165</v>
      </c>
      <c r="C964" t="s">
        <v>4166</v>
      </c>
      <c r="D964" t="s">
        <v>2222</v>
      </c>
      <c r="E964" t="s">
        <v>664</v>
      </c>
      <c r="F964" t="s">
        <v>27</v>
      </c>
      <c r="G964" s="1">
        <v>44562</v>
      </c>
      <c r="H964" s="1">
        <v>44562</v>
      </c>
      <c r="I964" t="s">
        <v>665</v>
      </c>
      <c r="J964" t="s">
        <v>666</v>
      </c>
      <c r="K964" t="s">
        <v>24</v>
      </c>
      <c r="L964" t="s">
        <v>901</v>
      </c>
      <c r="M964" t="s">
        <v>985</v>
      </c>
      <c r="N964" t="s">
        <v>986</v>
      </c>
      <c r="O964" t="s">
        <v>891</v>
      </c>
      <c r="P964" t="s">
        <v>892</v>
      </c>
      <c r="Q964" t="s">
        <v>4080</v>
      </c>
      <c r="R964" t="s">
        <v>4081</v>
      </c>
      <c r="S964" t="s">
        <v>783</v>
      </c>
      <c r="T964" t="s">
        <v>550</v>
      </c>
      <c r="U964" t="s">
        <v>550</v>
      </c>
      <c r="V964" t="s">
        <v>4167</v>
      </c>
      <c r="W964" t="s">
        <v>988</v>
      </c>
      <c r="X964" t="s">
        <v>979</v>
      </c>
      <c r="Y964" t="s">
        <v>803</v>
      </c>
      <c r="Z964" t="s">
        <v>4165</v>
      </c>
    </row>
    <row r="965" spans="1:26" x14ac:dyDescent="0.3">
      <c r="A965" t="s">
        <v>525</v>
      </c>
      <c r="B965" t="s">
        <v>4168</v>
      </c>
      <c r="C965" t="s">
        <v>4169</v>
      </c>
      <c r="D965" t="s">
        <v>2222</v>
      </c>
      <c r="E965" t="s">
        <v>982</v>
      </c>
      <c r="F965" t="s">
        <v>983</v>
      </c>
      <c r="G965" s="1">
        <v>44927</v>
      </c>
      <c r="H965" s="1">
        <v>44927</v>
      </c>
      <c r="I965" t="s">
        <v>665</v>
      </c>
      <c r="J965" t="s">
        <v>666</v>
      </c>
      <c r="K965" t="s">
        <v>900</v>
      </c>
      <c r="L965" t="s">
        <v>901</v>
      </c>
      <c r="M965" t="s">
        <v>985</v>
      </c>
      <c r="N965" t="s">
        <v>986</v>
      </c>
      <c r="O965" t="s">
        <v>891</v>
      </c>
      <c r="P965" t="s">
        <v>892</v>
      </c>
      <c r="Q965" t="s">
        <v>4080</v>
      </c>
      <c r="R965" t="s">
        <v>4081</v>
      </c>
      <c r="S965" t="s">
        <v>783</v>
      </c>
      <c r="T965" t="s">
        <v>550</v>
      </c>
      <c r="U965" t="s">
        <v>4170</v>
      </c>
      <c r="V965" t="s">
        <v>4171</v>
      </c>
      <c r="W965" t="s">
        <v>988</v>
      </c>
      <c r="X965" t="s">
        <v>979</v>
      </c>
      <c r="Y965" t="s">
        <v>803</v>
      </c>
      <c r="Z965" t="s">
        <v>4168</v>
      </c>
    </row>
    <row r="966" spans="1:26" x14ac:dyDescent="0.3">
      <c r="A966" t="s">
        <v>525</v>
      </c>
      <c r="B966" t="s">
        <v>4172</v>
      </c>
      <c r="C966" t="s">
        <v>4173</v>
      </c>
      <c r="D966" t="s">
        <v>3351</v>
      </c>
      <c r="E966" t="s">
        <v>1318</v>
      </c>
      <c r="F966" t="s">
        <v>1319</v>
      </c>
      <c r="G966" s="1">
        <v>45292</v>
      </c>
      <c r="H966" s="1">
        <v>45292</v>
      </c>
      <c r="I966" t="s">
        <v>665</v>
      </c>
      <c r="J966" t="s">
        <v>1320</v>
      </c>
      <c r="K966" t="s">
        <v>958</v>
      </c>
      <c r="L966" t="s">
        <v>216</v>
      </c>
      <c r="M966" t="s">
        <v>3329</v>
      </c>
      <c r="N966" t="s">
        <v>269</v>
      </c>
      <c r="O966" t="s">
        <v>1293</v>
      </c>
      <c r="P966" t="s">
        <v>256</v>
      </c>
      <c r="Q966" t="s">
        <v>4080</v>
      </c>
      <c r="R966" t="s">
        <v>4081</v>
      </c>
      <c r="S966" t="s">
        <v>783</v>
      </c>
      <c r="T966" t="s">
        <v>550</v>
      </c>
      <c r="U966" t="s">
        <v>550</v>
      </c>
      <c r="V966" t="s">
        <v>4174</v>
      </c>
      <c r="W966" t="s">
        <v>1809</v>
      </c>
      <c r="X966" t="s">
        <v>272</v>
      </c>
      <c r="Y966" t="s">
        <v>273</v>
      </c>
      <c r="Z966" t="s">
        <v>4172</v>
      </c>
    </row>
    <row r="967" spans="1:26" x14ac:dyDescent="0.3">
      <c r="A967" t="s">
        <v>525</v>
      </c>
      <c r="B967" t="s">
        <v>4175</v>
      </c>
      <c r="C967" t="s">
        <v>4176</v>
      </c>
      <c r="D967" t="s">
        <v>1767</v>
      </c>
      <c r="E967" t="s">
        <v>664</v>
      </c>
      <c r="F967" t="s">
        <v>27</v>
      </c>
      <c r="G967" s="1">
        <v>44562</v>
      </c>
      <c r="H967" s="1">
        <v>44562</v>
      </c>
      <c r="I967" t="s">
        <v>665</v>
      </c>
      <c r="J967" t="s">
        <v>666</v>
      </c>
      <c r="K967" t="s">
        <v>900</v>
      </c>
      <c r="L967" t="s">
        <v>1010</v>
      </c>
      <c r="M967" t="s">
        <v>985</v>
      </c>
      <c r="N967" t="s">
        <v>986</v>
      </c>
      <c r="O967" t="s">
        <v>891</v>
      </c>
      <c r="P967" t="s">
        <v>892</v>
      </c>
      <c r="Q967" t="s">
        <v>4080</v>
      </c>
      <c r="R967" t="s">
        <v>4081</v>
      </c>
      <c r="S967" t="s">
        <v>783</v>
      </c>
      <c r="T967" t="s">
        <v>550</v>
      </c>
      <c r="U967" t="s">
        <v>550</v>
      </c>
      <c r="V967" t="s">
        <v>4177</v>
      </c>
      <c r="W967" t="s">
        <v>988</v>
      </c>
      <c r="X967" t="s">
        <v>669</v>
      </c>
      <c r="Y967" t="s">
        <v>856</v>
      </c>
      <c r="Z967" t="s">
        <v>4175</v>
      </c>
    </row>
    <row r="968" spans="1:26" x14ac:dyDescent="0.3">
      <c r="A968" t="s">
        <v>525</v>
      </c>
      <c r="B968" t="s">
        <v>4178</v>
      </c>
      <c r="C968" t="s">
        <v>4179</v>
      </c>
      <c r="D968" t="s">
        <v>1767</v>
      </c>
      <c r="E968" t="s">
        <v>664</v>
      </c>
      <c r="F968" t="s">
        <v>27</v>
      </c>
      <c r="G968" s="1">
        <v>44927</v>
      </c>
      <c r="H968" s="1">
        <v>44927</v>
      </c>
      <c r="I968" t="s">
        <v>665</v>
      </c>
      <c r="J968" t="s">
        <v>666</v>
      </c>
      <c r="K968" t="s">
        <v>900</v>
      </c>
      <c r="L968" t="s">
        <v>667</v>
      </c>
      <c r="M968" t="s">
        <v>985</v>
      </c>
      <c r="N968" t="s">
        <v>986</v>
      </c>
      <c r="O968" t="s">
        <v>891</v>
      </c>
      <c r="P968" t="s">
        <v>892</v>
      </c>
      <c r="Q968" t="s">
        <v>4080</v>
      </c>
      <c r="R968" t="s">
        <v>4081</v>
      </c>
      <c r="S968" t="s">
        <v>783</v>
      </c>
      <c r="T968" t="s">
        <v>550</v>
      </c>
      <c r="U968" t="s">
        <v>4170</v>
      </c>
      <c r="V968" t="s">
        <v>4180</v>
      </c>
      <c r="W968" t="s">
        <v>4181</v>
      </c>
      <c r="X968" t="s">
        <v>979</v>
      </c>
      <c r="Y968" t="s">
        <v>803</v>
      </c>
      <c r="Z968" t="s">
        <v>4178</v>
      </c>
    </row>
    <row r="969" spans="1:26" x14ac:dyDescent="0.3">
      <c r="A969" t="s">
        <v>525</v>
      </c>
      <c r="B969" t="s">
        <v>4182</v>
      </c>
      <c r="C969" t="s">
        <v>4183</v>
      </c>
      <c r="D969" t="s">
        <v>1772</v>
      </c>
      <c r="E969" t="s">
        <v>664</v>
      </c>
      <c r="F969" t="s">
        <v>27</v>
      </c>
      <c r="G969" s="1">
        <v>44562</v>
      </c>
      <c r="H969" s="1">
        <v>44562</v>
      </c>
      <c r="I969" t="s">
        <v>665</v>
      </c>
      <c r="J969" t="s">
        <v>666</v>
      </c>
      <c r="K969" t="s">
        <v>24</v>
      </c>
      <c r="L969" t="s">
        <v>1010</v>
      </c>
      <c r="M969" t="s">
        <v>1770</v>
      </c>
      <c r="N969" t="s">
        <v>283</v>
      </c>
      <c r="O969" t="s">
        <v>891</v>
      </c>
      <c r="P969" t="s">
        <v>892</v>
      </c>
      <c r="Q969" t="s">
        <v>4080</v>
      </c>
      <c r="R969" t="s">
        <v>4081</v>
      </c>
      <c r="S969" t="s">
        <v>783</v>
      </c>
      <c r="T969" t="s">
        <v>550</v>
      </c>
      <c r="U969" t="s">
        <v>550</v>
      </c>
      <c r="V969" t="s">
        <v>4184</v>
      </c>
      <c r="W969" t="s">
        <v>565</v>
      </c>
      <c r="X969" t="s">
        <v>669</v>
      </c>
      <c r="Y969" t="s">
        <v>856</v>
      </c>
      <c r="Z969" t="s">
        <v>4182</v>
      </c>
    </row>
    <row r="970" spans="1:26" x14ac:dyDescent="0.3">
      <c r="A970" t="s">
        <v>525</v>
      </c>
      <c r="B970" t="s">
        <v>4185</v>
      </c>
      <c r="C970" t="s">
        <v>4186</v>
      </c>
      <c r="D970" t="s">
        <v>1772</v>
      </c>
      <c r="E970" t="s">
        <v>664</v>
      </c>
      <c r="F970" t="s">
        <v>27</v>
      </c>
      <c r="G970" s="1">
        <v>44927</v>
      </c>
      <c r="H970" s="1">
        <v>44964</v>
      </c>
      <c r="I970" t="s">
        <v>665</v>
      </c>
      <c r="J970" t="s">
        <v>666</v>
      </c>
      <c r="K970" t="s">
        <v>24</v>
      </c>
      <c r="L970" t="s">
        <v>667</v>
      </c>
      <c r="M970" t="s">
        <v>1770</v>
      </c>
      <c r="N970" t="s">
        <v>283</v>
      </c>
      <c r="O970" t="s">
        <v>891</v>
      </c>
      <c r="P970" t="s">
        <v>892</v>
      </c>
      <c r="Q970" t="s">
        <v>4080</v>
      </c>
      <c r="R970" t="s">
        <v>4081</v>
      </c>
      <c r="S970" t="s">
        <v>783</v>
      </c>
      <c r="T970" t="s">
        <v>550</v>
      </c>
      <c r="U970" t="s">
        <v>4187</v>
      </c>
      <c r="V970" t="s">
        <v>4188</v>
      </c>
      <c r="W970" t="s">
        <v>565</v>
      </c>
      <c r="X970" t="s">
        <v>669</v>
      </c>
      <c r="Y970" t="s">
        <v>856</v>
      </c>
      <c r="Z970" t="s">
        <v>4185</v>
      </c>
    </row>
    <row r="971" spans="1:26" x14ac:dyDescent="0.3">
      <c r="A971" t="s">
        <v>525</v>
      </c>
      <c r="B971" t="s">
        <v>4189</v>
      </c>
      <c r="C971" t="s">
        <v>4190</v>
      </c>
      <c r="D971" t="s">
        <v>1778</v>
      </c>
      <c r="E971" t="s">
        <v>664</v>
      </c>
      <c r="F971" t="s">
        <v>27</v>
      </c>
      <c r="G971" s="1">
        <v>44562</v>
      </c>
      <c r="H971" s="1">
        <v>44562</v>
      </c>
      <c r="I971" t="s">
        <v>665</v>
      </c>
      <c r="J971" t="s">
        <v>666</v>
      </c>
      <c r="K971" t="s">
        <v>24</v>
      </c>
      <c r="L971" t="s">
        <v>1010</v>
      </c>
      <c r="M971" t="s">
        <v>1780</v>
      </c>
      <c r="N971" t="s">
        <v>1781</v>
      </c>
      <c r="O971" t="s">
        <v>891</v>
      </c>
      <c r="P971" t="s">
        <v>892</v>
      </c>
      <c r="Q971" t="s">
        <v>4080</v>
      </c>
      <c r="R971" t="s">
        <v>4081</v>
      </c>
      <c r="S971" t="s">
        <v>783</v>
      </c>
      <c r="T971" t="s">
        <v>550</v>
      </c>
      <c r="U971" t="s">
        <v>550</v>
      </c>
      <c r="V971" t="s">
        <v>4191</v>
      </c>
      <c r="W971" t="s">
        <v>554</v>
      </c>
      <c r="X971" t="s">
        <v>669</v>
      </c>
      <c r="Y971" t="s">
        <v>799</v>
      </c>
      <c r="Z971" t="s">
        <v>4189</v>
      </c>
    </row>
    <row r="972" spans="1:26" x14ac:dyDescent="0.3">
      <c r="A972" t="s">
        <v>525</v>
      </c>
      <c r="B972" t="s">
        <v>4192</v>
      </c>
      <c r="C972" t="s">
        <v>4193</v>
      </c>
      <c r="D972" t="s">
        <v>550</v>
      </c>
      <c r="E972" t="s">
        <v>4194</v>
      </c>
      <c r="F972" t="s">
        <v>4195</v>
      </c>
      <c r="G972" s="1">
        <v>44562</v>
      </c>
      <c r="H972" s="1">
        <v>44562</v>
      </c>
      <c r="I972" t="s">
        <v>665</v>
      </c>
      <c r="J972" t="s">
        <v>4196</v>
      </c>
      <c r="K972" t="s">
        <v>862</v>
      </c>
      <c r="L972" t="s">
        <v>863</v>
      </c>
      <c r="M972" t="s">
        <v>1377</v>
      </c>
      <c r="N972" t="s">
        <v>1378</v>
      </c>
      <c r="O972" t="s">
        <v>891</v>
      </c>
      <c r="P972" t="s">
        <v>892</v>
      </c>
      <c r="Q972" t="s">
        <v>4080</v>
      </c>
      <c r="R972" t="s">
        <v>4081</v>
      </c>
      <c r="S972" t="s">
        <v>783</v>
      </c>
      <c r="T972" t="s">
        <v>550</v>
      </c>
      <c r="U972" t="s">
        <v>550</v>
      </c>
      <c r="V972" t="s">
        <v>4197</v>
      </c>
      <c r="W972" t="s">
        <v>869</v>
      </c>
      <c r="X972" t="s">
        <v>870</v>
      </c>
      <c r="Y972" t="s">
        <v>847</v>
      </c>
      <c r="Z972" t="s">
        <v>4192</v>
      </c>
    </row>
    <row r="973" spans="1:26" x14ac:dyDescent="0.3">
      <c r="A973" t="s">
        <v>525</v>
      </c>
      <c r="B973" t="s">
        <v>4198</v>
      </c>
      <c r="C973" t="s">
        <v>4199</v>
      </c>
      <c r="D973" t="s">
        <v>4192</v>
      </c>
      <c r="E973" t="s">
        <v>4194</v>
      </c>
      <c r="F973" t="s">
        <v>4195</v>
      </c>
      <c r="G973" s="1">
        <v>44562</v>
      </c>
      <c r="H973" s="1">
        <v>44567</v>
      </c>
      <c r="I973" t="s">
        <v>665</v>
      </c>
      <c r="J973" t="s">
        <v>4196</v>
      </c>
      <c r="K973" t="s">
        <v>862</v>
      </c>
      <c r="L973" t="s">
        <v>863</v>
      </c>
      <c r="M973" t="s">
        <v>1377</v>
      </c>
      <c r="N973" t="s">
        <v>1378</v>
      </c>
      <c r="O973" t="s">
        <v>891</v>
      </c>
      <c r="P973" t="s">
        <v>892</v>
      </c>
      <c r="Q973" t="s">
        <v>4080</v>
      </c>
      <c r="R973" t="s">
        <v>4081</v>
      </c>
      <c r="S973" t="s">
        <v>783</v>
      </c>
      <c r="T973" t="s">
        <v>550</v>
      </c>
      <c r="U973" t="s">
        <v>550</v>
      </c>
      <c r="V973" t="s">
        <v>4200</v>
      </c>
      <c r="W973" t="s">
        <v>869</v>
      </c>
      <c r="X973" t="s">
        <v>870</v>
      </c>
      <c r="Y973" t="s">
        <v>847</v>
      </c>
      <c r="Z973" t="s">
        <v>4198</v>
      </c>
    </row>
    <row r="974" spans="1:26" x14ac:dyDescent="0.3">
      <c r="A974" t="s">
        <v>525</v>
      </c>
      <c r="B974" t="s">
        <v>4201</v>
      </c>
      <c r="C974" t="s">
        <v>4202</v>
      </c>
      <c r="D974" t="s">
        <v>550</v>
      </c>
      <c r="E974" t="s">
        <v>664</v>
      </c>
      <c r="F974" t="s">
        <v>27</v>
      </c>
      <c r="G974" s="1">
        <v>44562</v>
      </c>
      <c r="H974" s="1">
        <v>44926</v>
      </c>
      <c r="I974" t="s">
        <v>665</v>
      </c>
      <c r="J974" t="s">
        <v>666</v>
      </c>
      <c r="K974" t="s">
        <v>4203</v>
      </c>
      <c r="L974" t="s">
        <v>667</v>
      </c>
      <c r="M974" t="s">
        <v>1884</v>
      </c>
      <c r="N974" t="s">
        <v>223</v>
      </c>
      <c r="O974" t="s">
        <v>891</v>
      </c>
      <c r="P974" t="s">
        <v>892</v>
      </c>
      <c r="Q974" t="s">
        <v>4080</v>
      </c>
      <c r="R974" t="s">
        <v>4081</v>
      </c>
      <c r="S974" t="s">
        <v>550</v>
      </c>
      <c r="T974" t="s">
        <v>550</v>
      </c>
      <c r="U974" t="s">
        <v>550</v>
      </c>
      <c r="V974" t="s">
        <v>4204</v>
      </c>
      <c r="W974" t="s">
        <v>565</v>
      </c>
      <c r="X974" t="s">
        <v>669</v>
      </c>
      <c r="Y974" t="s">
        <v>799</v>
      </c>
      <c r="Z974" t="s">
        <v>4201</v>
      </c>
    </row>
    <row r="975" spans="1:26" x14ac:dyDescent="0.3">
      <c r="A975" t="s">
        <v>525</v>
      </c>
      <c r="B975" t="s">
        <v>4205</v>
      </c>
      <c r="C975" t="s">
        <v>4206</v>
      </c>
      <c r="D975" t="s">
        <v>1537</v>
      </c>
      <c r="E975" t="s">
        <v>664</v>
      </c>
      <c r="F975" t="s">
        <v>27</v>
      </c>
      <c r="G975" s="1">
        <v>44562</v>
      </c>
      <c r="H975" s="1">
        <v>44562</v>
      </c>
      <c r="I975" t="s">
        <v>665</v>
      </c>
      <c r="J975" t="s">
        <v>666</v>
      </c>
      <c r="K975" t="s">
        <v>24</v>
      </c>
      <c r="L975" t="s">
        <v>667</v>
      </c>
      <c r="M975" t="s">
        <v>1230</v>
      </c>
      <c r="N975" t="s">
        <v>1231</v>
      </c>
      <c r="O975" t="s">
        <v>891</v>
      </c>
      <c r="P975" t="s">
        <v>892</v>
      </c>
      <c r="Q975" t="s">
        <v>4080</v>
      </c>
      <c r="R975" t="s">
        <v>4081</v>
      </c>
      <c r="S975" t="s">
        <v>783</v>
      </c>
      <c r="T975" t="s">
        <v>550</v>
      </c>
      <c r="U975" t="s">
        <v>550</v>
      </c>
      <c r="V975" t="s">
        <v>4207</v>
      </c>
      <c r="W975" t="s">
        <v>554</v>
      </c>
      <c r="X975" t="s">
        <v>669</v>
      </c>
      <c r="Y975" t="s">
        <v>799</v>
      </c>
      <c r="Z975" t="s">
        <v>4205</v>
      </c>
    </row>
    <row r="976" spans="1:26" x14ac:dyDescent="0.3">
      <c r="A976" t="s">
        <v>525</v>
      </c>
      <c r="B976" t="s">
        <v>4208</v>
      </c>
      <c r="C976" t="s">
        <v>4209</v>
      </c>
      <c r="D976" t="s">
        <v>1537</v>
      </c>
      <c r="E976" t="s">
        <v>664</v>
      </c>
      <c r="F976" t="s">
        <v>27</v>
      </c>
      <c r="G976" s="1">
        <v>44927</v>
      </c>
      <c r="H976" s="1">
        <v>45345</v>
      </c>
      <c r="I976" t="s">
        <v>665</v>
      </c>
      <c r="J976" t="s">
        <v>666</v>
      </c>
      <c r="K976" t="s">
        <v>24</v>
      </c>
      <c r="L976" t="s">
        <v>667</v>
      </c>
      <c r="M976" t="s">
        <v>1230</v>
      </c>
      <c r="N976" t="s">
        <v>1231</v>
      </c>
      <c r="O976" t="s">
        <v>891</v>
      </c>
      <c r="P976" t="s">
        <v>892</v>
      </c>
      <c r="Q976" t="s">
        <v>4080</v>
      </c>
      <c r="R976" t="s">
        <v>4081</v>
      </c>
      <c r="S976" t="s">
        <v>783</v>
      </c>
      <c r="T976" t="s">
        <v>550</v>
      </c>
      <c r="U976" t="s">
        <v>550</v>
      </c>
      <c r="V976" t="s">
        <v>4210</v>
      </c>
      <c r="W976" t="s">
        <v>554</v>
      </c>
      <c r="X976" t="s">
        <v>669</v>
      </c>
      <c r="Y976" t="s">
        <v>799</v>
      </c>
      <c r="Z976" t="s">
        <v>4208</v>
      </c>
    </row>
    <row r="977" spans="1:26" x14ac:dyDescent="0.3">
      <c r="A977" t="s">
        <v>525</v>
      </c>
      <c r="B977" t="s">
        <v>4211</v>
      </c>
      <c r="C977" t="s">
        <v>4212</v>
      </c>
      <c r="D977" t="s">
        <v>550</v>
      </c>
      <c r="E977" t="s">
        <v>4213</v>
      </c>
      <c r="F977" t="s">
        <v>4214</v>
      </c>
      <c r="G977" s="1">
        <v>44562</v>
      </c>
      <c r="H977" s="1">
        <v>44562</v>
      </c>
      <c r="I977" t="s">
        <v>665</v>
      </c>
      <c r="J977" t="s">
        <v>4215</v>
      </c>
      <c r="K977" t="s">
        <v>862</v>
      </c>
      <c r="L977" t="s">
        <v>863</v>
      </c>
      <c r="M977" t="s">
        <v>1904</v>
      </c>
      <c r="N977" t="s">
        <v>1905</v>
      </c>
      <c r="O977" t="s">
        <v>891</v>
      </c>
      <c r="P977" t="s">
        <v>892</v>
      </c>
      <c r="Q977" t="s">
        <v>4080</v>
      </c>
      <c r="R977" t="s">
        <v>4081</v>
      </c>
      <c r="S977" t="s">
        <v>783</v>
      </c>
      <c r="T977" t="s">
        <v>550</v>
      </c>
      <c r="U977" t="s">
        <v>550</v>
      </c>
      <c r="V977" t="s">
        <v>4216</v>
      </c>
      <c r="W977" t="s">
        <v>869</v>
      </c>
      <c r="X977" t="s">
        <v>870</v>
      </c>
      <c r="Y977" t="s">
        <v>847</v>
      </c>
      <c r="Z977" t="s">
        <v>4211</v>
      </c>
    </row>
    <row r="978" spans="1:26" x14ac:dyDescent="0.3">
      <c r="A978" t="s">
        <v>525</v>
      </c>
      <c r="B978" t="s">
        <v>4217</v>
      </c>
      <c r="C978" t="s">
        <v>4218</v>
      </c>
      <c r="D978" t="s">
        <v>4211</v>
      </c>
      <c r="E978" t="s">
        <v>4213</v>
      </c>
      <c r="F978" t="s">
        <v>4214</v>
      </c>
      <c r="G978" s="1">
        <v>44562</v>
      </c>
      <c r="H978" s="1">
        <v>44564</v>
      </c>
      <c r="I978" t="s">
        <v>665</v>
      </c>
      <c r="J978" t="s">
        <v>4215</v>
      </c>
      <c r="K978" t="s">
        <v>808</v>
      </c>
      <c r="L978" t="s">
        <v>863</v>
      </c>
      <c r="M978" t="s">
        <v>1904</v>
      </c>
      <c r="N978" t="s">
        <v>1905</v>
      </c>
      <c r="O978" t="s">
        <v>891</v>
      </c>
      <c r="P978" t="s">
        <v>892</v>
      </c>
      <c r="Q978" t="s">
        <v>4080</v>
      </c>
      <c r="R978" t="s">
        <v>4081</v>
      </c>
      <c r="S978" t="s">
        <v>783</v>
      </c>
      <c r="T978" t="s">
        <v>550</v>
      </c>
      <c r="U978" t="s">
        <v>550</v>
      </c>
      <c r="V978" t="s">
        <v>4219</v>
      </c>
      <c r="W978" t="s">
        <v>869</v>
      </c>
      <c r="X978" t="s">
        <v>870</v>
      </c>
      <c r="Y978" t="s">
        <v>847</v>
      </c>
      <c r="Z978" t="s">
        <v>4217</v>
      </c>
    </row>
    <row r="979" spans="1:26" x14ac:dyDescent="0.3">
      <c r="A979" t="s">
        <v>525</v>
      </c>
      <c r="B979" t="s">
        <v>4220</v>
      </c>
      <c r="C979" t="s">
        <v>4221</v>
      </c>
      <c r="D979" t="s">
        <v>4222</v>
      </c>
      <c r="E979" t="s">
        <v>664</v>
      </c>
      <c r="F979" t="s">
        <v>27</v>
      </c>
      <c r="G979" s="1">
        <v>44562</v>
      </c>
      <c r="H979" s="1">
        <v>44572</v>
      </c>
      <c r="I979" t="s">
        <v>665</v>
      </c>
      <c r="J979" t="s">
        <v>666</v>
      </c>
      <c r="K979" t="s">
        <v>24</v>
      </c>
      <c r="L979" t="s">
        <v>667</v>
      </c>
      <c r="M979" t="s">
        <v>1031</v>
      </c>
      <c r="N979" t="s">
        <v>239</v>
      </c>
      <c r="O979" t="s">
        <v>891</v>
      </c>
      <c r="P979" t="s">
        <v>892</v>
      </c>
      <c r="Q979" t="s">
        <v>4080</v>
      </c>
      <c r="R979" t="s">
        <v>4081</v>
      </c>
      <c r="S979" t="s">
        <v>783</v>
      </c>
      <c r="T979" t="s">
        <v>550</v>
      </c>
      <c r="U979" t="s">
        <v>550</v>
      </c>
      <c r="V979" t="s">
        <v>4223</v>
      </c>
      <c r="W979" t="s">
        <v>1021</v>
      </c>
      <c r="X979" t="s">
        <v>74</v>
      </c>
      <c r="Y979" t="s">
        <v>803</v>
      </c>
      <c r="Z979" t="s">
        <v>4220</v>
      </c>
    </row>
    <row r="980" spans="1:26" x14ac:dyDescent="0.3">
      <c r="A980" t="s">
        <v>525</v>
      </c>
      <c r="B980" t="s">
        <v>4224</v>
      </c>
      <c r="C980" t="s">
        <v>4225</v>
      </c>
      <c r="D980" t="s">
        <v>1523</v>
      </c>
      <c r="E980" t="s">
        <v>664</v>
      </c>
      <c r="F980" t="s">
        <v>27</v>
      </c>
      <c r="G980" s="1">
        <v>44928</v>
      </c>
      <c r="H980" s="1">
        <v>44928</v>
      </c>
      <c r="I980" t="s">
        <v>665</v>
      </c>
      <c r="J980" t="s">
        <v>666</v>
      </c>
      <c r="K980" t="s">
        <v>24</v>
      </c>
      <c r="L980" t="s">
        <v>667</v>
      </c>
      <c r="M980" t="s">
        <v>1031</v>
      </c>
      <c r="N980" t="s">
        <v>239</v>
      </c>
      <c r="O980" t="s">
        <v>891</v>
      </c>
      <c r="P980" t="s">
        <v>892</v>
      </c>
      <c r="Q980" t="s">
        <v>4080</v>
      </c>
      <c r="R980" t="s">
        <v>4081</v>
      </c>
      <c r="S980" t="s">
        <v>783</v>
      </c>
      <c r="T980" t="s">
        <v>550</v>
      </c>
      <c r="U980" t="s">
        <v>550</v>
      </c>
      <c r="V980" t="s">
        <v>4226</v>
      </c>
      <c r="W980" t="s">
        <v>613</v>
      </c>
      <c r="X980" t="s">
        <v>74</v>
      </c>
      <c r="Y980" t="s">
        <v>803</v>
      </c>
      <c r="Z980" t="s">
        <v>4224</v>
      </c>
    </row>
    <row r="981" spans="1:26" x14ac:dyDescent="0.3">
      <c r="A981" t="s">
        <v>525</v>
      </c>
      <c r="B981" t="s">
        <v>4227</v>
      </c>
      <c r="C981" t="s">
        <v>4228</v>
      </c>
      <c r="D981" t="s">
        <v>1523</v>
      </c>
      <c r="E981" t="s">
        <v>664</v>
      </c>
      <c r="F981" t="s">
        <v>27</v>
      </c>
      <c r="G981" s="1">
        <v>44562</v>
      </c>
      <c r="H981" s="1">
        <v>44562</v>
      </c>
      <c r="I981" t="s">
        <v>665</v>
      </c>
      <c r="J981" t="s">
        <v>666</v>
      </c>
      <c r="K981" t="s">
        <v>24</v>
      </c>
      <c r="L981" t="s">
        <v>667</v>
      </c>
      <c r="M981" t="s">
        <v>1031</v>
      </c>
      <c r="N981" t="s">
        <v>239</v>
      </c>
      <c r="O981" t="s">
        <v>891</v>
      </c>
      <c r="P981" t="s">
        <v>892</v>
      </c>
      <c r="Q981" t="s">
        <v>4080</v>
      </c>
      <c r="R981" t="s">
        <v>4081</v>
      </c>
      <c r="S981" t="s">
        <v>783</v>
      </c>
      <c r="T981" t="s">
        <v>550</v>
      </c>
      <c r="U981" t="s">
        <v>550</v>
      </c>
      <c r="V981" t="s">
        <v>1527</v>
      </c>
      <c r="W981" t="s">
        <v>613</v>
      </c>
      <c r="X981" t="s">
        <v>74</v>
      </c>
      <c r="Y981" t="s">
        <v>803</v>
      </c>
      <c r="Z981" t="s">
        <v>1523</v>
      </c>
    </row>
    <row r="982" spans="1:26" x14ac:dyDescent="0.3">
      <c r="A982" t="s">
        <v>525</v>
      </c>
      <c r="B982" t="s">
        <v>4229</v>
      </c>
      <c r="C982" t="s">
        <v>4230</v>
      </c>
      <c r="D982" t="s">
        <v>550</v>
      </c>
      <c r="E982" t="s">
        <v>664</v>
      </c>
      <c r="F982" t="s">
        <v>27</v>
      </c>
      <c r="G982" s="1">
        <v>44562</v>
      </c>
      <c r="H982" s="1">
        <v>44562</v>
      </c>
      <c r="I982" t="s">
        <v>665</v>
      </c>
      <c r="J982" t="s">
        <v>666</v>
      </c>
      <c r="K982" t="s">
        <v>24</v>
      </c>
      <c r="L982" t="s">
        <v>667</v>
      </c>
      <c r="M982" t="s">
        <v>1031</v>
      </c>
      <c r="N982" t="s">
        <v>239</v>
      </c>
      <c r="O982" t="s">
        <v>891</v>
      </c>
      <c r="P982" t="s">
        <v>892</v>
      </c>
      <c r="Q982" t="s">
        <v>4080</v>
      </c>
      <c r="R982" t="s">
        <v>4081</v>
      </c>
      <c r="S982" t="s">
        <v>783</v>
      </c>
      <c r="T982" t="s">
        <v>550</v>
      </c>
      <c r="U982" t="s">
        <v>550</v>
      </c>
      <c r="V982" t="s">
        <v>4231</v>
      </c>
      <c r="W982" t="s">
        <v>835</v>
      </c>
      <c r="X982" t="s">
        <v>74</v>
      </c>
      <c r="Y982" t="s">
        <v>803</v>
      </c>
      <c r="Z982" t="s">
        <v>4229</v>
      </c>
    </row>
    <row r="983" spans="1:26" x14ac:dyDescent="0.3">
      <c r="A983" t="s">
        <v>525</v>
      </c>
      <c r="B983" t="s">
        <v>4232</v>
      </c>
      <c r="C983" t="s">
        <v>4233</v>
      </c>
      <c r="D983" t="s">
        <v>4229</v>
      </c>
      <c r="E983" t="s">
        <v>664</v>
      </c>
      <c r="F983" t="s">
        <v>27</v>
      </c>
      <c r="G983" s="1">
        <v>44562</v>
      </c>
      <c r="H983" s="1">
        <v>44562</v>
      </c>
      <c r="I983" t="s">
        <v>665</v>
      </c>
      <c r="J983" t="s">
        <v>666</v>
      </c>
      <c r="K983" t="s">
        <v>24</v>
      </c>
      <c r="L983" t="s">
        <v>667</v>
      </c>
      <c r="M983" t="s">
        <v>1031</v>
      </c>
      <c r="N983" t="s">
        <v>239</v>
      </c>
      <c r="O983" t="s">
        <v>891</v>
      </c>
      <c r="P983" t="s">
        <v>892</v>
      </c>
      <c r="Q983" t="s">
        <v>4080</v>
      </c>
      <c r="R983" t="s">
        <v>4081</v>
      </c>
      <c r="S983" t="s">
        <v>783</v>
      </c>
      <c r="T983" t="s">
        <v>550</v>
      </c>
      <c r="U983" t="s">
        <v>550</v>
      </c>
      <c r="V983" t="s">
        <v>4234</v>
      </c>
      <c r="W983" t="s">
        <v>835</v>
      </c>
      <c r="X983" t="s">
        <v>74</v>
      </c>
      <c r="Y983" t="s">
        <v>803</v>
      </c>
      <c r="Z983" t="s">
        <v>4232</v>
      </c>
    </row>
    <row r="984" spans="1:26" x14ac:dyDescent="0.3">
      <c r="A984" t="s">
        <v>525</v>
      </c>
      <c r="B984" t="s">
        <v>4235</v>
      </c>
      <c r="C984" t="s">
        <v>4236</v>
      </c>
      <c r="D984" t="s">
        <v>4229</v>
      </c>
      <c r="E984" t="s">
        <v>664</v>
      </c>
      <c r="F984" t="s">
        <v>27</v>
      </c>
      <c r="G984" s="1">
        <v>44927</v>
      </c>
      <c r="H984" s="1">
        <v>44927</v>
      </c>
      <c r="I984" t="s">
        <v>665</v>
      </c>
      <c r="J984" t="s">
        <v>666</v>
      </c>
      <c r="K984" t="s">
        <v>24</v>
      </c>
      <c r="L984" t="s">
        <v>667</v>
      </c>
      <c r="M984" t="s">
        <v>1031</v>
      </c>
      <c r="N984" t="s">
        <v>239</v>
      </c>
      <c r="O984" t="s">
        <v>891</v>
      </c>
      <c r="P984" t="s">
        <v>892</v>
      </c>
      <c r="Q984" t="s">
        <v>4080</v>
      </c>
      <c r="R984" t="s">
        <v>4081</v>
      </c>
      <c r="S984" t="s">
        <v>783</v>
      </c>
      <c r="T984" t="s">
        <v>550</v>
      </c>
      <c r="U984" t="s">
        <v>4237</v>
      </c>
      <c r="V984" t="s">
        <v>4238</v>
      </c>
      <c r="W984" t="s">
        <v>835</v>
      </c>
      <c r="X984" t="s">
        <v>74</v>
      </c>
      <c r="Y984" t="s">
        <v>803</v>
      </c>
      <c r="Z984" t="s">
        <v>4235</v>
      </c>
    </row>
    <row r="985" spans="1:26" x14ac:dyDescent="0.3">
      <c r="A985" t="s">
        <v>525</v>
      </c>
      <c r="B985" t="s">
        <v>4239</v>
      </c>
      <c r="C985" t="s">
        <v>4240</v>
      </c>
      <c r="D985" t="s">
        <v>550</v>
      </c>
      <c r="E985" t="s">
        <v>664</v>
      </c>
      <c r="F985" t="s">
        <v>27</v>
      </c>
      <c r="G985" s="1">
        <v>44562</v>
      </c>
      <c r="H985" s="1">
        <v>44926</v>
      </c>
      <c r="I985" t="s">
        <v>665</v>
      </c>
      <c r="J985" t="s">
        <v>666</v>
      </c>
      <c r="K985" t="s">
        <v>635</v>
      </c>
      <c r="L985" t="s">
        <v>667</v>
      </c>
      <c r="M985" t="s">
        <v>4069</v>
      </c>
      <c r="N985" t="s">
        <v>4070</v>
      </c>
      <c r="O985" t="s">
        <v>891</v>
      </c>
      <c r="P985" t="s">
        <v>892</v>
      </c>
      <c r="Q985" t="s">
        <v>4080</v>
      </c>
      <c r="R985" t="s">
        <v>4081</v>
      </c>
      <c r="S985" t="s">
        <v>783</v>
      </c>
      <c r="T985" t="s">
        <v>550</v>
      </c>
      <c r="U985" t="s">
        <v>550</v>
      </c>
      <c r="V985" t="s">
        <v>4241</v>
      </c>
      <c r="W985" t="s">
        <v>978</v>
      </c>
      <c r="X985" t="s">
        <v>669</v>
      </c>
      <c r="Y985" t="s">
        <v>799</v>
      </c>
      <c r="Z985" t="s">
        <v>4239</v>
      </c>
    </row>
    <row r="986" spans="1:26" x14ac:dyDescent="0.3">
      <c r="A986" t="s">
        <v>525</v>
      </c>
      <c r="B986" t="s">
        <v>4242</v>
      </c>
      <c r="C986" t="s">
        <v>4243</v>
      </c>
      <c r="D986" t="s">
        <v>4239</v>
      </c>
      <c r="E986" t="s">
        <v>664</v>
      </c>
      <c r="F986" t="s">
        <v>27</v>
      </c>
      <c r="G986" s="1">
        <v>44562</v>
      </c>
      <c r="H986" s="1">
        <v>44562</v>
      </c>
      <c r="I986" t="s">
        <v>665</v>
      </c>
      <c r="J986" t="s">
        <v>666</v>
      </c>
      <c r="K986" t="s">
        <v>635</v>
      </c>
      <c r="L986" t="s">
        <v>667</v>
      </c>
      <c r="M986" t="s">
        <v>4069</v>
      </c>
      <c r="N986" t="s">
        <v>4070</v>
      </c>
      <c r="O986" t="s">
        <v>891</v>
      </c>
      <c r="P986" t="s">
        <v>892</v>
      </c>
      <c r="Q986" t="s">
        <v>4080</v>
      </c>
      <c r="R986" t="s">
        <v>4081</v>
      </c>
      <c r="S986" t="s">
        <v>783</v>
      </c>
      <c r="T986" t="s">
        <v>550</v>
      </c>
      <c r="U986" t="s">
        <v>550</v>
      </c>
      <c r="V986" t="s">
        <v>4244</v>
      </c>
      <c r="W986" t="s">
        <v>978</v>
      </c>
      <c r="X986" t="s">
        <v>669</v>
      </c>
      <c r="Y986" t="s">
        <v>799</v>
      </c>
      <c r="Z986" t="s">
        <v>4242</v>
      </c>
    </row>
    <row r="987" spans="1:26" x14ac:dyDescent="0.3">
      <c r="A987" t="s">
        <v>525</v>
      </c>
      <c r="B987" t="s">
        <v>4245</v>
      </c>
      <c r="C987" t="s">
        <v>4246</v>
      </c>
      <c r="D987" t="s">
        <v>550</v>
      </c>
      <c r="E987" t="s">
        <v>664</v>
      </c>
      <c r="F987" t="s">
        <v>27</v>
      </c>
      <c r="G987" s="1">
        <v>44562</v>
      </c>
      <c r="H987" s="1">
        <v>44926</v>
      </c>
      <c r="I987" t="s">
        <v>665</v>
      </c>
      <c r="J987" t="s">
        <v>666</v>
      </c>
      <c r="K987" t="s">
        <v>24</v>
      </c>
      <c r="L987" t="s">
        <v>667</v>
      </c>
      <c r="M987" t="s">
        <v>4069</v>
      </c>
      <c r="N987" t="s">
        <v>4070</v>
      </c>
      <c r="O987" t="s">
        <v>891</v>
      </c>
      <c r="P987" t="s">
        <v>892</v>
      </c>
      <c r="Q987" t="s">
        <v>4080</v>
      </c>
      <c r="R987" t="s">
        <v>4081</v>
      </c>
      <c r="S987" t="s">
        <v>550</v>
      </c>
      <c r="T987" t="s">
        <v>550</v>
      </c>
      <c r="U987" t="s">
        <v>550</v>
      </c>
      <c r="V987" t="s">
        <v>4247</v>
      </c>
      <c r="W987" t="s">
        <v>978</v>
      </c>
      <c r="X987" t="s">
        <v>669</v>
      </c>
      <c r="Y987" t="s">
        <v>803</v>
      </c>
      <c r="Z987" t="s">
        <v>4245</v>
      </c>
    </row>
    <row r="988" spans="1:26" x14ac:dyDescent="0.3">
      <c r="A988" t="s">
        <v>525</v>
      </c>
      <c r="B988" t="s">
        <v>4248</v>
      </c>
      <c r="C988" t="s">
        <v>4249</v>
      </c>
      <c r="D988" t="s">
        <v>4245</v>
      </c>
      <c r="E988" t="s">
        <v>664</v>
      </c>
      <c r="F988" t="s">
        <v>27</v>
      </c>
      <c r="G988" s="1">
        <v>44562</v>
      </c>
      <c r="H988" s="1">
        <v>44730</v>
      </c>
      <c r="I988" t="s">
        <v>665</v>
      </c>
      <c r="J988" t="s">
        <v>666</v>
      </c>
      <c r="K988" t="s">
        <v>24</v>
      </c>
      <c r="L988" t="s">
        <v>667</v>
      </c>
      <c r="M988" t="s">
        <v>4069</v>
      </c>
      <c r="N988" t="s">
        <v>4070</v>
      </c>
      <c r="O988" t="s">
        <v>891</v>
      </c>
      <c r="P988" t="s">
        <v>892</v>
      </c>
      <c r="Q988" t="s">
        <v>4080</v>
      </c>
      <c r="R988" t="s">
        <v>4081</v>
      </c>
      <c r="S988" t="s">
        <v>783</v>
      </c>
      <c r="T988" t="s">
        <v>550</v>
      </c>
      <c r="U988" t="s">
        <v>550</v>
      </c>
      <c r="V988" t="s">
        <v>4250</v>
      </c>
      <c r="W988" t="s">
        <v>978</v>
      </c>
      <c r="X988" t="s">
        <v>669</v>
      </c>
      <c r="Y988" t="s">
        <v>803</v>
      </c>
      <c r="Z988" t="s">
        <v>4248</v>
      </c>
    </row>
    <row r="989" spans="1:26" x14ac:dyDescent="0.3">
      <c r="A989" t="s">
        <v>525</v>
      </c>
      <c r="B989" t="s">
        <v>4251</v>
      </c>
      <c r="C989" t="s">
        <v>4252</v>
      </c>
      <c r="D989" t="s">
        <v>4253</v>
      </c>
      <c r="E989" t="s">
        <v>664</v>
      </c>
      <c r="F989" t="s">
        <v>27</v>
      </c>
      <c r="G989" s="1">
        <v>44927</v>
      </c>
      <c r="H989" s="1">
        <v>44927</v>
      </c>
      <c r="I989" t="s">
        <v>665</v>
      </c>
      <c r="J989" t="s">
        <v>666</v>
      </c>
      <c r="K989" t="s">
        <v>24</v>
      </c>
      <c r="L989" t="s">
        <v>667</v>
      </c>
      <c r="M989" t="s">
        <v>4069</v>
      </c>
      <c r="N989" t="s">
        <v>4070</v>
      </c>
      <c r="O989" t="s">
        <v>891</v>
      </c>
      <c r="P989" t="s">
        <v>892</v>
      </c>
      <c r="Q989" t="s">
        <v>4080</v>
      </c>
      <c r="R989" t="s">
        <v>4081</v>
      </c>
      <c r="S989" t="s">
        <v>783</v>
      </c>
      <c r="T989" t="s">
        <v>550</v>
      </c>
      <c r="U989" t="s">
        <v>550</v>
      </c>
      <c r="V989" t="s">
        <v>4254</v>
      </c>
      <c r="W989" t="s">
        <v>1513</v>
      </c>
      <c r="X989" t="s">
        <v>669</v>
      </c>
      <c r="Y989" t="s">
        <v>799</v>
      </c>
      <c r="Z989" t="s">
        <v>4251</v>
      </c>
    </row>
    <row r="990" spans="1:26" x14ac:dyDescent="0.3">
      <c r="A990" t="s">
        <v>525</v>
      </c>
      <c r="B990" t="s">
        <v>4253</v>
      </c>
      <c r="C990" t="s">
        <v>4252</v>
      </c>
      <c r="D990" t="s">
        <v>550</v>
      </c>
      <c r="E990" t="s">
        <v>664</v>
      </c>
      <c r="F990" t="s">
        <v>27</v>
      </c>
      <c r="G990" s="1">
        <v>44562</v>
      </c>
      <c r="H990" s="1">
        <v>44926</v>
      </c>
      <c r="I990" t="s">
        <v>665</v>
      </c>
      <c r="J990" t="s">
        <v>666</v>
      </c>
      <c r="K990" t="s">
        <v>24</v>
      </c>
      <c r="L990" t="s">
        <v>667</v>
      </c>
      <c r="M990" t="s">
        <v>4069</v>
      </c>
      <c r="N990" t="s">
        <v>4070</v>
      </c>
      <c r="O990" t="s">
        <v>891</v>
      </c>
      <c r="P990" t="s">
        <v>892</v>
      </c>
      <c r="Q990" t="s">
        <v>4080</v>
      </c>
      <c r="R990" t="s">
        <v>4081</v>
      </c>
      <c r="S990" t="s">
        <v>550</v>
      </c>
      <c r="T990" t="s">
        <v>550</v>
      </c>
      <c r="U990" t="s">
        <v>550</v>
      </c>
      <c r="V990" t="s">
        <v>4255</v>
      </c>
      <c r="W990" t="s">
        <v>1513</v>
      </c>
      <c r="X990" t="s">
        <v>669</v>
      </c>
      <c r="Y990" t="s">
        <v>799</v>
      </c>
      <c r="Z990" t="s">
        <v>4253</v>
      </c>
    </row>
    <row r="991" spans="1:26" x14ac:dyDescent="0.3">
      <c r="A991" t="s">
        <v>525</v>
      </c>
      <c r="B991" t="s">
        <v>4256</v>
      </c>
      <c r="C991" t="s">
        <v>4257</v>
      </c>
      <c r="D991" t="s">
        <v>1531</v>
      </c>
      <c r="E991" t="s">
        <v>664</v>
      </c>
      <c r="F991" t="s">
        <v>27</v>
      </c>
      <c r="G991" s="1">
        <v>44562</v>
      </c>
      <c r="H991" s="1">
        <v>44562</v>
      </c>
      <c r="I991" t="s">
        <v>665</v>
      </c>
      <c r="J991" t="s">
        <v>666</v>
      </c>
      <c r="K991" t="s">
        <v>24</v>
      </c>
      <c r="L991" t="s">
        <v>667</v>
      </c>
      <c r="M991" t="s">
        <v>873</v>
      </c>
      <c r="N991" t="s">
        <v>244</v>
      </c>
      <c r="O991" t="s">
        <v>891</v>
      </c>
      <c r="P991" t="s">
        <v>892</v>
      </c>
      <c r="Q991" t="s">
        <v>4080</v>
      </c>
      <c r="R991" t="s">
        <v>4081</v>
      </c>
      <c r="S991" t="s">
        <v>783</v>
      </c>
      <c r="T991" t="s">
        <v>550</v>
      </c>
      <c r="U991" t="s">
        <v>550</v>
      </c>
      <c r="V991" t="s">
        <v>4258</v>
      </c>
      <c r="W991" t="s">
        <v>565</v>
      </c>
      <c r="X991" t="s">
        <v>669</v>
      </c>
      <c r="Y991" t="s">
        <v>856</v>
      </c>
      <c r="Z991" t="s">
        <v>4256</v>
      </c>
    </row>
    <row r="992" spans="1:26" x14ac:dyDescent="0.3">
      <c r="A992" t="s">
        <v>525</v>
      </c>
      <c r="B992" t="s">
        <v>4259</v>
      </c>
      <c r="C992" t="s">
        <v>4260</v>
      </c>
      <c r="D992" t="s">
        <v>4201</v>
      </c>
      <c r="E992" t="s">
        <v>664</v>
      </c>
      <c r="F992" t="s">
        <v>27</v>
      </c>
      <c r="G992" s="1">
        <v>44562</v>
      </c>
      <c r="H992" s="1">
        <v>44562</v>
      </c>
      <c r="I992" t="s">
        <v>665</v>
      </c>
      <c r="J992" t="s">
        <v>666</v>
      </c>
      <c r="K992" t="s">
        <v>24</v>
      </c>
      <c r="L992" t="s">
        <v>667</v>
      </c>
      <c r="M992" t="s">
        <v>873</v>
      </c>
      <c r="N992" t="s">
        <v>244</v>
      </c>
      <c r="O992" t="s">
        <v>891</v>
      </c>
      <c r="P992" t="s">
        <v>892</v>
      </c>
      <c r="Q992" t="s">
        <v>4080</v>
      </c>
      <c r="R992" t="s">
        <v>4081</v>
      </c>
      <c r="S992" t="s">
        <v>783</v>
      </c>
      <c r="T992" t="s">
        <v>550</v>
      </c>
      <c r="U992" t="s">
        <v>550</v>
      </c>
      <c r="V992" t="s">
        <v>4261</v>
      </c>
      <c r="W992" t="s">
        <v>565</v>
      </c>
      <c r="X992" t="s">
        <v>669</v>
      </c>
      <c r="Y992" t="s">
        <v>856</v>
      </c>
      <c r="Z992" t="s">
        <v>4259</v>
      </c>
    </row>
    <row r="993" spans="1:26" x14ac:dyDescent="0.3">
      <c r="A993" t="s">
        <v>525</v>
      </c>
      <c r="B993" t="s">
        <v>4262</v>
      </c>
      <c r="C993" t="s">
        <v>4263</v>
      </c>
      <c r="D993" t="s">
        <v>1759</v>
      </c>
      <c r="E993" t="s">
        <v>664</v>
      </c>
      <c r="F993" t="s">
        <v>27</v>
      </c>
      <c r="G993" s="1">
        <v>44562</v>
      </c>
      <c r="H993" s="1">
        <v>44562</v>
      </c>
      <c r="I993" t="s">
        <v>665</v>
      </c>
      <c r="J993" t="s">
        <v>666</v>
      </c>
      <c r="K993" t="s">
        <v>24</v>
      </c>
      <c r="L993" t="s">
        <v>216</v>
      </c>
      <c r="M993" t="s">
        <v>797</v>
      </c>
      <c r="N993" t="s">
        <v>313</v>
      </c>
      <c r="O993" t="s">
        <v>891</v>
      </c>
      <c r="P993" t="s">
        <v>892</v>
      </c>
      <c r="Q993" t="s">
        <v>4080</v>
      </c>
      <c r="R993" t="s">
        <v>4081</v>
      </c>
      <c r="S993" t="s">
        <v>1471</v>
      </c>
      <c r="T993" t="s">
        <v>550</v>
      </c>
      <c r="U993" t="s">
        <v>550</v>
      </c>
      <c r="V993" t="s">
        <v>4264</v>
      </c>
      <c r="W993" t="s">
        <v>554</v>
      </c>
      <c r="X993" t="s">
        <v>669</v>
      </c>
      <c r="Y993" t="s">
        <v>799</v>
      </c>
      <c r="Z993" t="s">
        <v>4262</v>
      </c>
    </row>
    <row r="994" spans="1:26" x14ac:dyDescent="0.3">
      <c r="A994" t="s">
        <v>525</v>
      </c>
      <c r="B994" t="s">
        <v>4265</v>
      </c>
      <c r="C994" t="s">
        <v>4266</v>
      </c>
      <c r="D994" t="s">
        <v>1759</v>
      </c>
      <c r="E994" t="s">
        <v>664</v>
      </c>
      <c r="F994" t="s">
        <v>27</v>
      </c>
      <c r="G994" s="1">
        <v>44927</v>
      </c>
      <c r="H994" s="1">
        <v>44927</v>
      </c>
      <c r="I994" t="s">
        <v>665</v>
      </c>
      <c r="J994" t="s">
        <v>666</v>
      </c>
      <c r="K994" t="s">
        <v>24</v>
      </c>
      <c r="L994" t="s">
        <v>216</v>
      </c>
      <c r="M994" t="s">
        <v>797</v>
      </c>
      <c r="N994" t="s">
        <v>313</v>
      </c>
      <c r="O994" t="s">
        <v>891</v>
      </c>
      <c r="P994" t="s">
        <v>892</v>
      </c>
      <c r="Q994" t="s">
        <v>4080</v>
      </c>
      <c r="R994" t="s">
        <v>4081</v>
      </c>
      <c r="S994" t="s">
        <v>1471</v>
      </c>
      <c r="T994" t="s">
        <v>550</v>
      </c>
      <c r="U994" t="s">
        <v>1472</v>
      </c>
      <c r="V994" t="s">
        <v>4267</v>
      </c>
      <c r="W994" t="s">
        <v>554</v>
      </c>
      <c r="X994" t="s">
        <v>669</v>
      </c>
      <c r="Y994" t="s">
        <v>799</v>
      </c>
      <c r="Z994" t="s">
        <v>4265</v>
      </c>
    </row>
    <row r="995" spans="1:26" x14ac:dyDescent="0.3">
      <c r="A995" t="s">
        <v>525</v>
      </c>
      <c r="B995" t="s">
        <v>4268</v>
      </c>
      <c r="C995" t="s">
        <v>4269</v>
      </c>
      <c r="D995" t="s">
        <v>550</v>
      </c>
      <c r="E995" t="s">
        <v>664</v>
      </c>
      <c r="F995" t="s">
        <v>27</v>
      </c>
      <c r="G995" s="1">
        <v>44562</v>
      </c>
      <c r="H995" s="1">
        <v>44562</v>
      </c>
      <c r="I995" t="s">
        <v>665</v>
      </c>
      <c r="J995" t="s">
        <v>3693</v>
      </c>
      <c r="K995" t="s">
        <v>4203</v>
      </c>
      <c r="L995" t="s">
        <v>1010</v>
      </c>
      <c r="M995" t="s">
        <v>891</v>
      </c>
      <c r="N995" t="s">
        <v>892</v>
      </c>
      <c r="O995" t="s">
        <v>891</v>
      </c>
      <c r="P995" t="s">
        <v>892</v>
      </c>
      <c r="Q995" t="s">
        <v>4080</v>
      </c>
      <c r="R995" t="s">
        <v>4081</v>
      </c>
      <c r="S995" t="s">
        <v>550</v>
      </c>
      <c r="T995" t="s">
        <v>550</v>
      </c>
      <c r="U995" t="s">
        <v>550</v>
      </c>
      <c r="V995" t="s">
        <v>4270</v>
      </c>
      <c r="W995" t="s">
        <v>978</v>
      </c>
      <c r="X995" t="s">
        <v>979</v>
      </c>
      <c r="Y995" t="s">
        <v>803</v>
      </c>
      <c r="Z995" t="s">
        <v>4268</v>
      </c>
    </row>
    <row r="996" spans="1:26" x14ac:dyDescent="0.3">
      <c r="A996" t="s">
        <v>525</v>
      </c>
      <c r="B996" t="s">
        <v>4271</v>
      </c>
      <c r="C996" t="s">
        <v>4269</v>
      </c>
      <c r="D996" t="s">
        <v>4268</v>
      </c>
      <c r="E996" t="s">
        <v>664</v>
      </c>
      <c r="F996" t="s">
        <v>27</v>
      </c>
      <c r="G996" s="1">
        <v>44562</v>
      </c>
      <c r="H996" s="1">
        <v>44562</v>
      </c>
      <c r="I996" t="s">
        <v>665</v>
      </c>
      <c r="J996" t="s">
        <v>3702</v>
      </c>
      <c r="K996" t="s">
        <v>4203</v>
      </c>
      <c r="L996" t="s">
        <v>1010</v>
      </c>
      <c r="M996" t="s">
        <v>891</v>
      </c>
      <c r="N996" t="s">
        <v>892</v>
      </c>
      <c r="O996" t="s">
        <v>891</v>
      </c>
      <c r="P996" t="s">
        <v>892</v>
      </c>
      <c r="Q996" t="s">
        <v>4080</v>
      </c>
      <c r="R996" t="s">
        <v>4081</v>
      </c>
      <c r="S996" t="s">
        <v>783</v>
      </c>
      <c r="T996" t="s">
        <v>550</v>
      </c>
      <c r="U996" t="s">
        <v>550</v>
      </c>
      <c r="V996" t="s">
        <v>4272</v>
      </c>
      <c r="W996" t="s">
        <v>978</v>
      </c>
      <c r="X996" t="s">
        <v>979</v>
      </c>
      <c r="Y996" t="s">
        <v>803</v>
      </c>
      <c r="Z996" t="s">
        <v>4271</v>
      </c>
    </row>
    <row r="997" spans="1:26" x14ac:dyDescent="0.3">
      <c r="A997" t="s">
        <v>525</v>
      </c>
      <c r="B997" t="s">
        <v>4273</v>
      </c>
      <c r="C997" t="s">
        <v>4274</v>
      </c>
      <c r="D997" t="s">
        <v>1514</v>
      </c>
      <c r="E997" t="s">
        <v>1516</v>
      </c>
      <c r="F997" t="s">
        <v>1517</v>
      </c>
      <c r="G997" s="1">
        <v>44562</v>
      </c>
      <c r="H997" s="1">
        <v>44562</v>
      </c>
      <c r="I997" t="s">
        <v>665</v>
      </c>
      <c r="J997" t="s">
        <v>1518</v>
      </c>
      <c r="K997" t="s">
        <v>24</v>
      </c>
      <c r="L997" t="s">
        <v>216</v>
      </c>
      <c r="M997" t="s">
        <v>891</v>
      </c>
      <c r="N997" t="s">
        <v>892</v>
      </c>
      <c r="O997" t="s">
        <v>891</v>
      </c>
      <c r="P997" t="s">
        <v>892</v>
      </c>
      <c r="Q997" t="s">
        <v>4080</v>
      </c>
      <c r="R997" t="s">
        <v>4081</v>
      </c>
      <c r="S997" t="s">
        <v>783</v>
      </c>
      <c r="T997" t="s">
        <v>550</v>
      </c>
      <c r="U997" t="s">
        <v>550</v>
      </c>
      <c r="V997" t="s">
        <v>4275</v>
      </c>
      <c r="W997" t="s">
        <v>835</v>
      </c>
      <c r="X997" t="s">
        <v>979</v>
      </c>
      <c r="Y997" t="s">
        <v>803</v>
      </c>
      <c r="Z997" t="s">
        <v>4273</v>
      </c>
    </row>
    <row r="998" spans="1:26" x14ac:dyDescent="0.3">
      <c r="A998" t="s">
        <v>525</v>
      </c>
      <c r="B998" t="s">
        <v>4276</v>
      </c>
      <c r="C998" t="s">
        <v>4277</v>
      </c>
      <c r="D998" t="s">
        <v>550</v>
      </c>
      <c r="E998" t="s">
        <v>664</v>
      </c>
      <c r="F998" t="s">
        <v>27</v>
      </c>
      <c r="G998" s="1">
        <v>44562</v>
      </c>
      <c r="H998" s="1">
        <v>44562</v>
      </c>
      <c r="I998" t="s">
        <v>665</v>
      </c>
      <c r="J998" t="s">
        <v>3708</v>
      </c>
      <c r="K998" t="s">
        <v>24</v>
      </c>
      <c r="L998" t="s">
        <v>1010</v>
      </c>
      <c r="M998" t="s">
        <v>891</v>
      </c>
      <c r="N998" t="s">
        <v>892</v>
      </c>
      <c r="O998" t="s">
        <v>891</v>
      </c>
      <c r="P998" t="s">
        <v>892</v>
      </c>
      <c r="Q998" t="s">
        <v>4080</v>
      </c>
      <c r="R998" t="s">
        <v>4081</v>
      </c>
      <c r="S998" t="s">
        <v>550</v>
      </c>
      <c r="T998" t="s">
        <v>550</v>
      </c>
      <c r="U998" t="s">
        <v>550</v>
      </c>
      <c r="V998" t="s">
        <v>4278</v>
      </c>
      <c r="W998" t="s">
        <v>835</v>
      </c>
      <c r="X998" t="s">
        <v>979</v>
      </c>
      <c r="Y998" t="s">
        <v>803</v>
      </c>
      <c r="Z998" t="s">
        <v>4276</v>
      </c>
    </row>
    <row r="999" spans="1:26" x14ac:dyDescent="0.3">
      <c r="A999" t="s">
        <v>525</v>
      </c>
      <c r="B999" t="s">
        <v>4279</v>
      </c>
      <c r="C999" t="s">
        <v>4277</v>
      </c>
      <c r="D999" t="s">
        <v>4276</v>
      </c>
      <c r="E999" t="s">
        <v>664</v>
      </c>
      <c r="F999" t="s">
        <v>27</v>
      </c>
      <c r="G999" s="1">
        <v>44562</v>
      </c>
      <c r="H999" s="1">
        <v>44562</v>
      </c>
      <c r="I999" t="s">
        <v>665</v>
      </c>
      <c r="J999" t="s">
        <v>3714</v>
      </c>
      <c r="K999" t="s">
        <v>24</v>
      </c>
      <c r="L999" t="s">
        <v>1010</v>
      </c>
      <c r="M999" t="s">
        <v>891</v>
      </c>
      <c r="N999" t="s">
        <v>892</v>
      </c>
      <c r="O999" t="s">
        <v>891</v>
      </c>
      <c r="P999" t="s">
        <v>892</v>
      </c>
      <c r="Q999" t="s">
        <v>4080</v>
      </c>
      <c r="R999" t="s">
        <v>4081</v>
      </c>
      <c r="S999" t="s">
        <v>783</v>
      </c>
      <c r="T999" t="s">
        <v>550</v>
      </c>
      <c r="U999" t="s">
        <v>550</v>
      </c>
      <c r="V999" t="s">
        <v>4280</v>
      </c>
      <c r="W999" t="s">
        <v>835</v>
      </c>
      <c r="X999" t="s">
        <v>979</v>
      </c>
      <c r="Y999" t="s">
        <v>803</v>
      </c>
      <c r="Z999" t="s">
        <v>4279</v>
      </c>
    </row>
    <row r="1000" spans="1:26" x14ac:dyDescent="0.3">
      <c r="A1000" t="s">
        <v>525</v>
      </c>
      <c r="B1000" t="s">
        <v>4222</v>
      </c>
      <c r="C1000" t="s">
        <v>4281</v>
      </c>
      <c r="D1000" t="s">
        <v>550</v>
      </c>
      <c r="E1000" t="s">
        <v>664</v>
      </c>
      <c r="F1000" t="s">
        <v>27</v>
      </c>
      <c r="G1000" s="1">
        <v>44562</v>
      </c>
      <c r="H1000" s="1">
        <v>44562</v>
      </c>
      <c r="I1000" t="s">
        <v>665</v>
      </c>
      <c r="J1000" t="s">
        <v>666</v>
      </c>
      <c r="K1000" t="s">
        <v>24</v>
      </c>
      <c r="L1000" t="s">
        <v>667</v>
      </c>
      <c r="M1000" t="s">
        <v>1324</v>
      </c>
      <c r="N1000" t="s">
        <v>1325</v>
      </c>
      <c r="O1000" t="s">
        <v>891</v>
      </c>
      <c r="P1000" t="s">
        <v>892</v>
      </c>
      <c r="Q1000" t="s">
        <v>4080</v>
      </c>
      <c r="R1000" t="s">
        <v>4081</v>
      </c>
      <c r="S1000" t="s">
        <v>783</v>
      </c>
      <c r="T1000" t="s">
        <v>550</v>
      </c>
      <c r="U1000" t="s">
        <v>550</v>
      </c>
      <c r="V1000" t="s">
        <v>4282</v>
      </c>
      <c r="W1000" t="s">
        <v>1021</v>
      </c>
      <c r="X1000" t="s">
        <v>74</v>
      </c>
      <c r="Y1000" t="s">
        <v>803</v>
      </c>
      <c r="Z1000" t="s">
        <v>4222</v>
      </c>
    </row>
    <row r="1001" spans="1:26" x14ac:dyDescent="0.3">
      <c r="A1001" t="s">
        <v>525</v>
      </c>
      <c r="B1001" t="s">
        <v>4283</v>
      </c>
      <c r="C1001" t="s">
        <v>4284</v>
      </c>
      <c r="D1001" t="s">
        <v>4285</v>
      </c>
      <c r="E1001" t="s">
        <v>664</v>
      </c>
      <c r="F1001" t="s">
        <v>27</v>
      </c>
      <c r="G1001" s="1">
        <v>44562</v>
      </c>
      <c r="H1001" s="1">
        <v>44562</v>
      </c>
      <c r="I1001" t="s">
        <v>665</v>
      </c>
      <c r="J1001" t="s">
        <v>666</v>
      </c>
      <c r="K1001" t="s">
        <v>24</v>
      </c>
      <c r="L1001" t="s">
        <v>667</v>
      </c>
      <c r="M1001" t="s">
        <v>1168</v>
      </c>
      <c r="N1001" t="s">
        <v>1169</v>
      </c>
      <c r="O1001" t="s">
        <v>891</v>
      </c>
      <c r="P1001" t="s">
        <v>892</v>
      </c>
      <c r="Q1001" t="s">
        <v>4080</v>
      </c>
      <c r="R1001" t="s">
        <v>4081</v>
      </c>
      <c r="S1001" t="s">
        <v>783</v>
      </c>
      <c r="T1001" t="s">
        <v>550</v>
      </c>
      <c r="U1001" t="s">
        <v>550</v>
      </c>
      <c r="V1001" t="s">
        <v>4286</v>
      </c>
      <c r="W1001" t="s">
        <v>4287</v>
      </c>
      <c r="X1001" t="s">
        <v>669</v>
      </c>
      <c r="Y1001" t="s">
        <v>803</v>
      </c>
      <c r="Z1001" t="s">
        <v>4283</v>
      </c>
    </row>
    <row r="1002" spans="1:26" x14ac:dyDescent="0.3">
      <c r="A1002" t="s">
        <v>525</v>
      </c>
      <c r="B1002" t="s">
        <v>4288</v>
      </c>
      <c r="C1002" t="s">
        <v>4252</v>
      </c>
      <c r="D1002" t="s">
        <v>4253</v>
      </c>
      <c r="E1002" t="s">
        <v>664</v>
      </c>
      <c r="F1002" t="s">
        <v>27</v>
      </c>
      <c r="G1002" s="1">
        <v>44562</v>
      </c>
      <c r="H1002" s="1">
        <v>44687</v>
      </c>
      <c r="I1002" t="s">
        <v>665</v>
      </c>
      <c r="J1002" t="s">
        <v>666</v>
      </c>
      <c r="K1002" t="s">
        <v>24</v>
      </c>
      <c r="L1002" t="s">
        <v>667</v>
      </c>
      <c r="M1002" t="s">
        <v>4289</v>
      </c>
      <c r="N1002" t="s">
        <v>4290</v>
      </c>
      <c r="O1002" t="s">
        <v>891</v>
      </c>
      <c r="P1002" t="s">
        <v>892</v>
      </c>
      <c r="Q1002" t="s">
        <v>4080</v>
      </c>
      <c r="R1002" t="s">
        <v>4081</v>
      </c>
      <c r="S1002" t="s">
        <v>783</v>
      </c>
      <c r="T1002" t="s">
        <v>893</v>
      </c>
      <c r="U1002" t="s">
        <v>550</v>
      </c>
      <c r="V1002" t="s">
        <v>4291</v>
      </c>
      <c r="W1002" t="s">
        <v>1513</v>
      </c>
      <c r="X1002" t="s">
        <v>669</v>
      </c>
      <c r="Y1002" t="s">
        <v>799</v>
      </c>
      <c r="Z1002" t="s">
        <v>4288</v>
      </c>
    </row>
    <row r="1003" spans="1:26" x14ac:dyDescent="0.3">
      <c r="A1003" t="s">
        <v>525</v>
      </c>
      <c r="B1003" t="s">
        <v>4292</v>
      </c>
      <c r="C1003" t="s">
        <v>4293</v>
      </c>
      <c r="D1003" t="s">
        <v>4294</v>
      </c>
      <c r="E1003" t="s">
        <v>664</v>
      </c>
      <c r="F1003" t="s">
        <v>27</v>
      </c>
      <c r="G1003" s="1">
        <v>44562</v>
      </c>
      <c r="H1003" s="1">
        <v>44579</v>
      </c>
      <c r="I1003" t="s">
        <v>665</v>
      </c>
      <c r="J1003" t="s">
        <v>666</v>
      </c>
      <c r="K1003" t="s">
        <v>635</v>
      </c>
      <c r="L1003" t="s">
        <v>667</v>
      </c>
      <c r="M1003" t="s">
        <v>4289</v>
      </c>
      <c r="N1003" t="s">
        <v>4290</v>
      </c>
      <c r="O1003" t="s">
        <v>891</v>
      </c>
      <c r="P1003" t="s">
        <v>892</v>
      </c>
      <c r="Q1003" t="s">
        <v>4080</v>
      </c>
      <c r="R1003" t="s">
        <v>4081</v>
      </c>
      <c r="S1003" t="s">
        <v>783</v>
      </c>
      <c r="T1003" t="s">
        <v>893</v>
      </c>
      <c r="U1003" t="s">
        <v>550</v>
      </c>
      <c r="V1003" t="s">
        <v>4295</v>
      </c>
      <c r="W1003" t="s">
        <v>1513</v>
      </c>
      <c r="X1003" t="s">
        <v>669</v>
      </c>
      <c r="Y1003" t="s">
        <v>799</v>
      </c>
      <c r="Z1003" t="s">
        <v>4292</v>
      </c>
    </row>
    <row r="1004" spans="1:26" x14ac:dyDescent="0.3">
      <c r="A1004" t="s">
        <v>525</v>
      </c>
      <c r="B1004" t="s">
        <v>4296</v>
      </c>
      <c r="C1004" t="s">
        <v>4297</v>
      </c>
      <c r="D1004" t="s">
        <v>3924</v>
      </c>
      <c r="E1004" t="s">
        <v>664</v>
      </c>
      <c r="F1004" t="s">
        <v>27</v>
      </c>
      <c r="G1004" s="1">
        <v>44562</v>
      </c>
      <c r="H1004" s="1">
        <v>44582</v>
      </c>
      <c r="I1004" t="s">
        <v>665</v>
      </c>
      <c r="J1004" t="s">
        <v>666</v>
      </c>
      <c r="K1004" t="s">
        <v>24</v>
      </c>
      <c r="L1004" t="s">
        <v>667</v>
      </c>
      <c r="M1004" t="s">
        <v>4289</v>
      </c>
      <c r="N1004" t="s">
        <v>4290</v>
      </c>
      <c r="O1004" t="s">
        <v>891</v>
      </c>
      <c r="P1004" t="s">
        <v>892</v>
      </c>
      <c r="Q1004" t="s">
        <v>4080</v>
      </c>
      <c r="R1004" t="s">
        <v>4081</v>
      </c>
      <c r="S1004" t="s">
        <v>783</v>
      </c>
      <c r="T1004" t="s">
        <v>893</v>
      </c>
      <c r="U1004" t="s">
        <v>550</v>
      </c>
      <c r="V1004" t="s">
        <v>4298</v>
      </c>
      <c r="W1004" t="s">
        <v>1513</v>
      </c>
      <c r="X1004" t="s">
        <v>669</v>
      </c>
      <c r="Y1004" t="s">
        <v>799</v>
      </c>
      <c r="Z1004" t="s">
        <v>4296</v>
      </c>
    </row>
    <row r="1005" spans="1:26" x14ac:dyDescent="0.3">
      <c r="A1005" t="s">
        <v>525</v>
      </c>
      <c r="B1005" t="s">
        <v>4299</v>
      </c>
      <c r="C1005" t="s">
        <v>4300</v>
      </c>
      <c r="D1005" t="s">
        <v>3924</v>
      </c>
      <c r="E1005" t="s">
        <v>664</v>
      </c>
      <c r="F1005" t="s">
        <v>27</v>
      </c>
      <c r="G1005" s="1">
        <v>44562</v>
      </c>
      <c r="H1005" s="1">
        <v>44598</v>
      </c>
      <c r="I1005" t="s">
        <v>665</v>
      </c>
      <c r="J1005" t="s">
        <v>666</v>
      </c>
      <c r="K1005" t="s">
        <v>24</v>
      </c>
      <c r="L1005" t="s">
        <v>667</v>
      </c>
      <c r="M1005" t="s">
        <v>4289</v>
      </c>
      <c r="N1005" t="s">
        <v>4290</v>
      </c>
      <c r="O1005" t="s">
        <v>891</v>
      </c>
      <c r="P1005" t="s">
        <v>892</v>
      </c>
      <c r="Q1005" t="s">
        <v>4080</v>
      </c>
      <c r="R1005" t="s">
        <v>4081</v>
      </c>
      <c r="S1005" t="s">
        <v>783</v>
      </c>
      <c r="T1005" t="s">
        <v>893</v>
      </c>
      <c r="U1005" t="s">
        <v>550</v>
      </c>
      <c r="V1005" t="s">
        <v>4301</v>
      </c>
      <c r="W1005" t="s">
        <v>1513</v>
      </c>
      <c r="X1005" t="s">
        <v>669</v>
      </c>
      <c r="Y1005" t="s">
        <v>799</v>
      </c>
      <c r="Z1005" t="s">
        <v>4299</v>
      </c>
    </row>
    <row r="1006" spans="1:26" x14ac:dyDescent="0.3">
      <c r="A1006" t="s">
        <v>525</v>
      </c>
      <c r="B1006" t="s">
        <v>4302</v>
      </c>
      <c r="C1006" t="s">
        <v>4303</v>
      </c>
      <c r="D1006" t="s">
        <v>4304</v>
      </c>
      <c r="E1006" t="s">
        <v>664</v>
      </c>
      <c r="F1006" t="s">
        <v>27</v>
      </c>
      <c r="G1006" s="1">
        <v>44562</v>
      </c>
      <c r="H1006" s="1">
        <v>44595</v>
      </c>
      <c r="I1006" t="s">
        <v>665</v>
      </c>
      <c r="J1006" t="s">
        <v>666</v>
      </c>
      <c r="K1006" t="s">
        <v>635</v>
      </c>
      <c r="L1006" t="s">
        <v>667</v>
      </c>
      <c r="M1006" t="s">
        <v>4289</v>
      </c>
      <c r="N1006" t="s">
        <v>4290</v>
      </c>
      <c r="O1006" t="s">
        <v>891</v>
      </c>
      <c r="P1006" t="s">
        <v>892</v>
      </c>
      <c r="Q1006" t="s">
        <v>4080</v>
      </c>
      <c r="R1006" t="s">
        <v>4081</v>
      </c>
      <c r="S1006" t="s">
        <v>783</v>
      </c>
      <c r="T1006" t="s">
        <v>893</v>
      </c>
      <c r="U1006" t="s">
        <v>550</v>
      </c>
      <c r="V1006" t="s">
        <v>4305</v>
      </c>
      <c r="W1006" t="s">
        <v>835</v>
      </c>
      <c r="X1006" t="s">
        <v>669</v>
      </c>
      <c r="Y1006" t="s">
        <v>803</v>
      </c>
      <c r="Z1006" t="s">
        <v>4302</v>
      </c>
    </row>
    <row r="1007" spans="1:26" x14ac:dyDescent="0.3">
      <c r="A1007" t="s">
        <v>525</v>
      </c>
      <c r="B1007" t="s">
        <v>4306</v>
      </c>
      <c r="C1007" t="s">
        <v>4297</v>
      </c>
      <c r="D1007" t="s">
        <v>550</v>
      </c>
      <c r="E1007" t="s">
        <v>664</v>
      </c>
      <c r="F1007" t="s">
        <v>27</v>
      </c>
      <c r="G1007" s="1">
        <v>44562</v>
      </c>
      <c r="H1007" s="1">
        <v>44926</v>
      </c>
      <c r="I1007" t="s">
        <v>665</v>
      </c>
      <c r="J1007" t="s">
        <v>666</v>
      </c>
      <c r="K1007" t="s">
        <v>24</v>
      </c>
      <c r="L1007" t="s">
        <v>667</v>
      </c>
      <c r="M1007" t="s">
        <v>4289</v>
      </c>
      <c r="N1007" t="s">
        <v>4290</v>
      </c>
      <c r="O1007" t="s">
        <v>891</v>
      </c>
      <c r="P1007" t="s">
        <v>892</v>
      </c>
      <c r="Q1007" t="s">
        <v>4080</v>
      </c>
      <c r="R1007" t="s">
        <v>4081</v>
      </c>
      <c r="S1007" t="s">
        <v>783</v>
      </c>
      <c r="T1007" t="s">
        <v>893</v>
      </c>
      <c r="U1007" t="s">
        <v>550</v>
      </c>
      <c r="V1007" t="s">
        <v>4307</v>
      </c>
      <c r="W1007" t="s">
        <v>835</v>
      </c>
      <c r="X1007" t="s">
        <v>669</v>
      </c>
      <c r="Y1007" t="s">
        <v>799</v>
      </c>
      <c r="Z1007" t="s">
        <v>4306</v>
      </c>
    </row>
    <row r="1008" spans="1:26" x14ac:dyDescent="0.3">
      <c r="A1008" t="s">
        <v>525</v>
      </c>
      <c r="B1008" t="s">
        <v>4308</v>
      </c>
      <c r="C1008" t="s">
        <v>4309</v>
      </c>
      <c r="D1008" t="s">
        <v>4306</v>
      </c>
      <c r="E1008" t="s">
        <v>664</v>
      </c>
      <c r="F1008" t="s">
        <v>27</v>
      </c>
      <c r="G1008" s="1">
        <v>44562</v>
      </c>
      <c r="H1008" s="1">
        <v>44582</v>
      </c>
      <c r="I1008" t="s">
        <v>665</v>
      </c>
      <c r="J1008" t="s">
        <v>666</v>
      </c>
      <c r="K1008" t="s">
        <v>24</v>
      </c>
      <c r="L1008" t="s">
        <v>667</v>
      </c>
      <c r="M1008" t="s">
        <v>4289</v>
      </c>
      <c r="N1008" t="s">
        <v>4290</v>
      </c>
      <c r="O1008" t="s">
        <v>891</v>
      </c>
      <c r="P1008" t="s">
        <v>892</v>
      </c>
      <c r="Q1008" t="s">
        <v>4080</v>
      </c>
      <c r="R1008" t="s">
        <v>4081</v>
      </c>
      <c r="S1008" t="s">
        <v>783</v>
      </c>
      <c r="T1008" t="s">
        <v>893</v>
      </c>
      <c r="U1008" t="s">
        <v>550</v>
      </c>
      <c r="V1008" t="s">
        <v>4310</v>
      </c>
      <c r="W1008" t="s">
        <v>835</v>
      </c>
      <c r="X1008" t="s">
        <v>669</v>
      </c>
      <c r="Y1008" t="s">
        <v>799</v>
      </c>
      <c r="Z1008" t="s">
        <v>4308</v>
      </c>
    </row>
    <row r="1009" spans="1:26" x14ac:dyDescent="0.3">
      <c r="A1009" t="s">
        <v>525</v>
      </c>
      <c r="B1009" t="s">
        <v>4311</v>
      </c>
      <c r="C1009" t="s">
        <v>4300</v>
      </c>
      <c r="D1009" t="s">
        <v>550</v>
      </c>
      <c r="E1009" t="s">
        <v>664</v>
      </c>
      <c r="F1009" t="s">
        <v>27</v>
      </c>
      <c r="G1009" s="1">
        <v>44562</v>
      </c>
      <c r="H1009" s="1">
        <v>44926</v>
      </c>
      <c r="I1009" t="s">
        <v>665</v>
      </c>
      <c r="J1009" t="s">
        <v>666</v>
      </c>
      <c r="K1009" t="s">
        <v>24</v>
      </c>
      <c r="L1009" t="s">
        <v>667</v>
      </c>
      <c r="M1009" t="s">
        <v>4289</v>
      </c>
      <c r="N1009" t="s">
        <v>4290</v>
      </c>
      <c r="O1009" t="s">
        <v>891</v>
      </c>
      <c r="P1009" t="s">
        <v>892</v>
      </c>
      <c r="Q1009" t="s">
        <v>4080</v>
      </c>
      <c r="R1009" t="s">
        <v>4081</v>
      </c>
      <c r="S1009" t="s">
        <v>783</v>
      </c>
      <c r="T1009" t="s">
        <v>893</v>
      </c>
      <c r="U1009" t="s">
        <v>550</v>
      </c>
      <c r="V1009" t="s">
        <v>4312</v>
      </c>
      <c r="W1009" t="s">
        <v>835</v>
      </c>
      <c r="X1009" t="s">
        <v>669</v>
      </c>
      <c r="Y1009" t="s">
        <v>799</v>
      </c>
      <c r="Z1009" t="s">
        <v>4311</v>
      </c>
    </row>
    <row r="1010" spans="1:26" x14ac:dyDescent="0.3">
      <c r="A1010" t="s">
        <v>525</v>
      </c>
      <c r="B1010" t="s">
        <v>4313</v>
      </c>
      <c r="C1010" t="s">
        <v>4314</v>
      </c>
      <c r="D1010" t="s">
        <v>4311</v>
      </c>
      <c r="E1010" t="s">
        <v>664</v>
      </c>
      <c r="F1010" t="s">
        <v>27</v>
      </c>
      <c r="G1010" s="1">
        <v>44562</v>
      </c>
      <c r="H1010" s="1">
        <v>44598</v>
      </c>
      <c r="I1010" t="s">
        <v>665</v>
      </c>
      <c r="J1010" t="s">
        <v>666</v>
      </c>
      <c r="K1010" t="s">
        <v>24</v>
      </c>
      <c r="L1010" t="s">
        <v>667</v>
      </c>
      <c r="M1010" t="s">
        <v>4289</v>
      </c>
      <c r="N1010" t="s">
        <v>4290</v>
      </c>
      <c r="O1010" t="s">
        <v>891</v>
      </c>
      <c r="P1010" t="s">
        <v>892</v>
      </c>
      <c r="Q1010" t="s">
        <v>4080</v>
      </c>
      <c r="R1010" t="s">
        <v>4081</v>
      </c>
      <c r="S1010" t="s">
        <v>783</v>
      </c>
      <c r="T1010" t="s">
        <v>893</v>
      </c>
      <c r="U1010" t="s">
        <v>550</v>
      </c>
      <c r="V1010" t="s">
        <v>4315</v>
      </c>
      <c r="W1010" t="s">
        <v>835</v>
      </c>
      <c r="X1010" t="s">
        <v>669</v>
      </c>
      <c r="Y1010" t="s">
        <v>799</v>
      </c>
      <c r="Z1010" t="s">
        <v>4313</v>
      </c>
    </row>
    <row r="1011" spans="1:26" x14ac:dyDescent="0.3">
      <c r="A1011" t="s">
        <v>525</v>
      </c>
      <c r="B1011" t="s">
        <v>4316</v>
      </c>
      <c r="C1011" t="s">
        <v>4317</v>
      </c>
      <c r="D1011" t="s">
        <v>550</v>
      </c>
      <c r="E1011" t="s">
        <v>664</v>
      </c>
      <c r="F1011" t="s">
        <v>27</v>
      </c>
      <c r="G1011" s="1">
        <v>44562</v>
      </c>
      <c r="H1011" s="1">
        <v>44926</v>
      </c>
      <c r="I1011" t="s">
        <v>665</v>
      </c>
      <c r="J1011" t="s">
        <v>666</v>
      </c>
      <c r="K1011" t="s">
        <v>24</v>
      </c>
      <c r="L1011" t="s">
        <v>667</v>
      </c>
      <c r="M1011" t="s">
        <v>4289</v>
      </c>
      <c r="N1011" t="s">
        <v>4290</v>
      </c>
      <c r="O1011" t="s">
        <v>891</v>
      </c>
      <c r="P1011" t="s">
        <v>892</v>
      </c>
      <c r="Q1011" t="s">
        <v>4080</v>
      </c>
      <c r="R1011" t="s">
        <v>4081</v>
      </c>
      <c r="S1011" t="s">
        <v>783</v>
      </c>
      <c r="T1011" t="s">
        <v>550</v>
      </c>
      <c r="U1011" t="s">
        <v>550</v>
      </c>
      <c r="V1011" t="s">
        <v>4318</v>
      </c>
      <c r="W1011" t="s">
        <v>835</v>
      </c>
      <c r="X1011" t="s">
        <v>669</v>
      </c>
      <c r="Y1011" t="s">
        <v>799</v>
      </c>
      <c r="Z1011" t="s">
        <v>4316</v>
      </c>
    </row>
    <row r="1012" spans="1:26" x14ac:dyDescent="0.3">
      <c r="A1012" t="s">
        <v>525</v>
      </c>
      <c r="B1012" t="s">
        <v>4319</v>
      </c>
      <c r="C1012" t="s">
        <v>4320</v>
      </c>
      <c r="D1012" t="s">
        <v>4316</v>
      </c>
      <c r="E1012" t="s">
        <v>664</v>
      </c>
      <c r="F1012" t="s">
        <v>27</v>
      </c>
      <c r="G1012" s="1">
        <v>44562</v>
      </c>
      <c r="H1012" s="1">
        <v>44687</v>
      </c>
      <c r="I1012" t="s">
        <v>665</v>
      </c>
      <c r="J1012" t="s">
        <v>666</v>
      </c>
      <c r="K1012" t="s">
        <v>24</v>
      </c>
      <c r="L1012" t="s">
        <v>667</v>
      </c>
      <c r="M1012" t="s">
        <v>4289</v>
      </c>
      <c r="N1012" t="s">
        <v>4290</v>
      </c>
      <c r="O1012" t="s">
        <v>891</v>
      </c>
      <c r="P1012" t="s">
        <v>892</v>
      </c>
      <c r="Q1012" t="s">
        <v>4080</v>
      </c>
      <c r="R1012" t="s">
        <v>4081</v>
      </c>
      <c r="S1012" t="s">
        <v>783</v>
      </c>
      <c r="T1012" t="s">
        <v>550</v>
      </c>
      <c r="U1012" t="s">
        <v>550</v>
      </c>
      <c r="V1012" t="s">
        <v>4321</v>
      </c>
      <c r="W1012" t="s">
        <v>835</v>
      </c>
      <c r="X1012" t="s">
        <v>669</v>
      </c>
      <c r="Y1012" t="s">
        <v>799</v>
      </c>
      <c r="Z1012" t="s">
        <v>4319</v>
      </c>
    </row>
    <row r="1013" spans="1:26" x14ac:dyDescent="0.3">
      <c r="A1013" t="s">
        <v>525</v>
      </c>
      <c r="B1013" t="s">
        <v>4322</v>
      </c>
      <c r="C1013" t="s">
        <v>4323</v>
      </c>
      <c r="D1013" t="s">
        <v>550</v>
      </c>
      <c r="E1013" t="s">
        <v>664</v>
      </c>
      <c r="F1013" t="s">
        <v>27</v>
      </c>
      <c r="G1013" s="1">
        <v>44562</v>
      </c>
      <c r="H1013" s="1">
        <v>44926</v>
      </c>
      <c r="I1013" t="s">
        <v>665</v>
      </c>
      <c r="J1013" t="s">
        <v>666</v>
      </c>
      <c r="K1013" t="s">
        <v>24</v>
      </c>
      <c r="L1013" t="s">
        <v>667</v>
      </c>
      <c r="M1013" t="s">
        <v>4289</v>
      </c>
      <c r="N1013" t="s">
        <v>4290</v>
      </c>
      <c r="O1013" t="s">
        <v>891</v>
      </c>
      <c r="P1013" t="s">
        <v>892</v>
      </c>
      <c r="Q1013" t="s">
        <v>4080</v>
      </c>
      <c r="R1013" t="s">
        <v>4081</v>
      </c>
      <c r="S1013" t="s">
        <v>783</v>
      </c>
      <c r="T1013" t="s">
        <v>550</v>
      </c>
      <c r="U1013" t="s">
        <v>550</v>
      </c>
      <c r="V1013" t="s">
        <v>4324</v>
      </c>
      <c r="W1013" t="s">
        <v>835</v>
      </c>
      <c r="X1013" t="s">
        <v>669</v>
      </c>
      <c r="Y1013" t="s">
        <v>799</v>
      </c>
      <c r="Z1013" t="s">
        <v>4322</v>
      </c>
    </row>
    <row r="1014" spans="1:26" x14ac:dyDescent="0.3">
      <c r="A1014" t="s">
        <v>525</v>
      </c>
      <c r="B1014" t="s">
        <v>4325</v>
      </c>
      <c r="C1014" t="s">
        <v>4326</v>
      </c>
      <c r="D1014" t="s">
        <v>4322</v>
      </c>
      <c r="E1014" t="s">
        <v>664</v>
      </c>
      <c r="F1014" t="s">
        <v>27</v>
      </c>
      <c r="G1014" s="1">
        <v>44562</v>
      </c>
      <c r="H1014" s="1">
        <v>44579</v>
      </c>
      <c r="I1014" t="s">
        <v>665</v>
      </c>
      <c r="J1014" t="s">
        <v>666</v>
      </c>
      <c r="K1014" t="s">
        <v>24</v>
      </c>
      <c r="L1014" t="s">
        <v>667</v>
      </c>
      <c r="M1014" t="s">
        <v>4289</v>
      </c>
      <c r="N1014" t="s">
        <v>4290</v>
      </c>
      <c r="O1014" t="s">
        <v>891</v>
      </c>
      <c r="P1014" t="s">
        <v>892</v>
      </c>
      <c r="Q1014" t="s">
        <v>4080</v>
      </c>
      <c r="R1014" t="s">
        <v>4081</v>
      </c>
      <c r="S1014" t="s">
        <v>783</v>
      </c>
      <c r="T1014" t="s">
        <v>550</v>
      </c>
      <c r="U1014" t="s">
        <v>550</v>
      </c>
      <c r="V1014" t="s">
        <v>4327</v>
      </c>
      <c r="W1014" t="s">
        <v>835</v>
      </c>
      <c r="X1014" t="s">
        <v>669</v>
      </c>
      <c r="Y1014" t="s">
        <v>799</v>
      </c>
      <c r="Z1014" t="s">
        <v>4325</v>
      </c>
    </row>
    <row r="1015" spans="1:26" x14ac:dyDescent="0.3">
      <c r="A1015" t="s">
        <v>525</v>
      </c>
      <c r="B1015" t="s">
        <v>4328</v>
      </c>
      <c r="C1015" t="s">
        <v>4329</v>
      </c>
      <c r="D1015" t="s">
        <v>550</v>
      </c>
      <c r="E1015" t="s">
        <v>664</v>
      </c>
      <c r="F1015" t="s">
        <v>27</v>
      </c>
      <c r="G1015" s="1">
        <v>44562</v>
      </c>
      <c r="H1015" s="1">
        <v>44562</v>
      </c>
      <c r="I1015" t="s">
        <v>665</v>
      </c>
      <c r="J1015" t="s">
        <v>666</v>
      </c>
      <c r="K1015" t="s">
        <v>24</v>
      </c>
      <c r="L1015" t="s">
        <v>667</v>
      </c>
      <c r="M1015" t="s">
        <v>4289</v>
      </c>
      <c r="N1015" t="s">
        <v>4290</v>
      </c>
      <c r="O1015" t="s">
        <v>891</v>
      </c>
      <c r="P1015" t="s">
        <v>892</v>
      </c>
      <c r="Q1015" t="s">
        <v>4080</v>
      </c>
      <c r="R1015" t="s">
        <v>4081</v>
      </c>
      <c r="S1015" t="s">
        <v>783</v>
      </c>
      <c r="T1015" t="s">
        <v>893</v>
      </c>
      <c r="U1015" t="s">
        <v>550</v>
      </c>
      <c r="V1015" t="s">
        <v>4330</v>
      </c>
      <c r="W1015" t="s">
        <v>835</v>
      </c>
      <c r="X1015" t="s">
        <v>669</v>
      </c>
      <c r="Y1015" t="s">
        <v>799</v>
      </c>
      <c r="Z1015" t="s">
        <v>4328</v>
      </c>
    </row>
    <row r="1016" spans="1:26" x14ac:dyDescent="0.3">
      <c r="A1016" t="s">
        <v>525</v>
      </c>
      <c r="B1016" t="s">
        <v>4331</v>
      </c>
      <c r="C1016" t="s">
        <v>4332</v>
      </c>
      <c r="D1016" t="s">
        <v>4328</v>
      </c>
      <c r="E1016" t="s">
        <v>664</v>
      </c>
      <c r="F1016" t="s">
        <v>27</v>
      </c>
      <c r="G1016" s="1">
        <v>44562</v>
      </c>
      <c r="H1016" s="1">
        <v>44581</v>
      </c>
      <c r="I1016" t="s">
        <v>665</v>
      </c>
      <c r="J1016" t="s">
        <v>666</v>
      </c>
      <c r="K1016" t="s">
        <v>24</v>
      </c>
      <c r="L1016" t="s">
        <v>667</v>
      </c>
      <c r="M1016" t="s">
        <v>4289</v>
      </c>
      <c r="N1016" t="s">
        <v>4290</v>
      </c>
      <c r="O1016" t="s">
        <v>891</v>
      </c>
      <c r="P1016" t="s">
        <v>892</v>
      </c>
      <c r="Q1016" t="s">
        <v>4080</v>
      </c>
      <c r="R1016" t="s">
        <v>4081</v>
      </c>
      <c r="S1016" t="s">
        <v>783</v>
      </c>
      <c r="T1016" t="s">
        <v>893</v>
      </c>
      <c r="U1016" t="s">
        <v>550</v>
      </c>
      <c r="V1016" t="s">
        <v>4333</v>
      </c>
      <c r="W1016" t="s">
        <v>835</v>
      </c>
      <c r="X1016" t="s">
        <v>669</v>
      </c>
      <c r="Y1016" t="s">
        <v>799</v>
      </c>
      <c r="Z1016" t="s">
        <v>4331</v>
      </c>
    </row>
    <row r="1017" spans="1:26" x14ac:dyDescent="0.3">
      <c r="A1017" t="s">
        <v>525</v>
      </c>
      <c r="B1017" t="s">
        <v>4334</v>
      </c>
      <c r="C1017" t="s">
        <v>4335</v>
      </c>
      <c r="D1017" t="s">
        <v>550</v>
      </c>
      <c r="E1017" t="s">
        <v>664</v>
      </c>
      <c r="F1017" t="s">
        <v>27</v>
      </c>
      <c r="G1017" s="1">
        <v>44562</v>
      </c>
      <c r="H1017" s="1">
        <v>44562</v>
      </c>
      <c r="I1017" t="s">
        <v>665</v>
      </c>
      <c r="J1017" t="s">
        <v>666</v>
      </c>
      <c r="K1017" t="s">
        <v>24</v>
      </c>
      <c r="L1017" t="s">
        <v>667</v>
      </c>
      <c r="M1017" t="s">
        <v>4289</v>
      </c>
      <c r="N1017" t="s">
        <v>4290</v>
      </c>
      <c r="O1017" t="s">
        <v>891</v>
      </c>
      <c r="P1017" t="s">
        <v>892</v>
      </c>
      <c r="Q1017" t="s">
        <v>4080</v>
      </c>
      <c r="R1017" t="s">
        <v>4081</v>
      </c>
      <c r="S1017" t="s">
        <v>783</v>
      </c>
      <c r="T1017" t="s">
        <v>893</v>
      </c>
      <c r="U1017" t="s">
        <v>550</v>
      </c>
      <c r="V1017" t="s">
        <v>4336</v>
      </c>
      <c r="W1017" t="s">
        <v>835</v>
      </c>
      <c r="X1017" t="s">
        <v>669</v>
      </c>
      <c r="Y1017" t="s">
        <v>799</v>
      </c>
      <c r="Z1017" t="s">
        <v>4334</v>
      </c>
    </row>
    <row r="1018" spans="1:26" x14ac:dyDescent="0.3">
      <c r="A1018" t="s">
        <v>525</v>
      </c>
      <c r="B1018" t="s">
        <v>4337</v>
      </c>
      <c r="C1018" t="s">
        <v>4338</v>
      </c>
      <c r="D1018" t="s">
        <v>4334</v>
      </c>
      <c r="E1018" t="s">
        <v>664</v>
      </c>
      <c r="F1018" t="s">
        <v>27</v>
      </c>
      <c r="G1018" s="1">
        <v>44562</v>
      </c>
      <c r="H1018" s="1">
        <v>44616</v>
      </c>
      <c r="I1018" t="s">
        <v>665</v>
      </c>
      <c r="J1018" t="s">
        <v>666</v>
      </c>
      <c r="K1018" t="s">
        <v>24</v>
      </c>
      <c r="L1018" t="s">
        <v>667</v>
      </c>
      <c r="M1018" t="s">
        <v>4289</v>
      </c>
      <c r="N1018" t="s">
        <v>4290</v>
      </c>
      <c r="O1018" t="s">
        <v>891</v>
      </c>
      <c r="P1018" t="s">
        <v>892</v>
      </c>
      <c r="Q1018" t="s">
        <v>4080</v>
      </c>
      <c r="R1018" t="s">
        <v>4081</v>
      </c>
      <c r="S1018" t="s">
        <v>783</v>
      </c>
      <c r="T1018" t="s">
        <v>893</v>
      </c>
      <c r="U1018" t="s">
        <v>550</v>
      </c>
      <c r="V1018" t="s">
        <v>4339</v>
      </c>
      <c r="W1018" t="s">
        <v>835</v>
      </c>
      <c r="X1018" t="s">
        <v>669</v>
      </c>
      <c r="Y1018" t="s">
        <v>799</v>
      </c>
      <c r="Z1018" t="s">
        <v>4337</v>
      </c>
    </row>
    <row r="1019" spans="1:26" x14ac:dyDescent="0.3">
      <c r="A1019" t="s">
        <v>525</v>
      </c>
      <c r="B1019" t="s">
        <v>4340</v>
      </c>
      <c r="C1019" t="s">
        <v>4341</v>
      </c>
      <c r="D1019" t="s">
        <v>3924</v>
      </c>
      <c r="E1019" t="s">
        <v>664</v>
      </c>
      <c r="F1019" t="s">
        <v>27</v>
      </c>
      <c r="G1019" s="1">
        <v>44562</v>
      </c>
      <c r="H1019" s="1">
        <v>44562</v>
      </c>
      <c r="I1019" t="s">
        <v>665</v>
      </c>
      <c r="J1019" t="s">
        <v>666</v>
      </c>
      <c r="K1019" t="s">
        <v>24</v>
      </c>
      <c r="L1019" t="s">
        <v>667</v>
      </c>
      <c r="M1019" t="s">
        <v>4289</v>
      </c>
      <c r="N1019" t="s">
        <v>4290</v>
      </c>
      <c r="O1019" t="s">
        <v>891</v>
      </c>
      <c r="P1019" t="s">
        <v>892</v>
      </c>
      <c r="Q1019" t="s">
        <v>4080</v>
      </c>
      <c r="R1019" t="s">
        <v>4081</v>
      </c>
      <c r="S1019" t="s">
        <v>783</v>
      </c>
      <c r="T1019" t="s">
        <v>893</v>
      </c>
      <c r="U1019" t="s">
        <v>550</v>
      </c>
      <c r="V1019" t="s">
        <v>4342</v>
      </c>
      <c r="W1019" t="s">
        <v>835</v>
      </c>
      <c r="X1019" t="s">
        <v>669</v>
      </c>
      <c r="Y1019" t="s">
        <v>803</v>
      </c>
      <c r="Z1019" t="s">
        <v>4340</v>
      </c>
    </row>
    <row r="1020" spans="1:26" x14ac:dyDescent="0.3">
      <c r="A1020" t="s">
        <v>525</v>
      </c>
      <c r="B1020" t="s">
        <v>4343</v>
      </c>
      <c r="C1020" t="s">
        <v>4344</v>
      </c>
      <c r="D1020" t="s">
        <v>3924</v>
      </c>
      <c r="E1020" t="s">
        <v>664</v>
      </c>
      <c r="F1020" t="s">
        <v>27</v>
      </c>
      <c r="G1020" s="1">
        <v>44562</v>
      </c>
      <c r="H1020" s="1">
        <v>44640</v>
      </c>
      <c r="I1020" t="s">
        <v>665</v>
      </c>
      <c r="J1020" t="s">
        <v>666</v>
      </c>
      <c r="K1020" t="s">
        <v>24</v>
      </c>
      <c r="L1020" t="s">
        <v>667</v>
      </c>
      <c r="M1020" t="s">
        <v>4289</v>
      </c>
      <c r="N1020" t="s">
        <v>4290</v>
      </c>
      <c r="O1020" t="s">
        <v>891</v>
      </c>
      <c r="P1020" t="s">
        <v>892</v>
      </c>
      <c r="Q1020" t="s">
        <v>4080</v>
      </c>
      <c r="R1020" t="s">
        <v>4081</v>
      </c>
      <c r="S1020" t="s">
        <v>783</v>
      </c>
      <c r="T1020" t="s">
        <v>893</v>
      </c>
      <c r="U1020" t="s">
        <v>550</v>
      </c>
      <c r="V1020" t="s">
        <v>4345</v>
      </c>
      <c r="W1020" t="s">
        <v>554</v>
      </c>
      <c r="X1020" t="s">
        <v>669</v>
      </c>
      <c r="Y1020" t="s">
        <v>799</v>
      </c>
      <c r="Z1020" t="s">
        <v>4343</v>
      </c>
    </row>
    <row r="1021" spans="1:26" x14ac:dyDescent="0.3">
      <c r="A1021" t="s">
        <v>525</v>
      </c>
      <c r="B1021" t="s">
        <v>4346</v>
      </c>
      <c r="C1021" t="s">
        <v>4347</v>
      </c>
      <c r="D1021" t="s">
        <v>550</v>
      </c>
      <c r="E1021" t="s">
        <v>664</v>
      </c>
      <c r="F1021" t="s">
        <v>27</v>
      </c>
      <c r="G1021" s="1">
        <v>44562</v>
      </c>
      <c r="H1021" s="1">
        <v>44562</v>
      </c>
      <c r="I1021" t="s">
        <v>665</v>
      </c>
      <c r="J1021" t="s">
        <v>666</v>
      </c>
      <c r="K1021" t="s">
        <v>24</v>
      </c>
      <c r="L1021" t="s">
        <v>667</v>
      </c>
      <c r="M1021" t="s">
        <v>4289</v>
      </c>
      <c r="N1021" t="s">
        <v>4290</v>
      </c>
      <c r="O1021" t="s">
        <v>891</v>
      </c>
      <c r="P1021" t="s">
        <v>892</v>
      </c>
      <c r="Q1021" t="s">
        <v>4080</v>
      </c>
      <c r="R1021" t="s">
        <v>4081</v>
      </c>
      <c r="S1021" t="s">
        <v>783</v>
      </c>
      <c r="T1021" t="s">
        <v>550</v>
      </c>
      <c r="U1021" t="s">
        <v>550</v>
      </c>
      <c r="V1021" t="s">
        <v>4348</v>
      </c>
      <c r="W1021" t="s">
        <v>554</v>
      </c>
      <c r="X1021" t="s">
        <v>669</v>
      </c>
      <c r="Y1021" t="s">
        <v>799</v>
      </c>
      <c r="Z1021" t="s">
        <v>4346</v>
      </c>
    </row>
    <row r="1022" spans="1:26" x14ac:dyDescent="0.3">
      <c r="A1022" t="s">
        <v>525</v>
      </c>
      <c r="B1022" t="s">
        <v>4349</v>
      </c>
      <c r="C1022" t="s">
        <v>4350</v>
      </c>
      <c r="D1022" t="s">
        <v>4346</v>
      </c>
      <c r="E1022" t="s">
        <v>664</v>
      </c>
      <c r="F1022" t="s">
        <v>27</v>
      </c>
      <c r="G1022" s="1">
        <v>44562</v>
      </c>
      <c r="H1022" s="1">
        <v>44574</v>
      </c>
      <c r="I1022" t="s">
        <v>665</v>
      </c>
      <c r="J1022" t="s">
        <v>666</v>
      </c>
      <c r="K1022" t="s">
        <v>24</v>
      </c>
      <c r="L1022" t="s">
        <v>667</v>
      </c>
      <c r="M1022" t="s">
        <v>4289</v>
      </c>
      <c r="N1022" t="s">
        <v>4290</v>
      </c>
      <c r="O1022" t="s">
        <v>891</v>
      </c>
      <c r="P1022" t="s">
        <v>892</v>
      </c>
      <c r="Q1022" t="s">
        <v>4080</v>
      </c>
      <c r="R1022" t="s">
        <v>4081</v>
      </c>
      <c r="S1022" t="s">
        <v>783</v>
      </c>
      <c r="T1022" t="s">
        <v>550</v>
      </c>
      <c r="U1022" t="s">
        <v>550</v>
      </c>
      <c r="V1022" t="s">
        <v>4351</v>
      </c>
      <c r="W1022" t="s">
        <v>554</v>
      </c>
      <c r="X1022" t="s">
        <v>669</v>
      </c>
      <c r="Y1022" t="s">
        <v>799</v>
      </c>
      <c r="Z1022" t="s">
        <v>4349</v>
      </c>
    </row>
    <row r="1023" spans="1:26" x14ac:dyDescent="0.3">
      <c r="A1023" t="s">
        <v>525</v>
      </c>
      <c r="B1023" t="s">
        <v>4352</v>
      </c>
      <c r="C1023" t="s">
        <v>4353</v>
      </c>
      <c r="D1023" t="s">
        <v>550</v>
      </c>
      <c r="E1023" t="s">
        <v>664</v>
      </c>
      <c r="F1023" t="s">
        <v>27</v>
      </c>
      <c r="G1023" s="1">
        <v>44562</v>
      </c>
      <c r="H1023" s="1">
        <v>44926</v>
      </c>
      <c r="I1023" t="s">
        <v>665</v>
      </c>
      <c r="J1023" t="s">
        <v>666</v>
      </c>
      <c r="K1023" t="s">
        <v>24</v>
      </c>
      <c r="L1023" t="s">
        <v>667</v>
      </c>
      <c r="M1023" t="s">
        <v>4289</v>
      </c>
      <c r="N1023" t="s">
        <v>4290</v>
      </c>
      <c r="O1023" t="s">
        <v>891</v>
      </c>
      <c r="P1023" t="s">
        <v>892</v>
      </c>
      <c r="Q1023" t="s">
        <v>4080</v>
      </c>
      <c r="R1023" t="s">
        <v>4081</v>
      </c>
      <c r="S1023" t="s">
        <v>783</v>
      </c>
      <c r="T1023" t="s">
        <v>550</v>
      </c>
      <c r="U1023" t="s">
        <v>550</v>
      </c>
      <c r="V1023" t="s">
        <v>4354</v>
      </c>
      <c r="W1023" t="s">
        <v>978</v>
      </c>
      <c r="X1023" t="s">
        <v>669</v>
      </c>
      <c r="Y1023" t="s">
        <v>803</v>
      </c>
      <c r="Z1023" t="s">
        <v>4352</v>
      </c>
    </row>
    <row r="1024" spans="1:26" x14ac:dyDescent="0.3">
      <c r="A1024" t="s">
        <v>525</v>
      </c>
      <c r="B1024" t="s">
        <v>4355</v>
      </c>
      <c r="C1024" t="s">
        <v>4356</v>
      </c>
      <c r="D1024" t="s">
        <v>4352</v>
      </c>
      <c r="E1024" t="s">
        <v>664</v>
      </c>
      <c r="F1024" t="s">
        <v>27</v>
      </c>
      <c r="G1024" s="1">
        <v>44562</v>
      </c>
      <c r="H1024" s="1">
        <v>44874</v>
      </c>
      <c r="I1024" t="s">
        <v>665</v>
      </c>
      <c r="J1024" t="s">
        <v>666</v>
      </c>
      <c r="K1024" t="s">
        <v>24</v>
      </c>
      <c r="L1024" t="s">
        <v>667</v>
      </c>
      <c r="M1024" t="s">
        <v>4289</v>
      </c>
      <c r="N1024" t="s">
        <v>4290</v>
      </c>
      <c r="O1024" t="s">
        <v>891</v>
      </c>
      <c r="P1024" t="s">
        <v>892</v>
      </c>
      <c r="Q1024" t="s">
        <v>4080</v>
      </c>
      <c r="R1024" t="s">
        <v>4081</v>
      </c>
      <c r="S1024" t="s">
        <v>783</v>
      </c>
      <c r="T1024" t="s">
        <v>893</v>
      </c>
      <c r="U1024" t="s">
        <v>550</v>
      </c>
      <c r="V1024" t="s">
        <v>4357</v>
      </c>
      <c r="W1024" t="s">
        <v>978</v>
      </c>
      <c r="X1024" t="s">
        <v>669</v>
      </c>
      <c r="Y1024" t="s">
        <v>803</v>
      </c>
      <c r="Z1024" t="s">
        <v>4355</v>
      </c>
    </row>
    <row r="1025" spans="1:26" x14ac:dyDescent="0.3">
      <c r="A1025" t="s">
        <v>525</v>
      </c>
      <c r="B1025" t="s">
        <v>4358</v>
      </c>
      <c r="C1025" t="s">
        <v>4359</v>
      </c>
      <c r="D1025" t="s">
        <v>550</v>
      </c>
      <c r="E1025" t="s">
        <v>664</v>
      </c>
      <c r="F1025" t="s">
        <v>27</v>
      </c>
      <c r="G1025" s="1">
        <v>44562</v>
      </c>
      <c r="H1025" s="1">
        <v>44562</v>
      </c>
      <c r="I1025" t="s">
        <v>665</v>
      </c>
      <c r="J1025" t="s">
        <v>3538</v>
      </c>
      <c r="K1025" t="s">
        <v>4203</v>
      </c>
      <c r="L1025" t="s">
        <v>1010</v>
      </c>
      <c r="M1025" t="s">
        <v>891</v>
      </c>
      <c r="N1025" t="s">
        <v>892</v>
      </c>
      <c r="O1025" t="s">
        <v>891</v>
      </c>
      <c r="P1025" t="s">
        <v>892</v>
      </c>
      <c r="Q1025" t="s">
        <v>4080</v>
      </c>
      <c r="R1025" t="s">
        <v>4081</v>
      </c>
      <c r="S1025" t="s">
        <v>550</v>
      </c>
      <c r="T1025" t="s">
        <v>550</v>
      </c>
      <c r="U1025" t="s">
        <v>550</v>
      </c>
      <c r="V1025" t="s">
        <v>4360</v>
      </c>
      <c r="W1025" t="s">
        <v>4361</v>
      </c>
      <c r="X1025" t="s">
        <v>669</v>
      </c>
      <c r="Y1025" t="s">
        <v>803</v>
      </c>
      <c r="Z1025" t="s">
        <v>4358</v>
      </c>
    </row>
    <row r="1026" spans="1:26" x14ac:dyDescent="0.3">
      <c r="A1026" t="s">
        <v>525</v>
      </c>
      <c r="B1026" t="s">
        <v>4362</v>
      </c>
      <c r="C1026" t="s">
        <v>4359</v>
      </c>
      <c r="D1026" t="s">
        <v>4358</v>
      </c>
      <c r="E1026" t="s">
        <v>664</v>
      </c>
      <c r="F1026" t="s">
        <v>27</v>
      </c>
      <c r="G1026" s="1">
        <v>44562</v>
      </c>
      <c r="H1026" s="1">
        <v>44562</v>
      </c>
      <c r="I1026" t="s">
        <v>665</v>
      </c>
      <c r="J1026" t="s">
        <v>3593</v>
      </c>
      <c r="K1026" t="s">
        <v>4203</v>
      </c>
      <c r="L1026" t="s">
        <v>1010</v>
      </c>
      <c r="M1026" t="s">
        <v>891</v>
      </c>
      <c r="N1026" t="s">
        <v>892</v>
      </c>
      <c r="O1026" t="s">
        <v>891</v>
      </c>
      <c r="P1026" t="s">
        <v>892</v>
      </c>
      <c r="Q1026" t="s">
        <v>4080</v>
      </c>
      <c r="R1026" t="s">
        <v>4081</v>
      </c>
      <c r="S1026" t="s">
        <v>783</v>
      </c>
      <c r="T1026" t="s">
        <v>550</v>
      </c>
      <c r="U1026" t="s">
        <v>550</v>
      </c>
      <c r="V1026" t="s">
        <v>4363</v>
      </c>
      <c r="W1026" t="s">
        <v>4361</v>
      </c>
      <c r="X1026" t="s">
        <v>669</v>
      </c>
      <c r="Y1026" t="s">
        <v>803</v>
      </c>
      <c r="Z1026" t="s">
        <v>4362</v>
      </c>
    </row>
    <row r="1027" spans="1:26" x14ac:dyDescent="0.3">
      <c r="A1027" t="s">
        <v>525</v>
      </c>
      <c r="B1027" t="s">
        <v>4364</v>
      </c>
      <c r="C1027" t="s">
        <v>4365</v>
      </c>
      <c r="D1027" t="s">
        <v>1463</v>
      </c>
      <c r="E1027" t="s">
        <v>664</v>
      </c>
      <c r="F1027" t="s">
        <v>27</v>
      </c>
      <c r="G1027" s="1">
        <v>44562</v>
      </c>
      <c r="H1027" s="1">
        <v>44562</v>
      </c>
      <c r="I1027" t="s">
        <v>665</v>
      </c>
      <c r="J1027" t="s">
        <v>666</v>
      </c>
      <c r="K1027" t="s">
        <v>841</v>
      </c>
      <c r="L1027" t="s">
        <v>216</v>
      </c>
      <c r="M1027" t="s">
        <v>985</v>
      </c>
      <c r="N1027" t="s">
        <v>986</v>
      </c>
      <c r="O1027" t="s">
        <v>1168</v>
      </c>
      <c r="P1027" t="s">
        <v>1169</v>
      </c>
      <c r="Q1027" t="s">
        <v>4080</v>
      </c>
      <c r="R1027" t="s">
        <v>4081</v>
      </c>
      <c r="S1027" t="s">
        <v>783</v>
      </c>
      <c r="T1027" t="s">
        <v>550</v>
      </c>
      <c r="U1027" t="s">
        <v>550</v>
      </c>
      <c r="V1027" t="s">
        <v>4366</v>
      </c>
      <c r="W1027" t="s">
        <v>554</v>
      </c>
      <c r="X1027" t="s">
        <v>669</v>
      </c>
      <c r="Y1027" t="s">
        <v>799</v>
      </c>
      <c r="Z1027" t="s">
        <v>4364</v>
      </c>
    </row>
    <row r="1028" spans="1:26" x14ac:dyDescent="0.3">
      <c r="A1028" t="s">
        <v>525</v>
      </c>
      <c r="B1028" t="s">
        <v>4367</v>
      </c>
      <c r="C1028" t="s">
        <v>4368</v>
      </c>
      <c r="D1028" t="s">
        <v>1492</v>
      </c>
      <c r="E1028" t="s">
        <v>664</v>
      </c>
      <c r="F1028" t="s">
        <v>27</v>
      </c>
      <c r="G1028" s="1">
        <v>44562</v>
      </c>
      <c r="H1028" s="1">
        <v>44562</v>
      </c>
      <c r="I1028" t="s">
        <v>665</v>
      </c>
      <c r="J1028" t="s">
        <v>666</v>
      </c>
      <c r="K1028" t="s">
        <v>24</v>
      </c>
      <c r="L1028" t="s">
        <v>667</v>
      </c>
      <c r="M1028" t="s">
        <v>873</v>
      </c>
      <c r="N1028" t="s">
        <v>244</v>
      </c>
      <c r="O1028" t="s">
        <v>1168</v>
      </c>
      <c r="P1028" t="s">
        <v>1169</v>
      </c>
      <c r="Q1028" t="s">
        <v>4080</v>
      </c>
      <c r="R1028" t="s">
        <v>4081</v>
      </c>
      <c r="S1028" t="s">
        <v>783</v>
      </c>
      <c r="T1028" t="s">
        <v>550</v>
      </c>
      <c r="U1028" t="s">
        <v>550</v>
      </c>
      <c r="V1028" t="s">
        <v>4369</v>
      </c>
      <c r="W1028" t="s">
        <v>875</v>
      </c>
      <c r="X1028" t="s">
        <v>669</v>
      </c>
      <c r="Y1028" t="s">
        <v>856</v>
      </c>
      <c r="Z1028" t="s">
        <v>4367</v>
      </c>
    </row>
    <row r="1029" spans="1:26" x14ac:dyDescent="0.3">
      <c r="A1029" t="s">
        <v>525</v>
      </c>
      <c r="B1029" t="s">
        <v>4370</v>
      </c>
      <c r="C1029" t="s">
        <v>4371</v>
      </c>
      <c r="D1029" t="s">
        <v>1492</v>
      </c>
      <c r="E1029" t="s">
        <v>664</v>
      </c>
      <c r="F1029" t="s">
        <v>27</v>
      </c>
      <c r="G1029" s="1">
        <v>44927</v>
      </c>
      <c r="H1029" s="1">
        <v>44939</v>
      </c>
      <c r="I1029" t="s">
        <v>665</v>
      </c>
      <c r="J1029" t="s">
        <v>666</v>
      </c>
      <c r="K1029" t="s">
        <v>24</v>
      </c>
      <c r="L1029" t="s">
        <v>667</v>
      </c>
      <c r="M1029" t="s">
        <v>873</v>
      </c>
      <c r="N1029" t="s">
        <v>244</v>
      </c>
      <c r="O1029" t="s">
        <v>1168</v>
      </c>
      <c r="P1029" t="s">
        <v>1169</v>
      </c>
      <c r="Q1029" t="s">
        <v>4080</v>
      </c>
      <c r="R1029" t="s">
        <v>4081</v>
      </c>
      <c r="S1029" t="s">
        <v>783</v>
      </c>
      <c r="T1029" t="s">
        <v>550</v>
      </c>
      <c r="U1029" t="s">
        <v>4372</v>
      </c>
      <c r="V1029" t="s">
        <v>4373</v>
      </c>
      <c r="W1029" t="s">
        <v>875</v>
      </c>
      <c r="X1029" t="s">
        <v>669</v>
      </c>
      <c r="Y1029" t="s">
        <v>856</v>
      </c>
      <c r="Z1029" t="s">
        <v>4370</v>
      </c>
    </row>
    <row r="1030" spans="1:26" x14ac:dyDescent="0.3">
      <c r="A1030" t="s">
        <v>525</v>
      </c>
      <c r="B1030" t="s">
        <v>4374</v>
      </c>
      <c r="C1030" t="s">
        <v>4375</v>
      </c>
      <c r="D1030" t="s">
        <v>1486</v>
      </c>
      <c r="E1030" t="s">
        <v>664</v>
      </c>
      <c r="F1030" t="s">
        <v>27</v>
      </c>
      <c r="G1030" s="1">
        <v>44562</v>
      </c>
      <c r="H1030" s="1">
        <v>44562</v>
      </c>
      <c r="I1030" t="s">
        <v>665</v>
      </c>
      <c r="J1030" t="s">
        <v>666</v>
      </c>
      <c r="K1030" t="s">
        <v>24</v>
      </c>
      <c r="L1030" t="s">
        <v>667</v>
      </c>
      <c r="M1030" t="s">
        <v>873</v>
      </c>
      <c r="N1030" t="s">
        <v>244</v>
      </c>
      <c r="O1030" t="s">
        <v>1168</v>
      </c>
      <c r="P1030" t="s">
        <v>1169</v>
      </c>
      <c r="Q1030" t="s">
        <v>4080</v>
      </c>
      <c r="R1030" t="s">
        <v>4081</v>
      </c>
      <c r="S1030" t="s">
        <v>783</v>
      </c>
      <c r="T1030" t="s">
        <v>550</v>
      </c>
      <c r="U1030" t="s">
        <v>550</v>
      </c>
      <c r="V1030" t="s">
        <v>4376</v>
      </c>
      <c r="W1030" t="s">
        <v>875</v>
      </c>
      <c r="X1030" t="s">
        <v>669</v>
      </c>
      <c r="Y1030" t="s">
        <v>856</v>
      </c>
      <c r="Z1030" t="s">
        <v>4374</v>
      </c>
    </row>
    <row r="1031" spans="1:26" x14ac:dyDescent="0.3">
      <c r="A1031" t="s">
        <v>525</v>
      </c>
      <c r="B1031" t="s">
        <v>4377</v>
      </c>
      <c r="C1031" t="s">
        <v>4378</v>
      </c>
      <c r="D1031" t="s">
        <v>1486</v>
      </c>
      <c r="E1031" t="s">
        <v>664</v>
      </c>
      <c r="F1031" t="s">
        <v>27</v>
      </c>
      <c r="G1031" s="1">
        <v>44927</v>
      </c>
      <c r="H1031" s="1">
        <v>45073</v>
      </c>
      <c r="I1031" t="s">
        <v>665</v>
      </c>
      <c r="J1031" t="s">
        <v>666</v>
      </c>
      <c r="K1031" t="s">
        <v>24</v>
      </c>
      <c r="L1031" t="s">
        <v>216</v>
      </c>
      <c r="M1031" t="s">
        <v>873</v>
      </c>
      <c r="N1031" t="s">
        <v>244</v>
      </c>
      <c r="O1031" t="s">
        <v>1168</v>
      </c>
      <c r="P1031" t="s">
        <v>1169</v>
      </c>
      <c r="Q1031" t="s">
        <v>4080</v>
      </c>
      <c r="R1031" t="s">
        <v>4081</v>
      </c>
      <c r="S1031" t="s">
        <v>783</v>
      </c>
      <c r="T1031" t="s">
        <v>550</v>
      </c>
      <c r="U1031" t="s">
        <v>4372</v>
      </c>
      <c r="V1031" t="s">
        <v>4379</v>
      </c>
      <c r="W1031" t="s">
        <v>875</v>
      </c>
      <c r="X1031" t="s">
        <v>669</v>
      </c>
      <c r="Y1031" t="s">
        <v>856</v>
      </c>
      <c r="Z1031" t="s">
        <v>4377</v>
      </c>
    </row>
    <row r="1032" spans="1:26" x14ac:dyDescent="0.3">
      <c r="A1032" t="s">
        <v>525</v>
      </c>
      <c r="B1032" t="s">
        <v>4380</v>
      </c>
      <c r="C1032" t="s">
        <v>4381</v>
      </c>
      <c r="D1032" t="s">
        <v>1480</v>
      </c>
      <c r="E1032" t="s">
        <v>664</v>
      </c>
      <c r="F1032" t="s">
        <v>27</v>
      </c>
      <c r="G1032" s="1">
        <v>44562</v>
      </c>
      <c r="H1032" s="1">
        <v>44562</v>
      </c>
      <c r="I1032" t="s">
        <v>665</v>
      </c>
      <c r="J1032" t="s">
        <v>666</v>
      </c>
      <c r="K1032" t="s">
        <v>24</v>
      </c>
      <c r="L1032" t="s">
        <v>1010</v>
      </c>
      <c r="M1032" t="s">
        <v>873</v>
      </c>
      <c r="N1032" t="s">
        <v>244</v>
      </c>
      <c r="O1032" t="s">
        <v>1168</v>
      </c>
      <c r="P1032" t="s">
        <v>1169</v>
      </c>
      <c r="Q1032" t="s">
        <v>4080</v>
      </c>
      <c r="R1032" t="s">
        <v>4081</v>
      </c>
      <c r="S1032" t="s">
        <v>783</v>
      </c>
      <c r="T1032" t="s">
        <v>550</v>
      </c>
      <c r="U1032" t="s">
        <v>550</v>
      </c>
      <c r="V1032" t="s">
        <v>4382</v>
      </c>
      <c r="W1032" t="s">
        <v>565</v>
      </c>
      <c r="X1032" t="s">
        <v>669</v>
      </c>
      <c r="Y1032" t="s">
        <v>856</v>
      </c>
      <c r="Z1032" t="s">
        <v>4380</v>
      </c>
    </row>
    <row r="1033" spans="1:26" x14ac:dyDescent="0.3">
      <c r="A1033" t="s">
        <v>525</v>
      </c>
      <c r="B1033" t="s">
        <v>4383</v>
      </c>
      <c r="C1033" t="s">
        <v>4384</v>
      </c>
      <c r="D1033" t="s">
        <v>1480</v>
      </c>
      <c r="E1033" t="s">
        <v>664</v>
      </c>
      <c r="F1033" t="s">
        <v>27</v>
      </c>
      <c r="G1033" s="1">
        <v>44927</v>
      </c>
      <c r="H1033" s="1">
        <v>45014</v>
      </c>
      <c r="I1033" t="s">
        <v>665</v>
      </c>
      <c r="J1033" t="s">
        <v>666</v>
      </c>
      <c r="K1033" t="s">
        <v>24</v>
      </c>
      <c r="L1033" t="s">
        <v>667</v>
      </c>
      <c r="M1033" t="s">
        <v>873</v>
      </c>
      <c r="N1033" t="s">
        <v>244</v>
      </c>
      <c r="O1033" t="s">
        <v>1168</v>
      </c>
      <c r="P1033" t="s">
        <v>1169</v>
      </c>
      <c r="Q1033" t="s">
        <v>4080</v>
      </c>
      <c r="R1033" t="s">
        <v>4081</v>
      </c>
      <c r="S1033" t="s">
        <v>783</v>
      </c>
      <c r="T1033" t="s">
        <v>550</v>
      </c>
      <c r="U1033" t="s">
        <v>4385</v>
      </c>
      <c r="V1033" t="s">
        <v>4386</v>
      </c>
      <c r="W1033" t="s">
        <v>565</v>
      </c>
      <c r="X1033" t="s">
        <v>669</v>
      </c>
      <c r="Y1033" t="s">
        <v>856</v>
      </c>
      <c r="Z1033" t="s">
        <v>4383</v>
      </c>
    </row>
    <row r="1034" spans="1:26" x14ac:dyDescent="0.3">
      <c r="A1034" t="s">
        <v>525</v>
      </c>
      <c r="B1034" t="s">
        <v>4387</v>
      </c>
      <c r="C1034" t="s">
        <v>4388</v>
      </c>
      <c r="D1034" t="s">
        <v>4389</v>
      </c>
      <c r="E1034" t="s">
        <v>664</v>
      </c>
      <c r="F1034" t="s">
        <v>27</v>
      </c>
      <c r="G1034" s="1">
        <v>44562</v>
      </c>
      <c r="H1034" s="1">
        <v>44562</v>
      </c>
      <c r="I1034" t="s">
        <v>665</v>
      </c>
      <c r="J1034" t="s">
        <v>666</v>
      </c>
      <c r="K1034" t="s">
        <v>24</v>
      </c>
      <c r="L1034" t="s">
        <v>667</v>
      </c>
      <c r="M1034" t="s">
        <v>1031</v>
      </c>
      <c r="N1034" t="s">
        <v>239</v>
      </c>
      <c r="O1034" t="s">
        <v>1405</v>
      </c>
      <c r="P1034" t="s">
        <v>1406</v>
      </c>
      <c r="Q1034" t="s">
        <v>4080</v>
      </c>
      <c r="R1034" t="s">
        <v>4081</v>
      </c>
      <c r="S1034" t="s">
        <v>783</v>
      </c>
      <c r="T1034" t="s">
        <v>550</v>
      </c>
      <c r="U1034" t="s">
        <v>550</v>
      </c>
      <c r="V1034" t="s">
        <v>4390</v>
      </c>
      <c r="W1034" t="s">
        <v>613</v>
      </c>
      <c r="X1034" t="s">
        <v>74</v>
      </c>
      <c r="Y1034" t="s">
        <v>786</v>
      </c>
      <c r="Z1034" t="s">
        <v>4387</v>
      </c>
    </row>
    <row r="1035" spans="1:26" x14ac:dyDescent="0.3">
      <c r="A1035" t="s">
        <v>525</v>
      </c>
      <c r="B1035" t="s">
        <v>4391</v>
      </c>
      <c r="C1035" t="s">
        <v>4392</v>
      </c>
      <c r="D1035" t="s">
        <v>4389</v>
      </c>
      <c r="E1035" t="s">
        <v>664</v>
      </c>
      <c r="F1035" t="s">
        <v>27</v>
      </c>
      <c r="G1035" s="1">
        <v>44927</v>
      </c>
      <c r="H1035" s="1">
        <v>44936</v>
      </c>
      <c r="I1035" t="s">
        <v>665</v>
      </c>
      <c r="J1035" t="s">
        <v>666</v>
      </c>
      <c r="K1035" t="s">
        <v>24</v>
      </c>
      <c r="L1035" t="s">
        <v>667</v>
      </c>
      <c r="M1035" t="s">
        <v>1031</v>
      </c>
      <c r="N1035" t="s">
        <v>239</v>
      </c>
      <c r="O1035" t="s">
        <v>1405</v>
      </c>
      <c r="P1035" t="s">
        <v>1406</v>
      </c>
      <c r="Q1035" t="s">
        <v>4080</v>
      </c>
      <c r="R1035" t="s">
        <v>4081</v>
      </c>
      <c r="S1035" t="s">
        <v>783</v>
      </c>
      <c r="T1035" t="s">
        <v>550</v>
      </c>
      <c r="U1035" t="s">
        <v>4393</v>
      </c>
      <c r="V1035" t="s">
        <v>4394</v>
      </c>
      <c r="W1035" t="s">
        <v>613</v>
      </c>
      <c r="X1035" t="s">
        <v>74</v>
      </c>
      <c r="Y1035" t="s">
        <v>786</v>
      </c>
      <c r="Z1035" t="s">
        <v>4391</v>
      </c>
    </row>
    <row r="1036" spans="1:26" x14ac:dyDescent="0.3">
      <c r="A1036" t="s">
        <v>525</v>
      </c>
      <c r="B1036" t="s">
        <v>4395</v>
      </c>
      <c r="C1036" t="s">
        <v>4396</v>
      </c>
      <c r="D1036" t="s">
        <v>550</v>
      </c>
      <c r="E1036" t="s">
        <v>664</v>
      </c>
      <c r="F1036" t="s">
        <v>27</v>
      </c>
      <c r="G1036" s="1">
        <v>44927</v>
      </c>
      <c r="H1036" s="1">
        <v>44927</v>
      </c>
      <c r="I1036" t="s">
        <v>665</v>
      </c>
      <c r="J1036" t="s">
        <v>666</v>
      </c>
      <c r="K1036" t="s">
        <v>635</v>
      </c>
      <c r="L1036" t="s">
        <v>667</v>
      </c>
      <c r="M1036" t="s">
        <v>873</v>
      </c>
      <c r="N1036" t="s">
        <v>244</v>
      </c>
      <c r="O1036" t="s">
        <v>1168</v>
      </c>
      <c r="P1036" t="s">
        <v>1169</v>
      </c>
      <c r="Q1036" t="s">
        <v>4080</v>
      </c>
      <c r="R1036" t="s">
        <v>4081</v>
      </c>
      <c r="S1036" t="s">
        <v>783</v>
      </c>
      <c r="T1036" t="s">
        <v>550</v>
      </c>
      <c r="U1036" t="s">
        <v>550</v>
      </c>
      <c r="V1036" t="s">
        <v>4397</v>
      </c>
      <c r="W1036" t="s">
        <v>565</v>
      </c>
      <c r="X1036" t="s">
        <v>669</v>
      </c>
      <c r="Y1036" t="s">
        <v>856</v>
      </c>
      <c r="Z1036" t="s">
        <v>4395</v>
      </c>
    </row>
    <row r="1037" spans="1:26" x14ac:dyDescent="0.3">
      <c r="A1037" t="s">
        <v>525</v>
      </c>
      <c r="B1037" t="s">
        <v>4398</v>
      </c>
      <c r="C1037" t="s">
        <v>4399</v>
      </c>
      <c r="D1037" t="s">
        <v>4395</v>
      </c>
      <c r="E1037" t="s">
        <v>664</v>
      </c>
      <c r="F1037" t="s">
        <v>27</v>
      </c>
      <c r="G1037" s="1">
        <v>44927</v>
      </c>
      <c r="H1037" s="1">
        <v>45170</v>
      </c>
      <c r="I1037" t="s">
        <v>665</v>
      </c>
      <c r="J1037" t="s">
        <v>666</v>
      </c>
      <c r="K1037" t="s">
        <v>635</v>
      </c>
      <c r="L1037" t="s">
        <v>667</v>
      </c>
      <c r="M1037" t="s">
        <v>873</v>
      </c>
      <c r="N1037" t="s">
        <v>244</v>
      </c>
      <c r="O1037" t="s">
        <v>1168</v>
      </c>
      <c r="P1037" t="s">
        <v>1169</v>
      </c>
      <c r="Q1037" t="s">
        <v>4080</v>
      </c>
      <c r="R1037" t="s">
        <v>4081</v>
      </c>
      <c r="S1037" t="s">
        <v>783</v>
      </c>
      <c r="T1037" t="s">
        <v>550</v>
      </c>
      <c r="U1037" t="s">
        <v>4400</v>
      </c>
      <c r="V1037" t="s">
        <v>4401</v>
      </c>
      <c r="W1037" t="s">
        <v>565</v>
      </c>
      <c r="X1037" t="s">
        <v>669</v>
      </c>
      <c r="Y1037" t="s">
        <v>856</v>
      </c>
      <c r="Z1037" t="s">
        <v>4398</v>
      </c>
    </row>
    <row r="1038" spans="1:26" x14ac:dyDescent="0.3">
      <c r="A1038" t="s">
        <v>525</v>
      </c>
      <c r="B1038" t="s">
        <v>4402</v>
      </c>
      <c r="C1038" t="s">
        <v>4403</v>
      </c>
      <c r="D1038" t="s">
        <v>4404</v>
      </c>
      <c r="E1038" t="s">
        <v>664</v>
      </c>
      <c r="F1038" t="s">
        <v>27</v>
      </c>
      <c r="G1038" s="1">
        <v>44927</v>
      </c>
      <c r="H1038" s="1">
        <v>44939</v>
      </c>
      <c r="I1038" t="s">
        <v>665</v>
      </c>
      <c r="J1038" t="s">
        <v>666</v>
      </c>
      <c r="K1038" t="s">
        <v>635</v>
      </c>
      <c r="L1038" t="s">
        <v>667</v>
      </c>
      <c r="M1038" t="s">
        <v>4405</v>
      </c>
      <c r="N1038" t="s">
        <v>278</v>
      </c>
      <c r="O1038" t="s">
        <v>1168</v>
      </c>
      <c r="P1038" t="s">
        <v>1169</v>
      </c>
      <c r="Q1038" t="s">
        <v>4080</v>
      </c>
      <c r="R1038" t="s">
        <v>4081</v>
      </c>
      <c r="S1038" t="s">
        <v>783</v>
      </c>
      <c r="T1038" t="s">
        <v>550</v>
      </c>
      <c r="U1038" t="s">
        <v>4187</v>
      </c>
      <c r="V1038" t="s">
        <v>4406</v>
      </c>
      <c r="W1038" t="s">
        <v>554</v>
      </c>
      <c r="X1038" t="s">
        <v>669</v>
      </c>
      <c r="Y1038" t="s">
        <v>799</v>
      </c>
      <c r="Z1038" t="s">
        <v>4402</v>
      </c>
    </row>
    <row r="1039" spans="1:26" x14ac:dyDescent="0.3">
      <c r="A1039" t="s">
        <v>525</v>
      </c>
      <c r="B1039" t="s">
        <v>4389</v>
      </c>
      <c r="C1039" t="s">
        <v>4407</v>
      </c>
      <c r="D1039" t="s">
        <v>550</v>
      </c>
      <c r="E1039" t="s">
        <v>664</v>
      </c>
      <c r="F1039" t="s">
        <v>27</v>
      </c>
      <c r="G1039" s="1">
        <v>44562</v>
      </c>
      <c r="H1039" s="1">
        <v>44562</v>
      </c>
      <c r="I1039" t="s">
        <v>665</v>
      </c>
      <c r="J1039" t="s">
        <v>666</v>
      </c>
      <c r="K1039" t="s">
        <v>24</v>
      </c>
      <c r="L1039" t="s">
        <v>667</v>
      </c>
      <c r="M1039" t="s">
        <v>1030</v>
      </c>
      <c r="N1039" t="s">
        <v>255</v>
      </c>
      <c r="O1039" t="s">
        <v>1405</v>
      </c>
      <c r="P1039" t="s">
        <v>1406</v>
      </c>
      <c r="Q1039" t="s">
        <v>4080</v>
      </c>
      <c r="R1039" t="s">
        <v>4081</v>
      </c>
      <c r="S1039" t="s">
        <v>550</v>
      </c>
      <c r="T1039" t="s">
        <v>550</v>
      </c>
      <c r="U1039" t="s">
        <v>550</v>
      </c>
      <c r="V1039" t="s">
        <v>4408</v>
      </c>
      <c r="W1039" t="s">
        <v>613</v>
      </c>
      <c r="X1039" t="s">
        <v>74</v>
      </c>
      <c r="Y1039" t="s">
        <v>786</v>
      </c>
      <c r="Z1039" t="s">
        <v>4389</v>
      </c>
    </row>
    <row r="1040" spans="1:26" x14ac:dyDescent="0.3">
      <c r="A1040" t="s">
        <v>525</v>
      </c>
      <c r="B1040" t="s">
        <v>4409</v>
      </c>
      <c r="C1040" t="s">
        <v>4410</v>
      </c>
      <c r="D1040" t="s">
        <v>1778</v>
      </c>
      <c r="E1040" t="s">
        <v>664</v>
      </c>
      <c r="F1040" t="s">
        <v>27</v>
      </c>
      <c r="G1040" s="1">
        <v>44927</v>
      </c>
      <c r="H1040" s="1">
        <v>44967</v>
      </c>
      <c r="I1040" t="s">
        <v>665</v>
      </c>
      <c r="J1040" t="s">
        <v>666</v>
      </c>
      <c r="K1040" t="s">
        <v>24</v>
      </c>
      <c r="L1040" t="s">
        <v>667</v>
      </c>
      <c r="M1040" t="s">
        <v>4405</v>
      </c>
      <c r="N1040" t="s">
        <v>278</v>
      </c>
      <c r="O1040" t="s">
        <v>891</v>
      </c>
      <c r="P1040" t="s">
        <v>892</v>
      </c>
      <c r="Q1040" t="s">
        <v>4080</v>
      </c>
      <c r="R1040" t="s">
        <v>4081</v>
      </c>
      <c r="S1040" t="s">
        <v>783</v>
      </c>
      <c r="T1040" t="s">
        <v>550</v>
      </c>
      <c r="U1040" t="s">
        <v>4187</v>
      </c>
      <c r="V1040" t="s">
        <v>4411</v>
      </c>
      <c r="W1040" t="s">
        <v>554</v>
      </c>
      <c r="X1040" t="s">
        <v>669</v>
      </c>
      <c r="Y1040" t="s">
        <v>799</v>
      </c>
      <c r="Z1040" t="s">
        <v>4409</v>
      </c>
    </row>
    <row r="1041" spans="1:26" x14ac:dyDescent="0.3">
      <c r="A1041" t="s">
        <v>525</v>
      </c>
      <c r="B1041" t="s">
        <v>4285</v>
      </c>
      <c r="C1041" t="s">
        <v>4412</v>
      </c>
      <c r="D1041" t="s">
        <v>550</v>
      </c>
      <c r="E1041" t="s">
        <v>664</v>
      </c>
      <c r="F1041" t="s">
        <v>27</v>
      </c>
      <c r="G1041" s="1">
        <v>44562</v>
      </c>
      <c r="H1041" s="1">
        <v>44926</v>
      </c>
      <c r="I1041" t="s">
        <v>665</v>
      </c>
      <c r="J1041" t="s">
        <v>666</v>
      </c>
      <c r="K1041" t="s">
        <v>24</v>
      </c>
      <c r="L1041" t="s">
        <v>667</v>
      </c>
      <c r="M1041" t="s">
        <v>832</v>
      </c>
      <c r="N1041" t="s">
        <v>833</v>
      </c>
      <c r="O1041" t="s">
        <v>891</v>
      </c>
      <c r="P1041" t="s">
        <v>892</v>
      </c>
      <c r="Q1041" t="s">
        <v>4080</v>
      </c>
      <c r="R1041" t="s">
        <v>4081</v>
      </c>
      <c r="S1041" t="s">
        <v>550</v>
      </c>
      <c r="T1041" t="s">
        <v>550</v>
      </c>
      <c r="U1041" t="s">
        <v>550</v>
      </c>
      <c r="V1041" t="s">
        <v>4413</v>
      </c>
      <c r="W1041" t="s">
        <v>4287</v>
      </c>
      <c r="X1041" t="s">
        <v>669</v>
      </c>
      <c r="Y1041" t="s">
        <v>803</v>
      </c>
      <c r="Z1041" t="s">
        <v>4285</v>
      </c>
    </row>
    <row r="1042" spans="1:26" x14ac:dyDescent="0.3">
      <c r="A1042" t="s">
        <v>525</v>
      </c>
      <c r="B1042" t="s">
        <v>4414</v>
      </c>
      <c r="C1042" t="s">
        <v>4415</v>
      </c>
      <c r="D1042" t="s">
        <v>4416</v>
      </c>
      <c r="E1042" t="s">
        <v>664</v>
      </c>
      <c r="F1042" t="s">
        <v>27</v>
      </c>
      <c r="G1042" s="1">
        <v>44562</v>
      </c>
      <c r="H1042" s="1">
        <v>44562</v>
      </c>
      <c r="I1042" t="s">
        <v>665</v>
      </c>
      <c r="J1042" t="s">
        <v>666</v>
      </c>
      <c r="K1042" t="s">
        <v>635</v>
      </c>
      <c r="L1042" t="s">
        <v>667</v>
      </c>
      <c r="M1042" t="s">
        <v>2196</v>
      </c>
      <c r="N1042" t="s">
        <v>2197</v>
      </c>
      <c r="O1042" t="s">
        <v>891</v>
      </c>
      <c r="P1042" t="s">
        <v>892</v>
      </c>
      <c r="Q1042" t="s">
        <v>4080</v>
      </c>
      <c r="R1042" t="s">
        <v>4081</v>
      </c>
      <c r="S1042" t="s">
        <v>783</v>
      </c>
      <c r="T1042" t="s">
        <v>893</v>
      </c>
      <c r="U1042" t="s">
        <v>550</v>
      </c>
      <c r="V1042" t="s">
        <v>4417</v>
      </c>
      <c r="W1042" t="s">
        <v>835</v>
      </c>
      <c r="X1042" t="s">
        <v>669</v>
      </c>
      <c r="Y1042" t="s">
        <v>803</v>
      </c>
      <c r="Z1042" t="s">
        <v>4414</v>
      </c>
    </row>
    <row r="1043" spans="1:26" x14ac:dyDescent="0.3">
      <c r="A1043" t="s">
        <v>525</v>
      </c>
      <c r="B1043" t="s">
        <v>4418</v>
      </c>
      <c r="C1043" t="s">
        <v>4419</v>
      </c>
      <c r="D1043" t="s">
        <v>4139</v>
      </c>
      <c r="E1043" t="s">
        <v>1318</v>
      </c>
      <c r="F1043" t="s">
        <v>1319</v>
      </c>
      <c r="G1043" s="1">
        <v>45658</v>
      </c>
      <c r="H1043" s="1">
        <v>45695</v>
      </c>
      <c r="I1043" t="s">
        <v>665</v>
      </c>
      <c r="J1043" t="s">
        <v>1320</v>
      </c>
      <c r="K1043" t="s">
        <v>24</v>
      </c>
      <c r="L1043" t="s">
        <v>216</v>
      </c>
      <c r="M1043" t="s">
        <v>1839</v>
      </c>
      <c r="N1043" t="s">
        <v>222</v>
      </c>
      <c r="O1043" t="s">
        <v>4420</v>
      </c>
      <c r="P1043" t="s">
        <v>299</v>
      </c>
      <c r="Q1043" t="s">
        <v>4080</v>
      </c>
      <c r="R1043" t="s">
        <v>4081</v>
      </c>
      <c r="S1043" t="s">
        <v>783</v>
      </c>
      <c r="T1043" t="s">
        <v>550</v>
      </c>
      <c r="U1043" t="s">
        <v>550</v>
      </c>
      <c r="V1043" t="s">
        <v>4421</v>
      </c>
      <c r="W1043" t="s">
        <v>613</v>
      </c>
      <c r="X1043" t="s">
        <v>272</v>
      </c>
      <c r="Y1043" t="s">
        <v>273</v>
      </c>
      <c r="Z1043" t="s">
        <v>4418</v>
      </c>
    </row>
    <row r="1044" spans="1:26" x14ac:dyDescent="0.3">
      <c r="A1044" t="s">
        <v>525</v>
      </c>
      <c r="B1044" t="s">
        <v>4422</v>
      </c>
      <c r="C1044" t="s">
        <v>4423</v>
      </c>
      <c r="D1044" t="s">
        <v>1390</v>
      </c>
      <c r="E1044" t="s">
        <v>664</v>
      </c>
      <c r="F1044" t="s">
        <v>27</v>
      </c>
      <c r="G1044" s="1">
        <v>44562</v>
      </c>
      <c r="H1044" s="1">
        <v>44562</v>
      </c>
      <c r="I1044" t="s">
        <v>665</v>
      </c>
      <c r="J1044" t="s">
        <v>666</v>
      </c>
      <c r="K1044" t="s">
        <v>24</v>
      </c>
      <c r="L1044" t="s">
        <v>1045</v>
      </c>
      <c r="M1044" t="s">
        <v>1030</v>
      </c>
      <c r="N1044" t="s">
        <v>255</v>
      </c>
      <c r="O1044" t="s">
        <v>1128</v>
      </c>
      <c r="P1044" t="s">
        <v>1129</v>
      </c>
      <c r="Q1044" t="s">
        <v>4080</v>
      </c>
      <c r="R1044" t="s">
        <v>4081</v>
      </c>
      <c r="S1044" t="s">
        <v>1471</v>
      </c>
      <c r="T1044" t="s">
        <v>550</v>
      </c>
      <c r="U1044" t="s">
        <v>550</v>
      </c>
      <c r="V1044" t="s">
        <v>4424</v>
      </c>
      <c r="W1044" t="s">
        <v>1021</v>
      </c>
      <c r="X1044" t="s">
        <v>74</v>
      </c>
      <c r="Y1044" t="s">
        <v>1033</v>
      </c>
      <c r="Z1044" t="s">
        <v>4422</v>
      </c>
    </row>
    <row r="1045" spans="1:26" x14ac:dyDescent="0.3">
      <c r="A1045" t="s">
        <v>525</v>
      </c>
      <c r="B1045" t="s">
        <v>4425</v>
      </c>
      <c r="C1045" t="s">
        <v>4426</v>
      </c>
      <c r="D1045" t="s">
        <v>1398</v>
      </c>
      <c r="E1045" t="s">
        <v>664</v>
      </c>
      <c r="F1045" t="s">
        <v>27</v>
      </c>
      <c r="G1045" s="1">
        <v>44927</v>
      </c>
      <c r="H1045" s="1">
        <v>44933</v>
      </c>
      <c r="I1045" t="s">
        <v>665</v>
      </c>
      <c r="J1045" t="s">
        <v>666</v>
      </c>
      <c r="K1045" t="s">
        <v>24</v>
      </c>
      <c r="L1045" t="s">
        <v>216</v>
      </c>
      <c r="M1045" t="s">
        <v>1095</v>
      </c>
      <c r="N1045" t="s">
        <v>298</v>
      </c>
      <c r="O1045" t="s">
        <v>1128</v>
      </c>
      <c r="P1045" t="s">
        <v>1129</v>
      </c>
      <c r="Q1045" t="s">
        <v>4080</v>
      </c>
      <c r="R1045" t="s">
        <v>4081</v>
      </c>
      <c r="S1045" t="s">
        <v>1471</v>
      </c>
      <c r="T1045" t="s">
        <v>550</v>
      </c>
      <c r="U1045" t="s">
        <v>4427</v>
      </c>
      <c r="V1045" t="s">
        <v>4428</v>
      </c>
      <c r="W1045" t="s">
        <v>1021</v>
      </c>
      <c r="X1045" t="s">
        <v>74</v>
      </c>
      <c r="Y1045" t="s">
        <v>1033</v>
      </c>
      <c r="Z1045" t="s">
        <v>4425</v>
      </c>
    </row>
    <row r="1046" spans="1:26" x14ac:dyDescent="0.3">
      <c r="A1046" t="s">
        <v>525</v>
      </c>
      <c r="B1046" t="s">
        <v>4429</v>
      </c>
      <c r="C1046" t="s">
        <v>4430</v>
      </c>
      <c r="D1046" t="s">
        <v>1388</v>
      </c>
      <c r="E1046" t="s">
        <v>1306</v>
      </c>
      <c r="F1046" t="s">
        <v>1307</v>
      </c>
      <c r="G1046" s="1">
        <v>44562</v>
      </c>
      <c r="H1046" s="1">
        <v>44562</v>
      </c>
      <c r="I1046" t="s">
        <v>665</v>
      </c>
      <c r="J1046" t="s">
        <v>1308</v>
      </c>
      <c r="K1046" t="s">
        <v>24</v>
      </c>
      <c r="L1046" t="s">
        <v>1045</v>
      </c>
      <c r="M1046" t="s">
        <v>1293</v>
      </c>
      <c r="N1046" t="s">
        <v>256</v>
      </c>
      <c r="O1046" t="s">
        <v>1128</v>
      </c>
      <c r="P1046" t="s">
        <v>1129</v>
      </c>
      <c r="Q1046" t="s">
        <v>4080</v>
      </c>
      <c r="R1046" t="s">
        <v>4081</v>
      </c>
      <c r="S1046" t="s">
        <v>1471</v>
      </c>
      <c r="T1046" t="s">
        <v>550</v>
      </c>
      <c r="U1046" t="s">
        <v>550</v>
      </c>
      <c r="V1046" t="s">
        <v>4431</v>
      </c>
      <c r="W1046" t="s">
        <v>1021</v>
      </c>
      <c r="X1046" t="s">
        <v>74</v>
      </c>
      <c r="Y1046" t="s">
        <v>1033</v>
      </c>
      <c r="Z1046" t="s">
        <v>4429</v>
      </c>
    </row>
    <row r="1047" spans="1:26" x14ac:dyDescent="0.3">
      <c r="A1047" t="s">
        <v>525</v>
      </c>
      <c r="B1047" t="s">
        <v>4432</v>
      </c>
      <c r="C1047" t="s">
        <v>4433</v>
      </c>
      <c r="D1047" t="s">
        <v>550</v>
      </c>
      <c r="E1047" t="s">
        <v>1067</v>
      </c>
      <c r="F1047" t="s">
        <v>4434</v>
      </c>
      <c r="G1047" s="1">
        <v>43102</v>
      </c>
      <c r="H1047" s="1">
        <v>43465</v>
      </c>
      <c r="I1047" t="s">
        <v>551</v>
      </c>
      <c r="J1047" t="s">
        <v>4435</v>
      </c>
      <c r="K1047" t="s">
        <v>4203</v>
      </c>
      <c r="L1047" t="s">
        <v>4436</v>
      </c>
      <c r="M1047" t="s">
        <v>2213</v>
      </c>
      <c r="N1047" t="s">
        <v>237</v>
      </c>
      <c r="O1047" t="s">
        <v>4437</v>
      </c>
      <c r="P1047" t="s">
        <v>4438</v>
      </c>
      <c r="Q1047" t="s">
        <v>4080</v>
      </c>
      <c r="R1047" t="s">
        <v>4081</v>
      </c>
      <c r="S1047" t="s">
        <v>550</v>
      </c>
      <c r="T1047" t="s">
        <v>550</v>
      </c>
      <c r="U1047" t="s">
        <v>550</v>
      </c>
      <c r="V1047" t="s">
        <v>550</v>
      </c>
    </row>
    <row r="1048" spans="1:26" x14ac:dyDescent="0.3">
      <c r="A1048" t="s">
        <v>525</v>
      </c>
      <c r="B1048" t="s">
        <v>4439</v>
      </c>
      <c r="C1048" t="s">
        <v>4440</v>
      </c>
      <c r="D1048" t="s">
        <v>1812</v>
      </c>
      <c r="E1048" t="s">
        <v>1813</v>
      </c>
      <c r="F1048" t="s">
        <v>1339</v>
      </c>
      <c r="G1048" s="1">
        <v>44562</v>
      </c>
      <c r="H1048" s="1">
        <v>44564</v>
      </c>
      <c r="I1048" t="s">
        <v>665</v>
      </c>
      <c r="J1048" t="s">
        <v>1814</v>
      </c>
      <c r="K1048" t="s">
        <v>958</v>
      </c>
      <c r="L1048" t="s">
        <v>216</v>
      </c>
      <c r="M1048" t="s">
        <v>1293</v>
      </c>
      <c r="N1048" t="s">
        <v>256</v>
      </c>
      <c r="O1048" t="s">
        <v>1805</v>
      </c>
      <c r="P1048" t="s">
        <v>1806</v>
      </c>
      <c r="Q1048" t="s">
        <v>4080</v>
      </c>
      <c r="R1048" t="s">
        <v>4081</v>
      </c>
      <c r="S1048" t="s">
        <v>783</v>
      </c>
      <c r="T1048" t="s">
        <v>550</v>
      </c>
      <c r="U1048" t="s">
        <v>162</v>
      </c>
      <c r="V1048" t="s">
        <v>4441</v>
      </c>
      <c r="W1048" t="s">
        <v>613</v>
      </c>
      <c r="X1048" t="s">
        <v>74</v>
      </c>
      <c r="Y1048" t="s">
        <v>803</v>
      </c>
      <c r="Z1048" t="s">
        <v>4439</v>
      </c>
    </row>
    <row r="1049" spans="1:26" x14ac:dyDescent="0.3">
      <c r="A1049" t="s">
        <v>525</v>
      </c>
      <c r="B1049" t="s">
        <v>2810</v>
      </c>
      <c r="C1049" t="s">
        <v>2812</v>
      </c>
      <c r="D1049" t="s">
        <v>550</v>
      </c>
      <c r="E1049" t="s">
        <v>2811</v>
      </c>
      <c r="F1049" t="s">
        <v>2812</v>
      </c>
      <c r="G1049" s="1">
        <v>45413</v>
      </c>
      <c r="H1049" s="1">
        <v>45413</v>
      </c>
      <c r="I1049" t="s">
        <v>780</v>
      </c>
      <c r="J1049" t="s">
        <v>2813</v>
      </c>
      <c r="K1049" t="s">
        <v>24</v>
      </c>
      <c r="L1049" t="s">
        <v>216</v>
      </c>
      <c r="M1049" t="s">
        <v>1095</v>
      </c>
      <c r="N1049" t="s">
        <v>298</v>
      </c>
      <c r="O1049" t="s">
        <v>550</v>
      </c>
      <c r="Q1049" t="s">
        <v>4080</v>
      </c>
      <c r="R1049" t="s">
        <v>4081</v>
      </c>
      <c r="S1049" t="s">
        <v>550</v>
      </c>
      <c r="T1049" t="s">
        <v>550</v>
      </c>
      <c r="U1049" t="s">
        <v>550</v>
      </c>
      <c r="V1049" t="s">
        <v>4442</v>
      </c>
      <c r="W1049" t="s">
        <v>613</v>
      </c>
      <c r="X1049" t="s">
        <v>281</v>
      </c>
      <c r="Y1049" t="s">
        <v>309</v>
      </c>
      <c r="Z1049" t="s">
        <v>2810</v>
      </c>
    </row>
    <row r="1050" spans="1:26" x14ac:dyDescent="0.3">
      <c r="A1050" t="s">
        <v>525</v>
      </c>
      <c r="B1050" t="s">
        <v>4443</v>
      </c>
      <c r="C1050" t="s">
        <v>4444</v>
      </c>
      <c r="D1050" t="s">
        <v>4445</v>
      </c>
      <c r="E1050" t="s">
        <v>664</v>
      </c>
      <c r="F1050" t="s">
        <v>27</v>
      </c>
      <c r="G1050" s="1">
        <v>45530</v>
      </c>
      <c r="H1050" s="1">
        <v>45539</v>
      </c>
      <c r="I1050" t="s">
        <v>665</v>
      </c>
      <c r="J1050" t="s">
        <v>666</v>
      </c>
      <c r="K1050" t="s">
        <v>635</v>
      </c>
      <c r="L1050" t="s">
        <v>216</v>
      </c>
      <c r="M1050" t="s">
        <v>2227</v>
      </c>
      <c r="N1050" t="s">
        <v>270</v>
      </c>
      <c r="O1050" t="s">
        <v>550</v>
      </c>
      <c r="Q1050" t="s">
        <v>4080</v>
      </c>
      <c r="R1050" t="s">
        <v>4081</v>
      </c>
      <c r="S1050" t="s">
        <v>783</v>
      </c>
      <c r="T1050" t="s">
        <v>550</v>
      </c>
      <c r="U1050" t="s">
        <v>550</v>
      </c>
      <c r="V1050" t="s">
        <v>4446</v>
      </c>
      <c r="W1050" t="s">
        <v>613</v>
      </c>
      <c r="X1050" t="s">
        <v>276</v>
      </c>
      <c r="Y1050" t="s">
        <v>282</v>
      </c>
      <c r="Z1050" t="s">
        <v>4443</v>
      </c>
    </row>
    <row r="1051" spans="1:26" x14ac:dyDescent="0.3">
      <c r="A1051" t="s">
        <v>525</v>
      </c>
      <c r="B1051" t="s">
        <v>4447</v>
      </c>
      <c r="C1051" t="s">
        <v>4448</v>
      </c>
      <c r="D1051" t="s">
        <v>1316</v>
      </c>
      <c r="E1051" t="s">
        <v>1318</v>
      </c>
      <c r="F1051" t="s">
        <v>1319</v>
      </c>
      <c r="G1051" s="1">
        <v>44562</v>
      </c>
      <c r="H1051" s="1">
        <v>44562</v>
      </c>
      <c r="I1051" t="s">
        <v>665</v>
      </c>
      <c r="J1051" t="s">
        <v>1320</v>
      </c>
      <c r="K1051" t="s">
        <v>958</v>
      </c>
      <c r="L1051" t="s">
        <v>216</v>
      </c>
      <c r="M1051" t="s">
        <v>1293</v>
      </c>
      <c r="N1051" t="s">
        <v>256</v>
      </c>
      <c r="O1051" t="s">
        <v>1805</v>
      </c>
      <c r="P1051" t="s">
        <v>1806</v>
      </c>
      <c r="Q1051" t="s">
        <v>4080</v>
      </c>
      <c r="R1051" t="s">
        <v>4081</v>
      </c>
      <c r="S1051" t="s">
        <v>783</v>
      </c>
      <c r="T1051" t="s">
        <v>550</v>
      </c>
      <c r="U1051" t="s">
        <v>550</v>
      </c>
      <c r="V1051" t="s">
        <v>4449</v>
      </c>
      <c r="W1051" t="s">
        <v>613</v>
      </c>
      <c r="X1051" t="s">
        <v>74</v>
      </c>
      <c r="Y1051" t="s">
        <v>786</v>
      </c>
      <c r="Z1051" t="s">
        <v>4447</v>
      </c>
    </row>
    <row r="1052" spans="1:26" x14ac:dyDescent="0.3">
      <c r="A1052" t="s">
        <v>525</v>
      </c>
      <c r="B1052" t="s">
        <v>4450</v>
      </c>
      <c r="C1052" t="s">
        <v>4451</v>
      </c>
      <c r="D1052" t="s">
        <v>1864</v>
      </c>
      <c r="E1052" t="s">
        <v>1039</v>
      </c>
      <c r="F1052" t="s">
        <v>1040</v>
      </c>
      <c r="G1052" s="1">
        <v>45658</v>
      </c>
      <c r="H1052" s="1">
        <v>45658</v>
      </c>
      <c r="I1052" t="s">
        <v>665</v>
      </c>
      <c r="J1052" t="s">
        <v>1041</v>
      </c>
      <c r="K1052" t="s">
        <v>24</v>
      </c>
      <c r="L1052" t="s">
        <v>216</v>
      </c>
      <c r="M1052" t="s">
        <v>2226</v>
      </c>
      <c r="N1052" t="s">
        <v>294</v>
      </c>
      <c r="O1052" t="s">
        <v>3069</v>
      </c>
      <c r="Q1052" t="s">
        <v>4080</v>
      </c>
      <c r="R1052" t="s">
        <v>4081</v>
      </c>
      <c r="S1052" t="s">
        <v>1471</v>
      </c>
      <c r="T1052" t="s">
        <v>550</v>
      </c>
      <c r="U1052" t="s">
        <v>550</v>
      </c>
      <c r="V1052" t="s">
        <v>4452</v>
      </c>
      <c r="W1052" t="s">
        <v>613</v>
      </c>
      <c r="X1052" t="s">
        <v>276</v>
      </c>
      <c r="Y1052" t="s">
        <v>282</v>
      </c>
      <c r="Z1052" t="s">
        <v>4450</v>
      </c>
    </row>
    <row r="1053" spans="1:26" x14ac:dyDescent="0.3">
      <c r="A1053" t="s">
        <v>525</v>
      </c>
      <c r="B1053" t="s">
        <v>4453</v>
      </c>
      <c r="C1053" t="s">
        <v>4454</v>
      </c>
      <c r="D1053" t="s">
        <v>1858</v>
      </c>
      <c r="E1053" t="s">
        <v>1039</v>
      </c>
      <c r="F1053" t="s">
        <v>1040</v>
      </c>
      <c r="G1053" s="1">
        <v>45658</v>
      </c>
      <c r="H1053" s="1">
        <v>46470</v>
      </c>
      <c r="I1053" t="s">
        <v>665</v>
      </c>
      <c r="J1053" t="s">
        <v>1041</v>
      </c>
      <c r="K1053" t="s">
        <v>24</v>
      </c>
      <c r="L1053" t="s">
        <v>216</v>
      </c>
      <c r="M1053" t="s">
        <v>2226</v>
      </c>
      <c r="N1053" t="s">
        <v>294</v>
      </c>
      <c r="O1053" t="s">
        <v>3069</v>
      </c>
      <c r="Q1053" t="s">
        <v>4080</v>
      </c>
      <c r="R1053" t="s">
        <v>4081</v>
      </c>
      <c r="S1053" t="s">
        <v>783</v>
      </c>
      <c r="T1053" t="s">
        <v>550</v>
      </c>
      <c r="U1053" t="s">
        <v>550</v>
      </c>
      <c r="V1053" t="s">
        <v>4455</v>
      </c>
      <c r="W1053" t="s">
        <v>613</v>
      </c>
      <c r="X1053" t="s">
        <v>276</v>
      </c>
      <c r="Y1053" t="s">
        <v>282</v>
      </c>
      <c r="Z1053" t="s">
        <v>4453</v>
      </c>
    </row>
    <row r="1054" spans="1:26" x14ac:dyDescent="0.3">
      <c r="A1054" t="s">
        <v>525</v>
      </c>
      <c r="B1054" t="s">
        <v>4456</v>
      </c>
      <c r="C1054" t="s">
        <v>4457</v>
      </c>
      <c r="D1054" t="s">
        <v>1870</v>
      </c>
      <c r="E1054" t="s">
        <v>1039</v>
      </c>
      <c r="F1054" t="s">
        <v>1040</v>
      </c>
      <c r="G1054" s="1">
        <v>45658</v>
      </c>
      <c r="H1054" s="1">
        <v>45664</v>
      </c>
      <c r="I1054" t="s">
        <v>665</v>
      </c>
      <c r="J1054" t="s">
        <v>1041</v>
      </c>
      <c r="K1054" t="s">
        <v>24</v>
      </c>
      <c r="L1054" t="s">
        <v>216</v>
      </c>
      <c r="M1054" t="s">
        <v>2226</v>
      </c>
      <c r="N1054" t="s">
        <v>294</v>
      </c>
      <c r="O1054" t="s">
        <v>3069</v>
      </c>
      <c r="Q1054" t="s">
        <v>4080</v>
      </c>
      <c r="R1054" t="s">
        <v>4081</v>
      </c>
      <c r="S1054" t="s">
        <v>1471</v>
      </c>
      <c r="T1054" t="s">
        <v>550</v>
      </c>
      <c r="U1054" t="s">
        <v>550</v>
      </c>
      <c r="V1054" t="s">
        <v>4458</v>
      </c>
      <c r="W1054" t="s">
        <v>613</v>
      </c>
      <c r="X1054" t="s">
        <v>276</v>
      </c>
      <c r="Y1054" t="s">
        <v>282</v>
      </c>
      <c r="Z1054" t="s">
        <v>4456</v>
      </c>
    </row>
    <row r="1055" spans="1:26" x14ac:dyDescent="0.3">
      <c r="A1055" t="s">
        <v>525</v>
      </c>
      <c r="B1055" t="s">
        <v>4459</v>
      </c>
      <c r="C1055" t="s">
        <v>4460</v>
      </c>
      <c r="D1055" t="s">
        <v>1850</v>
      </c>
      <c r="E1055" t="s">
        <v>1039</v>
      </c>
      <c r="F1055" t="s">
        <v>1040</v>
      </c>
      <c r="G1055" s="1">
        <v>45658</v>
      </c>
      <c r="H1055" s="1">
        <v>45857</v>
      </c>
      <c r="I1055" t="s">
        <v>665</v>
      </c>
      <c r="J1055" t="s">
        <v>1041</v>
      </c>
      <c r="K1055" t="s">
        <v>24</v>
      </c>
      <c r="L1055" t="s">
        <v>216</v>
      </c>
      <c r="M1055" t="s">
        <v>2226</v>
      </c>
      <c r="N1055" t="s">
        <v>294</v>
      </c>
      <c r="O1055" t="s">
        <v>3069</v>
      </c>
      <c r="Q1055" t="s">
        <v>4080</v>
      </c>
      <c r="R1055" t="s">
        <v>4081</v>
      </c>
      <c r="S1055" t="s">
        <v>1471</v>
      </c>
      <c r="T1055" t="s">
        <v>550</v>
      </c>
      <c r="U1055" t="s">
        <v>550</v>
      </c>
      <c r="V1055" t="s">
        <v>4461</v>
      </c>
      <c r="W1055" t="s">
        <v>613</v>
      </c>
      <c r="X1055" t="s">
        <v>276</v>
      </c>
      <c r="Y1055" t="s">
        <v>282</v>
      </c>
      <c r="Z1055" t="s">
        <v>4459</v>
      </c>
    </row>
    <row r="1056" spans="1:26" x14ac:dyDescent="0.3">
      <c r="A1056" t="s">
        <v>525</v>
      </c>
      <c r="B1056" t="s">
        <v>4462</v>
      </c>
      <c r="C1056" t="s">
        <v>4463</v>
      </c>
      <c r="D1056" t="s">
        <v>3983</v>
      </c>
      <c r="E1056" t="s">
        <v>1117</v>
      </c>
      <c r="F1056" t="s">
        <v>1118</v>
      </c>
      <c r="G1056" s="1">
        <v>45658</v>
      </c>
      <c r="H1056" s="1">
        <v>45726</v>
      </c>
      <c r="I1056" t="s">
        <v>665</v>
      </c>
      <c r="J1056" t="s">
        <v>1119</v>
      </c>
      <c r="K1056" t="s">
        <v>24</v>
      </c>
      <c r="L1056" t="s">
        <v>216</v>
      </c>
      <c r="M1056" t="s">
        <v>2227</v>
      </c>
      <c r="N1056" t="s">
        <v>270</v>
      </c>
      <c r="O1056" t="s">
        <v>3069</v>
      </c>
      <c r="Q1056" t="s">
        <v>4080</v>
      </c>
      <c r="R1056" t="s">
        <v>4081</v>
      </c>
      <c r="S1056" t="s">
        <v>1471</v>
      </c>
      <c r="T1056" t="s">
        <v>550</v>
      </c>
      <c r="U1056" t="s">
        <v>550</v>
      </c>
      <c r="V1056" t="s">
        <v>4464</v>
      </c>
      <c r="W1056" t="s">
        <v>613</v>
      </c>
      <c r="X1056" t="s">
        <v>276</v>
      </c>
      <c r="Y1056" t="s">
        <v>277</v>
      </c>
      <c r="Z1056" t="s">
        <v>4462</v>
      </c>
    </row>
    <row r="1057" spans="1:26" x14ac:dyDescent="0.3">
      <c r="A1057" t="s">
        <v>525</v>
      </c>
      <c r="B1057" t="s">
        <v>4465</v>
      </c>
      <c r="C1057" t="s">
        <v>4466</v>
      </c>
      <c r="D1057" t="s">
        <v>550</v>
      </c>
      <c r="E1057" t="s">
        <v>664</v>
      </c>
      <c r="F1057" t="s">
        <v>27</v>
      </c>
      <c r="G1057" s="1">
        <v>45659</v>
      </c>
      <c r="H1057" s="1">
        <v>45659</v>
      </c>
      <c r="I1057" t="s">
        <v>780</v>
      </c>
      <c r="J1057" t="s">
        <v>666</v>
      </c>
      <c r="K1057" t="s">
        <v>24</v>
      </c>
      <c r="L1057" t="s">
        <v>216</v>
      </c>
      <c r="M1057" t="s">
        <v>2227</v>
      </c>
      <c r="N1057" t="s">
        <v>270</v>
      </c>
      <c r="O1057" t="s">
        <v>3069</v>
      </c>
      <c r="Q1057" t="s">
        <v>4080</v>
      </c>
      <c r="R1057" t="s">
        <v>4081</v>
      </c>
      <c r="S1057" t="s">
        <v>1471</v>
      </c>
      <c r="T1057" t="s">
        <v>550</v>
      </c>
      <c r="U1057" t="s">
        <v>550</v>
      </c>
      <c r="V1057" t="s">
        <v>4467</v>
      </c>
      <c r="W1057" t="s">
        <v>613</v>
      </c>
      <c r="X1057" t="s">
        <v>276</v>
      </c>
      <c r="Z1057" t="s">
        <v>4465</v>
      </c>
    </row>
    <row r="1058" spans="1:26" x14ac:dyDescent="0.3">
      <c r="A1058" t="s">
        <v>525</v>
      </c>
      <c r="B1058" t="s">
        <v>4468</v>
      </c>
      <c r="C1058" t="s">
        <v>4469</v>
      </c>
      <c r="D1058" t="s">
        <v>4465</v>
      </c>
      <c r="E1058" t="s">
        <v>664</v>
      </c>
      <c r="F1058" t="s">
        <v>27</v>
      </c>
      <c r="G1058" s="1">
        <v>45658</v>
      </c>
      <c r="H1058" s="1">
        <v>45658</v>
      </c>
      <c r="I1058" t="s">
        <v>665</v>
      </c>
      <c r="J1058" t="s">
        <v>666</v>
      </c>
      <c r="K1058" t="s">
        <v>24</v>
      </c>
      <c r="L1058" t="s">
        <v>216</v>
      </c>
      <c r="M1058" t="s">
        <v>2227</v>
      </c>
      <c r="N1058" t="s">
        <v>270</v>
      </c>
      <c r="O1058" t="s">
        <v>3069</v>
      </c>
      <c r="Q1058" t="s">
        <v>4080</v>
      </c>
      <c r="R1058" t="s">
        <v>4081</v>
      </c>
      <c r="S1058" t="s">
        <v>1471</v>
      </c>
      <c r="T1058" t="s">
        <v>550</v>
      </c>
      <c r="U1058" t="s">
        <v>550</v>
      </c>
      <c r="V1058" t="s">
        <v>4470</v>
      </c>
      <c r="W1058" t="s">
        <v>613</v>
      </c>
      <c r="X1058" t="s">
        <v>276</v>
      </c>
      <c r="Z1058" t="s">
        <v>4468</v>
      </c>
    </row>
    <row r="1059" spans="1:26" x14ac:dyDescent="0.3">
      <c r="A1059" t="s">
        <v>525</v>
      </c>
      <c r="B1059" t="s">
        <v>4471</v>
      </c>
      <c r="C1059" t="s">
        <v>4472</v>
      </c>
      <c r="D1059" t="s">
        <v>4445</v>
      </c>
      <c r="E1059" t="s">
        <v>664</v>
      </c>
      <c r="F1059" t="s">
        <v>27</v>
      </c>
      <c r="G1059" s="1">
        <v>45658</v>
      </c>
      <c r="H1059" s="1">
        <v>45670</v>
      </c>
      <c r="I1059" t="s">
        <v>665</v>
      </c>
      <c r="J1059" t="s">
        <v>666</v>
      </c>
      <c r="K1059" t="s">
        <v>24</v>
      </c>
      <c r="L1059" t="s">
        <v>216</v>
      </c>
      <c r="M1059" t="s">
        <v>2227</v>
      </c>
      <c r="N1059" t="s">
        <v>270</v>
      </c>
      <c r="O1059" t="s">
        <v>3069</v>
      </c>
      <c r="Q1059" t="s">
        <v>4080</v>
      </c>
      <c r="R1059" t="s">
        <v>4081</v>
      </c>
      <c r="S1059" t="s">
        <v>783</v>
      </c>
      <c r="T1059" t="s">
        <v>550</v>
      </c>
      <c r="U1059" t="s">
        <v>550</v>
      </c>
      <c r="V1059" t="s">
        <v>4473</v>
      </c>
      <c r="W1059" t="s">
        <v>613</v>
      </c>
      <c r="X1059" t="s">
        <v>276</v>
      </c>
      <c r="Y1059" t="s">
        <v>282</v>
      </c>
      <c r="Z1059" t="s">
        <v>4471</v>
      </c>
    </row>
    <row r="1060" spans="1:26" x14ac:dyDescent="0.3">
      <c r="A1060" t="s">
        <v>525</v>
      </c>
      <c r="B1060" t="s">
        <v>4474</v>
      </c>
      <c r="C1060" t="s">
        <v>4475</v>
      </c>
      <c r="D1060" t="s">
        <v>1050</v>
      </c>
      <c r="E1060" t="s">
        <v>664</v>
      </c>
      <c r="F1060" t="s">
        <v>27</v>
      </c>
      <c r="G1060" s="1">
        <v>45658</v>
      </c>
      <c r="H1060" s="1">
        <v>45682</v>
      </c>
      <c r="I1060" t="s">
        <v>665</v>
      </c>
      <c r="J1060" t="s">
        <v>666</v>
      </c>
      <c r="K1060" t="s">
        <v>24</v>
      </c>
      <c r="L1060" t="s">
        <v>216</v>
      </c>
      <c r="M1060" t="s">
        <v>2227</v>
      </c>
      <c r="N1060" t="s">
        <v>270</v>
      </c>
      <c r="O1060" t="s">
        <v>3069</v>
      </c>
      <c r="Q1060" t="s">
        <v>4080</v>
      </c>
      <c r="R1060" t="s">
        <v>4081</v>
      </c>
      <c r="S1060" t="s">
        <v>1471</v>
      </c>
      <c r="T1060" t="s">
        <v>550</v>
      </c>
      <c r="U1060" t="s">
        <v>550</v>
      </c>
      <c r="V1060" t="s">
        <v>4476</v>
      </c>
      <c r="W1060" t="s">
        <v>613</v>
      </c>
      <c r="X1060" t="s">
        <v>276</v>
      </c>
      <c r="Z1060" t="s">
        <v>4474</v>
      </c>
    </row>
    <row r="1061" spans="1:26" x14ac:dyDescent="0.3">
      <c r="A1061" t="s">
        <v>525</v>
      </c>
      <c r="B1061" t="s">
        <v>4477</v>
      </c>
      <c r="C1061" t="s">
        <v>4478</v>
      </c>
      <c r="D1061" t="s">
        <v>3971</v>
      </c>
      <c r="E1061" t="s">
        <v>1117</v>
      </c>
      <c r="F1061" t="s">
        <v>1118</v>
      </c>
      <c r="G1061" s="1">
        <v>45658</v>
      </c>
      <c r="H1061" s="1">
        <v>45726</v>
      </c>
      <c r="I1061" t="s">
        <v>665</v>
      </c>
      <c r="J1061" t="s">
        <v>1119</v>
      </c>
      <c r="K1061" t="s">
        <v>24</v>
      </c>
      <c r="L1061" t="s">
        <v>216</v>
      </c>
      <c r="M1061" t="s">
        <v>2227</v>
      </c>
      <c r="N1061" t="s">
        <v>270</v>
      </c>
      <c r="O1061" t="s">
        <v>3069</v>
      </c>
      <c r="Q1061" t="s">
        <v>4080</v>
      </c>
      <c r="R1061" t="s">
        <v>4081</v>
      </c>
      <c r="S1061" t="s">
        <v>783</v>
      </c>
      <c r="T1061" t="s">
        <v>550</v>
      </c>
      <c r="U1061" t="s">
        <v>550</v>
      </c>
      <c r="V1061" t="s">
        <v>4479</v>
      </c>
      <c r="W1061" t="s">
        <v>613</v>
      </c>
      <c r="X1061" t="s">
        <v>276</v>
      </c>
      <c r="Y1061" t="s">
        <v>277</v>
      </c>
      <c r="Z1061" t="s">
        <v>4477</v>
      </c>
    </row>
    <row r="1062" spans="1:26" x14ac:dyDescent="0.3">
      <c r="A1062" t="s">
        <v>525</v>
      </c>
      <c r="B1062" t="s">
        <v>4480</v>
      </c>
      <c r="C1062" t="s">
        <v>4481</v>
      </c>
      <c r="D1062" t="s">
        <v>3977</v>
      </c>
      <c r="E1062" t="s">
        <v>1117</v>
      </c>
      <c r="F1062" t="s">
        <v>1118</v>
      </c>
      <c r="G1062" s="1">
        <v>45658</v>
      </c>
      <c r="H1062" s="1">
        <v>45845</v>
      </c>
      <c r="I1062" t="s">
        <v>665</v>
      </c>
      <c r="J1062" t="s">
        <v>1119</v>
      </c>
      <c r="K1062" t="s">
        <v>24</v>
      </c>
      <c r="L1062" t="s">
        <v>216</v>
      </c>
      <c r="M1062" t="s">
        <v>2227</v>
      </c>
      <c r="N1062" t="s">
        <v>270</v>
      </c>
      <c r="O1062" t="s">
        <v>3069</v>
      </c>
      <c r="Q1062" t="s">
        <v>4080</v>
      </c>
      <c r="R1062" t="s">
        <v>4081</v>
      </c>
      <c r="S1062" t="s">
        <v>783</v>
      </c>
      <c r="T1062" t="s">
        <v>550</v>
      </c>
      <c r="U1062" t="s">
        <v>550</v>
      </c>
      <c r="V1062" t="s">
        <v>4482</v>
      </c>
      <c r="W1062" t="s">
        <v>613</v>
      </c>
      <c r="X1062" t="s">
        <v>276</v>
      </c>
      <c r="Y1062" t="s">
        <v>277</v>
      </c>
      <c r="Z1062" t="s">
        <v>4480</v>
      </c>
    </row>
    <row r="1063" spans="1:26" x14ac:dyDescent="0.3">
      <c r="A1063" t="s">
        <v>525</v>
      </c>
      <c r="B1063" t="s">
        <v>3065</v>
      </c>
      <c r="C1063" t="s">
        <v>4483</v>
      </c>
      <c r="D1063" t="s">
        <v>4484</v>
      </c>
      <c r="E1063" t="s">
        <v>778</v>
      </c>
      <c r="F1063" t="s">
        <v>779</v>
      </c>
      <c r="G1063" s="1">
        <v>45658</v>
      </c>
      <c r="H1063" s="1">
        <v>45745</v>
      </c>
      <c r="I1063" t="s">
        <v>665</v>
      </c>
      <c r="J1063" t="s">
        <v>781</v>
      </c>
      <c r="K1063" t="s">
        <v>24</v>
      </c>
      <c r="L1063" t="s">
        <v>216</v>
      </c>
      <c r="M1063" t="s">
        <v>782</v>
      </c>
      <c r="N1063" t="s">
        <v>287</v>
      </c>
      <c r="O1063" t="s">
        <v>3069</v>
      </c>
      <c r="Q1063" t="s">
        <v>4080</v>
      </c>
      <c r="R1063" t="s">
        <v>4081</v>
      </c>
      <c r="S1063" t="s">
        <v>783</v>
      </c>
      <c r="T1063" t="s">
        <v>550</v>
      </c>
      <c r="U1063" t="s">
        <v>550</v>
      </c>
      <c r="V1063" t="s">
        <v>4485</v>
      </c>
      <c r="W1063" t="s">
        <v>613</v>
      </c>
      <c r="X1063" t="s">
        <v>276</v>
      </c>
      <c r="Y1063" t="s">
        <v>286</v>
      </c>
      <c r="Z1063" t="s">
        <v>3065</v>
      </c>
    </row>
    <row r="1064" spans="1:26" x14ac:dyDescent="0.3">
      <c r="A1064" t="s">
        <v>525</v>
      </c>
      <c r="B1064" t="s">
        <v>4486</v>
      </c>
      <c r="C1064" t="s">
        <v>4487</v>
      </c>
      <c r="D1064" t="s">
        <v>1886</v>
      </c>
      <c r="E1064" t="s">
        <v>664</v>
      </c>
      <c r="F1064" t="s">
        <v>27</v>
      </c>
      <c r="G1064" s="1">
        <v>44562</v>
      </c>
      <c r="H1064" s="1">
        <v>44562</v>
      </c>
      <c r="I1064" t="s">
        <v>665</v>
      </c>
      <c r="J1064" t="s">
        <v>666</v>
      </c>
      <c r="K1064" t="s">
        <v>24</v>
      </c>
      <c r="L1064" t="s">
        <v>667</v>
      </c>
      <c r="M1064" t="s">
        <v>873</v>
      </c>
      <c r="N1064" t="s">
        <v>244</v>
      </c>
      <c r="O1064" t="s">
        <v>1884</v>
      </c>
      <c r="P1064" t="s">
        <v>223</v>
      </c>
      <c r="Q1064" t="s">
        <v>4080</v>
      </c>
      <c r="R1064" t="s">
        <v>4081</v>
      </c>
      <c r="S1064" t="s">
        <v>783</v>
      </c>
      <c r="T1064" t="s">
        <v>550</v>
      </c>
      <c r="U1064" t="s">
        <v>550</v>
      </c>
      <c r="V1064" t="s">
        <v>4488</v>
      </c>
      <c r="W1064" t="s">
        <v>565</v>
      </c>
      <c r="X1064" t="s">
        <v>669</v>
      </c>
      <c r="Y1064" t="s">
        <v>856</v>
      </c>
      <c r="Z1064" t="s">
        <v>4486</v>
      </c>
    </row>
    <row r="1065" spans="1:26" x14ac:dyDescent="0.3">
      <c r="A1065" t="s">
        <v>525</v>
      </c>
      <c r="B1065" t="s">
        <v>4489</v>
      </c>
      <c r="C1065" t="s">
        <v>4490</v>
      </c>
      <c r="D1065" t="s">
        <v>1886</v>
      </c>
      <c r="E1065" t="s">
        <v>664</v>
      </c>
      <c r="F1065" t="s">
        <v>27</v>
      </c>
      <c r="G1065" s="1">
        <v>44927</v>
      </c>
      <c r="H1065" s="1">
        <v>45125</v>
      </c>
      <c r="I1065" t="s">
        <v>665</v>
      </c>
      <c r="J1065" t="s">
        <v>666</v>
      </c>
      <c r="K1065" t="s">
        <v>24</v>
      </c>
      <c r="L1065" t="s">
        <v>667</v>
      </c>
      <c r="M1065" t="s">
        <v>873</v>
      </c>
      <c r="N1065" t="s">
        <v>244</v>
      </c>
      <c r="O1065" t="s">
        <v>1884</v>
      </c>
      <c r="P1065" t="s">
        <v>223</v>
      </c>
      <c r="Q1065" t="s">
        <v>4080</v>
      </c>
      <c r="R1065" t="s">
        <v>4081</v>
      </c>
      <c r="S1065" t="s">
        <v>783</v>
      </c>
      <c r="T1065" t="s">
        <v>550</v>
      </c>
      <c r="U1065" t="s">
        <v>4385</v>
      </c>
      <c r="V1065" t="s">
        <v>4491</v>
      </c>
      <c r="W1065" t="s">
        <v>565</v>
      </c>
      <c r="X1065" t="s">
        <v>669</v>
      </c>
      <c r="Y1065" t="s">
        <v>856</v>
      </c>
      <c r="Z1065" t="s">
        <v>4489</v>
      </c>
    </row>
    <row r="1066" spans="1:26" x14ac:dyDescent="0.3">
      <c r="A1066" t="s">
        <v>525</v>
      </c>
      <c r="B1066" t="s">
        <v>4492</v>
      </c>
      <c r="C1066" t="s">
        <v>4493</v>
      </c>
      <c r="D1066" t="s">
        <v>1870</v>
      </c>
      <c r="E1066" t="s">
        <v>1039</v>
      </c>
      <c r="F1066" t="s">
        <v>1040</v>
      </c>
      <c r="G1066" s="1">
        <v>44927</v>
      </c>
      <c r="H1066" s="1">
        <v>44935</v>
      </c>
      <c r="I1066" t="s">
        <v>665</v>
      </c>
      <c r="J1066" t="s">
        <v>1041</v>
      </c>
      <c r="K1066" t="s">
        <v>24</v>
      </c>
      <c r="L1066" t="s">
        <v>216</v>
      </c>
      <c r="M1066" t="s">
        <v>3069</v>
      </c>
      <c r="O1066" t="s">
        <v>3069</v>
      </c>
      <c r="Q1066" t="s">
        <v>4080</v>
      </c>
      <c r="R1066" t="s">
        <v>4081</v>
      </c>
      <c r="S1066" t="s">
        <v>1471</v>
      </c>
      <c r="T1066" t="s">
        <v>550</v>
      </c>
      <c r="U1066" t="s">
        <v>4494</v>
      </c>
      <c r="V1066" t="s">
        <v>4495</v>
      </c>
      <c r="W1066" t="s">
        <v>613</v>
      </c>
      <c r="X1066" t="s">
        <v>74</v>
      </c>
      <c r="Y1066" t="s">
        <v>786</v>
      </c>
      <c r="Z1066" t="s">
        <v>4492</v>
      </c>
    </row>
    <row r="1067" spans="1:26" x14ac:dyDescent="0.3">
      <c r="A1067" t="s">
        <v>525</v>
      </c>
      <c r="B1067" t="s">
        <v>4496</v>
      </c>
      <c r="C1067" t="s">
        <v>4497</v>
      </c>
      <c r="D1067" t="s">
        <v>1858</v>
      </c>
      <c r="E1067" t="s">
        <v>1039</v>
      </c>
      <c r="F1067" t="s">
        <v>1040</v>
      </c>
      <c r="G1067" s="1">
        <v>44927</v>
      </c>
      <c r="H1067" s="1">
        <v>45539</v>
      </c>
      <c r="I1067" t="s">
        <v>665</v>
      </c>
      <c r="J1067" t="s">
        <v>1041</v>
      </c>
      <c r="K1067" t="s">
        <v>24</v>
      </c>
      <c r="L1067" t="s">
        <v>216</v>
      </c>
      <c r="M1067" t="s">
        <v>3069</v>
      </c>
      <c r="O1067" t="s">
        <v>3069</v>
      </c>
      <c r="Q1067" t="s">
        <v>4080</v>
      </c>
      <c r="R1067" t="s">
        <v>4081</v>
      </c>
      <c r="S1067" t="s">
        <v>783</v>
      </c>
      <c r="T1067" t="s">
        <v>550</v>
      </c>
      <c r="U1067" t="s">
        <v>4494</v>
      </c>
      <c r="V1067" t="s">
        <v>4498</v>
      </c>
      <c r="W1067" t="s">
        <v>613</v>
      </c>
      <c r="X1067" t="s">
        <v>74</v>
      </c>
      <c r="Y1067" t="s">
        <v>786</v>
      </c>
      <c r="Z1067" t="s">
        <v>4496</v>
      </c>
    </row>
    <row r="1068" spans="1:26" x14ac:dyDescent="0.3">
      <c r="A1068" t="s">
        <v>525</v>
      </c>
      <c r="B1068" t="s">
        <v>4499</v>
      </c>
      <c r="C1068" t="s">
        <v>4500</v>
      </c>
      <c r="D1068" t="s">
        <v>1864</v>
      </c>
      <c r="E1068" t="s">
        <v>1039</v>
      </c>
      <c r="F1068" t="s">
        <v>1040</v>
      </c>
      <c r="G1068" s="1">
        <v>44927</v>
      </c>
      <c r="H1068" s="1">
        <v>44927</v>
      </c>
      <c r="I1068" t="s">
        <v>665</v>
      </c>
      <c r="J1068" t="s">
        <v>1041</v>
      </c>
      <c r="K1068" t="s">
        <v>24</v>
      </c>
      <c r="L1068" t="s">
        <v>216</v>
      </c>
      <c r="M1068" t="s">
        <v>3069</v>
      </c>
      <c r="O1068" t="s">
        <v>3069</v>
      </c>
      <c r="Q1068" t="s">
        <v>4080</v>
      </c>
      <c r="R1068" t="s">
        <v>4081</v>
      </c>
      <c r="S1068" t="s">
        <v>1471</v>
      </c>
      <c r="T1068" t="s">
        <v>550</v>
      </c>
      <c r="U1068" t="s">
        <v>4494</v>
      </c>
      <c r="V1068" t="s">
        <v>4501</v>
      </c>
      <c r="W1068" t="s">
        <v>613</v>
      </c>
      <c r="X1068" t="s">
        <v>74</v>
      </c>
      <c r="Y1068" t="s">
        <v>786</v>
      </c>
      <c r="Z1068" t="s">
        <v>4499</v>
      </c>
    </row>
    <row r="1069" spans="1:26" x14ac:dyDescent="0.3">
      <c r="A1069" t="s">
        <v>525</v>
      </c>
      <c r="B1069" t="s">
        <v>4502</v>
      </c>
      <c r="C1069" t="s">
        <v>4503</v>
      </c>
      <c r="D1069" t="s">
        <v>1850</v>
      </c>
      <c r="E1069" t="s">
        <v>1039</v>
      </c>
      <c r="F1069" t="s">
        <v>1040</v>
      </c>
      <c r="G1069" s="1">
        <v>44927</v>
      </c>
      <c r="H1069" s="1">
        <v>45039</v>
      </c>
      <c r="I1069" t="s">
        <v>665</v>
      </c>
      <c r="J1069" t="s">
        <v>1041</v>
      </c>
      <c r="K1069" t="s">
        <v>24</v>
      </c>
      <c r="L1069" t="s">
        <v>216</v>
      </c>
      <c r="M1069" t="s">
        <v>3069</v>
      </c>
      <c r="O1069" t="s">
        <v>3069</v>
      </c>
      <c r="Q1069" t="s">
        <v>4080</v>
      </c>
      <c r="R1069" t="s">
        <v>4081</v>
      </c>
      <c r="S1069" t="s">
        <v>1471</v>
      </c>
      <c r="T1069" t="s">
        <v>550</v>
      </c>
      <c r="U1069" t="s">
        <v>4494</v>
      </c>
      <c r="V1069" t="s">
        <v>4504</v>
      </c>
      <c r="W1069" t="s">
        <v>613</v>
      </c>
      <c r="X1069" t="s">
        <v>74</v>
      </c>
      <c r="Y1069" t="s">
        <v>786</v>
      </c>
      <c r="Z1069" t="s">
        <v>4502</v>
      </c>
    </row>
    <row r="1070" spans="1:26" x14ac:dyDescent="0.3">
      <c r="A1070" t="s">
        <v>525</v>
      </c>
      <c r="B1070" t="s">
        <v>4505</v>
      </c>
      <c r="C1070" t="s">
        <v>4506</v>
      </c>
      <c r="D1070" t="s">
        <v>550</v>
      </c>
      <c r="E1070" t="s">
        <v>4507</v>
      </c>
      <c r="F1070" t="s">
        <v>4508</v>
      </c>
      <c r="G1070" s="1">
        <v>44546</v>
      </c>
      <c r="H1070" s="1">
        <v>44546</v>
      </c>
      <c r="I1070" t="s">
        <v>665</v>
      </c>
      <c r="J1070" t="s">
        <v>4509</v>
      </c>
      <c r="K1070" t="s">
        <v>862</v>
      </c>
      <c r="L1070" t="s">
        <v>863</v>
      </c>
      <c r="M1070" t="s">
        <v>1459</v>
      </c>
      <c r="N1070" t="s">
        <v>1460</v>
      </c>
      <c r="O1070" t="s">
        <v>550</v>
      </c>
      <c r="Q1070" t="s">
        <v>4080</v>
      </c>
      <c r="R1070" t="s">
        <v>4081</v>
      </c>
      <c r="S1070" t="s">
        <v>550</v>
      </c>
      <c r="T1070" t="s">
        <v>550</v>
      </c>
      <c r="U1070" t="s">
        <v>550</v>
      </c>
      <c r="V1070" t="s">
        <v>4510</v>
      </c>
      <c r="W1070" t="s">
        <v>869</v>
      </c>
      <c r="X1070" t="s">
        <v>870</v>
      </c>
      <c r="Y1070" t="s">
        <v>847</v>
      </c>
      <c r="Z1070" t="s">
        <v>4505</v>
      </c>
    </row>
    <row r="1071" spans="1:26" x14ac:dyDescent="0.3">
      <c r="A1071" t="s">
        <v>525</v>
      </c>
      <c r="B1071" t="s">
        <v>4511</v>
      </c>
      <c r="C1071" t="s">
        <v>4512</v>
      </c>
      <c r="D1071" t="s">
        <v>4505</v>
      </c>
      <c r="E1071" t="s">
        <v>4507</v>
      </c>
      <c r="F1071" t="s">
        <v>4508</v>
      </c>
      <c r="G1071" s="1">
        <v>44546</v>
      </c>
      <c r="H1071" s="1">
        <v>44556</v>
      </c>
      <c r="I1071" t="s">
        <v>665</v>
      </c>
      <c r="J1071" t="s">
        <v>4509</v>
      </c>
      <c r="K1071" t="s">
        <v>862</v>
      </c>
      <c r="L1071" t="s">
        <v>863</v>
      </c>
      <c r="M1071" t="s">
        <v>1459</v>
      </c>
      <c r="N1071" t="s">
        <v>1460</v>
      </c>
      <c r="O1071" t="s">
        <v>550</v>
      </c>
      <c r="Q1071" t="s">
        <v>4080</v>
      </c>
      <c r="R1071" t="s">
        <v>4081</v>
      </c>
      <c r="S1071" t="s">
        <v>550</v>
      </c>
      <c r="T1071" t="s">
        <v>550</v>
      </c>
      <c r="U1071" t="s">
        <v>550</v>
      </c>
      <c r="V1071" t="s">
        <v>4513</v>
      </c>
      <c r="W1071" t="s">
        <v>869</v>
      </c>
      <c r="X1071" t="s">
        <v>870</v>
      </c>
      <c r="Y1071" t="s">
        <v>847</v>
      </c>
      <c r="Z1071" t="s">
        <v>4511</v>
      </c>
    </row>
    <row r="1072" spans="1:26" x14ac:dyDescent="0.3">
      <c r="A1072" t="s">
        <v>525</v>
      </c>
      <c r="B1072" t="s">
        <v>4514</v>
      </c>
      <c r="C1072" t="s">
        <v>4515</v>
      </c>
      <c r="D1072" t="s">
        <v>4505</v>
      </c>
      <c r="E1072" t="s">
        <v>4507</v>
      </c>
      <c r="F1072" t="s">
        <v>4508</v>
      </c>
      <c r="G1072" s="1">
        <v>44562</v>
      </c>
      <c r="H1072" s="1">
        <v>44576</v>
      </c>
      <c r="I1072" t="s">
        <v>665</v>
      </c>
      <c r="J1072" t="s">
        <v>4509</v>
      </c>
      <c r="K1072" t="s">
        <v>862</v>
      </c>
      <c r="L1072" t="s">
        <v>863</v>
      </c>
      <c r="M1072" t="s">
        <v>1459</v>
      </c>
      <c r="N1072" t="s">
        <v>1460</v>
      </c>
      <c r="O1072" t="s">
        <v>550</v>
      </c>
      <c r="Q1072" t="s">
        <v>4080</v>
      </c>
      <c r="R1072" t="s">
        <v>4081</v>
      </c>
      <c r="S1072" t="s">
        <v>783</v>
      </c>
      <c r="T1072" t="s">
        <v>550</v>
      </c>
      <c r="U1072" t="s">
        <v>550</v>
      </c>
      <c r="V1072" t="s">
        <v>4516</v>
      </c>
      <c r="W1072" t="s">
        <v>869</v>
      </c>
      <c r="X1072" t="s">
        <v>870</v>
      </c>
      <c r="Y1072" t="s">
        <v>847</v>
      </c>
      <c r="Z1072" t="s">
        <v>4514</v>
      </c>
    </row>
    <row r="1073" spans="1:26" x14ac:dyDescent="0.3">
      <c r="A1073" t="s">
        <v>525</v>
      </c>
      <c r="B1073" t="s">
        <v>4445</v>
      </c>
      <c r="C1073" t="s">
        <v>4517</v>
      </c>
      <c r="D1073" t="s">
        <v>550</v>
      </c>
      <c r="E1073" t="s">
        <v>664</v>
      </c>
      <c r="F1073" t="s">
        <v>27</v>
      </c>
      <c r="G1073" s="1">
        <v>45530</v>
      </c>
      <c r="H1073" s="1">
        <v>45530</v>
      </c>
      <c r="I1073" t="s">
        <v>780</v>
      </c>
      <c r="J1073" t="s">
        <v>666</v>
      </c>
      <c r="K1073" t="s">
        <v>635</v>
      </c>
      <c r="L1073" t="s">
        <v>216</v>
      </c>
      <c r="M1073" t="s">
        <v>3069</v>
      </c>
      <c r="O1073" t="s">
        <v>550</v>
      </c>
      <c r="Q1073" t="s">
        <v>4080</v>
      </c>
      <c r="R1073" t="s">
        <v>4081</v>
      </c>
      <c r="S1073" t="s">
        <v>550</v>
      </c>
      <c r="T1073" t="s">
        <v>550</v>
      </c>
      <c r="U1073" t="s">
        <v>550</v>
      </c>
      <c r="V1073" t="s">
        <v>4518</v>
      </c>
      <c r="W1073" t="s">
        <v>613</v>
      </c>
      <c r="X1073" t="s">
        <v>276</v>
      </c>
      <c r="Y1073" t="s">
        <v>282</v>
      </c>
      <c r="Z1073" t="s">
        <v>4445</v>
      </c>
    </row>
    <row r="1074" spans="1:26" x14ac:dyDescent="0.3">
      <c r="A1074" t="s">
        <v>525</v>
      </c>
      <c r="B1074" t="s">
        <v>4519</v>
      </c>
      <c r="C1074" t="s">
        <v>4520</v>
      </c>
      <c r="D1074" t="s">
        <v>1870</v>
      </c>
      <c r="E1074" t="s">
        <v>1039</v>
      </c>
      <c r="F1074" t="s">
        <v>1040</v>
      </c>
      <c r="G1074" s="1">
        <v>44562</v>
      </c>
      <c r="H1074" s="1">
        <v>44562</v>
      </c>
      <c r="I1074" t="s">
        <v>665</v>
      </c>
      <c r="J1074" t="s">
        <v>1041</v>
      </c>
      <c r="K1074" t="s">
        <v>24</v>
      </c>
      <c r="L1074" t="s">
        <v>216</v>
      </c>
      <c r="M1074" t="s">
        <v>1839</v>
      </c>
      <c r="N1074" t="s">
        <v>222</v>
      </c>
      <c r="O1074" t="s">
        <v>1839</v>
      </c>
      <c r="P1074" t="s">
        <v>222</v>
      </c>
      <c r="Q1074" t="s">
        <v>4080</v>
      </c>
      <c r="R1074" t="s">
        <v>4081</v>
      </c>
      <c r="S1074" t="s">
        <v>1471</v>
      </c>
      <c r="T1074" t="s">
        <v>550</v>
      </c>
      <c r="U1074" t="s">
        <v>550</v>
      </c>
      <c r="V1074" t="s">
        <v>4521</v>
      </c>
      <c r="W1074" t="s">
        <v>613</v>
      </c>
      <c r="X1074" t="s">
        <v>74</v>
      </c>
      <c r="Y1074" t="s">
        <v>786</v>
      </c>
      <c r="Z1074" t="s">
        <v>4519</v>
      </c>
    </row>
    <row r="1075" spans="1:26" x14ac:dyDescent="0.3">
      <c r="A1075" t="s">
        <v>525</v>
      </c>
      <c r="B1075" t="s">
        <v>4522</v>
      </c>
      <c r="C1075" t="s">
        <v>4523</v>
      </c>
      <c r="D1075" t="s">
        <v>1864</v>
      </c>
      <c r="E1075" t="s">
        <v>1039</v>
      </c>
      <c r="F1075" t="s">
        <v>1040</v>
      </c>
      <c r="G1075" s="1">
        <v>44562</v>
      </c>
      <c r="H1075" s="1">
        <v>44562</v>
      </c>
      <c r="I1075" t="s">
        <v>665</v>
      </c>
      <c r="J1075" t="s">
        <v>1041</v>
      </c>
      <c r="K1075" t="s">
        <v>24</v>
      </c>
      <c r="L1075" t="s">
        <v>1045</v>
      </c>
      <c r="M1075" t="s">
        <v>1839</v>
      </c>
      <c r="N1075" t="s">
        <v>222</v>
      </c>
      <c r="O1075" t="s">
        <v>1839</v>
      </c>
      <c r="P1075" t="s">
        <v>222</v>
      </c>
      <c r="Q1075" t="s">
        <v>4080</v>
      </c>
      <c r="R1075" t="s">
        <v>4081</v>
      </c>
      <c r="S1075" t="s">
        <v>1471</v>
      </c>
      <c r="T1075" t="s">
        <v>550</v>
      </c>
      <c r="U1075" t="s">
        <v>550</v>
      </c>
      <c r="V1075" t="s">
        <v>4524</v>
      </c>
      <c r="W1075" t="s">
        <v>613</v>
      </c>
      <c r="X1075" t="s">
        <v>74</v>
      </c>
      <c r="Y1075" t="s">
        <v>786</v>
      </c>
      <c r="Z1075" t="s">
        <v>4522</v>
      </c>
    </row>
    <row r="1076" spans="1:26" x14ac:dyDescent="0.3">
      <c r="A1076" t="s">
        <v>525</v>
      </c>
      <c r="B1076" t="s">
        <v>4525</v>
      </c>
      <c r="C1076" t="s">
        <v>4526</v>
      </c>
      <c r="D1076" t="s">
        <v>1858</v>
      </c>
      <c r="E1076" t="s">
        <v>1039</v>
      </c>
      <c r="F1076" t="s">
        <v>1040</v>
      </c>
      <c r="G1076" s="1">
        <v>44562</v>
      </c>
      <c r="H1076" s="1">
        <v>44999</v>
      </c>
      <c r="I1076" t="s">
        <v>665</v>
      </c>
      <c r="J1076" t="s">
        <v>1041</v>
      </c>
      <c r="K1076" t="s">
        <v>24</v>
      </c>
      <c r="L1076" t="s">
        <v>216</v>
      </c>
      <c r="M1076" t="s">
        <v>1839</v>
      </c>
      <c r="N1076" t="s">
        <v>222</v>
      </c>
      <c r="O1076" t="s">
        <v>1839</v>
      </c>
      <c r="P1076" t="s">
        <v>222</v>
      </c>
      <c r="Q1076" t="s">
        <v>4080</v>
      </c>
      <c r="R1076" t="s">
        <v>4081</v>
      </c>
      <c r="S1076" t="s">
        <v>783</v>
      </c>
      <c r="T1076" t="s">
        <v>550</v>
      </c>
      <c r="U1076" t="s">
        <v>550</v>
      </c>
      <c r="V1076" t="s">
        <v>4527</v>
      </c>
      <c r="W1076" t="s">
        <v>613</v>
      </c>
      <c r="X1076" t="s">
        <v>74</v>
      </c>
      <c r="Y1076" t="s">
        <v>786</v>
      </c>
      <c r="Z1076" t="s">
        <v>4525</v>
      </c>
    </row>
    <row r="1077" spans="1:26" x14ac:dyDescent="0.3">
      <c r="A1077" t="s">
        <v>525</v>
      </c>
      <c r="B1077" t="s">
        <v>4528</v>
      </c>
      <c r="C1077" t="s">
        <v>4529</v>
      </c>
      <c r="D1077" t="s">
        <v>1858</v>
      </c>
      <c r="E1077" t="s">
        <v>1039</v>
      </c>
      <c r="F1077" t="s">
        <v>1040</v>
      </c>
      <c r="G1077" s="1">
        <v>44562</v>
      </c>
      <c r="H1077" s="1">
        <v>44562</v>
      </c>
      <c r="I1077" t="s">
        <v>665</v>
      </c>
      <c r="J1077" t="s">
        <v>1041</v>
      </c>
      <c r="K1077" t="s">
        <v>24</v>
      </c>
      <c r="L1077" t="s">
        <v>216</v>
      </c>
      <c r="M1077" t="s">
        <v>1839</v>
      </c>
      <c r="N1077" t="s">
        <v>222</v>
      </c>
      <c r="O1077" t="s">
        <v>1839</v>
      </c>
      <c r="P1077" t="s">
        <v>222</v>
      </c>
      <c r="Q1077" t="s">
        <v>4080</v>
      </c>
      <c r="R1077" t="s">
        <v>4081</v>
      </c>
      <c r="S1077" t="s">
        <v>783</v>
      </c>
      <c r="T1077" t="s">
        <v>550</v>
      </c>
      <c r="U1077" t="s">
        <v>550</v>
      </c>
      <c r="V1077" t="s">
        <v>4530</v>
      </c>
      <c r="W1077" t="s">
        <v>613</v>
      </c>
      <c r="X1077" t="s">
        <v>74</v>
      </c>
      <c r="Y1077" t="s">
        <v>786</v>
      </c>
      <c r="Z1077" t="s">
        <v>4528</v>
      </c>
    </row>
    <row r="1078" spans="1:26" x14ac:dyDescent="0.3">
      <c r="A1078" t="s">
        <v>525</v>
      </c>
      <c r="B1078" t="s">
        <v>4531</v>
      </c>
      <c r="C1078" t="s">
        <v>4532</v>
      </c>
      <c r="D1078" t="s">
        <v>1858</v>
      </c>
      <c r="E1078" t="s">
        <v>1039</v>
      </c>
      <c r="F1078" t="s">
        <v>1040</v>
      </c>
      <c r="G1078" s="1">
        <v>44602</v>
      </c>
      <c r="H1078" s="1">
        <v>44651</v>
      </c>
      <c r="I1078" t="s">
        <v>665</v>
      </c>
      <c r="J1078" t="s">
        <v>1041</v>
      </c>
      <c r="K1078" t="s">
        <v>24</v>
      </c>
      <c r="L1078" t="s">
        <v>216</v>
      </c>
      <c r="M1078" t="s">
        <v>1839</v>
      </c>
      <c r="N1078" t="s">
        <v>222</v>
      </c>
      <c r="O1078" t="s">
        <v>1839</v>
      </c>
      <c r="P1078" t="s">
        <v>222</v>
      </c>
      <c r="Q1078" t="s">
        <v>4080</v>
      </c>
      <c r="R1078" t="s">
        <v>4081</v>
      </c>
      <c r="S1078" t="s">
        <v>783</v>
      </c>
      <c r="T1078" t="s">
        <v>550</v>
      </c>
      <c r="U1078" t="s">
        <v>550</v>
      </c>
      <c r="V1078" t="s">
        <v>4533</v>
      </c>
      <c r="W1078" t="s">
        <v>613</v>
      </c>
      <c r="X1078" t="s">
        <v>74</v>
      </c>
      <c r="Y1078" t="s">
        <v>786</v>
      </c>
      <c r="Z1078" t="s">
        <v>4531</v>
      </c>
    </row>
    <row r="1079" spans="1:26" x14ac:dyDescent="0.3">
      <c r="A1079" t="s">
        <v>525</v>
      </c>
      <c r="B1079" t="s">
        <v>4534</v>
      </c>
      <c r="C1079" t="s">
        <v>4535</v>
      </c>
      <c r="D1079" t="s">
        <v>1850</v>
      </c>
      <c r="E1079" t="s">
        <v>1039</v>
      </c>
      <c r="F1079" t="s">
        <v>1040</v>
      </c>
      <c r="G1079" s="1">
        <v>44562</v>
      </c>
      <c r="H1079" s="1">
        <v>44562</v>
      </c>
      <c r="I1079" t="s">
        <v>665</v>
      </c>
      <c r="J1079" t="s">
        <v>1041</v>
      </c>
      <c r="K1079" t="s">
        <v>24</v>
      </c>
      <c r="L1079" t="s">
        <v>216</v>
      </c>
      <c r="M1079" t="s">
        <v>1839</v>
      </c>
      <c r="N1079" t="s">
        <v>222</v>
      </c>
      <c r="O1079" t="s">
        <v>1839</v>
      </c>
      <c r="P1079" t="s">
        <v>222</v>
      </c>
      <c r="Q1079" t="s">
        <v>4080</v>
      </c>
      <c r="R1079" t="s">
        <v>4081</v>
      </c>
      <c r="S1079" t="s">
        <v>1471</v>
      </c>
      <c r="T1079" t="s">
        <v>550</v>
      </c>
      <c r="U1079" t="s">
        <v>550</v>
      </c>
      <c r="V1079" t="s">
        <v>4536</v>
      </c>
      <c r="W1079" t="s">
        <v>613</v>
      </c>
      <c r="X1079" t="s">
        <v>74</v>
      </c>
      <c r="Y1079" t="s">
        <v>786</v>
      </c>
      <c r="Z1079" t="s">
        <v>4534</v>
      </c>
    </row>
    <row r="1080" spans="1:26" x14ac:dyDescent="0.3">
      <c r="A1080" t="s">
        <v>525</v>
      </c>
      <c r="B1080" t="s">
        <v>4537</v>
      </c>
      <c r="C1080" t="s">
        <v>4538</v>
      </c>
      <c r="D1080" t="s">
        <v>3351</v>
      </c>
      <c r="E1080" t="s">
        <v>1318</v>
      </c>
      <c r="F1080" t="s">
        <v>1319</v>
      </c>
      <c r="G1080" s="1">
        <v>44927</v>
      </c>
      <c r="H1080" s="1">
        <v>44980</v>
      </c>
      <c r="I1080" t="s">
        <v>665</v>
      </c>
      <c r="J1080" t="s">
        <v>1320</v>
      </c>
      <c r="K1080" t="s">
        <v>958</v>
      </c>
      <c r="L1080" t="s">
        <v>216</v>
      </c>
      <c r="M1080" t="s">
        <v>1804</v>
      </c>
      <c r="N1080" t="s">
        <v>315</v>
      </c>
      <c r="O1080" t="s">
        <v>1804</v>
      </c>
      <c r="P1080" t="s">
        <v>315</v>
      </c>
      <c r="Q1080" t="s">
        <v>4080</v>
      </c>
      <c r="R1080" t="s">
        <v>4081</v>
      </c>
      <c r="S1080" t="s">
        <v>783</v>
      </c>
      <c r="T1080" t="s">
        <v>550</v>
      </c>
      <c r="U1080" t="s">
        <v>1807</v>
      </c>
      <c r="V1080" t="s">
        <v>4539</v>
      </c>
      <c r="W1080" t="s">
        <v>1809</v>
      </c>
      <c r="X1080" t="s">
        <v>74</v>
      </c>
      <c r="Y1080" t="s">
        <v>803</v>
      </c>
      <c r="Z1080" t="s">
        <v>4537</v>
      </c>
    </row>
    <row r="1081" spans="1:26" x14ac:dyDescent="0.3">
      <c r="A1081" t="s">
        <v>525</v>
      </c>
      <c r="B1081" t="s">
        <v>4540</v>
      </c>
      <c r="C1081" t="s">
        <v>4541</v>
      </c>
      <c r="D1081" t="s">
        <v>4542</v>
      </c>
      <c r="E1081" t="s">
        <v>4543</v>
      </c>
      <c r="F1081" t="s">
        <v>4544</v>
      </c>
      <c r="G1081" s="1">
        <v>45292</v>
      </c>
      <c r="H1081" s="1">
        <v>45305</v>
      </c>
      <c r="I1081" t="s">
        <v>665</v>
      </c>
      <c r="J1081" t="s">
        <v>4545</v>
      </c>
      <c r="K1081" t="s">
        <v>24</v>
      </c>
      <c r="L1081" t="s">
        <v>216</v>
      </c>
      <c r="M1081" t="s">
        <v>4546</v>
      </c>
      <c r="N1081" t="s">
        <v>274</v>
      </c>
      <c r="O1081" t="s">
        <v>1222</v>
      </c>
      <c r="P1081" t="s">
        <v>231</v>
      </c>
      <c r="Q1081" t="s">
        <v>4080</v>
      </c>
      <c r="R1081" t="s">
        <v>4081</v>
      </c>
      <c r="S1081" t="s">
        <v>783</v>
      </c>
      <c r="T1081" t="s">
        <v>550</v>
      </c>
      <c r="U1081" t="s">
        <v>550</v>
      </c>
      <c r="V1081" t="s">
        <v>4547</v>
      </c>
      <c r="W1081" t="s">
        <v>565</v>
      </c>
      <c r="X1081" t="s">
        <v>263</v>
      </c>
      <c r="Z1081" t="s">
        <v>4540</v>
      </c>
    </row>
    <row r="1082" spans="1:26" x14ac:dyDescent="0.3">
      <c r="A1082" t="s">
        <v>525</v>
      </c>
      <c r="B1082" t="s">
        <v>4548</v>
      </c>
      <c r="C1082" t="s">
        <v>4549</v>
      </c>
      <c r="D1082" t="s">
        <v>2286</v>
      </c>
      <c r="E1082" t="s">
        <v>2287</v>
      </c>
      <c r="F1082" t="s">
        <v>2288</v>
      </c>
      <c r="G1082" s="1">
        <v>45292</v>
      </c>
      <c r="H1082" s="1">
        <v>45604</v>
      </c>
      <c r="I1082" t="s">
        <v>665</v>
      </c>
      <c r="J1082" t="s">
        <v>2289</v>
      </c>
      <c r="K1082" t="s">
        <v>958</v>
      </c>
      <c r="L1082" t="s">
        <v>216</v>
      </c>
      <c r="M1082" t="s">
        <v>4546</v>
      </c>
      <c r="N1082" t="s">
        <v>274</v>
      </c>
      <c r="O1082" t="s">
        <v>1222</v>
      </c>
      <c r="P1082" t="s">
        <v>231</v>
      </c>
      <c r="Q1082" t="s">
        <v>4080</v>
      </c>
      <c r="R1082" t="s">
        <v>4081</v>
      </c>
      <c r="S1082" t="s">
        <v>783</v>
      </c>
      <c r="T1082" t="s">
        <v>550</v>
      </c>
      <c r="U1082" t="s">
        <v>550</v>
      </c>
      <c r="V1082" t="s">
        <v>4550</v>
      </c>
      <c r="W1082" t="s">
        <v>2292</v>
      </c>
      <c r="X1082" t="s">
        <v>263</v>
      </c>
      <c r="Z1082" t="s">
        <v>4548</v>
      </c>
    </row>
    <row r="1083" spans="1:26" x14ac:dyDescent="0.3">
      <c r="A1083" t="s">
        <v>525</v>
      </c>
      <c r="B1083" t="s">
        <v>4551</v>
      </c>
      <c r="C1083" t="s">
        <v>4552</v>
      </c>
      <c r="D1083" t="s">
        <v>4553</v>
      </c>
      <c r="E1083" t="s">
        <v>4554</v>
      </c>
      <c r="F1083" t="s">
        <v>4555</v>
      </c>
      <c r="G1083" s="1">
        <v>45292</v>
      </c>
      <c r="H1083" s="1">
        <v>45355</v>
      </c>
      <c r="I1083" t="s">
        <v>665</v>
      </c>
      <c r="J1083" t="s">
        <v>4556</v>
      </c>
      <c r="K1083" t="s">
        <v>958</v>
      </c>
      <c r="L1083" t="s">
        <v>216</v>
      </c>
      <c r="M1083" t="s">
        <v>4546</v>
      </c>
      <c r="N1083" t="s">
        <v>274</v>
      </c>
      <c r="O1083" t="s">
        <v>1222</v>
      </c>
      <c r="P1083" t="s">
        <v>231</v>
      </c>
      <c r="Q1083" t="s">
        <v>4080</v>
      </c>
      <c r="R1083" t="s">
        <v>4081</v>
      </c>
      <c r="S1083" t="s">
        <v>783</v>
      </c>
      <c r="T1083" t="s">
        <v>550</v>
      </c>
      <c r="U1083" t="s">
        <v>550</v>
      </c>
      <c r="V1083" t="s">
        <v>4557</v>
      </c>
      <c r="W1083" t="s">
        <v>2292</v>
      </c>
      <c r="X1083" t="s">
        <v>263</v>
      </c>
      <c r="Z1083" t="s">
        <v>4551</v>
      </c>
    </row>
    <row r="1084" spans="1:26" x14ac:dyDescent="0.3">
      <c r="A1084" t="s">
        <v>525</v>
      </c>
      <c r="B1084" t="s">
        <v>4558</v>
      </c>
      <c r="C1084" t="s">
        <v>4559</v>
      </c>
      <c r="D1084" t="s">
        <v>550</v>
      </c>
      <c r="E1084" t="s">
        <v>2059</v>
      </c>
      <c r="F1084" t="s">
        <v>2060</v>
      </c>
      <c r="G1084" s="1">
        <v>45292</v>
      </c>
      <c r="H1084" s="1">
        <v>45292</v>
      </c>
      <c r="I1084" t="s">
        <v>780</v>
      </c>
      <c r="J1084" t="s">
        <v>2061</v>
      </c>
      <c r="K1084" t="s">
        <v>808</v>
      </c>
      <c r="L1084" t="s">
        <v>216</v>
      </c>
      <c r="M1084" t="s">
        <v>1031</v>
      </c>
      <c r="N1084" t="s">
        <v>239</v>
      </c>
      <c r="O1084" t="s">
        <v>1222</v>
      </c>
      <c r="P1084" t="s">
        <v>231</v>
      </c>
      <c r="Q1084" t="s">
        <v>4080</v>
      </c>
      <c r="R1084" t="s">
        <v>4081</v>
      </c>
      <c r="S1084" t="s">
        <v>783</v>
      </c>
      <c r="T1084" t="s">
        <v>550</v>
      </c>
      <c r="U1084" t="s">
        <v>550</v>
      </c>
      <c r="V1084" t="s">
        <v>4560</v>
      </c>
      <c r="W1084" t="s">
        <v>613</v>
      </c>
      <c r="X1084" t="s">
        <v>272</v>
      </c>
      <c r="Y1084" t="s">
        <v>4561</v>
      </c>
      <c r="Z1084" t="s">
        <v>4558</v>
      </c>
    </row>
    <row r="1085" spans="1:26" x14ac:dyDescent="0.3">
      <c r="A1085" t="s">
        <v>525</v>
      </c>
      <c r="B1085" t="s">
        <v>4562</v>
      </c>
      <c r="C1085" t="s">
        <v>4559</v>
      </c>
      <c r="D1085" t="s">
        <v>4558</v>
      </c>
      <c r="E1085" t="s">
        <v>2059</v>
      </c>
      <c r="F1085" t="s">
        <v>2060</v>
      </c>
      <c r="G1085" s="1">
        <v>45292</v>
      </c>
      <c r="H1085" s="1">
        <v>45350</v>
      </c>
      <c r="I1085" t="s">
        <v>665</v>
      </c>
      <c r="J1085" t="s">
        <v>2061</v>
      </c>
      <c r="K1085" t="s">
        <v>808</v>
      </c>
      <c r="L1085" t="s">
        <v>216</v>
      </c>
      <c r="M1085" t="s">
        <v>1031</v>
      </c>
      <c r="N1085" t="s">
        <v>239</v>
      </c>
      <c r="O1085" t="s">
        <v>1222</v>
      </c>
      <c r="P1085" t="s">
        <v>231</v>
      </c>
      <c r="Q1085" t="s">
        <v>4080</v>
      </c>
      <c r="R1085" t="s">
        <v>4081</v>
      </c>
      <c r="S1085" t="s">
        <v>783</v>
      </c>
      <c r="T1085" t="s">
        <v>550</v>
      </c>
      <c r="U1085" t="s">
        <v>1900</v>
      </c>
      <c r="V1085" t="s">
        <v>4563</v>
      </c>
      <c r="W1085" t="s">
        <v>613</v>
      </c>
      <c r="X1085" t="s">
        <v>272</v>
      </c>
      <c r="Y1085" t="s">
        <v>4561</v>
      </c>
      <c r="Z1085" t="s">
        <v>4562</v>
      </c>
    </row>
    <row r="1086" spans="1:26" x14ac:dyDescent="0.3">
      <c r="A1086" t="s">
        <v>525</v>
      </c>
      <c r="B1086" t="s">
        <v>4564</v>
      </c>
      <c r="C1086" t="s">
        <v>4565</v>
      </c>
      <c r="D1086" t="s">
        <v>4566</v>
      </c>
      <c r="E1086" t="s">
        <v>982</v>
      </c>
      <c r="F1086" t="s">
        <v>983</v>
      </c>
      <c r="G1086" s="1">
        <v>45292</v>
      </c>
      <c r="H1086" s="1">
        <v>45396</v>
      </c>
      <c r="I1086" t="s">
        <v>665</v>
      </c>
      <c r="J1086" t="s">
        <v>666</v>
      </c>
      <c r="K1086" t="s">
        <v>24</v>
      </c>
      <c r="L1086" t="s">
        <v>216</v>
      </c>
      <c r="M1086" t="s">
        <v>1222</v>
      </c>
      <c r="N1086" t="s">
        <v>231</v>
      </c>
      <c r="O1086" t="s">
        <v>1222</v>
      </c>
      <c r="P1086" t="s">
        <v>231</v>
      </c>
      <c r="Q1086" t="s">
        <v>4080</v>
      </c>
      <c r="R1086" t="s">
        <v>4081</v>
      </c>
      <c r="S1086" t="s">
        <v>783</v>
      </c>
      <c r="T1086" t="s">
        <v>550</v>
      </c>
      <c r="U1086" t="s">
        <v>550</v>
      </c>
      <c r="V1086" t="s">
        <v>4567</v>
      </c>
      <c r="W1086" t="s">
        <v>565</v>
      </c>
      <c r="X1086" t="s">
        <v>263</v>
      </c>
      <c r="Z1086" t="s">
        <v>4564</v>
      </c>
    </row>
    <row r="1087" spans="1:26" x14ac:dyDescent="0.3">
      <c r="A1087" t="s">
        <v>525</v>
      </c>
      <c r="B1087" t="s">
        <v>4568</v>
      </c>
      <c r="C1087" t="s">
        <v>4569</v>
      </c>
      <c r="D1087" t="s">
        <v>550</v>
      </c>
      <c r="E1087" t="s">
        <v>664</v>
      </c>
      <c r="F1087" t="s">
        <v>27</v>
      </c>
      <c r="G1087" s="1">
        <v>45383</v>
      </c>
      <c r="H1087" s="1">
        <v>45383</v>
      </c>
      <c r="I1087" t="s">
        <v>780</v>
      </c>
      <c r="J1087" t="s">
        <v>666</v>
      </c>
      <c r="K1087" t="s">
        <v>24</v>
      </c>
      <c r="L1087" t="s">
        <v>217</v>
      </c>
      <c r="M1087" t="s">
        <v>797</v>
      </c>
      <c r="N1087" t="s">
        <v>313</v>
      </c>
      <c r="O1087" t="s">
        <v>1222</v>
      </c>
      <c r="P1087" t="s">
        <v>231</v>
      </c>
      <c r="Q1087" t="s">
        <v>4080</v>
      </c>
      <c r="R1087" t="s">
        <v>4081</v>
      </c>
      <c r="S1087" t="s">
        <v>550</v>
      </c>
      <c r="T1087" t="s">
        <v>550</v>
      </c>
      <c r="U1087" t="s">
        <v>550</v>
      </c>
      <c r="V1087" t="s">
        <v>4570</v>
      </c>
      <c r="W1087" t="s">
        <v>835</v>
      </c>
      <c r="Z1087" t="s">
        <v>4568</v>
      </c>
    </row>
    <row r="1088" spans="1:26" x14ac:dyDescent="0.3">
      <c r="A1088" t="s">
        <v>525</v>
      </c>
      <c r="B1088" t="s">
        <v>4571</v>
      </c>
      <c r="C1088" t="s">
        <v>4572</v>
      </c>
      <c r="D1088" t="s">
        <v>2222</v>
      </c>
      <c r="E1088" t="s">
        <v>982</v>
      </c>
      <c r="F1088" t="s">
        <v>983</v>
      </c>
      <c r="G1088" s="1">
        <v>45292</v>
      </c>
      <c r="H1088" s="1">
        <v>45292</v>
      </c>
      <c r="I1088" t="s">
        <v>665</v>
      </c>
      <c r="J1088" t="s">
        <v>666</v>
      </c>
      <c r="K1088" t="s">
        <v>900</v>
      </c>
      <c r="L1088" t="s">
        <v>217</v>
      </c>
      <c r="M1088" t="s">
        <v>2223</v>
      </c>
      <c r="N1088" t="s">
        <v>310</v>
      </c>
      <c r="O1088" t="s">
        <v>2223</v>
      </c>
      <c r="P1088" t="s">
        <v>310</v>
      </c>
      <c r="Q1088" t="s">
        <v>4080</v>
      </c>
      <c r="R1088" t="s">
        <v>4081</v>
      </c>
      <c r="S1088" t="s">
        <v>783</v>
      </c>
      <c r="T1088" t="s">
        <v>550</v>
      </c>
      <c r="U1088" t="s">
        <v>550</v>
      </c>
      <c r="V1088" t="s">
        <v>4573</v>
      </c>
      <c r="W1088" t="s">
        <v>835</v>
      </c>
      <c r="Z1088" t="s">
        <v>4571</v>
      </c>
    </row>
    <row r="1089" spans="1:26" x14ac:dyDescent="0.3">
      <c r="A1089" t="s">
        <v>525</v>
      </c>
      <c r="B1089" t="s">
        <v>4574</v>
      </c>
      <c r="C1089" t="s">
        <v>831</v>
      </c>
      <c r="D1089" t="s">
        <v>830</v>
      </c>
      <c r="E1089" t="s">
        <v>664</v>
      </c>
      <c r="F1089" t="s">
        <v>27</v>
      </c>
      <c r="G1089" s="1">
        <v>44562</v>
      </c>
      <c r="H1089" s="1">
        <v>44562</v>
      </c>
      <c r="I1089" t="s">
        <v>665</v>
      </c>
      <c r="J1089" t="s">
        <v>666</v>
      </c>
      <c r="K1089" t="s">
        <v>635</v>
      </c>
      <c r="L1089" t="s">
        <v>667</v>
      </c>
      <c r="M1089" t="s">
        <v>832</v>
      </c>
      <c r="N1089" t="s">
        <v>833</v>
      </c>
      <c r="O1089" t="s">
        <v>2196</v>
      </c>
      <c r="P1089" t="s">
        <v>2197</v>
      </c>
      <c r="Q1089" t="s">
        <v>4080</v>
      </c>
      <c r="R1089" t="s">
        <v>4081</v>
      </c>
      <c r="S1089" t="s">
        <v>783</v>
      </c>
      <c r="T1089" t="s">
        <v>893</v>
      </c>
      <c r="U1089" t="s">
        <v>550</v>
      </c>
      <c r="V1089" t="s">
        <v>4575</v>
      </c>
      <c r="W1089" t="s">
        <v>835</v>
      </c>
      <c r="X1089" t="s">
        <v>669</v>
      </c>
      <c r="Y1089" t="s">
        <v>803</v>
      </c>
      <c r="Z1089" t="s">
        <v>4574</v>
      </c>
    </row>
    <row r="1090" spans="1:26" x14ac:dyDescent="0.3">
      <c r="A1090" t="s">
        <v>525</v>
      </c>
      <c r="B1090" t="s">
        <v>4576</v>
      </c>
      <c r="C1090" t="s">
        <v>4577</v>
      </c>
      <c r="D1090" t="s">
        <v>550</v>
      </c>
      <c r="E1090" t="s">
        <v>664</v>
      </c>
      <c r="F1090" t="s">
        <v>27</v>
      </c>
      <c r="G1090" s="1">
        <v>44562</v>
      </c>
      <c r="H1090" s="1">
        <v>44926</v>
      </c>
      <c r="I1090" t="s">
        <v>665</v>
      </c>
      <c r="J1090" t="s">
        <v>666</v>
      </c>
      <c r="K1090" t="s">
        <v>635</v>
      </c>
      <c r="L1090" t="s">
        <v>667</v>
      </c>
      <c r="M1090" t="s">
        <v>832</v>
      </c>
      <c r="N1090" t="s">
        <v>833</v>
      </c>
      <c r="O1090" t="s">
        <v>2196</v>
      </c>
      <c r="P1090" t="s">
        <v>2197</v>
      </c>
      <c r="Q1090" t="s">
        <v>4080</v>
      </c>
      <c r="R1090" t="s">
        <v>4081</v>
      </c>
      <c r="S1090" t="s">
        <v>783</v>
      </c>
      <c r="T1090" t="s">
        <v>550</v>
      </c>
      <c r="U1090" t="s">
        <v>550</v>
      </c>
      <c r="V1090" t="s">
        <v>4578</v>
      </c>
      <c r="W1090" t="s">
        <v>835</v>
      </c>
      <c r="X1090" t="s">
        <v>669</v>
      </c>
      <c r="Y1090" t="s">
        <v>803</v>
      </c>
      <c r="Z1090" t="s">
        <v>4576</v>
      </c>
    </row>
    <row r="1091" spans="1:26" x14ac:dyDescent="0.3">
      <c r="A1091" t="s">
        <v>525</v>
      </c>
      <c r="B1091" t="s">
        <v>4579</v>
      </c>
      <c r="C1091" t="s">
        <v>4580</v>
      </c>
      <c r="D1091" t="s">
        <v>4576</v>
      </c>
      <c r="E1091" t="s">
        <v>664</v>
      </c>
      <c r="F1091" t="s">
        <v>27</v>
      </c>
      <c r="G1091" s="1">
        <v>44562</v>
      </c>
      <c r="H1091" s="1">
        <v>44562</v>
      </c>
      <c r="I1091" t="s">
        <v>665</v>
      </c>
      <c r="J1091" t="s">
        <v>666</v>
      </c>
      <c r="K1091" t="s">
        <v>635</v>
      </c>
      <c r="L1091" t="s">
        <v>667</v>
      </c>
      <c r="M1091" t="s">
        <v>832</v>
      </c>
      <c r="N1091" t="s">
        <v>833</v>
      </c>
      <c r="O1091" t="s">
        <v>2196</v>
      </c>
      <c r="P1091" t="s">
        <v>2197</v>
      </c>
      <c r="Q1091" t="s">
        <v>4080</v>
      </c>
      <c r="R1091" t="s">
        <v>4081</v>
      </c>
      <c r="S1091" t="s">
        <v>783</v>
      </c>
      <c r="T1091" t="s">
        <v>893</v>
      </c>
      <c r="U1091" t="s">
        <v>550</v>
      </c>
      <c r="V1091" t="s">
        <v>4581</v>
      </c>
      <c r="W1091" t="s">
        <v>835</v>
      </c>
      <c r="X1091" t="s">
        <v>669</v>
      </c>
      <c r="Y1091" t="s">
        <v>803</v>
      </c>
      <c r="Z1091" t="s">
        <v>4579</v>
      </c>
    </row>
    <row r="1092" spans="1:26" x14ac:dyDescent="0.3">
      <c r="A1092" t="s">
        <v>525</v>
      </c>
      <c r="B1092" t="s">
        <v>4582</v>
      </c>
      <c r="C1092" t="s">
        <v>4583</v>
      </c>
      <c r="D1092" t="s">
        <v>550</v>
      </c>
      <c r="E1092" t="s">
        <v>664</v>
      </c>
      <c r="F1092" t="s">
        <v>27</v>
      </c>
      <c r="G1092" s="1">
        <v>44562</v>
      </c>
      <c r="H1092" s="1">
        <v>44926</v>
      </c>
      <c r="I1092" t="s">
        <v>665</v>
      </c>
      <c r="J1092" t="s">
        <v>666</v>
      </c>
      <c r="K1092" t="s">
        <v>635</v>
      </c>
      <c r="L1092" t="s">
        <v>667</v>
      </c>
      <c r="M1092" t="s">
        <v>832</v>
      </c>
      <c r="N1092" t="s">
        <v>833</v>
      </c>
      <c r="O1092" t="s">
        <v>2196</v>
      </c>
      <c r="P1092" t="s">
        <v>2197</v>
      </c>
      <c r="Q1092" t="s">
        <v>4080</v>
      </c>
      <c r="R1092" t="s">
        <v>4081</v>
      </c>
      <c r="S1092" t="s">
        <v>783</v>
      </c>
      <c r="T1092" t="s">
        <v>550</v>
      </c>
      <c r="U1092" t="s">
        <v>550</v>
      </c>
      <c r="V1092" t="s">
        <v>4584</v>
      </c>
      <c r="W1092" t="s">
        <v>835</v>
      </c>
      <c r="X1092" t="s">
        <v>669</v>
      </c>
      <c r="Y1092" t="s">
        <v>803</v>
      </c>
      <c r="Z1092" t="s">
        <v>4582</v>
      </c>
    </row>
    <row r="1093" spans="1:26" x14ac:dyDescent="0.3">
      <c r="A1093" t="s">
        <v>525</v>
      </c>
      <c r="B1093" t="s">
        <v>4585</v>
      </c>
      <c r="C1093" t="s">
        <v>4586</v>
      </c>
      <c r="D1093" t="s">
        <v>4582</v>
      </c>
      <c r="E1093" t="s">
        <v>664</v>
      </c>
      <c r="F1093" t="s">
        <v>27</v>
      </c>
      <c r="G1093" s="1">
        <v>44562</v>
      </c>
      <c r="H1093" s="1">
        <v>44562</v>
      </c>
      <c r="I1093" t="s">
        <v>665</v>
      </c>
      <c r="J1093" t="s">
        <v>666</v>
      </c>
      <c r="K1093" t="s">
        <v>635</v>
      </c>
      <c r="L1093" t="s">
        <v>667</v>
      </c>
      <c r="M1093" t="s">
        <v>832</v>
      </c>
      <c r="N1093" t="s">
        <v>833</v>
      </c>
      <c r="O1093" t="s">
        <v>2196</v>
      </c>
      <c r="P1093" t="s">
        <v>2197</v>
      </c>
      <c r="Q1093" t="s">
        <v>4080</v>
      </c>
      <c r="R1093" t="s">
        <v>4081</v>
      </c>
      <c r="S1093" t="s">
        <v>783</v>
      </c>
      <c r="T1093" t="s">
        <v>550</v>
      </c>
      <c r="U1093" t="s">
        <v>550</v>
      </c>
      <c r="V1093" t="s">
        <v>4587</v>
      </c>
      <c r="W1093" t="s">
        <v>835</v>
      </c>
      <c r="X1093" t="s">
        <v>669</v>
      </c>
      <c r="Y1093" t="s">
        <v>803</v>
      </c>
      <c r="Z1093" t="s">
        <v>4585</v>
      </c>
    </row>
    <row r="1094" spans="1:26" x14ac:dyDescent="0.3">
      <c r="A1094" t="s">
        <v>525</v>
      </c>
      <c r="B1094" t="s">
        <v>4588</v>
      </c>
      <c r="C1094" t="s">
        <v>4589</v>
      </c>
      <c r="D1094" t="s">
        <v>3924</v>
      </c>
      <c r="E1094" t="s">
        <v>664</v>
      </c>
      <c r="F1094" t="s">
        <v>27</v>
      </c>
      <c r="G1094" s="1">
        <v>44562</v>
      </c>
      <c r="H1094" s="1">
        <v>44562</v>
      </c>
      <c r="I1094" t="s">
        <v>665</v>
      </c>
      <c r="J1094" t="s">
        <v>666</v>
      </c>
      <c r="K1094" t="s">
        <v>24</v>
      </c>
      <c r="L1094" t="s">
        <v>667</v>
      </c>
      <c r="M1094" t="s">
        <v>832</v>
      </c>
      <c r="N1094" t="s">
        <v>833</v>
      </c>
      <c r="O1094" t="s">
        <v>2196</v>
      </c>
      <c r="P1094" t="s">
        <v>2197</v>
      </c>
      <c r="Q1094" t="s">
        <v>4080</v>
      </c>
      <c r="R1094" t="s">
        <v>4081</v>
      </c>
      <c r="S1094" t="s">
        <v>783</v>
      </c>
      <c r="T1094" t="s">
        <v>550</v>
      </c>
      <c r="U1094" t="s">
        <v>550</v>
      </c>
      <c r="V1094" t="s">
        <v>4590</v>
      </c>
      <c r="W1094" t="s">
        <v>835</v>
      </c>
      <c r="X1094" t="s">
        <v>669</v>
      </c>
      <c r="Y1094" t="s">
        <v>803</v>
      </c>
      <c r="Z1094" t="s">
        <v>4588</v>
      </c>
    </row>
    <row r="1095" spans="1:26" x14ac:dyDescent="0.3">
      <c r="A1095" t="s">
        <v>525</v>
      </c>
      <c r="B1095" t="s">
        <v>4294</v>
      </c>
      <c r="C1095" t="s">
        <v>4293</v>
      </c>
      <c r="D1095" t="s">
        <v>550</v>
      </c>
      <c r="E1095" t="s">
        <v>664</v>
      </c>
      <c r="F1095" t="s">
        <v>27</v>
      </c>
      <c r="G1095" s="1">
        <v>44562</v>
      </c>
      <c r="H1095" s="1">
        <v>44926</v>
      </c>
      <c r="I1095" t="s">
        <v>665</v>
      </c>
      <c r="J1095" t="s">
        <v>666</v>
      </c>
      <c r="K1095" t="s">
        <v>635</v>
      </c>
      <c r="L1095" t="s">
        <v>667</v>
      </c>
      <c r="M1095" t="s">
        <v>832</v>
      </c>
      <c r="N1095" t="s">
        <v>833</v>
      </c>
      <c r="O1095" t="s">
        <v>2196</v>
      </c>
      <c r="P1095" t="s">
        <v>2197</v>
      </c>
      <c r="Q1095" t="s">
        <v>4080</v>
      </c>
      <c r="R1095" t="s">
        <v>4081</v>
      </c>
      <c r="S1095" t="s">
        <v>783</v>
      </c>
      <c r="T1095" t="s">
        <v>550</v>
      </c>
      <c r="U1095" t="s">
        <v>550</v>
      </c>
      <c r="V1095" t="s">
        <v>4591</v>
      </c>
      <c r="W1095" t="s">
        <v>835</v>
      </c>
      <c r="X1095" t="s">
        <v>669</v>
      </c>
      <c r="Y1095" t="s">
        <v>803</v>
      </c>
      <c r="Z1095" t="s">
        <v>4294</v>
      </c>
    </row>
    <row r="1096" spans="1:26" x14ac:dyDescent="0.3">
      <c r="A1096" t="s">
        <v>525</v>
      </c>
      <c r="B1096" t="s">
        <v>4304</v>
      </c>
      <c r="C1096" t="s">
        <v>4592</v>
      </c>
      <c r="D1096" t="s">
        <v>550</v>
      </c>
      <c r="E1096" t="s">
        <v>664</v>
      </c>
      <c r="F1096" t="s">
        <v>27</v>
      </c>
      <c r="G1096" s="1">
        <v>44562</v>
      </c>
      <c r="H1096" s="1">
        <v>44926</v>
      </c>
      <c r="I1096" t="s">
        <v>665</v>
      </c>
      <c r="J1096" t="s">
        <v>666</v>
      </c>
      <c r="K1096" t="s">
        <v>635</v>
      </c>
      <c r="L1096" t="s">
        <v>667</v>
      </c>
      <c r="M1096" t="s">
        <v>832</v>
      </c>
      <c r="N1096" t="s">
        <v>833</v>
      </c>
      <c r="O1096" t="s">
        <v>2196</v>
      </c>
      <c r="P1096" t="s">
        <v>2197</v>
      </c>
      <c r="Q1096" t="s">
        <v>4080</v>
      </c>
      <c r="R1096" t="s">
        <v>4081</v>
      </c>
      <c r="S1096" t="s">
        <v>783</v>
      </c>
      <c r="T1096" t="s">
        <v>550</v>
      </c>
      <c r="U1096" t="s">
        <v>550</v>
      </c>
      <c r="V1096" t="s">
        <v>4593</v>
      </c>
      <c r="W1096" t="s">
        <v>835</v>
      </c>
      <c r="X1096" t="s">
        <v>669</v>
      </c>
      <c r="Y1096" t="s">
        <v>803</v>
      </c>
      <c r="Z1096" t="s">
        <v>4304</v>
      </c>
    </row>
    <row r="1097" spans="1:26" x14ac:dyDescent="0.3">
      <c r="A1097" t="s">
        <v>525</v>
      </c>
      <c r="B1097" t="s">
        <v>4594</v>
      </c>
      <c r="C1097" t="s">
        <v>4595</v>
      </c>
      <c r="D1097" t="s">
        <v>3924</v>
      </c>
      <c r="E1097" t="s">
        <v>664</v>
      </c>
      <c r="F1097" t="s">
        <v>27</v>
      </c>
      <c r="G1097" s="1">
        <v>44562</v>
      </c>
      <c r="H1097" s="1">
        <v>44562</v>
      </c>
      <c r="I1097" t="s">
        <v>665</v>
      </c>
      <c r="J1097" t="s">
        <v>666</v>
      </c>
      <c r="K1097" t="s">
        <v>24</v>
      </c>
      <c r="L1097" t="s">
        <v>667</v>
      </c>
      <c r="M1097" t="s">
        <v>832</v>
      </c>
      <c r="N1097" t="s">
        <v>833</v>
      </c>
      <c r="O1097" t="s">
        <v>2196</v>
      </c>
      <c r="P1097" t="s">
        <v>2197</v>
      </c>
      <c r="Q1097" t="s">
        <v>4080</v>
      </c>
      <c r="R1097" t="s">
        <v>4081</v>
      </c>
      <c r="S1097" t="s">
        <v>783</v>
      </c>
      <c r="T1097" t="s">
        <v>893</v>
      </c>
      <c r="U1097" t="s">
        <v>550</v>
      </c>
      <c r="V1097" t="s">
        <v>4596</v>
      </c>
      <c r="W1097" t="s">
        <v>835</v>
      </c>
      <c r="X1097" t="s">
        <v>669</v>
      </c>
      <c r="Y1097" t="s">
        <v>803</v>
      </c>
      <c r="Z1097" t="s">
        <v>4594</v>
      </c>
    </row>
    <row r="1098" spans="1:26" x14ac:dyDescent="0.3">
      <c r="A1098" t="s">
        <v>525</v>
      </c>
      <c r="B1098" t="s">
        <v>4416</v>
      </c>
      <c r="C1098" t="s">
        <v>4597</v>
      </c>
      <c r="D1098" t="s">
        <v>550</v>
      </c>
      <c r="E1098" t="s">
        <v>664</v>
      </c>
      <c r="F1098" t="s">
        <v>27</v>
      </c>
      <c r="G1098" s="1">
        <v>44562</v>
      </c>
      <c r="H1098" s="1">
        <v>44926</v>
      </c>
      <c r="I1098" t="s">
        <v>665</v>
      </c>
      <c r="J1098" t="s">
        <v>666</v>
      </c>
      <c r="K1098" t="s">
        <v>635</v>
      </c>
      <c r="L1098" t="s">
        <v>667</v>
      </c>
      <c r="M1098" t="s">
        <v>832</v>
      </c>
      <c r="N1098" t="s">
        <v>833</v>
      </c>
      <c r="O1098" t="s">
        <v>2196</v>
      </c>
      <c r="P1098" t="s">
        <v>2197</v>
      </c>
      <c r="Q1098" t="s">
        <v>4080</v>
      </c>
      <c r="R1098" t="s">
        <v>4081</v>
      </c>
      <c r="S1098" t="s">
        <v>783</v>
      </c>
      <c r="T1098" t="s">
        <v>550</v>
      </c>
      <c r="U1098" t="s">
        <v>550</v>
      </c>
      <c r="V1098" t="s">
        <v>4598</v>
      </c>
      <c r="W1098" t="s">
        <v>835</v>
      </c>
      <c r="X1098" t="s">
        <v>669</v>
      </c>
      <c r="Y1098" t="s">
        <v>803</v>
      </c>
      <c r="Z1098" t="s">
        <v>4416</v>
      </c>
    </row>
    <row r="1099" spans="1:26" x14ac:dyDescent="0.3">
      <c r="A1099" t="s">
        <v>525</v>
      </c>
      <c r="B1099" t="s">
        <v>4599</v>
      </c>
      <c r="C1099" t="s">
        <v>4600</v>
      </c>
      <c r="D1099" t="s">
        <v>3924</v>
      </c>
      <c r="E1099" t="s">
        <v>664</v>
      </c>
      <c r="F1099" t="s">
        <v>27</v>
      </c>
      <c r="G1099" s="1">
        <v>44562</v>
      </c>
      <c r="H1099" s="1">
        <v>44562</v>
      </c>
      <c r="I1099" t="s">
        <v>665</v>
      </c>
      <c r="J1099" t="s">
        <v>666</v>
      </c>
      <c r="K1099" t="s">
        <v>24</v>
      </c>
      <c r="L1099" t="s">
        <v>667</v>
      </c>
      <c r="M1099" t="s">
        <v>1031</v>
      </c>
      <c r="N1099" t="s">
        <v>239</v>
      </c>
      <c r="O1099" t="s">
        <v>2196</v>
      </c>
      <c r="P1099" t="s">
        <v>2197</v>
      </c>
      <c r="Q1099" t="s">
        <v>4080</v>
      </c>
      <c r="R1099" t="s">
        <v>4081</v>
      </c>
      <c r="S1099" t="s">
        <v>783</v>
      </c>
      <c r="T1099" t="s">
        <v>893</v>
      </c>
      <c r="U1099" t="s">
        <v>550</v>
      </c>
      <c r="V1099" t="s">
        <v>4601</v>
      </c>
      <c r="W1099" t="s">
        <v>835</v>
      </c>
      <c r="X1099" t="s">
        <v>669</v>
      </c>
      <c r="Y1099" t="s">
        <v>803</v>
      </c>
      <c r="Z1099" t="s">
        <v>4599</v>
      </c>
    </row>
    <row r="1100" spans="1:26" x14ac:dyDescent="0.3">
      <c r="A1100" t="s">
        <v>525</v>
      </c>
      <c r="B1100" t="s">
        <v>4602</v>
      </c>
      <c r="C1100" t="s">
        <v>4603</v>
      </c>
      <c r="D1100" t="s">
        <v>3924</v>
      </c>
      <c r="E1100" t="s">
        <v>664</v>
      </c>
      <c r="F1100" t="s">
        <v>27</v>
      </c>
      <c r="G1100" s="1">
        <v>44562</v>
      </c>
      <c r="H1100" s="1">
        <v>44562</v>
      </c>
      <c r="I1100" t="s">
        <v>665</v>
      </c>
      <c r="J1100" t="s">
        <v>666</v>
      </c>
      <c r="K1100" t="s">
        <v>24</v>
      </c>
      <c r="L1100" t="s">
        <v>667</v>
      </c>
      <c r="M1100" t="s">
        <v>1884</v>
      </c>
      <c r="N1100" t="s">
        <v>223</v>
      </c>
      <c r="O1100" t="s">
        <v>2196</v>
      </c>
      <c r="P1100" t="s">
        <v>2197</v>
      </c>
      <c r="Q1100" t="s">
        <v>4080</v>
      </c>
      <c r="R1100" t="s">
        <v>4081</v>
      </c>
      <c r="S1100" t="s">
        <v>783</v>
      </c>
      <c r="T1100" t="s">
        <v>893</v>
      </c>
      <c r="U1100" t="s">
        <v>550</v>
      </c>
      <c r="V1100" t="s">
        <v>4604</v>
      </c>
      <c r="W1100" t="s">
        <v>835</v>
      </c>
      <c r="X1100" t="s">
        <v>669</v>
      </c>
      <c r="Y1100" t="s">
        <v>803</v>
      </c>
      <c r="Z1100" t="s">
        <v>4602</v>
      </c>
    </row>
    <row r="1101" spans="1:26" x14ac:dyDescent="0.3">
      <c r="A1101" t="s">
        <v>525</v>
      </c>
      <c r="B1101" t="s">
        <v>4605</v>
      </c>
      <c r="C1101" t="s">
        <v>4606</v>
      </c>
      <c r="D1101" t="s">
        <v>4607</v>
      </c>
      <c r="E1101" t="s">
        <v>982</v>
      </c>
      <c r="F1101" t="s">
        <v>983</v>
      </c>
      <c r="G1101" s="1">
        <v>45292</v>
      </c>
      <c r="H1101" s="1">
        <v>45292</v>
      </c>
      <c r="I1101" t="s">
        <v>665</v>
      </c>
      <c r="J1101" t="s">
        <v>666</v>
      </c>
      <c r="K1101" t="s">
        <v>24</v>
      </c>
      <c r="L1101" t="s">
        <v>217</v>
      </c>
      <c r="M1101" t="s">
        <v>2223</v>
      </c>
      <c r="N1101" t="s">
        <v>310</v>
      </c>
      <c r="O1101" t="s">
        <v>2223</v>
      </c>
      <c r="P1101" t="s">
        <v>310</v>
      </c>
      <c r="Q1101" t="s">
        <v>4080</v>
      </c>
      <c r="R1101" t="s">
        <v>4081</v>
      </c>
      <c r="S1101" t="s">
        <v>783</v>
      </c>
      <c r="T1101" t="s">
        <v>550</v>
      </c>
      <c r="U1101" t="s">
        <v>550</v>
      </c>
      <c r="V1101" t="s">
        <v>4608</v>
      </c>
      <c r="W1101" t="s">
        <v>835</v>
      </c>
      <c r="Z1101" t="s">
        <v>4605</v>
      </c>
    </row>
    <row r="1102" spans="1:26" x14ac:dyDescent="0.3">
      <c r="A1102" t="s">
        <v>525</v>
      </c>
      <c r="B1102" t="s">
        <v>4609</v>
      </c>
      <c r="C1102" t="s">
        <v>4610</v>
      </c>
      <c r="D1102" t="s">
        <v>1850</v>
      </c>
      <c r="E1102" t="s">
        <v>1039</v>
      </c>
      <c r="F1102" t="s">
        <v>1040</v>
      </c>
      <c r="G1102" s="1">
        <v>45292</v>
      </c>
      <c r="H1102" s="1">
        <v>45416</v>
      </c>
      <c r="I1102" t="s">
        <v>665</v>
      </c>
      <c r="J1102" t="s">
        <v>1041</v>
      </c>
      <c r="K1102" t="s">
        <v>24</v>
      </c>
      <c r="L1102" t="s">
        <v>216</v>
      </c>
      <c r="M1102" t="s">
        <v>2227</v>
      </c>
      <c r="N1102" t="s">
        <v>270</v>
      </c>
      <c r="O1102" t="s">
        <v>2227</v>
      </c>
      <c r="P1102" t="s">
        <v>270</v>
      </c>
      <c r="Q1102" t="s">
        <v>4080</v>
      </c>
      <c r="R1102" t="s">
        <v>4081</v>
      </c>
      <c r="S1102" t="s">
        <v>1471</v>
      </c>
      <c r="T1102" t="s">
        <v>550</v>
      </c>
      <c r="U1102" t="s">
        <v>550</v>
      </c>
      <c r="V1102" t="s">
        <v>4611</v>
      </c>
      <c r="W1102" t="s">
        <v>613</v>
      </c>
      <c r="X1102" t="s">
        <v>276</v>
      </c>
      <c r="Y1102" t="s">
        <v>282</v>
      </c>
      <c r="Z1102" t="s">
        <v>4609</v>
      </c>
    </row>
    <row r="1103" spans="1:26" x14ac:dyDescent="0.3">
      <c r="A1103" t="s">
        <v>525</v>
      </c>
      <c r="B1103" t="s">
        <v>4612</v>
      </c>
      <c r="C1103" t="s">
        <v>4613</v>
      </c>
      <c r="D1103" t="s">
        <v>3983</v>
      </c>
      <c r="E1103" t="s">
        <v>1117</v>
      </c>
      <c r="F1103" t="s">
        <v>1118</v>
      </c>
      <c r="G1103" s="1">
        <v>45292</v>
      </c>
      <c r="H1103" s="1">
        <v>45453</v>
      </c>
      <c r="I1103" t="s">
        <v>665</v>
      </c>
      <c r="J1103" t="s">
        <v>1119</v>
      </c>
      <c r="K1103" t="s">
        <v>24</v>
      </c>
      <c r="L1103" t="s">
        <v>216</v>
      </c>
      <c r="M1103" t="s">
        <v>2227</v>
      </c>
      <c r="N1103" t="s">
        <v>270</v>
      </c>
      <c r="O1103" t="s">
        <v>2227</v>
      </c>
      <c r="P1103" t="s">
        <v>270</v>
      </c>
      <c r="Q1103" t="s">
        <v>4080</v>
      </c>
      <c r="R1103" t="s">
        <v>4081</v>
      </c>
      <c r="S1103" t="s">
        <v>783</v>
      </c>
      <c r="T1103" t="s">
        <v>550</v>
      </c>
      <c r="U1103" t="s">
        <v>550</v>
      </c>
      <c r="V1103" t="s">
        <v>4614</v>
      </c>
      <c r="W1103" t="s">
        <v>613</v>
      </c>
      <c r="X1103" t="s">
        <v>276</v>
      </c>
      <c r="Y1103" t="s">
        <v>277</v>
      </c>
      <c r="Z1103" t="s">
        <v>4612</v>
      </c>
    </row>
    <row r="1104" spans="1:26" x14ac:dyDescent="0.3">
      <c r="A1104" t="s">
        <v>525</v>
      </c>
      <c r="B1104" t="s">
        <v>4615</v>
      </c>
      <c r="C1104" t="s">
        <v>4616</v>
      </c>
      <c r="D1104" t="s">
        <v>3977</v>
      </c>
      <c r="E1104" t="s">
        <v>1117</v>
      </c>
      <c r="F1104" t="s">
        <v>1118</v>
      </c>
      <c r="G1104" s="1">
        <v>45292</v>
      </c>
      <c r="H1104" s="1">
        <v>45382</v>
      </c>
      <c r="I1104" t="s">
        <v>665</v>
      </c>
      <c r="J1104" t="s">
        <v>1119</v>
      </c>
      <c r="K1104" t="s">
        <v>24</v>
      </c>
      <c r="L1104" t="s">
        <v>216</v>
      </c>
      <c r="M1104" t="s">
        <v>2227</v>
      </c>
      <c r="N1104" t="s">
        <v>270</v>
      </c>
      <c r="O1104" t="s">
        <v>2227</v>
      </c>
      <c r="P1104" t="s">
        <v>270</v>
      </c>
      <c r="Q1104" t="s">
        <v>4080</v>
      </c>
      <c r="R1104" t="s">
        <v>4081</v>
      </c>
      <c r="S1104" t="s">
        <v>783</v>
      </c>
      <c r="T1104" t="s">
        <v>550</v>
      </c>
      <c r="U1104" t="s">
        <v>550</v>
      </c>
      <c r="V1104" t="s">
        <v>4617</v>
      </c>
      <c r="W1104" t="s">
        <v>613</v>
      </c>
      <c r="X1104" t="s">
        <v>276</v>
      </c>
      <c r="Y1104" t="s">
        <v>277</v>
      </c>
      <c r="Z1104" t="s">
        <v>4615</v>
      </c>
    </row>
    <row r="1105" spans="1:26" x14ac:dyDescent="0.3">
      <c r="A1105" t="s">
        <v>525</v>
      </c>
      <c r="B1105" t="s">
        <v>4618</v>
      </c>
      <c r="C1105" t="s">
        <v>4619</v>
      </c>
      <c r="D1105" t="s">
        <v>3971</v>
      </c>
      <c r="E1105" t="s">
        <v>1117</v>
      </c>
      <c r="F1105" t="s">
        <v>1118</v>
      </c>
      <c r="G1105" s="1">
        <v>45292</v>
      </c>
      <c r="H1105" s="1">
        <v>45407</v>
      </c>
      <c r="I1105" t="s">
        <v>665</v>
      </c>
      <c r="J1105" t="s">
        <v>1119</v>
      </c>
      <c r="K1105" t="s">
        <v>24</v>
      </c>
      <c r="L1105" t="s">
        <v>216</v>
      </c>
      <c r="M1105" t="s">
        <v>2227</v>
      </c>
      <c r="N1105" t="s">
        <v>270</v>
      </c>
      <c r="O1105" t="s">
        <v>2227</v>
      </c>
      <c r="P1105" t="s">
        <v>270</v>
      </c>
      <c r="Q1105" t="s">
        <v>4080</v>
      </c>
      <c r="R1105" t="s">
        <v>4081</v>
      </c>
      <c r="S1105" t="s">
        <v>783</v>
      </c>
      <c r="T1105" t="s">
        <v>550</v>
      </c>
      <c r="U1105" t="s">
        <v>550</v>
      </c>
      <c r="V1105" t="s">
        <v>4620</v>
      </c>
      <c r="W1105" t="s">
        <v>613</v>
      </c>
      <c r="X1105" t="s">
        <v>276</v>
      </c>
      <c r="Y1105" t="s">
        <v>277</v>
      </c>
      <c r="Z1105" t="s">
        <v>4618</v>
      </c>
    </row>
    <row r="1106" spans="1:26" x14ac:dyDescent="0.3">
      <c r="A1106" t="s">
        <v>525</v>
      </c>
      <c r="B1106" t="s">
        <v>4621</v>
      </c>
      <c r="C1106" t="s">
        <v>4622</v>
      </c>
      <c r="D1106" t="s">
        <v>4623</v>
      </c>
      <c r="E1106" t="s">
        <v>1039</v>
      </c>
      <c r="F1106" t="s">
        <v>1040</v>
      </c>
      <c r="G1106" s="1">
        <v>45292</v>
      </c>
      <c r="H1106" s="1">
        <v>45358</v>
      </c>
      <c r="I1106" t="s">
        <v>665</v>
      </c>
      <c r="J1106" t="s">
        <v>1041</v>
      </c>
      <c r="K1106" t="s">
        <v>24</v>
      </c>
      <c r="L1106" t="s">
        <v>216</v>
      </c>
      <c r="M1106" t="s">
        <v>2227</v>
      </c>
      <c r="N1106" t="s">
        <v>270</v>
      </c>
      <c r="O1106" t="s">
        <v>2227</v>
      </c>
      <c r="P1106" t="s">
        <v>270</v>
      </c>
      <c r="Q1106" t="s">
        <v>4080</v>
      </c>
      <c r="R1106" t="s">
        <v>4081</v>
      </c>
      <c r="S1106" t="s">
        <v>783</v>
      </c>
      <c r="T1106" t="s">
        <v>550</v>
      </c>
      <c r="U1106" t="s">
        <v>550</v>
      </c>
      <c r="V1106" t="s">
        <v>4624</v>
      </c>
      <c r="W1106" t="s">
        <v>613</v>
      </c>
      <c r="X1106" t="s">
        <v>276</v>
      </c>
      <c r="Y1106" t="s">
        <v>282</v>
      </c>
      <c r="Z1106" t="s">
        <v>4621</v>
      </c>
    </row>
    <row r="1107" spans="1:26" x14ac:dyDescent="0.3">
      <c r="A1107" t="s">
        <v>525</v>
      </c>
      <c r="B1107" t="s">
        <v>4625</v>
      </c>
      <c r="C1107" t="s">
        <v>4626</v>
      </c>
      <c r="D1107" t="s">
        <v>1870</v>
      </c>
      <c r="E1107" t="s">
        <v>1039</v>
      </c>
      <c r="F1107" t="s">
        <v>1040</v>
      </c>
      <c r="G1107" s="1">
        <v>45292</v>
      </c>
      <c r="H1107" s="1">
        <v>45298</v>
      </c>
      <c r="I1107" t="s">
        <v>665</v>
      </c>
      <c r="J1107" t="s">
        <v>1041</v>
      </c>
      <c r="K1107" t="s">
        <v>24</v>
      </c>
      <c r="L1107" t="s">
        <v>216</v>
      </c>
      <c r="M1107" t="s">
        <v>2227</v>
      </c>
      <c r="N1107" t="s">
        <v>270</v>
      </c>
      <c r="O1107" t="s">
        <v>2227</v>
      </c>
      <c r="P1107" t="s">
        <v>270</v>
      </c>
      <c r="Q1107" t="s">
        <v>4080</v>
      </c>
      <c r="R1107" t="s">
        <v>4081</v>
      </c>
      <c r="S1107" t="s">
        <v>1471</v>
      </c>
      <c r="T1107" t="s">
        <v>550</v>
      </c>
      <c r="U1107" t="s">
        <v>550</v>
      </c>
      <c r="V1107" t="s">
        <v>4627</v>
      </c>
      <c r="W1107" t="s">
        <v>613</v>
      </c>
      <c r="X1107" t="s">
        <v>276</v>
      </c>
      <c r="Y1107" t="s">
        <v>282</v>
      </c>
      <c r="Z1107" t="s">
        <v>4625</v>
      </c>
    </row>
    <row r="1108" spans="1:26" x14ac:dyDescent="0.3">
      <c r="A1108" t="s">
        <v>525</v>
      </c>
      <c r="B1108" t="s">
        <v>4628</v>
      </c>
      <c r="C1108" t="s">
        <v>4629</v>
      </c>
      <c r="D1108" t="s">
        <v>1858</v>
      </c>
      <c r="E1108" t="s">
        <v>1039</v>
      </c>
      <c r="F1108" t="s">
        <v>1040</v>
      </c>
      <c r="G1108" s="1">
        <v>45292</v>
      </c>
      <c r="H1108" s="1">
        <v>45840</v>
      </c>
      <c r="I1108" t="s">
        <v>665</v>
      </c>
      <c r="J1108" t="s">
        <v>1041</v>
      </c>
      <c r="K1108" t="s">
        <v>24</v>
      </c>
      <c r="L1108" t="s">
        <v>216</v>
      </c>
      <c r="M1108" t="s">
        <v>2227</v>
      </c>
      <c r="N1108" t="s">
        <v>270</v>
      </c>
      <c r="O1108" t="s">
        <v>2227</v>
      </c>
      <c r="P1108" t="s">
        <v>270</v>
      </c>
      <c r="Q1108" t="s">
        <v>4080</v>
      </c>
      <c r="R1108" t="s">
        <v>4081</v>
      </c>
      <c r="S1108" t="s">
        <v>783</v>
      </c>
      <c r="T1108" t="s">
        <v>550</v>
      </c>
      <c r="U1108" t="s">
        <v>550</v>
      </c>
      <c r="V1108" t="s">
        <v>4630</v>
      </c>
      <c r="W1108" t="s">
        <v>613</v>
      </c>
      <c r="X1108" t="s">
        <v>276</v>
      </c>
      <c r="Y1108" t="s">
        <v>282</v>
      </c>
      <c r="Z1108" t="s">
        <v>4628</v>
      </c>
    </row>
    <row r="1109" spans="1:26" x14ac:dyDescent="0.3">
      <c r="A1109" t="s">
        <v>525</v>
      </c>
      <c r="B1109" t="s">
        <v>4631</v>
      </c>
      <c r="C1109" t="s">
        <v>4632</v>
      </c>
      <c r="D1109" t="s">
        <v>1864</v>
      </c>
      <c r="E1109" t="s">
        <v>1039</v>
      </c>
      <c r="F1109" t="s">
        <v>1040</v>
      </c>
      <c r="G1109" s="1">
        <v>45292</v>
      </c>
      <c r="H1109" s="1">
        <v>45292</v>
      </c>
      <c r="I1109" t="s">
        <v>665</v>
      </c>
      <c r="J1109" t="s">
        <v>1041</v>
      </c>
      <c r="K1109" t="s">
        <v>24</v>
      </c>
      <c r="L1109" t="s">
        <v>216</v>
      </c>
      <c r="M1109" t="s">
        <v>2227</v>
      </c>
      <c r="N1109" t="s">
        <v>270</v>
      </c>
      <c r="O1109" t="s">
        <v>2227</v>
      </c>
      <c r="P1109" t="s">
        <v>270</v>
      </c>
      <c r="Q1109" t="s">
        <v>4080</v>
      </c>
      <c r="R1109" t="s">
        <v>4081</v>
      </c>
      <c r="S1109" t="s">
        <v>1471</v>
      </c>
      <c r="T1109" t="s">
        <v>550</v>
      </c>
      <c r="U1109" t="s">
        <v>550</v>
      </c>
      <c r="V1109" t="s">
        <v>4633</v>
      </c>
      <c r="W1109" t="s">
        <v>613</v>
      </c>
      <c r="X1109" t="s">
        <v>276</v>
      </c>
      <c r="Y1109" t="s">
        <v>282</v>
      </c>
      <c r="Z1109" t="s">
        <v>4631</v>
      </c>
    </row>
    <row r="1110" spans="1:26" x14ac:dyDescent="0.3">
      <c r="A1110" t="s">
        <v>525</v>
      </c>
      <c r="B1110" t="s">
        <v>4634</v>
      </c>
      <c r="C1110" t="s">
        <v>4635</v>
      </c>
      <c r="D1110" t="s">
        <v>1050</v>
      </c>
      <c r="E1110" t="s">
        <v>664</v>
      </c>
      <c r="F1110" t="s">
        <v>27</v>
      </c>
      <c r="G1110" s="1">
        <v>45292</v>
      </c>
      <c r="H1110" s="1">
        <v>45292</v>
      </c>
      <c r="I1110" t="s">
        <v>665</v>
      </c>
      <c r="J1110" t="s">
        <v>666</v>
      </c>
      <c r="K1110" t="s">
        <v>24</v>
      </c>
      <c r="L1110" t="s">
        <v>216</v>
      </c>
      <c r="M1110" t="s">
        <v>1031</v>
      </c>
      <c r="N1110" t="s">
        <v>239</v>
      </c>
      <c r="O1110" t="s">
        <v>2227</v>
      </c>
      <c r="P1110" t="s">
        <v>270</v>
      </c>
      <c r="Q1110" t="s">
        <v>4080</v>
      </c>
      <c r="R1110" t="s">
        <v>4081</v>
      </c>
      <c r="S1110" t="s">
        <v>1471</v>
      </c>
      <c r="T1110" t="s">
        <v>550</v>
      </c>
      <c r="U1110" t="s">
        <v>550</v>
      </c>
      <c r="V1110" t="s">
        <v>4636</v>
      </c>
      <c r="W1110" t="s">
        <v>613</v>
      </c>
      <c r="X1110" t="s">
        <v>276</v>
      </c>
      <c r="Z1110" t="s">
        <v>4634</v>
      </c>
    </row>
    <row r="1111" spans="1:26" x14ac:dyDescent="0.3">
      <c r="A1111" t="s">
        <v>525</v>
      </c>
      <c r="B1111" t="s">
        <v>4637</v>
      </c>
      <c r="C1111" t="s">
        <v>4638</v>
      </c>
      <c r="D1111" t="s">
        <v>4484</v>
      </c>
      <c r="E1111" t="s">
        <v>778</v>
      </c>
      <c r="F1111" t="s">
        <v>779</v>
      </c>
      <c r="G1111" s="1">
        <v>45392</v>
      </c>
      <c r="H1111" s="1">
        <v>45525</v>
      </c>
      <c r="I1111" t="s">
        <v>665</v>
      </c>
      <c r="J1111" t="s">
        <v>781</v>
      </c>
      <c r="K1111" t="s">
        <v>24</v>
      </c>
      <c r="L1111" t="s">
        <v>216</v>
      </c>
      <c r="M1111" t="s">
        <v>782</v>
      </c>
      <c r="N1111" t="s">
        <v>287</v>
      </c>
      <c r="O1111" t="s">
        <v>2227</v>
      </c>
      <c r="P1111" t="s">
        <v>270</v>
      </c>
      <c r="Q1111" t="s">
        <v>4080</v>
      </c>
      <c r="R1111" t="s">
        <v>4081</v>
      </c>
      <c r="S1111" t="s">
        <v>783</v>
      </c>
      <c r="T1111" t="s">
        <v>550</v>
      </c>
      <c r="U1111" t="s">
        <v>550</v>
      </c>
      <c r="V1111" t="s">
        <v>4639</v>
      </c>
      <c r="W1111" t="s">
        <v>613</v>
      </c>
      <c r="X1111" t="s">
        <v>276</v>
      </c>
      <c r="Z1111" t="s">
        <v>4637</v>
      </c>
    </row>
    <row r="1112" spans="1:26" x14ac:dyDescent="0.3">
      <c r="A1112" t="s">
        <v>525</v>
      </c>
      <c r="B1112" t="s">
        <v>4640</v>
      </c>
      <c r="C1112" t="s">
        <v>4641</v>
      </c>
      <c r="D1112" t="s">
        <v>4642</v>
      </c>
      <c r="E1112" t="s">
        <v>778</v>
      </c>
      <c r="F1112" t="s">
        <v>779</v>
      </c>
      <c r="G1112" s="1">
        <v>45292</v>
      </c>
      <c r="H1112" s="1">
        <v>45296</v>
      </c>
      <c r="I1112" t="s">
        <v>665</v>
      </c>
      <c r="J1112" t="s">
        <v>781</v>
      </c>
      <c r="K1112" t="s">
        <v>24</v>
      </c>
      <c r="L1112" t="s">
        <v>216</v>
      </c>
      <c r="M1112" t="s">
        <v>782</v>
      </c>
      <c r="N1112" t="s">
        <v>287</v>
      </c>
      <c r="O1112" t="s">
        <v>2227</v>
      </c>
      <c r="P1112" t="s">
        <v>270</v>
      </c>
      <c r="Q1112" t="s">
        <v>4080</v>
      </c>
      <c r="R1112" t="s">
        <v>4081</v>
      </c>
      <c r="S1112" t="s">
        <v>783</v>
      </c>
      <c r="T1112" t="s">
        <v>550</v>
      </c>
      <c r="U1112" t="s">
        <v>550</v>
      </c>
      <c r="V1112" t="s">
        <v>4643</v>
      </c>
      <c r="W1112" t="s">
        <v>613</v>
      </c>
      <c r="X1112" t="s">
        <v>276</v>
      </c>
      <c r="Z1112" t="s">
        <v>4640</v>
      </c>
    </row>
    <row r="1113" spans="1:26" x14ac:dyDescent="0.3">
      <c r="A1113" t="s">
        <v>525</v>
      </c>
      <c r="B1113" t="s">
        <v>4644</v>
      </c>
      <c r="C1113" t="s">
        <v>4645</v>
      </c>
      <c r="D1113" t="s">
        <v>776</v>
      </c>
      <c r="E1113" t="s">
        <v>778</v>
      </c>
      <c r="F1113" t="s">
        <v>779</v>
      </c>
      <c r="G1113" s="1">
        <v>45292</v>
      </c>
      <c r="H1113" s="1">
        <v>45297</v>
      </c>
      <c r="I1113" t="s">
        <v>665</v>
      </c>
      <c r="J1113" t="s">
        <v>781</v>
      </c>
      <c r="K1113" t="s">
        <v>24</v>
      </c>
      <c r="L1113" t="s">
        <v>216</v>
      </c>
      <c r="M1113" t="s">
        <v>782</v>
      </c>
      <c r="N1113" t="s">
        <v>287</v>
      </c>
      <c r="O1113" t="s">
        <v>2227</v>
      </c>
      <c r="P1113" t="s">
        <v>270</v>
      </c>
      <c r="Q1113" t="s">
        <v>4080</v>
      </c>
      <c r="R1113" t="s">
        <v>4081</v>
      </c>
      <c r="S1113" t="s">
        <v>783</v>
      </c>
      <c r="T1113" t="s">
        <v>550</v>
      </c>
      <c r="U1113" t="s">
        <v>550</v>
      </c>
      <c r="V1113" t="s">
        <v>4646</v>
      </c>
      <c r="W1113" t="s">
        <v>613</v>
      </c>
      <c r="X1113" t="s">
        <v>276</v>
      </c>
      <c r="Z1113" t="s">
        <v>4644</v>
      </c>
    </row>
    <row r="1114" spans="1:26" x14ac:dyDescent="0.3">
      <c r="A1114" t="s">
        <v>525</v>
      </c>
      <c r="B1114" t="s">
        <v>4647</v>
      </c>
      <c r="C1114" t="s">
        <v>4648</v>
      </c>
      <c r="D1114" t="s">
        <v>980</v>
      </c>
      <c r="E1114" t="s">
        <v>982</v>
      </c>
      <c r="F1114" t="s">
        <v>983</v>
      </c>
      <c r="G1114" s="1">
        <v>44562</v>
      </c>
      <c r="H1114" s="1">
        <v>44562</v>
      </c>
      <c r="I1114" t="s">
        <v>665</v>
      </c>
      <c r="J1114" t="s">
        <v>984</v>
      </c>
      <c r="K1114" t="s">
        <v>24</v>
      </c>
      <c r="L1114" t="s">
        <v>901</v>
      </c>
      <c r="M1114" t="s">
        <v>985</v>
      </c>
      <c r="N1114" t="s">
        <v>986</v>
      </c>
      <c r="O1114" t="s">
        <v>985</v>
      </c>
      <c r="P1114" t="s">
        <v>986</v>
      </c>
      <c r="Q1114" t="s">
        <v>4080</v>
      </c>
      <c r="R1114" t="s">
        <v>4081</v>
      </c>
      <c r="S1114" t="s">
        <v>783</v>
      </c>
      <c r="T1114" t="s">
        <v>550</v>
      </c>
      <c r="U1114" t="s">
        <v>550</v>
      </c>
      <c r="V1114" t="s">
        <v>4649</v>
      </c>
      <c r="W1114" t="s">
        <v>988</v>
      </c>
      <c r="X1114" t="s">
        <v>979</v>
      </c>
      <c r="Y1114" t="s">
        <v>803</v>
      </c>
      <c r="Z1114" t="s">
        <v>4647</v>
      </c>
    </row>
    <row r="1115" spans="1:26" x14ac:dyDescent="0.3">
      <c r="A1115" t="s">
        <v>525</v>
      </c>
      <c r="B1115" t="s">
        <v>4650</v>
      </c>
      <c r="C1115" t="s">
        <v>4651</v>
      </c>
      <c r="D1115" t="s">
        <v>980</v>
      </c>
      <c r="E1115" t="s">
        <v>982</v>
      </c>
      <c r="F1115" t="s">
        <v>983</v>
      </c>
      <c r="G1115" s="1">
        <v>44927</v>
      </c>
      <c r="H1115" s="1">
        <v>44927</v>
      </c>
      <c r="I1115" t="s">
        <v>665</v>
      </c>
      <c r="J1115" t="s">
        <v>984</v>
      </c>
      <c r="K1115" t="s">
        <v>24</v>
      </c>
      <c r="L1115" t="s">
        <v>901</v>
      </c>
      <c r="M1115" t="s">
        <v>985</v>
      </c>
      <c r="N1115" t="s">
        <v>986</v>
      </c>
      <c r="O1115" t="s">
        <v>985</v>
      </c>
      <c r="P1115" t="s">
        <v>986</v>
      </c>
      <c r="Q1115" t="s">
        <v>4080</v>
      </c>
      <c r="R1115" t="s">
        <v>4081</v>
      </c>
      <c r="S1115" t="s">
        <v>783</v>
      </c>
      <c r="T1115" t="s">
        <v>550</v>
      </c>
      <c r="U1115" t="s">
        <v>4170</v>
      </c>
      <c r="V1115" t="s">
        <v>4652</v>
      </c>
      <c r="W1115" t="s">
        <v>988</v>
      </c>
      <c r="X1115" t="s">
        <v>979</v>
      </c>
      <c r="Y1115" t="s">
        <v>803</v>
      </c>
      <c r="Z1115" t="s">
        <v>4650</v>
      </c>
    </row>
    <row r="1116" spans="1:26" x14ac:dyDescent="0.3">
      <c r="A1116" t="s">
        <v>525</v>
      </c>
      <c r="B1116" t="s">
        <v>4607</v>
      </c>
      <c r="C1116" t="s">
        <v>4653</v>
      </c>
      <c r="D1116" t="s">
        <v>550</v>
      </c>
      <c r="E1116" t="s">
        <v>982</v>
      </c>
      <c r="F1116" t="s">
        <v>983</v>
      </c>
      <c r="G1116" s="1">
        <v>45293</v>
      </c>
      <c r="H1116" s="1">
        <v>45657</v>
      </c>
      <c r="I1116" t="s">
        <v>780</v>
      </c>
      <c r="J1116" t="s">
        <v>666</v>
      </c>
      <c r="K1116" t="s">
        <v>24</v>
      </c>
      <c r="L1116" t="s">
        <v>217</v>
      </c>
      <c r="M1116" t="s">
        <v>985</v>
      </c>
      <c r="N1116" t="s">
        <v>986</v>
      </c>
      <c r="O1116" t="s">
        <v>985</v>
      </c>
      <c r="P1116" t="s">
        <v>986</v>
      </c>
      <c r="Q1116" t="s">
        <v>4080</v>
      </c>
      <c r="R1116" t="s">
        <v>4081</v>
      </c>
      <c r="S1116" t="s">
        <v>783</v>
      </c>
      <c r="T1116" t="s">
        <v>550</v>
      </c>
      <c r="U1116" t="s">
        <v>550</v>
      </c>
      <c r="V1116" t="s">
        <v>4654</v>
      </c>
      <c r="W1116" t="s">
        <v>835</v>
      </c>
      <c r="Z1116" t="s">
        <v>4607</v>
      </c>
    </row>
    <row r="1117" spans="1:26" x14ac:dyDescent="0.3">
      <c r="A1117" t="s">
        <v>525</v>
      </c>
      <c r="B1117" t="s">
        <v>4655</v>
      </c>
      <c r="C1117" t="s">
        <v>4656</v>
      </c>
      <c r="D1117" t="s">
        <v>1008</v>
      </c>
      <c r="E1117" t="s">
        <v>664</v>
      </c>
      <c r="F1117" t="s">
        <v>27</v>
      </c>
      <c r="G1117" s="1">
        <v>44927</v>
      </c>
      <c r="H1117" s="1">
        <v>44945</v>
      </c>
      <c r="I1117" t="s">
        <v>665</v>
      </c>
      <c r="J1117" t="s">
        <v>666</v>
      </c>
      <c r="K1117" t="s">
        <v>24</v>
      </c>
      <c r="L1117" t="s">
        <v>667</v>
      </c>
      <c r="M1117" t="s">
        <v>985</v>
      </c>
      <c r="N1117" t="s">
        <v>986</v>
      </c>
      <c r="O1117" t="s">
        <v>985</v>
      </c>
      <c r="P1117" t="s">
        <v>986</v>
      </c>
      <c r="Q1117" t="s">
        <v>4080</v>
      </c>
      <c r="R1117" t="s">
        <v>4081</v>
      </c>
      <c r="S1117" t="s">
        <v>783</v>
      </c>
      <c r="T1117" t="s">
        <v>550</v>
      </c>
      <c r="U1117" t="s">
        <v>4187</v>
      </c>
      <c r="V1117" t="s">
        <v>4657</v>
      </c>
      <c r="W1117" t="s">
        <v>1014</v>
      </c>
      <c r="X1117" t="s">
        <v>870</v>
      </c>
      <c r="Y1117" t="s">
        <v>803</v>
      </c>
      <c r="Z1117" t="s">
        <v>4655</v>
      </c>
    </row>
    <row r="1118" spans="1:26" x14ac:dyDescent="0.3">
      <c r="A1118" t="s">
        <v>525</v>
      </c>
      <c r="B1118" t="s">
        <v>4658</v>
      </c>
      <c r="C1118" t="s">
        <v>4659</v>
      </c>
      <c r="D1118" t="s">
        <v>992</v>
      </c>
      <c r="E1118" t="s">
        <v>982</v>
      </c>
      <c r="F1118" t="s">
        <v>983</v>
      </c>
      <c r="G1118" s="1">
        <v>44927</v>
      </c>
      <c r="H1118" s="1">
        <v>44927</v>
      </c>
      <c r="I1118" t="s">
        <v>665</v>
      </c>
      <c r="J1118" t="s">
        <v>984</v>
      </c>
      <c r="K1118" t="s">
        <v>900</v>
      </c>
      <c r="L1118" t="s">
        <v>901</v>
      </c>
      <c r="M1118" t="s">
        <v>985</v>
      </c>
      <c r="N1118" t="s">
        <v>986</v>
      </c>
      <c r="O1118" t="s">
        <v>985</v>
      </c>
      <c r="P1118" t="s">
        <v>986</v>
      </c>
      <c r="Q1118" t="s">
        <v>4080</v>
      </c>
      <c r="R1118" t="s">
        <v>4081</v>
      </c>
      <c r="S1118" t="s">
        <v>783</v>
      </c>
      <c r="T1118" t="s">
        <v>550</v>
      </c>
      <c r="U1118" t="s">
        <v>4170</v>
      </c>
      <c r="V1118" t="s">
        <v>4660</v>
      </c>
      <c r="W1118" t="s">
        <v>4181</v>
      </c>
      <c r="X1118" t="s">
        <v>979</v>
      </c>
      <c r="Y1118" t="s">
        <v>803</v>
      </c>
      <c r="Z1118" t="s">
        <v>4658</v>
      </c>
    </row>
    <row r="1119" spans="1:26" x14ac:dyDescent="0.3">
      <c r="A1119" t="s">
        <v>525</v>
      </c>
      <c r="B1119" t="s">
        <v>4661</v>
      </c>
      <c r="C1119" t="s">
        <v>4662</v>
      </c>
      <c r="D1119" t="s">
        <v>1767</v>
      </c>
      <c r="E1119" t="s">
        <v>664</v>
      </c>
      <c r="F1119" t="s">
        <v>27</v>
      </c>
      <c r="G1119" s="1">
        <v>45201</v>
      </c>
      <c r="H1119" s="1">
        <v>45201</v>
      </c>
      <c r="I1119" t="s">
        <v>665</v>
      </c>
      <c r="J1119" t="s">
        <v>666</v>
      </c>
      <c r="K1119" t="s">
        <v>900</v>
      </c>
      <c r="L1119" t="s">
        <v>1010</v>
      </c>
      <c r="M1119" t="s">
        <v>985</v>
      </c>
      <c r="N1119" t="s">
        <v>986</v>
      </c>
      <c r="O1119" t="s">
        <v>985</v>
      </c>
      <c r="P1119" t="s">
        <v>986</v>
      </c>
      <c r="Q1119" t="s">
        <v>4080</v>
      </c>
      <c r="R1119" t="s">
        <v>4081</v>
      </c>
      <c r="S1119" t="s">
        <v>783</v>
      </c>
      <c r="T1119" t="s">
        <v>893</v>
      </c>
      <c r="U1119" t="s">
        <v>4170</v>
      </c>
      <c r="V1119" t="s">
        <v>4663</v>
      </c>
      <c r="W1119" t="s">
        <v>4181</v>
      </c>
      <c r="X1119" t="s">
        <v>979</v>
      </c>
      <c r="Y1119" t="s">
        <v>803</v>
      </c>
      <c r="Z1119" t="s">
        <v>4661</v>
      </c>
    </row>
    <row r="1120" spans="1:26" x14ac:dyDescent="0.3">
      <c r="A1120" t="s">
        <v>525</v>
      </c>
      <c r="B1120" t="s">
        <v>4664</v>
      </c>
      <c r="C1120" t="s">
        <v>4665</v>
      </c>
      <c r="D1120" t="s">
        <v>1006</v>
      </c>
      <c r="E1120" t="s">
        <v>982</v>
      </c>
      <c r="F1120" t="s">
        <v>983</v>
      </c>
      <c r="G1120" s="1">
        <v>44562</v>
      </c>
      <c r="H1120" s="1">
        <v>44562</v>
      </c>
      <c r="I1120" t="s">
        <v>665</v>
      </c>
      <c r="J1120" t="s">
        <v>984</v>
      </c>
      <c r="K1120" t="s">
        <v>24</v>
      </c>
      <c r="L1120" t="s">
        <v>901</v>
      </c>
      <c r="M1120" t="s">
        <v>985</v>
      </c>
      <c r="N1120" t="s">
        <v>986</v>
      </c>
      <c r="O1120" t="s">
        <v>985</v>
      </c>
      <c r="P1120" t="s">
        <v>986</v>
      </c>
      <c r="Q1120" t="s">
        <v>4080</v>
      </c>
      <c r="R1120" t="s">
        <v>4081</v>
      </c>
      <c r="S1120" t="s">
        <v>783</v>
      </c>
      <c r="T1120" t="s">
        <v>550</v>
      </c>
      <c r="U1120" t="s">
        <v>550</v>
      </c>
      <c r="V1120" t="s">
        <v>4666</v>
      </c>
      <c r="W1120" t="s">
        <v>988</v>
      </c>
      <c r="X1120" t="s">
        <v>979</v>
      </c>
      <c r="Y1120" t="s">
        <v>803</v>
      </c>
      <c r="Z1120" t="s">
        <v>4664</v>
      </c>
    </row>
    <row r="1121" spans="1:26" x14ac:dyDescent="0.3">
      <c r="A1121" t="s">
        <v>525</v>
      </c>
      <c r="B1121" t="s">
        <v>4667</v>
      </c>
      <c r="C1121" t="s">
        <v>4668</v>
      </c>
      <c r="D1121" t="s">
        <v>1006</v>
      </c>
      <c r="E1121" t="s">
        <v>982</v>
      </c>
      <c r="F1121" t="s">
        <v>983</v>
      </c>
      <c r="G1121" s="1">
        <v>44927</v>
      </c>
      <c r="H1121" s="1">
        <v>44927</v>
      </c>
      <c r="I1121" t="s">
        <v>665</v>
      </c>
      <c r="J1121" t="s">
        <v>984</v>
      </c>
      <c r="K1121" t="s">
        <v>24</v>
      </c>
      <c r="L1121" t="s">
        <v>901</v>
      </c>
      <c r="M1121" t="s">
        <v>985</v>
      </c>
      <c r="N1121" t="s">
        <v>986</v>
      </c>
      <c r="O1121" t="s">
        <v>985</v>
      </c>
      <c r="P1121" t="s">
        <v>986</v>
      </c>
      <c r="Q1121" t="s">
        <v>4080</v>
      </c>
      <c r="R1121" t="s">
        <v>4081</v>
      </c>
      <c r="S1121" t="s">
        <v>783</v>
      </c>
      <c r="T1121" t="s">
        <v>550</v>
      </c>
      <c r="U1121" t="s">
        <v>4170</v>
      </c>
      <c r="V1121" t="s">
        <v>4669</v>
      </c>
      <c r="W1121" t="s">
        <v>988</v>
      </c>
      <c r="X1121" t="s">
        <v>979</v>
      </c>
      <c r="Y1121" t="s">
        <v>803</v>
      </c>
      <c r="Z1121" t="s">
        <v>4667</v>
      </c>
    </row>
    <row r="1122" spans="1:26" x14ac:dyDescent="0.3">
      <c r="A1122" t="s">
        <v>525</v>
      </c>
      <c r="B1122" t="s">
        <v>4670</v>
      </c>
      <c r="C1122" t="s">
        <v>4671</v>
      </c>
      <c r="D1122" t="s">
        <v>998</v>
      </c>
      <c r="E1122" t="s">
        <v>982</v>
      </c>
      <c r="F1122" t="s">
        <v>983</v>
      </c>
      <c r="G1122" s="1">
        <v>44562</v>
      </c>
      <c r="H1122" s="1">
        <v>44562</v>
      </c>
      <c r="I1122" t="s">
        <v>665</v>
      </c>
      <c r="J1122" t="s">
        <v>984</v>
      </c>
      <c r="K1122" t="s">
        <v>24</v>
      </c>
      <c r="L1122" t="s">
        <v>901</v>
      </c>
      <c r="M1122" t="s">
        <v>985</v>
      </c>
      <c r="N1122" t="s">
        <v>986</v>
      </c>
      <c r="O1122" t="s">
        <v>985</v>
      </c>
      <c r="P1122" t="s">
        <v>986</v>
      </c>
      <c r="Q1122" t="s">
        <v>4080</v>
      </c>
      <c r="R1122" t="s">
        <v>4081</v>
      </c>
      <c r="S1122" t="s">
        <v>783</v>
      </c>
      <c r="T1122" t="s">
        <v>550</v>
      </c>
      <c r="U1122" t="s">
        <v>550</v>
      </c>
      <c r="V1122" t="s">
        <v>4672</v>
      </c>
      <c r="W1122" t="s">
        <v>988</v>
      </c>
      <c r="X1122" t="s">
        <v>979</v>
      </c>
      <c r="Y1122" t="s">
        <v>803</v>
      </c>
      <c r="Z1122" t="s">
        <v>4670</v>
      </c>
    </row>
    <row r="1123" spans="1:26" x14ac:dyDescent="0.3">
      <c r="A1123" t="s">
        <v>525</v>
      </c>
      <c r="B1123" t="s">
        <v>4673</v>
      </c>
      <c r="C1123" t="s">
        <v>4674</v>
      </c>
      <c r="D1123" t="s">
        <v>998</v>
      </c>
      <c r="E1123" t="s">
        <v>982</v>
      </c>
      <c r="F1123" t="s">
        <v>983</v>
      </c>
      <c r="G1123" s="1">
        <v>44927</v>
      </c>
      <c r="H1123" s="1">
        <v>44927</v>
      </c>
      <c r="I1123" t="s">
        <v>665</v>
      </c>
      <c r="J1123" t="s">
        <v>984</v>
      </c>
      <c r="K1123" t="s">
        <v>24</v>
      </c>
      <c r="L1123" t="s">
        <v>901</v>
      </c>
      <c r="M1123" t="s">
        <v>985</v>
      </c>
      <c r="N1123" t="s">
        <v>986</v>
      </c>
      <c r="O1123" t="s">
        <v>985</v>
      </c>
      <c r="P1123" t="s">
        <v>986</v>
      </c>
      <c r="Q1123" t="s">
        <v>4080</v>
      </c>
      <c r="R1123" t="s">
        <v>4081</v>
      </c>
      <c r="S1123" t="s">
        <v>783</v>
      </c>
      <c r="T1123" t="s">
        <v>550</v>
      </c>
      <c r="U1123" t="s">
        <v>4170</v>
      </c>
      <c r="V1123" t="s">
        <v>4675</v>
      </c>
      <c r="W1123" t="s">
        <v>988</v>
      </c>
      <c r="X1123" t="s">
        <v>979</v>
      </c>
      <c r="Y1123" t="s">
        <v>803</v>
      </c>
      <c r="Z1123" t="s">
        <v>4673</v>
      </c>
    </row>
    <row r="1124" spans="1:26" x14ac:dyDescent="0.3">
      <c r="A1124" t="s">
        <v>525</v>
      </c>
      <c r="B1124" t="s">
        <v>4676</v>
      </c>
      <c r="C1124" t="s">
        <v>4677</v>
      </c>
      <c r="D1124" t="s">
        <v>992</v>
      </c>
      <c r="E1124" t="s">
        <v>982</v>
      </c>
      <c r="F1124" t="s">
        <v>983</v>
      </c>
      <c r="G1124" s="1">
        <v>44562</v>
      </c>
      <c r="H1124" s="1">
        <v>44562</v>
      </c>
      <c r="I1124" t="s">
        <v>665</v>
      </c>
      <c r="J1124" t="s">
        <v>984</v>
      </c>
      <c r="K1124" t="s">
        <v>900</v>
      </c>
      <c r="L1124" t="s">
        <v>901</v>
      </c>
      <c r="M1124" t="s">
        <v>985</v>
      </c>
      <c r="N1124" t="s">
        <v>986</v>
      </c>
      <c r="O1124" t="s">
        <v>985</v>
      </c>
      <c r="P1124" t="s">
        <v>986</v>
      </c>
      <c r="Q1124" t="s">
        <v>4080</v>
      </c>
      <c r="R1124" t="s">
        <v>4081</v>
      </c>
      <c r="S1124" t="s">
        <v>783</v>
      </c>
      <c r="T1124" t="s">
        <v>550</v>
      </c>
      <c r="U1124" t="s">
        <v>550</v>
      </c>
      <c r="V1124" t="s">
        <v>4678</v>
      </c>
      <c r="W1124" t="s">
        <v>988</v>
      </c>
      <c r="X1124" t="s">
        <v>979</v>
      </c>
      <c r="Y1124" t="s">
        <v>803</v>
      </c>
      <c r="Z1124" t="s">
        <v>4676</v>
      </c>
    </row>
    <row r="1125" spans="1:26" x14ac:dyDescent="0.3">
      <c r="A1125" t="s">
        <v>525</v>
      </c>
      <c r="B1125" t="s">
        <v>4679</v>
      </c>
      <c r="C1125" t="s">
        <v>4680</v>
      </c>
      <c r="D1125" t="s">
        <v>550</v>
      </c>
      <c r="E1125" t="s">
        <v>664</v>
      </c>
      <c r="F1125" t="s">
        <v>27</v>
      </c>
      <c r="G1125" s="1">
        <v>44562</v>
      </c>
      <c r="H1125" s="1">
        <v>44562</v>
      </c>
      <c r="I1125" t="s">
        <v>665</v>
      </c>
      <c r="J1125" t="s">
        <v>3681</v>
      </c>
      <c r="K1125" t="s">
        <v>4203</v>
      </c>
      <c r="L1125" t="s">
        <v>1010</v>
      </c>
      <c r="M1125" t="s">
        <v>985</v>
      </c>
      <c r="N1125" t="s">
        <v>986</v>
      </c>
      <c r="O1125" t="s">
        <v>985</v>
      </c>
      <c r="P1125" t="s">
        <v>986</v>
      </c>
      <c r="Q1125" t="s">
        <v>4080</v>
      </c>
      <c r="R1125" t="s">
        <v>4081</v>
      </c>
      <c r="S1125" t="s">
        <v>550</v>
      </c>
      <c r="T1125" t="s">
        <v>550</v>
      </c>
      <c r="U1125" t="s">
        <v>550</v>
      </c>
      <c r="V1125" t="s">
        <v>4681</v>
      </c>
      <c r="W1125" t="s">
        <v>988</v>
      </c>
      <c r="X1125" t="s">
        <v>979</v>
      </c>
      <c r="Y1125" t="s">
        <v>803</v>
      </c>
      <c r="Z1125" t="s">
        <v>4679</v>
      </c>
    </row>
    <row r="1126" spans="1:26" x14ac:dyDescent="0.3">
      <c r="A1126" t="s">
        <v>525</v>
      </c>
      <c r="B1126" t="s">
        <v>4682</v>
      </c>
      <c r="C1126" t="s">
        <v>4680</v>
      </c>
      <c r="D1126" t="s">
        <v>4679</v>
      </c>
      <c r="E1126" t="s">
        <v>664</v>
      </c>
      <c r="F1126" t="s">
        <v>27</v>
      </c>
      <c r="G1126" s="1">
        <v>44562</v>
      </c>
      <c r="H1126" s="1">
        <v>44562</v>
      </c>
      <c r="I1126" t="s">
        <v>665</v>
      </c>
      <c r="J1126" t="s">
        <v>3687</v>
      </c>
      <c r="K1126" t="s">
        <v>4203</v>
      </c>
      <c r="L1126" t="s">
        <v>1010</v>
      </c>
      <c r="M1126" t="s">
        <v>985</v>
      </c>
      <c r="N1126" t="s">
        <v>986</v>
      </c>
      <c r="O1126" t="s">
        <v>985</v>
      </c>
      <c r="P1126" t="s">
        <v>986</v>
      </c>
      <c r="Q1126" t="s">
        <v>4080</v>
      </c>
      <c r="R1126" t="s">
        <v>4081</v>
      </c>
      <c r="S1126" t="s">
        <v>783</v>
      </c>
      <c r="T1126" t="s">
        <v>550</v>
      </c>
      <c r="U1126" t="s">
        <v>550</v>
      </c>
      <c r="V1126" t="s">
        <v>4683</v>
      </c>
      <c r="W1126" t="s">
        <v>988</v>
      </c>
      <c r="X1126" t="s">
        <v>979</v>
      </c>
      <c r="Y1126" t="s">
        <v>803</v>
      </c>
      <c r="Z1126" t="s">
        <v>4682</v>
      </c>
    </row>
    <row r="1127" spans="1:26" x14ac:dyDescent="0.3">
      <c r="A1127" t="s">
        <v>525</v>
      </c>
      <c r="B1127" t="s">
        <v>4684</v>
      </c>
      <c r="C1127" t="s">
        <v>4680</v>
      </c>
      <c r="D1127" t="s">
        <v>4679</v>
      </c>
      <c r="E1127" t="s">
        <v>664</v>
      </c>
      <c r="F1127" t="s">
        <v>27</v>
      </c>
      <c r="G1127" s="1">
        <v>44927</v>
      </c>
      <c r="H1127" s="1">
        <v>44927</v>
      </c>
      <c r="I1127" t="s">
        <v>665</v>
      </c>
      <c r="J1127" t="s">
        <v>3687</v>
      </c>
      <c r="K1127" t="s">
        <v>4203</v>
      </c>
      <c r="L1127" t="s">
        <v>667</v>
      </c>
      <c r="M1127" t="s">
        <v>985</v>
      </c>
      <c r="N1127" t="s">
        <v>986</v>
      </c>
      <c r="O1127" t="s">
        <v>985</v>
      </c>
      <c r="P1127" t="s">
        <v>986</v>
      </c>
      <c r="Q1127" t="s">
        <v>4080</v>
      </c>
      <c r="R1127" t="s">
        <v>4081</v>
      </c>
      <c r="S1127" t="s">
        <v>783</v>
      </c>
      <c r="T1127" t="s">
        <v>550</v>
      </c>
      <c r="U1127" t="s">
        <v>4170</v>
      </c>
      <c r="V1127" t="s">
        <v>4685</v>
      </c>
      <c r="W1127" t="s">
        <v>988</v>
      </c>
      <c r="X1127" t="s">
        <v>979</v>
      </c>
      <c r="Y1127" t="s">
        <v>803</v>
      </c>
      <c r="Z1127" t="s">
        <v>4684</v>
      </c>
    </row>
    <row r="1128" spans="1:26" x14ac:dyDescent="0.3">
      <c r="A1128" t="s">
        <v>525</v>
      </c>
      <c r="B1128" t="s">
        <v>4686</v>
      </c>
      <c r="C1128" t="s">
        <v>4687</v>
      </c>
      <c r="D1128" t="s">
        <v>550</v>
      </c>
      <c r="E1128" t="s">
        <v>982</v>
      </c>
      <c r="F1128" t="s">
        <v>983</v>
      </c>
      <c r="G1128" s="1">
        <v>45293</v>
      </c>
      <c r="H1128" s="1">
        <v>45657</v>
      </c>
      <c r="I1128" t="s">
        <v>780</v>
      </c>
      <c r="J1128" t="s">
        <v>666</v>
      </c>
      <c r="K1128" t="s">
        <v>24</v>
      </c>
      <c r="L1128" t="s">
        <v>217</v>
      </c>
      <c r="M1128" t="s">
        <v>985</v>
      </c>
      <c r="N1128" t="s">
        <v>986</v>
      </c>
      <c r="O1128" t="s">
        <v>985</v>
      </c>
      <c r="P1128" t="s">
        <v>986</v>
      </c>
      <c r="Q1128" t="s">
        <v>4080</v>
      </c>
      <c r="R1128" t="s">
        <v>4081</v>
      </c>
      <c r="S1128" t="s">
        <v>783</v>
      </c>
      <c r="T1128" t="s">
        <v>550</v>
      </c>
      <c r="U1128" t="s">
        <v>550</v>
      </c>
      <c r="V1128" t="s">
        <v>4688</v>
      </c>
      <c r="W1128" t="s">
        <v>2255</v>
      </c>
      <c r="Z1128" t="s">
        <v>4686</v>
      </c>
    </row>
    <row r="1129" spans="1:26" x14ac:dyDescent="0.3">
      <c r="A1129" t="s">
        <v>525</v>
      </c>
      <c r="B1129" t="s">
        <v>4689</v>
      </c>
      <c r="C1129" t="s">
        <v>4690</v>
      </c>
      <c r="D1129" t="s">
        <v>4691</v>
      </c>
      <c r="E1129" t="s">
        <v>664</v>
      </c>
      <c r="F1129" t="s">
        <v>27</v>
      </c>
      <c r="G1129" s="1">
        <v>44562</v>
      </c>
      <c r="H1129" s="1">
        <v>44600</v>
      </c>
      <c r="I1129" t="s">
        <v>665</v>
      </c>
      <c r="J1129" t="s">
        <v>666</v>
      </c>
      <c r="K1129" t="s">
        <v>24</v>
      </c>
      <c r="L1129" t="s">
        <v>667</v>
      </c>
      <c r="M1129" t="s">
        <v>985</v>
      </c>
      <c r="N1129" t="s">
        <v>986</v>
      </c>
      <c r="O1129" t="s">
        <v>985</v>
      </c>
      <c r="P1129" t="s">
        <v>986</v>
      </c>
      <c r="Q1129" t="s">
        <v>4080</v>
      </c>
      <c r="R1129" t="s">
        <v>4081</v>
      </c>
      <c r="S1129" t="s">
        <v>783</v>
      </c>
      <c r="T1129" t="s">
        <v>550</v>
      </c>
      <c r="U1129" t="s">
        <v>550</v>
      </c>
      <c r="V1129" t="s">
        <v>4692</v>
      </c>
      <c r="W1129" t="s">
        <v>988</v>
      </c>
      <c r="X1129" t="s">
        <v>669</v>
      </c>
      <c r="Y1129" t="s">
        <v>803</v>
      </c>
      <c r="Z1129" t="s">
        <v>4689</v>
      </c>
    </row>
    <row r="1130" spans="1:26" x14ac:dyDescent="0.3">
      <c r="A1130" t="s">
        <v>525</v>
      </c>
      <c r="B1130" t="s">
        <v>4693</v>
      </c>
      <c r="C1130" t="s">
        <v>4694</v>
      </c>
      <c r="D1130" t="s">
        <v>4691</v>
      </c>
      <c r="E1130" t="s">
        <v>664</v>
      </c>
      <c r="F1130" t="s">
        <v>27</v>
      </c>
      <c r="G1130" s="1">
        <v>44927</v>
      </c>
      <c r="H1130" s="1">
        <v>44927</v>
      </c>
      <c r="I1130" t="s">
        <v>665</v>
      </c>
      <c r="J1130" t="s">
        <v>666</v>
      </c>
      <c r="K1130" t="s">
        <v>24</v>
      </c>
      <c r="L1130" t="s">
        <v>667</v>
      </c>
      <c r="M1130" t="s">
        <v>985</v>
      </c>
      <c r="N1130" t="s">
        <v>986</v>
      </c>
      <c r="O1130" t="s">
        <v>985</v>
      </c>
      <c r="P1130" t="s">
        <v>986</v>
      </c>
      <c r="Q1130" t="s">
        <v>4080</v>
      </c>
      <c r="R1130" t="s">
        <v>4081</v>
      </c>
      <c r="S1130" t="s">
        <v>783</v>
      </c>
      <c r="T1130" t="s">
        <v>550</v>
      </c>
      <c r="U1130" t="s">
        <v>550</v>
      </c>
      <c r="V1130" t="s">
        <v>4695</v>
      </c>
      <c r="W1130" t="s">
        <v>988</v>
      </c>
      <c r="X1130" t="s">
        <v>669</v>
      </c>
      <c r="Y1130" t="s">
        <v>803</v>
      </c>
      <c r="Z1130" t="s">
        <v>4693</v>
      </c>
    </row>
    <row r="1131" spans="1:26" x14ac:dyDescent="0.3">
      <c r="A1131" t="s">
        <v>525</v>
      </c>
      <c r="B1131" t="s">
        <v>4696</v>
      </c>
      <c r="C1131" t="s">
        <v>4697</v>
      </c>
      <c r="D1131" t="s">
        <v>1018</v>
      </c>
      <c r="E1131" t="s">
        <v>664</v>
      </c>
      <c r="F1131" t="s">
        <v>27</v>
      </c>
      <c r="G1131" s="1">
        <v>44927</v>
      </c>
      <c r="H1131" s="1">
        <v>44951</v>
      </c>
      <c r="I1131" t="s">
        <v>665</v>
      </c>
      <c r="J1131" t="s">
        <v>666</v>
      </c>
      <c r="K1131" t="s">
        <v>24</v>
      </c>
      <c r="L1131" t="s">
        <v>667</v>
      </c>
      <c r="M1131" t="s">
        <v>1031</v>
      </c>
      <c r="N1131" t="s">
        <v>239</v>
      </c>
      <c r="O1131" t="s">
        <v>985</v>
      </c>
      <c r="P1131" t="s">
        <v>986</v>
      </c>
      <c r="Q1131" t="s">
        <v>4080</v>
      </c>
      <c r="R1131" t="s">
        <v>4081</v>
      </c>
      <c r="S1131" t="s">
        <v>783</v>
      </c>
      <c r="T1131" t="s">
        <v>550</v>
      </c>
      <c r="U1131" t="s">
        <v>4187</v>
      </c>
      <c r="V1131" t="s">
        <v>4698</v>
      </c>
      <c r="W1131" t="s">
        <v>1021</v>
      </c>
      <c r="X1131" t="s">
        <v>74</v>
      </c>
      <c r="Y1131" t="s">
        <v>803</v>
      </c>
      <c r="Z1131" t="s">
        <v>4696</v>
      </c>
    </row>
    <row r="1132" spans="1:26" x14ac:dyDescent="0.3">
      <c r="A1132" t="s">
        <v>525</v>
      </c>
      <c r="B1132" t="s">
        <v>4699</v>
      </c>
      <c r="C1132" t="s">
        <v>4700</v>
      </c>
      <c r="D1132" t="s">
        <v>1018</v>
      </c>
      <c r="E1132" t="s">
        <v>664</v>
      </c>
      <c r="F1132" t="s">
        <v>27</v>
      </c>
      <c r="G1132" s="1">
        <v>44562</v>
      </c>
      <c r="H1132" s="1">
        <v>44576</v>
      </c>
      <c r="I1132" t="s">
        <v>665</v>
      </c>
      <c r="J1132" t="s">
        <v>666</v>
      </c>
      <c r="K1132" t="s">
        <v>24</v>
      </c>
      <c r="L1132" t="s">
        <v>1010</v>
      </c>
      <c r="M1132" t="s">
        <v>1011</v>
      </c>
      <c r="N1132" t="s">
        <v>1012</v>
      </c>
      <c r="O1132" t="s">
        <v>985</v>
      </c>
      <c r="P1132" t="s">
        <v>986</v>
      </c>
      <c r="Q1132" t="s">
        <v>4080</v>
      </c>
      <c r="R1132" t="s">
        <v>4081</v>
      </c>
      <c r="S1132" t="s">
        <v>783</v>
      </c>
      <c r="T1132" t="s">
        <v>550</v>
      </c>
      <c r="U1132" t="s">
        <v>550</v>
      </c>
      <c r="V1132" t="s">
        <v>4701</v>
      </c>
      <c r="W1132" t="s">
        <v>1021</v>
      </c>
      <c r="X1132" t="s">
        <v>74</v>
      </c>
      <c r="Y1132" t="s">
        <v>803</v>
      </c>
      <c r="Z1132" t="s">
        <v>4699</v>
      </c>
    </row>
    <row r="1133" spans="1:26" x14ac:dyDescent="0.3">
      <c r="A1133" t="s">
        <v>525</v>
      </c>
      <c r="B1133" t="s">
        <v>4702</v>
      </c>
      <c r="C1133" t="s">
        <v>4703</v>
      </c>
      <c r="D1133" t="s">
        <v>1008</v>
      </c>
      <c r="E1133" t="s">
        <v>664</v>
      </c>
      <c r="F1133" t="s">
        <v>27</v>
      </c>
      <c r="G1133" s="1">
        <v>44562</v>
      </c>
      <c r="H1133" s="1">
        <v>44574</v>
      </c>
      <c r="I1133" t="s">
        <v>665</v>
      </c>
      <c r="J1133" t="s">
        <v>666</v>
      </c>
      <c r="K1133" t="s">
        <v>24</v>
      </c>
      <c r="L1133" t="s">
        <v>1010</v>
      </c>
      <c r="M1133" t="s">
        <v>1011</v>
      </c>
      <c r="N1133" t="s">
        <v>1012</v>
      </c>
      <c r="O1133" t="s">
        <v>985</v>
      </c>
      <c r="P1133" t="s">
        <v>986</v>
      </c>
      <c r="Q1133" t="s">
        <v>4080</v>
      </c>
      <c r="R1133" t="s">
        <v>4081</v>
      </c>
      <c r="S1133" t="s">
        <v>783</v>
      </c>
      <c r="T1133" t="s">
        <v>550</v>
      </c>
      <c r="U1133" t="s">
        <v>550</v>
      </c>
      <c r="V1133" t="s">
        <v>4704</v>
      </c>
      <c r="W1133" t="s">
        <v>1014</v>
      </c>
      <c r="X1133" t="s">
        <v>870</v>
      </c>
      <c r="Y1133" t="s">
        <v>803</v>
      </c>
      <c r="Z1133" t="s">
        <v>4702</v>
      </c>
    </row>
    <row r="1134" spans="1:26" x14ac:dyDescent="0.3">
      <c r="A1134" t="s">
        <v>525</v>
      </c>
      <c r="B1134" t="s">
        <v>4705</v>
      </c>
      <c r="C1134" t="s">
        <v>4706</v>
      </c>
      <c r="D1134" t="s">
        <v>1072</v>
      </c>
      <c r="E1134" t="s">
        <v>664</v>
      </c>
      <c r="F1134" t="s">
        <v>27</v>
      </c>
      <c r="G1134" s="1">
        <v>45292</v>
      </c>
      <c r="H1134" s="1">
        <v>45341</v>
      </c>
      <c r="I1134" t="s">
        <v>665</v>
      </c>
      <c r="J1134" t="s">
        <v>666</v>
      </c>
      <c r="K1134" t="s">
        <v>24</v>
      </c>
      <c r="L1134" t="s">
        <v>216</v>
      </c>
      <c r="M1134" t="s">
        <v>1293</v>
      </c>
      <c r="N1134" t="s">
        <v>256</v>
      </c>
      <c r="O1134" t="s">
        <v>2299</v>
      </c>
      <c r="P1134" t="s">
        <v>265</v>
      </c>
      <c r="Q1134" t="s">
        <v>4080</v>
      </c>
      <c r="R1134" t="s">
        <v>4081</v>
      </c>
      <c r="S1134" t="s">
        <v>783</v>
      </c>
      <c r="T1134" t="s">
        <v>550</v>
      </c>
      <c r="U1134" t="s">
        <v>550</v>
      </c>
      <c r="V1134" t="s">
        <v>4707</v>
      </c>
      <c r="W1134" t="s">
        <v>613</v>
      </c>
      <c r="X1134" t="s">
        <v>281</v>
      </c>
      <c r="Z1134" t="s">
        <v>4705</v>
      </c>
    </row>
    <row r="1135" spans="1:26" x14ac:dyDescent="0.3">
      <c r="A1135" t="s">
        <v>525</v>
      </c>
      <c r="B1135" t="s">
        <v>4708</v>
      </c>
      <c r="C1135" t="s">
        <v>4709</v>
      </c>
      <c r="D1135" t="s">
        <v>1018</v>
      </c>
      <c r="E1135" t="s">
        <v>664</v>
      </c>
      <c r="F1135" t="s">
        <v>27</v>
      </c>
      <c r="G1135" s="1">
        <v>45292</v>
      </c>
      <c r="H1135" s="1">
        <v>45292</v>
      </c>
      <c r="I1135" t="s">
        <v>665</v>
      </c>
      <c r="J1135" t="s">
        <v>666</v>
      </c>
      <c r="K1135" t="s">
        <v>24</v>
      </c>
      <c r="L1135" t="s">
        <v>217</v>
      </c>
      <c r="M1135" t="s">
        <v>4134</v>
      </c>
      <c r="N1135" t="s">
        <v>230</v>
      </c>
      <c r="O1135" t="s">
        <v>2299</v>
      </c>
      <c r="P1135" t="s">
        <v>265</v>
      </c>
      <c r="Q1135" t="s">
        <v>4080</v>
      </c>
      <c r="R1135" t="s">
        <v>4081</v>
      </c>
      <c r="S1135" t="s">
        <v>783</v>
      </c>
      <c r="T1135" t="s">
        <v>550</v>
      </c>
      <c r="U1135" t="s">
        <v>550</v>
      </c>
      <c r="V1135" t="s">
        <v>4710</v>
      </c>
      <c r="W1135" t="s">
        <v>613</v>
      </c>
      <c r="X1135" t="s">
        <v>281</v>
      </c>
      <c r="Z1135" t="s">
        <v>4708</v>
      </c>
    </row>
    <row r="1136" spans="1:26" x14ac:dyDescent="0.3">
      <c r="A1136" t="s">
        <v>525</v>
      </c>
      <c r="B1136" t="s">
        <v>4711</v>
      </c>
      <c r="C1136" t="s">
        <v>4712</v>
      </c>
      <c r="D1136" t="s">
        <v>2810</v>
      </c>
      <c r="E1136" t="s">
        <v>2811</v>
      </c>
      <c r="F1136" t="s">
        <v>2812</v>
      </c>
      <c r="G1136" s="1">
        <v>45413</v>
      </c>
      <c r="H1136" s="1">
        <v>45434</v>
      </c>
      <c r="I1136" t="s">
        <v>665</v>
      </c>
      <c r="J1136" t="s">
        <v>2813</v>
      </c>
      <c r="K1136" t="s">
        <v>24</v>
      </c>
      <c r="L1136" t="s">
        <v>216</v>
      </c>
      <c r="M1136" t="s">
        <v>1095</v>
      </c>
      <c r="N1136" t="s">
        <v>298</v>
      </c>
      <c r="O1136" t="s">
        <v>2299</v>
      </c>
      <c r="P1136" t="s">
        <v>265</v>
      </c>
      <c r="Q1136" t="s">
        <v>4080</v>
      </c>
      <c r="R1136" t="s">
        <v>4081</v>
      </c>
      <c r="S1136" t="s">
        <v>783</v>
      </c>
      <c r="T1136" t="s">
        <v>550</v>
      </c>
      <c r="U1136" t="s">
        <v>550</v>
      </c>
      <c r="V1136" t="s">
        <v>4713</v>
      </c>
      <c r="W1136" t="s">
        <v>613</v>
      </c>
      <c r="X1136" t="s">
        <v>281</v>
      </c>
      <c r="Y1136" t="s">
        <v>309</v>
      </c>
      <c r="Z1136" t="s">
        <v>4711</v>
      </c>
    </row>
    <row r="1137" spans="1:26" x14ac:dyDescent="0.3">
      <c r="A1137" t="s">
        <v>525</v>
      </c>
      <c r="B1137" t="s">
        <v>2295</v>
      </c>
      <c r="C1137" t="s">
        <v>4714</v>
      </c>
      <c r="D1137" t="s">
        <v>550</v>
      </c>
      <c r="E1137" t="s">
        <v>2296</v>
      </c>
      <c r="F1137" t="s">
        <v>2297</v>
      </c>
      <c r="G1137" s="1">
        <v>45659</v>
      </c>
      <c r="H1137" s="1">
        <v>45659</v>
      </c>
      <c r="I1137" t="s">
        <v>780</v>
      </c>
      <c r="J1137" t="s">
        <v>2298</v>
      </c>
      <c r="K1137" t="s">
        <v>24</v>
      </c>
      <c r="L1137" t="s">
        <v>216</v>
      </c>
      <c r="M1137" t="s">
        <v>1095</v>
      </c>
      <c r="N1137" t="s">
        <v>298</v>
      </c>
      <c r="O1137" t="s">
        <v>2299</v>
      </c>
      <c r="P1137" t="s">
        <v>265</v>
      </c>
      <c r="Q1137" t="s">
        <v>4080</v>
      </c>
      <c r="R1137" t="s">
        <v>4081</v>
      </c>
      <c r="S1137" t="s">
        <v>1471</v>
      </c>
      <c r="T1137" t="s">
        <v>550</v>
      </c>
      <c r="U1137" t="s">
        <v>550</v>
      </c>
      <c r="V1137" t="s">
        <v>4715</v>
      </c>
      <c r="W1137" t="s">
        <v>613</v>
      </c>
      <c r="X1137" t="s">
        <v>281</v>
      </c>
      <c r="Y1137" t="s">
        <v>293</v>
      </c>
      <c r="Z1137" t="s">
        <v>2295</v>
      </c>
    </row>
    <row r="1138" spans="1:26" x14ac:dyDescent="0.3">
      <c r="A1138" t="s">
        <v>525</v>
      </c>
      <c r="B1138" t="s">
        <v>4716</v>
      </c>
      <c r="C1138" t="s">
        <v>4717</v>
      </c>
      <c r="D1138" t="s">
        <v>1050</v>
      </c>
      <c r="E1138" t="s">
        <v>664</v>
      </c>
      <c r="F1138" t="s">
        <v>27</v>
      </c>
      <c r="G1138" s="1">
        <v>45292</v>
      </c>
      <c r="H1138" s="1">
        <v>45467</v>
      </c>
      <c r="I1138" t="s">
        <v>665</v>
      </c>
      <c r="J1138" t="s">
        <v>666</v>
      </c>
      <c r="K1138" t="s">
        <v>24</v>
      </c>
      <c r="L1138" t="s">
        <v>216</v>
      </c>
      <c r="M1138" t="s">
        <v>1031</v>
      </c>
      <c r="N1138" t="s">
        <v>239</v>
      </c>
      <c r="O1138" t="s">
        <v>2299</v>
      </c>
      <c r="P1138" t="s">
        <v>265</v>
      </c>
      <c r="Q1138" t="s">
        <v>4080</v>
      </c>
      <c r="R1138" t="s">
        <v>4081</v>
      </c>
      <c r="S1138" t="s">
        <v>1471</v>
      </c>
      <c r="T1138" t="s">
        <v>550</v>
      </c>
      <c r="U1138" t="s">
        <v>550</v>
      </c>
      <c r="V1138" t="s">
        <v>4718</v>
      </c>
      <c r="W1138" t="s">
        <v>613</v>
      </c>
      <c r="X1138" t="s">
        <v>281</v>
      </c>
      <c r="Z1138" t="s">
        <v>4716</v>
      </c>
    </row>
    <row r="1139" spans="1:26" x14ac:dyDescent="0.3">
      <c r="A1139" t="s">
        <v>525</v>
      </c>
      <c r="B1139" t="s">
        <v>4719</v>
      </c>
      <c r="C1139" t="s">
        <v>4720</v>
      </c>
      <c r="D1139" t="s">
        <v>1025</v>
      </c>
      <c r="E1139" t="s">
        <v>1027</v>
      </c>
      <c r="F1139" t="s">
        <v>1028</v>
      </c>
      <c r="G1139" s="1">
        <v>45292</v>
      </c>
      <c r="H1139" s="1">
        <v>45301</v>
      </c>
      <c r="I1139" t="s">
        <v>665</v>
      </c>
      <c r="J1139" t="s">
        <v>1029</v>
      </c>
      <c r="K1139" t="s">
        <v>24</v>
      </c>
      <c r="L1139" t="s">
        <v>216</v>
      </c>
      <c r="M1139" t="s">
        <v>1031</v>
      </c>
      <c r="N1139" t="s">
        <v>239</v>
      </c>
      <c r="O1139" t="s">
        <v>2299</v>
      </c>
      <c r="P1139" t="s">
        <v>265</v>
      </c>
      <c r="Q1139" t="s">
        <v>4080</v>
      </c>
      <c r="R1139" t="s">
        <v>4081</v>
      </c>
      <c r="S1139" t="s">
        <v>1471</v>
      </c>
      <c r="T1139" t="s">
        <v>550</v>
      </c>
      <c r="U1139" t="s">
        <v>550</v>
      </c>
      <c r="V1139" t="s">
        <v>4721</v>
      </c>
      <c r="W1139" t="s">
        <v>613</v>
      </c>
      <c r="X1139" t="s">
        <v>281</v>
      </c>
      <c r="Z1139" t="s">
        <v>4719</v>
      </c>
    </row>
    <row r="1140" spans="1:26" x14ac:dyDescent="0.3">
      <c r="A1140" t="s">
        <v>525</v>
      </c>
      <c r="B1140" t="s">
        <v>4722</v>
      </c>
      <c r="C1140" t="s">
        <v>4723</v>
      </c>
      <c r="D1140" t="s">
        <v>2372</v>
      </c>
      <c r="E1140" t="s">
        <v>664</v>
      </c>
      <c r="F1140" t="s">
        <v>27</v>
      </c>
      <c r="G1140" s="1">
        <v>46023</v>
      </c>
      <c r="H1140" s="1">
        <v>46027</v>
      </c>
      <c r="I1140" t="s">
        <v>551</v>
      </c>
      <c r="J1140" t="s">
        <v>666</v>
      </c>
      <c r="K1140" t="s">
        <v>24</v>
      </c>
      <c r="L1140" t="s">
        <v>216</v>
      </c>
      <c r="M1140" t="s">
        <v>2299</v>
      </c>
      <c r="N1140" t="s">
        <v>265</v>
      </c>
      <c r="O1140" t="s">
        <v>2299</v>
      </c>
      <c r="P1140" t="s">
        <v>265</v>
      </c>
      <c r="Q1140" t="s">
        <v>4080</v>
      </c>
      <c r="R1140" t="s">
        <v>4081</v>
      </c>
      <c r="S1140" t="s">
        <v>783</v>
      </c>
      <c r="T1140" t="s">
        <v>550</v>
      </c>
      <c r="U1140" t="s">
        <v>550</v>
      </c>
      <c r="V1140" t="s">
        <v>4724</v>
      </c>
      <c r="W1140" t="s">
        <v>613</v>
      </c>
      <c r="X1140" t="s">
        <v>281</v>
      </c>
      <c r="Z1140" t="s">
        <v>4722</v>
      </c>
    </row>
    <row r="1141" spans="1:26" x14ac:dyDescent="0.3">
      <c r="A1141" t="s">
        <v>525</v>
      </c>
      <c r="B1141" t="s">
        <v>4725</v>
      </c>
      <c r="C1141" t="s">
        <v>4726</v>
      </c>
      <c r="D1141" t="s">
        <v>4722</v>
      </c>
      <c r="E1141" t="s">
        <v>2373</v>
      </c>
      <c r="F1141" t="s">
        <v>2374</v>
      </c>
      <c r="G1141" s="1">
        <v>46023</v>
      </c>
      <c r="H1141" s="1">
        <v>46023</v>
      </c>
      <c r="I1141" t="s">
        <v>551</v>
      </c>
      <c r="J1141" t="s">
        <v>2375</v>
      </c>
      <c r="K1141" t="s">
        <v>635</v>
      </c>
      <c r="L1141" t="s">
        <v>216</v>
      </c>
      <c r="M1141" t="s">
        <v>2299</v>
      </c>
      <c r="N1141" t="s">
        <v>265</v>
      </c>
      <c r="O1141" t="s">
        <v>2299</v>
      </c>
      <c r="P1141" t="s">
        <v>265</v>
      </c>
      <c r="Q1141" t="s">
        <v>4080</v>
      </c>
      <c r="R1141" t="s">
        <v>4081</v>
      </c>
      <c r="S1141" t="s">
        <v>783</v>
      </c>
      <c r="T1141" t="s">
        <v>550</v>
      </c>
      <c r="U1141" t="s">
        <v>550</v>
      </c>
      <c r="V1141" t="s">
        <v>4727</v>
      </c>
      <c r="W1141" t="s">
        <v>613</v>
      </c>
      <c r="X1141" t="s">
        <v>281</v>
      </c>
      <c r="Z1141" t="s">
        <v>4725</v>
      </c>
    </row>
    <row r="1142" spans="1:26" x14ac:dyDescent="0.3">
      <c r="A1142" t="s">
        <v>525</v>
      </c>
      <c r="B1142" t="s">
        <v>4728</v>
      </c>
      <c r="C1142" t="s">
        <v>4729</v>
      </c>
      <c r="D1142" t="s">
        <v>2372</v>
      </c>
      <c r="E1142" t="s">
        <v>4730</v>
      </c>
      <c r="F1142" t="s">
        <v>4731</v>
      </c>
      <c r="G1142" s="1">
        <v>45474</v>
      </c>
      <c r="H1142" s="1">
        <v>45477</v>
      </c>
      <c r="I1142" t="s">
        <v>665</v>
      </c>
      <c r="J1142" t="s">
        <v>4732</v>
      </c>
      <c r="K1142" t="s">
        <v>635</v>
      </c>
      <c r="L1142" t="s">
        <v>216</v>
      </c>
      <c r="M1142" t="s">
        <v>2299</v>
      </c>
      <c r="N1142" t="s">
        <v>265</v>
      </c>
      <c r="O1142" t="s">
        <v>2299</v>
      </c>
      <c r="P1142" t="s">
        <v>265</v>
      </c>
      <c r="Q1142" t="s">
        <v>4080</v>
      </c>
      <c r="R1142" t="s">
        <v>4081</v>
      </c>
      <c r="S1142" t="s">
        <v>550</v>
      </c>
      <c r="T1142" t="s">
        <v>550</v>
      </c>
      <c r="U1142" t="s">
        <v>550</v>
      </c>
      <c r="V1142" t="s">
        <v>4733</v>
      </c>
      <c r="W1142" t="s">
        <v>613</v>
      </c>
      <c r="X1142" t="s">
        <v>281</v>
      </c>
      <c r="Z1142" t="s">
        <v>4728</v>
      </c>
    </row>
    <row r="1143" spans="1:26" x14ac:dyDescent="0.3">
      <c r="A1143" t="s">
        <v>525</v>
      </c>
      <c r="B1143" t="s">
        <v>4734</v>
      </c>
      <c r="C1143" t="s">
        <v>4735</v>
      </c>
      <c r="D1143" t="s">
        <v>2372</v>
      </c>
      <c r="E1143" t="s">
        <v>4736</v>
      </c>
      <c r="F1143" t="s">
        <v>4737</v>
      </c>
      <c r="G1143" s="1">
        <v>45536</v>
      </c>
      <c r="H1143" s="1">
        <v>45538</v>
      </c>
      <c r="I1143" t="s">
        <v>665</v>
      </c>
      <c r="J1143" t="s">
        <v>4738</v>
      </c>
      <c r="K1143" t="s">
        <v>635</v>
      </c>
      <c r="L1143" t="s">
        <v>216</v>
      </c>
      <c r="M1143" t="s">
        <v>2299</v>
      </c>
      <c r="N1143" t="s">
        <v>265</v>
      </c>
      <c r="O1143" t="s">
        <v>2299</v>
      </c>
      <c r="P1143" t="s">
        <v>265</v>
      </c>
      <c r="Q1143" t="s">
        <v>4080</v>
      </c>
      <c r="R1143" t="s">
        <v>4081</v>
      </c>
      <c r="S1143" t="s">
        <v>550</v>
      </c>
      <c r="T1143" t="s">
        <v>550</v>
      </c>
      <c r="U1143" t="s">
        <v>550</v>
      </c>
      <c r="V1143" t="s">
        <v>4739</v>
      </c>
      <c r="W1143" t="s">
        <v>613</v>
      </c>
      <c r="X1143" t="s">
        <v>281</v>
      </c>
      <c r="Z1143" t="s">
        <v>4734</v>
      </c>
    </row>
    <row r="1144" spans="1:26" x14ac:dyDescent="0.3">
      <c r="A1144" t="s">
        <v>525</v>
      </c>
      <c r="B1144" t="s">
        <v>4740</v>
      </c>
      <c r="C1144" t="s">
        <v>4741</v>
      </c>
      <c r="D1144" t="s">
        <v>2372</v>
      </c>
      <c r="E1144" t="s">
        <v>4742</v>
      </c>
      <c r="F1144" t="s">
        <v>4743</v>
      </c>
      <c r="G1144" s="1">
        <v>45566</v>
      </c>
      <c r="H1144" s="1">
        <v>45568</v>
      </c>
      <c r="I1144" t="s">
        <v>665</v>
      </c>
      <c r="J1144" t="s">
        <v>666</v>
      </c>
      <c r="K1144" t="s">
        <v>635</v>
      </c>
      <c r="L1144" t="s">
        <v>216</v>
      </c>
      <c r="M1144" t="s">
        <v>2299</v>
      </c>
      <c r="N1144" t="s">
        <v>265</v>
      </c>
      <c r="O1144" t="s">
        <v>2299</v>
      </c>
      <c r="P1144" t="s">
        <v>265</v>
      </c>
      <c r="Q1144" t="s">
        <v>4080</v>
      </c>
      <c r="R1144" t="s">
        <v>4081</v>
      </c>
      <c r="S1144" t="s">
        <v>550</v>
      </c>
      <c r="T1144" t="s">
        <v>550</v>
      </c>
      <c r="U1144" t="s">
        <v>550</v>
      </c>
      <c r="V1144" t="s">
        <v>4744</v>
      </c>
      <c r="W1144" t="s">
        <v>613</v>
      </c>
      <c r="X1144" t="s">
        <v>281</v>
      </c>
      <c r="Z1144" t="s">
        <v>4740</v>
      </c>
    </row>
    <row r="1145" spans="1:26" x14ac:dyDescent="0.3">
      <c r="A1145" t="s">
        <v>525</v>
      </c>
      <c r="B1145" t="s">
        <v>4745</v>
      </c>
      <c r="C1145" t="s">
        <v>4746</v>
      </c>
      <c r="D1145" t="s">
        <v>4740</v>
      </c>
      <c r="E1145" t="s">
        <v>4742</v>
      </c>
      <c r="F1145" t="s">
        <v>4743</v>
      </c>
      <c r="G1145" s="1">
        <v>45621</v>
      </c>
      <c r="H1145" s="1">
        <v>45621</v>
      </c>
      <c r="I1145" t="s">
        <v>665</v>
      </c>
      <c r="J1145" t="s">
        <v>4747</v>
      </c>
      <c r="K1145" t="s">
        <v>24</v>
      </c>
      <c r="L1145" t="s">
        <v>216</v>
      </c>
      <c r="M1145" t="s">
        <v>2299</v>
      </c>
      <c r="N1145" t="s">
        <v>265</v>
      </c>
      <c r="O1145" t="s">
        <v>2299</v>
      </c>
      <c r="P1145" t="s">
        <v>265</v>
      </c>
      <c r="Q1145" t="s">
        <v>4080</v>
      </c>
      <c r="R1145" t="s">
        <v>4081</v>
      </c>
      <c r="S1145" t="s">
        <v>550</v>
      </c>
      <c r="T1145" t="s">
        <v>550</v>
      </c>
      <c r="U1145" t="s">
        <v>550</v>
      </c>
      <c r="V1145" t="s">
        <v>4748</v>
      </c>
      <c r="W1145" t="s">
        <v>613</v>
      </c>
      <c r="X1145" t="s">
        <v>281</v>
      </c>
      <c r="Z1145" t="s">
        <v>4745</v>
      </c>
    </row>
    <row r="1146" spans="1:26" x14ac:dyDescent="0.3">
      <c r="A1146" t="s">
        <v>525</v>
      </c>
      <c r="B1146" t="s">
        <v>4749</v>
      </c>
      <c r="C1146" t="s">
        <v>4750</v>
      </c>
      <c r="D1146" t="s">
        <v>1050</v>
      </c>
      <c r="E1146" t="s">
        <v>664</v>
      </c>
      <c r="F1146" t="s">
        <v>27</v>
      </c>
      <c r="G1146" s="1">
        <v>45658</v>
      </c>
      <c r="H1146" s="1">
        <v>45785</v>
      </c>
      <c r="I1146" t="s">
        <v>665</v>
      </c>
      <c r="J1146" t="s">
        <v>666</v>
      </c>
      <c r="K1146" t="s">
        <v>24</v>
      </c>
      <c r="L1146" t="s">
        <v>216</v>
      </c>
      <c r="M1146" t="s">
        <v>2299</v>
      </c>
      <c r="N1146" t="s">
        <v>265</v>
      </c>
      <c r="O1146" t="s">
        <v>2299</v>
      </c>
      <c r="P1146" t="s">
        <v>265</v>
      </c>
      <c r="Q1146" t="s">
        <v>4080</v>
      </c>
      <c r="R1146" t="s">
        <v>4081</v>
      </c>
      <c r="S1146" t="s">
        <v>1471</v>
      </c>
      <c r="T1146" t="s">
        <v>550</v>
      </c>
      <c r="U1146" t="s">
        <v>550</v>
      </c>
      <c r="V1146" t="s">
        <v>4751</v>
      </c>
      <c r="W1146" t="s">
        <v>613</v>
      </c>
      <c r="X1146" t="s">
        <v>281</v>
      </c>
      <c r="Z1146" t="s">
        <v>4749</v>
      </c>
    </row>
    <row r="1147" spans="1:26" x14ac:dyDescent="0.3">
      <c r="A1147" t="s">
        <v>525</v>
      </c>
      <c r="B1147" t="s">
        <v>4752</v>
      </c>
      <c r="C1147" t="s">
        <v>4753</v>
      </c>
      <c r="D1147" t="s">
        <v>4754</v>
      </c>
      <c r="E1147" t="s">
        <v>664</v>
      </c>
      <c r="F1147" t="s">
        <v>27</v>
      </c>
      <c r="G1147" s="1">
        <v>45292</v>
      </c>
      <c r="H1147" s="1">
        <v>45304</v>
      </c>
      <c r="I1147" t="s">
        <v>665</v>
      </c>
      <c r="J1147" t="s">
        <v>666</v>
      </c>
      <c r="K1147" t="s">
        <v>24</v>
      </c>
      <c r="L1147" t="s">
        <v>217</v>
      </c>
      <c r="M1147" t="s">
        <v>2299</v>
      </c>
      <c r="N1147" t="s">
        <v>265</v>
      </c>
      <c r="O1147" t="s">
        <v>2299</v>
      </c>
      <c r="P1147" t="s">
        <v>265</v>
      </c>
      <c r="Q1147" t="s">
        <v>4080</v>
      </c>
      <c r="R1147" t="s">
        <v>4081</v>
      </c>
      <c r="S1147" t="s">
        <v>783</v>
      </c>
      <c r="T1147" t="s">
        <v>550</v>
      </c>
      <c r="U1147" t="s">
        <v>550</v>
      </c>
      <c r="V1147" t="s">
        <v>4755</v>
      </c>
      <c r="W1147" t="s">
        <v>613</v>
      </c>
      <c r="X1147" t="s">
        <v>281</v>
      </c>
      <c r="Y1147" t="s">
        <v>293</v>
      </c>
      <c r="Z1147" t="s">
        <v>4752</v>
      </c>
    </row>
    <row r="1148" spans="1:26" x14ac:dyDescent="0.3">
      <c r="A1148" t="s">
        <v>525</v>
      </c>
      <c r="B1148" t="s">
        <v>2372</v>
      </c>
      <c r="C1148" t="s">
        <v>4756</v>
      </c>
      <c r="D1148" t="s">
        <v>550</v>
      </c>
      <c r="E1148" t="s">
        <v>664</v>
      </c>
      <c r="F1148" t="s">
        <v>27</v>
      </c>
      <c r="G1148" s="1">
        <v>45474</v>
      </c>
      <c r="H1148" s="1">
        <v>45474</v>
      </c>
      <c r="I1148" t="s">
        <v>780</v>
      </c>
      <c r="J1148" t="s">
        <v>666</v>
      </c>
      <c r="K1148" t="s">
        <v>635</v>
      </c>
      <c r="L1148" t="s">
        <v>216</v>
      </c>
      <c r="M1148" t="s">
        <v>2299</v>
      </c>
      <c r="N1148" t="s">
        <v>265</v>
      </c>
      <c r="O1148" t="s">
        <v>2299</v>
      </c>
      <c r="P1148" t="s">
        <v>265</v>
      </c>
      <c r="Q1148" t="s">
        <v>4080</v>
      </c>
      <c r="R1148" t="s">
        <v>4081</v>
      </c>
      <c r="S1148" t="s">
        <v>550</v>
      </c>
      <c r="T1148" t="s">
        <v>550</v>
      </c>
      <c r="U1148" t="s">
        <v>550</v>
      </c>
      <c r="V1148" t="s">
        <v>4757</v>
      </c>
      <c r="X1148" t="s">
        <v>281</v>
      </c>
      <c r="Z1148" t="s">
        <v>2372</v>
      </c>
    </row>
    <row r="1149" spans="1:26" x14ac:dyDescent="0.3">
      <c r="A1149" t="s">
        <v>525</v>
      </c>
      <c r="B1149" t="s">
        <v>4758</v>
      </c>
      <c r="C1149" t="s">
        <v>4759</v>
      </c>
      <c r="D1149" t="s">
        <v>3983</v>
      </c>
      <c r="E1149" t="s">
        <v>1117</v>
      </c>
      <c r="F1149" t="s">
        <v>1118</v>
      </c>
      <c r="G1149" s="1">
        <v>44562</v>
      </c>
      <c r="H1149" s="1">
        <v>44562</v>
      </c>
      <c r="I1149" t="s">
        <v>665</v>
      </c>
      <c r="J1149" t="s">
        <v>1119</v>
      </c>
      <c r="K1149" t="s">
        <v>24</v>
      </c>
      <c r="L1149" t="s">
        <v>216</v>
      </c>
      <c r="M1149" t="s">
        <v>1120</v>
      </c>
      <c r="N1149" t="s">
        <v>1121</v>
      </c>
      <c r="O1149" t="s">
        <v>1031</v>
      </c>
      <c r="P1149" t="s">
        <v>239</v>
      </c>
      <c r="Q1149" t="s">
        <v>4080</v>
      </c>
      <c r="R1149" t="s">
        <v>4081</v>
      </c>
      <c r="S1149" t="s">
        <v>783</v>
      </c>
      <c r="T1149" t="s">
        <v>550</v>
      </c>
      <c r="U1149" t="s">
        <v>550</v>
      </c>
      <c r="V1149" t="s">
        <v>4760</v>
      </c>
      <c r="W1149" t="s">
        <v>613</v>
      </c>
      <c r="X1149" t="s">
        <v>74</v>
      </c>
      <c r="Y1149" t="s">
        <v>786</v>
      </c>
      <c r="Z1149" t="s">
        <v>4758</v>
      </c>
    </row>
    <row r="1150" spans="1:26" x14ac:dyDescent="0.3">
      <c r="A1150" t="s">
        <v>525</v>
      </c>
      <c r="B1150" t="s">
        <v>4761</v>
      </c>
      <c r="C1150" t="s">
        <v>4762</v>
      </c>
      <c r="D1150" t="s">
        <v>3983</v>
      </c>
      <c r="E1150" t="s">
        <v>1117</v>
      </c>
      <c r="F1150" t="s">
        <v>1118</v>
      </c>
      <c r="G1150" s="1">
        <v>44927</v>
      </c>
      <c r="H1150" s="1">
        <v>45179</v>
      </c>
      <c r="I1150" t="s">
        <v>665</v>
      </c>
      <c r="J1150" t="s">
        <v>1119</v>
      </c>
      <c r="K1150" t="s">
        <v>24</v>
      </c>
      <c r="L1150" t="s">
        <v>216</v>
      </c>
      <c r="M1150" t="s">
        <v>1120</v>
      </c>
      <c r="N1150" t="s">
        <v>1121</v>
      </c>
      <c r="O1150" t="s">
        <v>1031</v>
      </c>
      <c r="P1150" t="s">
        <v>239</v>
      </c>
      <c r="Q1150" t="s">
        <v>4080</v>
      </c>
      <c r="R1150" t="s">
        <v>4081</v>
      </c>
      <c r="S1150" t="s">
        <v>783</v>
      </c>
      <c r="T1150" t="s">
        <v>550</v>
      </c>
      <c r="U1150" t="s">
        <v>784</v>
      </c>
      <c r="V1150" t="s">
        <v>4763</v>
      </c>
      <c r="W1150" t="s">
        <v>613</v>
      </c>
      <c r="X1150" t="s">
        <v>74</v>
      </c>
      <c r="Y1150" t="s">
        <v>786</v>
      </c>
      <c r="Z1150" t="s">
        <v>4761</v>
      </c>
    </row>
    <row r="1151" spans="1:26" x14ac:dyDescent="0.3">
      <c r="A1151" t="s">
        <v>525</v>
      </c>
      <c r="B1151" t="s">
        <v>4764</v>
      </c>
      <c r="C1151" t="s">
        <v>4765</v>
      </c>
      <c r="D1151" t="s">
        <v>1945</v>
      </c>
      <c r="E1151" t="s">
        <v>859</v>
      </c>
      <c r="F1151" t="s">
        <v>860</v>
      </c>
      <c r="G1151" s="1">
        <v>45292</v>
      </c>
      <c r="H1151" s="1">
        <v>45300</v>
      </c>
      <c r="I1151" t="s">
        <v>665</v>
      </c>
      <c r="J1151" t="s">
        <v>861</v>
      </c>
      <c r="K1151" t="s">
        <v>862</v>
      </c>
      <c r="L1151" t="s">
        <v>216</v>
      </c>
      <c r="M1151" t="s">
        <v>1899</v>
      </c>
      <c r="N1151" t="s">
        <v>245</v>
      </c>
      <c r="O1151" t="s">
        <v>1031</v>
      </c>
      <c r="P1151" t="s">
        <v>239</v>
      </c>
      <c r="Q1151" t="s">
        <v>4080</v>
      </c>
      <c r="R1151" t="s">
        <v>4081</v>
      </c>
      <c r="S1151" t="s">
        <v>783</v>
      </c>
      <c r="T1151" t="s">
        <v>550</v>
      </c>
      <c r="U1151" t="s">
        <v>1900</v>
      </c>
      <c r="V1151" t="s">
        <v>4766</v>
      </c>
      <c r="W1151" t="s">
        <v>613</v>
      </c>
      <c r="X1151" t="s">
        <v>272</v>
      </c>
      <c r="Y1151" t="s">
        <v>4561</v>
      </c>
      <c r="Z1151" t="s">
        <v>4764</v>
      </c>
    </row>
    <row r="1152" spans="1:26" x14ac:dyDescent="0.3">
      <c r="A1152" t="s">
        <v>525</v>
      </c>
      <c r="B1152" t="s">
        <v>4767</v>
      </c>
      <c r="C1152" t="s">
        <v>4768</v>
      </c>
      <c r="D1152" t="s">
        <v>4769</v>
      </c>
      <c r="E1152" t="s">
        <v>1896</v>
      </c>
      <c r="F1152" t="s">
        <v>1897</v>
      </c>
      <c r="G1152" s="1">
        <v>45292</v>
      </c>
      <c r="H1152" s="1">
        <v>45309</v>
      </c>
      <c r="I1152" t="s">
        <v>665</v>
      </c>
      <c r="J1152" t="s">
        <v>4770</v>
      </c>
      <c r="K1152" t="s">
        <v>862</v>
      </c>
      <c r="L1152" t="s">
        <v>216</v>
      </c>
      <c r="M1152" t="s">
        <v>1899</v>
      </c>
      <c r="N1152" t="s">
        <v>245</v>
      </c>
      <c r="O1152" t="s">
        <v>1031</v>
      </c>
      <c r="P1152" t="s">
        <v>239</v>
      </c>
      <c r="Q1152" t="s">
        <v>4080</v>
      </c>
      <c r="R1152" t="s">
        <v>4081</v>
      </c>
      <c r="S1152" t="s">
        <v>783</v>
      </c>
      <c r="T1152" t="s">
        <v>550</v>
      </c>
      <c r="U1152" t="s">
        <v>1900</v>
      </c>
      <c r="V1152" t="s">
        <v>4771</v>
      </c>
      <c r="W1152" t="s">
        <v>613</v>
      </c>
      <c r="X1152" t="s">
        <v>272</v>
      </c>
      <c r="Y1152" t="s">
        <v>4561</v>
      </c>
      <c r="Z1152" t="s">
        <v>4767</v>
      </c>
    </row>
    <row r="1153" spans="1:26" x14ac:dyDescent="0.3">
      <c r="A1153" t="s">
        <v>525</v>
      </c>
      <c r="B1153" t="s">
        <v>4772</v>
      </c>
      <c r="C1153" t="s">
        <v>4773</v>
      </c>
      <c r="D1153" t="s">
        <v>4774</v>
      </c>
      <c r="E1153" t="s">
        <v>1896</v>
      </c>
      <c r="F1153" t="s">
        <v>1897</v>
      </c>
      <c r="G1153" s="1">
        <v>45292</v>
      </c>
      <c r="H1153" s="1">
        <v>45301</v>
      </c>
      <c r="I1153" t="s">
        <v>665</v>
      </c>
      <c r="J1153" t="s">
        <v>4770</v>
      </c>
      <c r="K1153" t="s">
        <v>862</v>
      </c>
      <c r="L1153" t="s">
        <v>216</v>
      </c>
      <c r="M1153" t="s">
        <v>1899</v>
      </c>
      <c r="N1153" t="s">
        <v>245</v>
      </c>
      <c r="O1153" t="s">
        <v>1031</v>
      </c>
      <c r="P1153" t="s">
        <v>239</v>
      </c>
      <c r="Q1153" t="s">
        <v>4080</v>
      </c>
      <c r="R1153" t="s">
        <v>4081</v>
      </c>
      <c r="S1153" t="s">
        <v>1471</v>
      </c>
      <c r="T1153" t="s">
        <v>550</v>
      </c>
      <c r="U1153" t="s">
        <v>1900</v>
      </c>
      <c r="V1153" t="s">
        <v>4775</v>
      </c>
      <c r="W1153" t="s">
        <v>613</v>
      </c>
      <c r="X1153" t="s">
        <v>272</v>
      </c>
      <c r="Y1153" t="s">
        <v>4561</v>
      </c>
      <c r="Z1153" t="s">
        <v>4772</v>
      </c>
    </row>
    <row r="1154" spans="1:26" x14ac:dyDescent="0.3">
      <c r="A1154" t="s">
        <v>525</v>
      </c>
      <c r="B1154" t="s">
        <v>4776</v>
      </c>
      <c r="C1154" t="s">
        <v>4777</v>
      </c>
      <c r="D1154" t="s">
        <v>4778</v>
      </c>
      <c r="E1154" t="s">
        <v>1896</v>
      </c>
      <c r="F1154" t="s">
        <v>1897</v>
      </c>
      <c r="G1154" s="1">
        <v>45292</v>
      </c>
      <c r="H1154" s="1">
        <v>45319</v>
      </c>
      <c r="I1154" t="s">
        <v>665</v>
      </c>
      <c r="J1154" t="s">
        <v>4770</v>
      </c>
      <c r="K1154" t="s">
        <v>862</v>
      </c>
      <c r="L1154" t="s">
        <v>216</v>
      </c>
      <c r="M1154" t="s">
        <v>1899</v>
      </c>
      <c r="N1154" t="s">
        <v>245</v>
      </c>
      <c r="O1154" t="s">
        <v>1031</v>
      </c>
      <c r="P1154" t="s">
        <v>239</v>
      </c>
      <c r="Q1154" t="s">
        <v>4080</v>
      </c>
      <c r="R1154" t="s">
        <v>4081</v>
      </c>
      <c r="S1154" t="s">
        <v>783</v>
      </c>
      <c r="T1154" t="s">
        <v>550</v>
      </c>
      <c r="U1154" t="s">
        <v>1900</v>
      </c>
      <c r="V1154" t="s">
        <v>4779</v>
      </c>
      <c r="W1154" t="s">
        <v>613</v>
      </c>
      <c r="X1154" t="s">
        <v>272</v>
      </c>
      <c r="Y1154" t="s">
        <v>4561</v>
      </c>
      <c r="Z1154" t="s">
        <v>4776</v>
      </c>
    </row>
    <row r="1155" spans="1:26" x14ac:dyDescent="0.3">
      <c r="A1155" t="s">
        <v>525</v>
      </c>
      <c r="B1155" t="s">
        <v>4780</v>
      </c>
      <c r="C1155" t="s">
        <v>4781</v>
      </c>
      <c r="D1155" t="s">
        <v>550</v>
      </c>
      <c r="E1155" t="s">
        <v>1896</v>
      </c>
      <c r="F1155" t="s">
        <v>1897</v>
      </c>
      <c r="G1155" s="1">
        <v>45292</v>
      </c>
      <c r="H1155" s="1">
        <v>45292</v>
      </c>
      <c r="I1155" t="s">
        <v>780</v>
      </c>
      <c r="J1155" t="s">
        <v>4770</v>
      </c>
      <c r="K1155" t="s">
        <v>4782</v>
      </c>
      <c r="L1155" t="s">
        <v>216</v>
      </c>
      <c r="M1155" t="s">
        <v>1899</v>
      </c>
      <c r="N1155" t="s">
        <v>245</v>
      </c>
      <c r="O1155" t="s">
        <v>1031</v>
      </c>
      <c r="P1155" t="s">
        <v>239</v>
      </c>
      <c r="Q1155" t="s">
        <v>4080</v>
      </c>
      <c r="R1155" t="s">
        <v>4081</v>
      </c>
      <c r="S1155" t="s">
        <v>783</v>
      </c>
      <c r="T1155" t="s">
        <v>550</v>
      </c>
      <c r="U1155" t="s">
        <v>550</v>
      </c>
      <c r="V1155" t="s">
        <v>4783</v>
      </c>
      <c r="W1155" t="s">
        <v>613</v>
      </c>
      <c r="X1155" t="s">
        <v>272</v>
      </c>
      <c r="Y1155" t="s">
        <v>4561</v>
      </c>
      <c r="Z1155" t="s">
        <v>4780</v>
      </c>
    </row>
    <row r="1156" spans="1:26" x14ac:dyDescent="0.3">
      <c r="A1156" t="s">
        <v>525</v>
      </c>
      <c r="B1156" t="s">
        <v>4784</v>
      </c>
      <c r="C1156" t="s">
        <v>4785</v>
      </c>
      <c r="D1156" t="s">
        <v>4780</v>
      </c>
      <c r="E1156" t="s">
        <v>1896</v>
      </c>
      <c r="F1156" t="s">
        <v>1897</v>
      </c>
      <c r="G1156" s="1">
        <v>45292</v>
      </c>
      <c r="H1156" s="1">
        <v>45303</v>
      </c>
      <c r="I1156" t="s">
        <v>665</v>
      </c>
      <c r="J1156" t="s">
        <v>4770</v>
      </c>
      <c r="K1156" t="s">
        <v>4782</v>
      </c>
      <c r="L1156" t="s">
        <v>216</v>
      </c>
      <c r="M1156" t="s">
        <v>1899</v>
      </c>
      <c r="N1156" t="s">
        <v>245</v>
      </c>
      <c r="O1156" t="s">
        <v>1031</v>
      </c>
      <c r="P1156" t="s">
        <v>239</v>
      </c>
      <c r="Q1156" t="s">
        <v>4080</v>
      </c>
      <c r="R1156" t="s">
        <v>4081</v>
      </c>
      <c r="S1156" t="s">
        <v>783</v>
      </c>
      <c r="T1156" t="s">
        <v>550</v>
      </c>
      <c r="U1156" t="s">
        <v>550</v>
      </c>
      <c r="V1156" t="s">
        <v>4786</v>
      </c>
      <c r="W1156" t="s">
        <v>613</v>
      </c>
      <c r="X1156" t="s">
        <v>272</v>
      </c>
      <c r="Y1156" t="s">
        <v>4561</v>
      </c>
      <c r="Z1156" t="s">
        <v>4784</v>
      </c>
    </row>
    <row r="1157" spans="1:26" x14ac:dyDescent="0.3">
      <c r="A1157" t="s">
        <v>525</v>
      </c>
      <c r="B1157" t="s">
        <v>4787</v>
      </c>
      <c r="C1157" t="s">
        <v>4788</v>
      </c>
      <c r="D1157" t="s">
        <v>550</v>
      </c>
      <c r="E1157" t="s">
        <v>1896</v>
      </c>
      <c r="F1157" t="s">
        <v>1897</v>
      </c>
      <c r="G1157" s="1">
        <v>45292</v>
      </c>
      <c r="H1157" s="1">
        <v>45292</v>
      </c>
      <c r="I1157" t="s">
        <v>780</v>
      </c>
      <c r="J1157" t="s">
        <v>4770</v>
      </c>
      <c r="K1157" t="s">
        <v>4782</v>
      </c>
      <c r="L1157" t="s">
        <v>216</v>
      </c>
      <c r="M1157" t="s">
        <v>1899</v>
      </c>
      <c r="N1157" t="s">
        <v>245</v>
      </c>
      <c r="O1157" t="s">
        <v>1031</v>
      </c>
      <c r="P1157" t="s">
        <v>239</v>
      </c>
      <c r="Q1157" t="s">
        <v>4080</v>
      </c>
      <c r="R1157" t="s">
        <v>4081</v>
      </c>
      <c r="S1157" t="s">
        <v>783</v>
      </c>
      <c r="T1157" t="s">
        <v>550</v>
      </c>
      <c r="U1157" t="s">
        <v>550</v>
      </c>
      <c r="V1157" t="s">
        <v>4789</v>
      </c>
      <c r="W1157" t="s">
        <v>613</v>
      </c>
      <c r="X1157" t="s">
        <v>272</v>
      </c>
      <c r="Y1157" t="s">
        <v>4561</v>
      </c>
      <c r="Z1157" t="s">
        <v>4787</v>
      </c>
    </row>
    <row r="1158" spans="1:26" x14ac:dyDescent="0.3">
      <c r="A1158" t="s">
        <v>525</v>
      </c>
      <c r="B1158" t="s">
        <v>4790</v>
      </c>
      <c r="C1158" t="s">
        <v>4791</v>
      </c>
      <c r="D1158" t="s">
        <v>4787</v>
      </c>
      <c r="E1158" t="s">
        <v>1896</v>
      </c>
      <c r="F1158" t="s">
        <v>1897</v>
      </c>
      <c r="G1158" s="1">
        <v>45292</v>
      </c>
      <c r="H1158" s="1">
        <v>45317</v>
      </c>
      <c r="I1158" t="s">
        <v>665</v>
      </c>
      <c r="J1158" t="s">
        <v>4770</v>
      </c>
      <c r="K1158" t="s">
        <v>4782</v>
      </c>
      <c r="L1158" t="s">
        <v>216</v>
      </c>
      <c r="M1158" t="s">
        <v>1899</v>
      </c>
      <c r="N1158" t="s">
        <v>245</v>
      </c>
      <c r="O1158" t="s">
        <v>1031</v>
      </c>
      <c r="P1158" t="s">
        <v>239</v>
      </c>
      <c r="Q1158" t="s">
        <v>4080</v>
      </c>
      <c r="R1158" t="s">
        <v>4081</v>
      </c>
      <c r="S1158" t="s">
        <v>783</v>
      </c>
      <c r="T1158" t="s">
        <v>550</v>
      </c>
      <c r="U1158" t="s">
        <v>550</v>
      </c>
      <c r="V1158" t="s">
        <v>4792</v>
      </c>
      <c r="W1158" t="s">
        <v>613</v>
      </c>
      <c r="X1158" t="s">
        <v>272</v>
      </c>
      <c r="Y1158" t="s">
        <v>4561</v>
      </c>
      <c r="Z1158" t="s">
        <v>4790</v>
      </c>
    </row>
    <row r="1159" spans="1:26" x14ac:dyDescent="0.3">
      <c r="A1159" t="s">
        <v>525</v>
      </c>
      <c r="B1159" t="s">
        <v>4793</v>
      </c>
      <c r="C1159" t="s">
        <v>4794</v>
      </c>
      <c r="D1159" t="s">
        <v>4795</v>
      </c>
      <c r="E1159" t="s">
        <v>2811</v>
      </c>
      <c r="F1159" t="s">
        <v>2812</v>
      </c>
      <c r="G1159" s="1">
        <v>44927</v>
      </c>
      <c r="H1159" s="1">
        <v>44927</v>
      </c>
      <c r="I1159" t="s">
        <v>665</v>
      </c>
      <c r="J1159" t="s">
        <v>2813</v>
      </c>
      <c r="K1159" t="s">
        <v>24</v>
      </c>
      <c r="L1159" t="s">
        <v>216</v>
      </c>
      <c r="M1159" t="s">
        <v>1031</v>
      </c>
      <c r="N1159" t="s">
        <v>239</v>
      </c>
      <c r="O1159" t="s">
        <v>1031</v>
      </c>
      <c r="P1159" t="s">
        <v>239</v>
      </c>
      <c r="Q1159" t="s">
        <v>4080</v>
      </c>
      <c r="R1159" t="s">
        <v>4081</v>
      </c>
      <c r="S1159" t="s">
        <v>550</v>
      </c>
      <c r="T1159" t="s">
        <v>550</v>
      </c>
      <c r="U1159" t="s">
        <v>4393</v>
      </c>
      <c r="V1159" t="s">
        <v>4796</v>
      </c>
      <c r="W1159" t="s">
        <v>1021</v>
      </c>
      <c r="X1159" t="s">
        <v>74</v>
      </c>
      <c r="Y1159" t="s">
        <v>803</v>
      </c>
      <c r="Z1159" t="s">
        <v>4795</v>
      </c>
    </row>
    <row r="1160" spans="1:26" x14ac:dyDescent="0.3">
      <c r="A1160" t="s">
        <v>525</v>
      </c>
      <c r="B1160" t="s">
        <v>4797</v>
      </c>
      <c r="C1160" t="s">
        <v>4798</v>
      </c>
      <c r="D1160" t="s">
        <v>4795</v>
      </c>
      <c r="E1160" t="s">
        <v>2811</v>
      </c>
      <c r="F1160" t="s">
        <v>2812</v>
      </c>
      <c r="G1160" s="1">
        <v>44642</v>
      </c>
      <c r="H1160" s="1">
        <v>44657</v>
      </c>
      <c r="I1160" t="s">
        <v>665</v>
      </c>
      <c r="J1160" t="s">
        <v>2813</v>
      </c>
      <c r="K1160" t="s">
        <v>24</v>
      </c>
      <c r="L1160" t="s">
        <v>216</v>
      </c>
      <c r="M1160" t="s">
        <v>1031</v>
      </c>
      <c r="N1160" t="s">
        <v>239</v>
      </c>
      <c r="O1160" t="s">
        <v>1031</v>
      </c>
      <c r="P1160" t="s">
        <v>239</v>
      </c>
      <c r="Q1160" t="s">
        <v>4080</v>
      </c>
      <c r="R1160" t="s">
        <v>4081</v>
      </c>
      <c r="S1160" t="s">
        <v>783</v>
      </c>
      <c r="T1160" t="s">
        <v>550</v>
      </c>
      <c r="U1160" t="s">
        <v>550</v>
      </c>
      <c r="V1160" t="s">
        <v>4799</v>
      </c>
      <c r="W1160" t="s">
        <v>1021</v>
      </c>
      <c r="X1160" t="s">
        <v>74</v>
      </c>
      <c r="Y1160" t="s">
        <v>803</v>
      </c>
      <c r="Z1160" t="s">
        <v>4797</v>
      </c>
    </row>
    <row r="1161" spans="1:26" x14ac:dyDescent="0.3">
      <c r="A1161" t="s">
        <v>525</v>
      </c>
      <c r="B1161" t="s">
        <v>4800</v>
      </c>
      <c r="C1161" t="s">
        <v>4801</v>
      </c>
      <c r="D1161" t="s">
        <v>1043</v>
      </c>
      <c r="E1161" t="s">
        <v>664</v>
      </c>
      <c r="F1161" t="s">
        <v>27</v>
      </c>
      <c r="G1161" s="1">
        <v>44562</v>
      </c>
      <c r="H1161" s="1">
        <v>44562</v>
      </c>
      <c r="I1161" t="s">
        <v>665</v>
      </c>
      <c r="J1161" t="s">
        <v>666</v>
      </c>
      <c r="K1161" t="s">
        <v>24</v>
      </c>
      <c r="L1161" t="s">
        <v>1045</v>
      </c>
      <c r="M1161" t="s">
        <v>1031</v>
      </c>
      <c r="N1161" t="s">
        <v>239</v>
      </c>
      <c r="O1161" t="s">
        <v>1031</v>
      </c>
      <c r="P1161" t="s">
        <v>239</v>
      </c>
      <c r="Q1161" t="s">
        <v>4080</v>
      </c>
      <c r="R1161" t="s">
        <v>4081</v>
      </c>
      <c r="S1161" t="s">
        <v>783</v>
      </c>
      <c r="T1161" t="s">
        <v>550</v>
      </c>
      <c r="U1161" t="s">
        <v>550</v>
      </c>
      <c r="V1161" t="s">
        <v>4802</v>
      </c>
      <c r="W1161" t="s">
        <v>1021</v>
      </c>
      <c r="X1161" t="s">
        <v>74</v>
      </c>
      <c r="Y1161" t="s">
        <v>803</v>
      </c>
      <c r="Z1161" t="s">
        <v>4800</v>
      </c>
    </row>
    <row r="1162" spans="1:26" x14ac:dyDescent="0.3">
      <c r="A1162" t="s">
        <v>525</v>
      </c>
      <c r="B1162" t="s">
        <v>4803</v>
      </c>
      <c r="C1162" t="s">
        <v>4804</v>
      </c>
      <c r="D1162" t="s">
        <v>550</v>
      </c>
      <c r="E1162" t="s">
        <v>664</v>
      </c>
      <c r="F1162" t="s">
        <v>27</v>
      </c>
      <c r="G1162" s="1">
        <v>45292</v>
      </c>
      <c r="H1162" s="1">
        <v>45292</v>
      </c>
      <c r="I1162" t="s">
        <v>780</v>
      </c>
      <c r="J1162" t="s">
        <v>666</v>
      </c>
      <c r="K1162" t="s">
        <v>24</v>
      </c>
      <c r="L1162" t="s">
        <v>217</v>
      </c>
      <c r="M1162" t="s">
        <v>1031</v>
      </c>
      <c r="N1162" t="s">
        <v>239</v>
      </c>
      <c r="O1162" t="s">
        <v>1031</v>
      </c>
      <c r="P1162" t="s">
        <v>239</v>
      </c>
      <c r="Q1162" t="s">
        <v>4080</v>
      </c>
      <c r="R1162" t="s">
        <v>4081</v>
      </c>
      <c r="S1162" t="s">
        <v>783</v>
      </c>
      <c r="T1162" t="s">
        <v>550</v>
      </c>
      <c r="U1162" t="s">
        <v>550</v>
      </c>
      <c r="V1162" t="s">
        <v>4805</v>
      </c>
      <c r="W1162" t="s">
        <v>613</v>
      </c>
      <c r="X1162" t="s">
        <v>272</v>
      </c>
      <c r="Y1162" t="s">
        <v>4561</v>
      </c>
      <c r="Z1162" t="s">
        <v>4803</v>
      </c>
    </row>
    <row r="1163" spans="1:26" x14ac:dyDescent="0.3">
      <c r="A1163" t="s">
        <v>525</v>
      </c>
      <c r="B1163" t="s">
        <v>4806</v>
      </c>
      <c r="C1163" t="s">
        <v>4807</v>
      </c>
      <c r="D1163" t="s">
        <v>4803</v>
      </c>
      <c r="E1163" t="s">
        <v>664</v>
      </c>
      <c r="F1163" t="s">
        <v>27</v>
      </c>
      <c r="G1163" s="1">
        <v>45292</v>
      </c>
      <c r="H1163" s="1">
        <v>45292</v>
      </c>
      <c r="I1163" t="s">
        <v>665</v>
      </c>
      <c r="J1163" t="s">
        <v>666</v>
      </c>
      <c r="K1163" t="s">
        <v>24</v>
      </c>
      <c r="L1163" t="s">
        <v>217</v>
      </c>
      <c r="M1163" t="s">
        <v>1031</v>
      </c>
      <c r="N1163" t="s">
        <v>239</v>
      </c>
      <c r="O1163" t="s">
        <v>1031</v>
      </c>
      <c r="P1163" t="s">
        <v>239</v>
      </c>
      <c r="Q1163" t="s">
        <v>4080</v>
      </c>
      <c r="R1163" t="s">
        <v>4081</v>
      </c>
      <c r="S1163" t="s">
        <v>783</v>
      </c>
      <c r="T1163" t="s">
        <v>550</v>
      </c>
      <c r="U1163" t="s">
        <v>550</v>
      </c>
      <c r="V1163" t="s">
        <v>4808</v>
      </c>
      <c r="W1163" t="s">
        <v>613</v>
      </c>
      <c r="X1163" t="s">
        <v>272</v>
      </c>
      <c r="Y1163" t="s">
        <v>4561</v>
      </c>
      <c r="Z1163" t="s">
        <v>4806</v>
      </c>
    </row>
    <row r="1164" spans="1:26" x14ac:dyDescent="0.3">
      <c r="A1164" t="s">
        <v>525</v>
      </c>
      <c r="B1164" t="s">
        <v>4809</v>
      </c>
      <c r="C1164" t="s">
        <v>4810</v>
      </c>
      <c r="D1164" t="s">
        <v>1937</v>
      </c>
      <c r="E1164" t="s">
        <v>664</v>
      </c>
      <c r="F1164" t="s">
        <v>27</v>
      </c>
      <c r="G1164" s="1">
        <v>45292</v>
      </c>
      <c r="H1164" s="1">
        <v>45357</v>
      </c>
      <c r="I1164" t="s">
        <v>665</v>
      </c>
      <c r="J1164" t="s">
        <v>666</v>
      </c>
      <c r="K1164" t="s">
        <v>862</v>
      </c>
      <c r="L1164" t="s">
        <v>216</v>
      </c>
      <c r="M1164" t="s">
        <v>1031</v>
      </c>
      <c r="N1164" t="s">
        <v>239</v>
      </c>
      <c r="O1164" t="s">
        <v>1031</v>
      </c>
      <c r="P1164" t="s">
        <v>239</v>
      </c>
      <c r="Q1164" t="s">
        <v>4080</v>
      </c>
      <c r="R1164" t="s">
        <v>4081</v>
      </c>
      <c r="S1164" t="s">
        <v>1471</v>
      </c>
      <c r="T1164" t="s">
        <v>550</v>
      </c>
      <c r="U1164" t="s">
        <v>4811</v>
      </c>
      <c r="V1164" t="s">
        <v>4812</v>
      </c>
      <c r="W1164" t="s">
        <v>613</v>
      </c>
      <c r="X1164" t="s">
        <v>272</v>
      </c>
      <c r="Y1164" t="s">
        <v>4561</v>
      </c>
      <c r="Z1164" t="s">
        <v>4809</v>
      </c>
    </row>
    <row r="1165" spans="1:26" x14ac:dyDescent="0.3">
      <c r="A1165" t="s">
        <v>525</v>
      </c>
      <c r="B1165" t="s">
        <v>4813</v>
      </c>
      <c r="C1165" t="s">
        <v>4814</v>
      </c>
      <c r="D1165" t="s">
        <v>2048</v>
      </c>
      <c r="E1165" t="s">
        <v>2050</v>
      </c>
      <c r="F1165" t="s">
        <v>2051</v>
      </c>
      <c r="G1165" s="1">
        <v>45292</v>
      </c>
      <c r="H1165" s="1">
        <v>45479</v>
      </c>
      <c r="I1165" t="s">
        <v>665</v>
      </c>
      <c r="J1165" t="s">
        <v>2052</v>
      </c>
      <c r="K1165" t="s">
        <v>862</v>
      </c>
      <c r="L1165" t="s">
        <v>216</v>
      </c>
      <c r="M1165" t="s">
        <v>1031</v>
      </c>
      <c r="N1165" t="s">
        <v>239</v>
      </c>
      <c r="O1165" t="s">
        <v>1031</v>
      </c>
      <c r="P1165" t="s">
        <v>239</v>
      </c>
      <c r="Q1165" t="s">
        <v>4080</v>
      </c>
      <c r="R1165" t="s">
        <v>4081</v>
      </c>
      <c r="S1165" t="s">
        <v>783</v>
      </c>
      <c r="T1165" t="s">
        <v>550</v>
      </c>
      <c r="U1165" t="s">
        <v>4815</v>
      </c>
      <c r="V1165" t="s">
        <v>4816</v>
      </c>
      <c r="W1165" t="s">
        <v>613</v>
      </c>
      <c r="X1165" t="s">
        <v>272</v>
      </c>
      <c r="Y1165" t="s">
        <v>4561</v>
      </c>
      <c r="Z1165" t="s">
        <v>4813</v>
      </c>
    </row>
    <row r="1166" spans="1:26" x14ac:dyDescent="0.3">
      <c r="A1166" t="s">
        <v>525</v>
      </c>
      <c r="B1166" t="s">
        <v>4817</v>
      </c>
      <c r="C1166" t="s">
        <v>4818</v>
      </c>
      <c r="D1166" t="s">
        <v>1902</v>
      </c>
      <c r="E1166" t="s">
        <v>1374</v>
      </c>
      <c r="F1166" t="s">
        <v>1375</v>
      </c>
      <c r="G1166" s="1">
        <v>45292</v>
      </c>
      <c r="H1166" s="1">
        <v>45329</v>
      </c>
      <c r="I1166" t="s">
        <v>665</v>
      </c>
      <c r="J1166" t="s">
        <v>1376</v>
      </c>
      <c r="K1166" t="s">
        <v>862</v>
      </c>
      <c r="L1166" t="s">
        <v>216</v>
      </c>
      <c r="M1166" t="s">
        <v>1031</v>
      </c>
      <c r="N1166" t="s">
        <v>239</v>
      </c>
      <c r="O1166" t="s">
        <v>1031</v>
      </c>
      <c r="P1166" t="s">
        <v>239</v>
      </c>
      <c r="Q1166" t="s">
        <v>4080</v>
      </c>
      <c r="R1166" t="s">
        <v>4081</v>
      </c>
      <c r="S1166" t="s">
        <v>783</v>
      </c>
      <c r="T1166" t="s">
        <v>550</v>
      </c>
      <c r="U1166" t="s">
        <v>1900</v>
      </c>
      <c r="V1166" t="s">
        <v>4819</v>
      </c>
      <c r="W1166" t="s">
        <v>613</v>
      </c>
      <c r="X1166" t="s">
        <v>272</v>
      </c>
      <c r="Y1166" t="s">
        <v>4561</v>
      </c>
      <c r="Z1166" t="s">
        <v>4817</v>
      </c>
    </row>
    <row r="1167" spans="1:26" x14ac:dyDescent="0.3">
      <c r="A1167" t="s">
        <v>525</v>
      </c>
      <c r="B1167" t="s">
        <v>4820</v>
      </c>
      <c r="C1167" t="s">
        <v>4821</v>
      </c>
      <c r="D1167" t="s">
        <v>1050</v>
      </c>
      <c r="E1167" t="s">
        <v>664</v>
      </c>
      <c r="F1167" t="s">
        <v>27</v>
      </c>
      <c r="G1167" s="1">
        <v>44562</v>
      </c>
      <c r="H1167" s="1">
        <v>44821</v>
      </c>
      <c r="I1167" t="s">
        <v>665</v>
      </c>
      <c r="J1167" t="s">
        <v>666</v>
      </c>
      <c r="K1167" t="s">
        <v>24</v>
      </c>
      <c r="L1167" t="s">
        <v>1045</v>
      </c>
      <c r="M1167" t="s">
        <v>1031</v>
      </c>
      <c r="N1167" t="s">
        <v>239</v>
      </c>
      <c r="O1167" t="s">
        <v>1031</v>
      </c>
      <c r="P1167" t="s">
        <v>239</v>
      </c>
      <c r="Q1167" t="s">
        <v>4080</v>
      </c>
      <c r="R1167" t="s">
        <v>4081</v>
      </c>
      <c r="S1167" t="s">
        <v>1471</v>
      </c>
      <c r="T1167" t="s">
        <v>550</v>
      </c>
      <c r="U1167" t="s">
        <v>550</v>
      </c>
      <c r="V1167" t="s">
        <v>4822</v>
      </c>
      <c r="W1167" t="s">
        <v>613</v>
      </c>
      <c r="X1167" t="s">
        <v>74</v>
      </c>
      <c r="Y1167" t="s">
        <v>786</v>
      </c>
      <c r="Z1167" t="s">
        <v>4820</v>
      </c>
    </row>
    <row r="1168" spans="1:26" x14ac:dyDescent="0.3">
      <c r="A1168" t="s">
        <v>525</v>
      </c>
      <c r="B1168" t="s">
        <v>4823</v>
      </c>
      <c r="C1168" t="s">
        <v>4824</v>
      </c>
      <c r="D1168" t="s">
        <v>1050</v>
      </c>
      <c r="E1168" t="s">
        <v>664</v>
      </c>
      <c r="F1168" t="s">
        <v>27</v>
      </c>
      <c r="G1168" s="1">
        <v>44927</v>
      </c>
      <c r="H1168" s="1">
        <v>45245</v>
      </c>
      <c r="I1168" t="s">
        <v>665</v>
      </c>
      <c r="J1168" t="s">
        <v>666</v>
      </c>
      <c r="K1168" t="s">
        <v>24</v>
      </c>
      <c r="L1168" t="s">
        <v>216</v>
      </c>
      <c r="M1168" t="s">
        <v>1031</v>
      </c>
      <c r="N1168" t="s">
        <v>239</v>
      </c>
      <c r="O1168" t="s">
        <v>1031</v>
      </c>
      <c r="P1168" t="s">
        <v>239</v>
      </c>
      <c r="Q1168" t="s">
        <v>4080</v>
      </c>
      <c r="R1168" t="s">
        <v>4081</v>
      </c>
      <c r="S1168" t="s">
        <v>1471</v>
      </c>
      <c r="T1168" t="s">
        <v>550</v>
      </c>
      <c r="U1168" t="s">
        <v>4825</v>
      </c>
      <c r="V1168" t="s">
        <v>4826</v>
      </c>
      <c r="W1168" t="s">
        <v>613</v>
      </c>
      <c r="X1168" t="s">
        <v>74</v>
      </c>
      <c r="Y1168" t="s">
        <v>786</v>
      </c>
      <c r="Z1168" t="s">
        <v>4823</v>
      </c>
    </row>
    <row r="1169" spans="1:26" x14ac:dyDescent="0.3">
      <c r="A1169" t="s">
        <v>525</v>
      </c>
      <c r="B1169" t="s">
        <v>4827</v>
      </c>
      <c r="C1169" t="s">
        <v>4828</v>
      </c>
      <c r="D1169" t="s">
        <v>4829</v>
      </c>
      <c r="E1169" t="s">
        <v>664</v>
      </c>
      <c r="F1169" t="s">
        <v>27</v>
      </c>
      <c r="G1169" s="1">
        <v>44562</v>
      </c>
      <c r="H1169" s="1">
        <v>44571</v>
      </c>
      <c r="I1169" t="s">
        <v>665</v>
      </c>
      <c r="J1169" t="s">
        <v>666</v>
      </c>
      <c r="K1169" t="s">
        <v>24</v>
      </c>
      <c r="L1169" t="s">
        <v>1045</v>
      </c>
      <c r="M1169" t="s">
        <v>1031</v>
      </c>
      <c r="N1169" t="s">
        <v>239</v>
      </c>
      <c r="O1169" t="s">
        <v>1031</v>
      </c>
      <c r="P1169" t="s">
        <v>239</v>
      </c>
      <c r="Q1169" t="s">
        <v>4080</v>
      </c>
      <c r="R1169" t="s">
        <v>4081</v>
      </c>
      <c r="S1169" t="s">
        <v>783</v>
      </c>
      <c r="T1169" t="s">
        <v>550</v>
      </c>
      <c r="U1169" t="s">
        <v>550</v>
      </c>
      <c r="V1169" t="s">
        <v>4830</v>
      </c>
      <c r="W1169" t="s">
        <v>1021</v>
      </c>
      <c r="X1169" t="s">
        <v>74</v>
      </c>
      <c r="Y1169" t="s">
        <v>1033</v>
      </c>
      <c r="Z1169" t="s">
        <v>4827</v>
      </c>
    </row>
    <row r="1170" spans="1:26" x14ac:dyDescent="0.3">
      <c r="A1170" t="s">
        <v>525</v>
      </c>
      <c r="B1170" t="s">
        <v>4831</v>
      </c>
      <c r="C1170" t="s">
        <v>4832</v>
      </c>
      <c r="D1170" t="s">
        <v>550</v>
      </c>
      <c r="E1170" t="s">
        <v>4833</v>
      </c>
      <c r="F1170" t="s">
        <v>4834</v>
      </c>
      <c r="G1170" s="1">
        <v>44927</v>
      </c>
      <c r="H1170" s="1">
        <v>44927</v>
      </c>
      <c r="I1170" t="s">
        <v>665</v>
      </c>
      <c r="J1170" t="s">
        <v>4835</v>
      </c>
      <c r="K1170" t="s">
        <v>24</v>
      </c>
      <c r="L1170" t="s">
        <v>216</v>
      </c>
      <c r="M1170" t="s">
        <v>1031</v>
      </c>
      <c r="N1170" t="s">
        <v>239</v>
      </c>
      <c r="O1170" t="s">
        <v>1031</v>
      </c>
      <c r="P1170" t="s">
        <v>239</v>
      </c>
      <c r="Q1170" t="s">
        <v>4080</v>
      </c>
      <c r="R1170" t="s">
        <v>4081</v>
      </c>
      <c r="S1170" t="s">
        <v>783</v>
      </c>
      <c r="T1170" t="s">
        <v>550</v>
      </c>
      <c r="U1170" t="s">
        <v>550</v>
      </c>
      <c r="V1170" t="s">
        <v>4836</v>
      </c>
      <c r="W1170" t="s">
        <v>1021</v>
      </c>
      <c r="X1170" t="s">
        <v>74</v>
      </c>
      <c r="Y1170" t="s">
        <v>1033</v>
      </c>
      <c r="Z1170" t="s">
        <v>4831</v>
      </c>
    </row>
    <row r="1171" spans="1:26" x14ac:dyDescent="0.3">
      <c r="A1171" t="s">
        <v>525</v>
      </c>
      <c r="B1171" t="s">
        <v>4837</v>
      </c>
      <c r="C1171" t="s">
        <v>4838</v>
      </c>
      <c r="D1171" t="s">
        <v>550</v>
      </c>
      <c r="E1171" t="s">
        <v>3444</v>
      </c>
      <c r="F1171" t="s">
        <v>3443</v>
      </c>
      <c r="G1171" s="1">
        <v>45034</v>
      </c>
      <c r="H1171" s="1">
        <v>45034</v>
      </c>
      <c r="I1171" t="s">
        <v>665</v>
      </c>
      <c r="J1171" t="s">
        <v>3445</v>
      </c>
      <c r="K1171" t="s">
        <v>24</v>
      </c>
      <c r="L1171" t="s">
        <v>216</v>
      </c>
      <c r="M1171" t="s">
        <v>1031</v>
      </c>
      <c r="N1171" t="s">
        <v>239</v>
      </c>
      <c r="O1171" t="s">
        <v>1031</v>
      </c>
      <c r="P1171" t="s">
        <v>239</v>
      </c>
      <c r="Q1171" t="s">
        <v>4080</v>
      </c>
      <c r="R1171" t="s">
        <v>4081</v>
      </c>
      <c r="S1171" t="s">
        <v>783</v>
      </c>
      <c r="T1171" t="s">
        <v>550</v>
      </c>
      <c r="U1171" t="s">
        <v>4393</v>
      </c>
      <c r="V1171" t="s">
        <v>4839</v>
      </c>
      <c r="W1171" t="s">
        <v>1021</v>
      </c>
      <c r="X1171" t="s">
        <v>74</v>
      </c>
      <c r="Y1171" t="s">
        <v>1033</v>
      </c>
      <c r="Z1171" t="s">
        <v>4837</v>
      </c>
    </row>
    <row r="1172" spans="1:26" x14ac:dyDescent="0.3">
      <c r="A1172" t="s">
        <v>525</v>
      </c>
      <c r="B1172" t="s">
        <v>4840</v>
      </c>
      <c r="C1172" t="s">
        <v>4841</v>
      </c>
      <c r="D1172" t="s">
        <v>1025</v>
      </c>
      <c r="E1172" t="s">
        <v>1027</v>
      </c>
      <c r="F1172" t="s">
        <v>1028</v>
      </c>
      <c r="G1172" s="1">
        <v>44562</v>
      </c>
      <c r="H1172" s="1">
        <v>44562</v>
      </c>
      <c r="I1172" t="s">
        <v>665</v>
      </c>
      <c r="J1172" t="s">
        <v>1029</v>
      </c>
      <c r="K1172" t="s">
        <v>24</v>
      </c>
      <c r="L1172" t="s">
        <v>216</v>
      </c>
      <c r="M1172" t="s">
        <v>1031</v>
      </c>
      <c r="N1172" t="s">
        <v>239</v>
      </c>
      <c r="O1172" t="s">
        <v>1031</v>
      </c>
      <c r="P1172" t="s">
        <v>239</v>
      </c>
      <c r="Q1172" t="s">
        <v>4080</v>
      </c>
      <c r="R1172" t="s">
        <v>4081</v>
      </c>
      <c r="S1172" t="s">
        <v>1471</v>
      </c>
      <c r="T1172" t="s">
        <v>550</v>
      </c>
      <c r="U1172" t="s">
        <v>550</v>
      </c>
      <c r="V1172" t="s">
        <v>4842</v>
      </c>
      <c r="W1172" t="s">
        <v>1021</v>
      </c>
      <c r="X1172" t="s">
        <v>74</v>
      </c>
      <c r="Y1172" t="s">
        <v>1033</v>
      </c>
      <c r="Z1172" t="s">
        <v>4840</v>
      </c>
    </row>
    <row r="1173" spans="1:26" x14ac:dyDescent="0.3">
      <c r="A1173" t="s">
        <v>525</v>
      </c>
      <c r="B1173" t="s">
        <v>4843</v>
      </c>
      <c r="C1173" t="s">
        <v>4844</v>
      </c>
      <c r="D1173" t="s">
        <v>1025</v>
      </c>
      <c r="E1173" t="s">
        <v>1027</v>
      </c>
      <c r="F1173" t="s">
        <v>1028</v>
      </c>
      <c r="G1173" s="1">
        <v>44927</v>
      </c>
      <c r="H1173" s="1">
        <v>44927</v>
      </c>
      <c r="I1173" t="s">
        <v>665</v>
      </c>
      <c r="J1173" t="s">
        <v>1029</v>
      </c>
      <c r="K1173" t="s">
        <v>24</v>
      </c>
      <c r="L1173" t="s">
        <v>216</v>
      </c>
      <c r="M1173" t="s">
        <v>1031</v>
      </c>
      <c r="N1173" t="s">
        <v>239</v>
      </c>
      <c r="O1173" t="s">
        <v>1031</v>
      </c>
      <c r="P1173" t="s">
        <v>239</v>
      </c>
      <c r="Q1173" t="s">
        <v>4080</v>
      </c>
      <c r="R1173" t="s">
        <v>4081</v>
      </c>
      <c r="S1173" t="s">
        <v>1471</v>
      </c>
      <c r="T1173" t="s">
        <v>550</v>
      </c>
      <c r="U1173" t="s">
        <v>4393</v>
      </c>
      <c r="V1173" t="s">
        <v>4845</v>
      </c>
      <c r="W1173" t="s">
        <v>1021</v>
      </c>
      <c r="X1173" t="s">
        <v>74</v>
      </c>
      <c r="Y1173" t="s">
        <v>1033</v>
      </c>
      <c r="Z1173" t="s">
        <v>4843</v>
      </c>
    </row>
    <row r="1174" spans="1:26" x14ac:dyDescent="0.3">
      <c r="A1174" t="s">
        <v>525</v>
      </c>
      <c r="B1174" t="s">
        <v>4846</v>
      </c>
      <c r="C1174" t="s">
        <v>4847</v>
      </c>
      <c r="D1174" t="s">
        <v>1043</v>
      </c>
      <c r="E1174" t="s">
        <v>664</v>
      </c>
      <c r="F1174" t="s">
        <v>27</v>
      </c>
      <c r="G1174" s="1">
        <v>44927</v>
      </c>
      <c r="H1174" s="1">
        <v>44935</v>
      </c>
      <c r="I1174" t="s">
        <v>665</v>
      </c>
      <c r="J1174" t="s">
        <v>666</v>
      </c>
      <c r="K1174" t="s">
        <v>24</v>
      </c>
      <c r="L1174" t="s">
        <v>216</v>
      </c>
      <c r="M1174" t="s">
        <v>1804</v>
      </c>
      <c r="N1174" t="s">
        <v>315</v>
      </c>
      <c r="O1174" t="s">
        <v>1031</v>
      </c>
      <c r="P1174" t="s">
        <v>239</v>
      </c>
      <c r="Q1174" t="s">
        <v>4080</v>
      </c>
      <c r="R1174" t="s">
        <v>4081</v>
      </c>
      <c r="S1174" t="s">
        <v>783</v>
      </c>
      <c r="T1174" t="s">
        <v>550</v>
      </c>
      <c r="U1174" t="s">
        <v>4393</v>
      </c>
      <c r="V1174" t="s">
        <v>4848</v>
      </c>
      <c r="W1174" t="s">
        <v>1021</v>
      </c>
      <c r="X1174" t="s">
        <v>74</v>
      </c>
      <c r="Y1174" t="s">
        <v>803</v>
      </c>
      <c r="Z1174" t="s">
        <v>4846</v>
      </c>
    </row>
    <row r="1175" spans="1:26" x14ac:dyDescent="0.3">
      <c r="A1175" t="s">
        <v>525</v>
      </c>
      <c r="B1175" t="s">
        <v>4849</v>
      </c>
      <c r="C1175" t="s">
        <v>4850</v>
      </c>
      <c r="D1175" t="s">
        <v>1388</v>
      </c>
      <c r="E1175" t="s">
        <v>1306</v>
      </c>
      <c r="F1175" t="s">
        <v>1307</v>
      </c>
      <c r="G1175" s="1">
        <v>44927</v>
      </c>
      <c r="H1175" s="1">
        <v>44970</v>
      </c>
      <c r="I1175" t="s">
        <v>665</v>
      </c>
      <c r="J1175" t="s">
        <v>1308</v>
      </c>
      <c r="K1175" t="s">
        <v>24</v>
      </c>
      <c r="L1175" t="s">
        <v>216</v>
      </c>
      <c r="M1175" t="s">
        <v>1804</v>
      </c>
      <c r="N1175" t="s">
        <v>315</v>
      </c>
      <c r="O1175" t="s">
        <v>1031</v>
      </c>
      <c r="P1175" t="s">
        <v>239</v>
      </c>
      <c r="Q1175" t="s">
        <v>4080</v>
      </c>
      <c r="R1175" t="s">
        <v>4081</v>
      </c>
      <c r="S1175" t="s">
        <v>1471</v>
      </c>
      <c r="T1175" t="s">
        <v>550</v>
      </c>
      <c r="U1175" t="s">
        <v>4427</v>
      </c>
      <c r="V1175" t="s">
        <v>4851</v>
      </c>
      <c r="W1175" t="s">
        <v>1021</v>
      </c>
      <c r="X1175" t="s">
        <v>74</v>
      </c>
      <c r="Y1175" t="s">
        <v>1033</v>
      </c>
      <c r="Z1175" t="s">
        <v>4849</v>
      </c>
    </row>
    <row r="1176" spans="1:26" x14ac:dyDescent="0.3">
      <c r="A1176" t="s">
        <v>525</v>
      </c>
      <c r="B1176" t="s">
        <v>4852</v>
      </c>
      <c r="C1176" t="s">
        <v>4853</v>
      </c>
      <c r="D1176" t="s">
        <v>1313</v>
      </c>
      <c r="E1176" t="s">
        <v>1306</v>
      </c>
      <c r="F1176" t="s">
        <v>1307</v>
      </c>
      <c r="G1176" s="1">
        <v>44927</v>
      </c>
      <c r="H1176" s="1">
        <v>45176</v>
      </c>
      <c r="I1176" t="s">
        <v>665</v>
      </c>
      <c r="J1176" t="s">
        <v>1308</v>
      </c>
      <c r="K1176" t="s">
        <v>24</v>
      </c>
      <c r="L1176" t="s">
        <v>216</v>
      </c>
      <c r="M1176" t="s">
        <v>1804</v>
      </c>
      <c r="N1176" t="s">
        <v>315</v>
      </c>
      <c r="O1176" t="s">
        <v>1031</v>
      </c>
      <c r="P1176" t="s">
        <v>239</v>
      </c>
      <c r="Q1176" t="s">
        <v>4080</v>
      </c>
      <c r="R1176" t="s">
        <v>4081</v>
      </c>
      <c r="S1176" t="s">
        <v>1471</v>
      </c>
      <c r="T1176" t="s">
        <v>550</v>
      </c>
      <c r="U1176" t="s">
        <v>4427</v>
      </c>
      <c r="V1176" t="s">
        <v>4854</v>
      </c>
      <c r="W1176" t="s">
        <v>1021</v>
      </c>
      <c r="X1176" t="s">
        <v>74</v>
      </c>
      <c r="Y1176" t="s">
        <v>1033</v>
      </c>
      <c r="Z1176" t="s">
        <v>4852</v>
      </c>
    </row>
    <row r="1177" spans="1:26" x14ac:dyDescent="0.3">
      <c r="A1177" t="s">
        <v>525</v>
      </c>
      <c r="B1177" t="s">
        <v>4855</v>
      </c>
      <c r="C1177" t="s">
        <v>4838</v>
      </c>
      <c r="D1177" t="s">
        <v>4837</v>
      </c>
      <c r="E1177" t="s">
        <v>3444</v>
      </c>
      <c r="F1177" t="s">
        <v>3443</v>
      </c>
      <c r="G1177" s="1">
        <v>45017</v>
      </c>
      <c r="H1177" s="1">
        <v>45025</v>
      </c>
      <c r="I1177" t="s">
        <v>665</v>
      </c>
      <c r="J1177" t="s">
        <v>3445</v>
      </c>
      <c r="K1177" t="s">
        <v>24</v>
      </c>
      <c r="L1177" t="s">
        <v>216</v>
      </c>
      <c r="M1177" t="s">
        <v>1804</v>
      </c>
      <c r="N1177" t="s">
        <v>315</v>
      </c>
      <c r="O1177" t="s">
        <v>1031</v>
      </c>
      <c r="P1177" t="s">
        <v>239</v>
      </c>
      <c r="Q1177" t="s">
        <v>4080</v>
      </c>
      <c r="R1177" t="s">
        <v>4081</v>
      </c>
      <c r="S1177" t="s">
        <v>783</v>
      </c>
      <c r="T1177" t="s">
        <v>550</v>
      </c>
      <c r="U1177" t="s">
        <v>4393</v>
      </c>
      <c r="V1177" t="s">
        <v>4856</v>
      </c>
      <c r="W1177" t="s">
        <v>1021</v>
      </c>
      <c r="X1177" t="s">
        <v>74</v>
      </c>
      <c r="Y1177" t="s">
        <v>1033</v>
      </c>
      <c r="Z1177" t="s">
        <v>4855</v>
      </c>
    </row>
    <row r="1178" spans="1:26" x14ac:dyDescent="0.3">
      <c r="A1178" t="s">
        <v>525</v>
      </c>
      <c r="B1178" t="s">
        <v>4857</v>
      </c>
      <c r="C1178" t="s">
        <v>4858</v>
      </c>
      <c r="D1178" t="s">
        <v>3977</v>
      </c>
      <c r="E1178" t="s">
        <v>1117</v>
      </c>
      <c r="F1178" t="s">
        <v>1118</v>
      </c>
      <c r="G1178" s="1">
        <v>44562</v>
      </c>
      <c r="H1178" s="1">
        <v>44562</v>
      </c>
      <c r="I1178" t="s">
        <v>665</v>
      </c>
      <c r="J1178" t="s">
        <v>1119</v>
      </c>
      <c r="K1178" t="s">
        <v>24</v>
      </c>
      <c r="L1178" t="s">
        <v>216</v>
      </c>
      <c r="M1178" t="s">
        <v>1120</v>
      </c>
      <c r="N1178" t="s">
        <v>1121</v>
      </c>
      <c r="O1178" t="s">
        <v>1031</v>
      </c>
      <c r="P1178" t="s">
        <v>239</v>
      </c>
      <c r="Q1178" t="s">
        <v>4080</v>
      </c>
      <c r="R1178" t="s">
        <v>4081</v>
      </c>
      <c r="S1178" t="s">
        <v>783</v>
      </c>
      <c r="T1178" t="s">
        <v>550</v>
      </c>
      <c r="U1178" t="s">
        <v>550</v>
      </c>
      <c r="V1178" t="s">
        <v>4859</v>
      </c>
      <c r="W1178" t="s">
        <v>613</v>
      </c>
      <c r="X1178" t="s">
        <v>74</v>
      </c>
      <c r="Y1178" t="s">
        <v>786</v>
      </c>
      <c r="Z1178" t="s">
        <v>4857</v>
      </c>
    </row>
    <row r="1179" spans="1:26" x14ac:dyDescent="0.3">
      <c r="A1179" t="s">
        <v>525</v>
      </c>
      <c r="B1179" t="s">
        <v>4860</v>
      </c>
      <c r="C1179" t="s">
        <v>4861</v>
      </c>
      <c r="D1179" t="s">
        <v>3977</v>
      </c>
      <c r="E1179" t="s">
        <v>1117</v>
      </c>
      <c r="F1179" t="s">
        <v>1118</v>
      </c>
      <c r="G1179" s="1">
        <v>44927</v>
      </c>
      <c r="H1179" s="1">
        <v>45111</v>
      </c>
      <c r="I1179" t="s">
        <v>665</v>
      </c>
      <c r="J1179" t="s">
        <v>1119</v>
      </c>
      <c r="K1179" t="s">
        <v>24</v>
      </c>
      <c r="L1179" t="s">
        <v>216</v>
      </c>
      <c r="M1179" t="s">
        <v>1120</v>
      </c>
      <c r="N1179" t="s">
        <v>1121</v>
      </c>
      <c r="O1179" t="s">
        <v>1031</v>
      </c>
      <c r="P1179" t="s">
        <v>239</v>
      </c>
      <c r="Q1179" t="s">
        <v>4080</v>
      </c>
      <c r="R1179" t="s">
        <v>4081</v>
      </c>
      <c r="S1179" t="s">
        <v>783</v>
      </c>
      <c r="T1179" t="s">
        <v>550</v>
      </c>
      <c r="U1179" t="s">
        <v>784</v>
      </c>
      <c r="V1179" t="s">
        <v>4862</v>
      </c>
      <c r="W1179" t="s">
        <v>613</v>
      </c>
      <c r="X1179" t="s">
        <v>74</v>
      </c>
      <c r="Y1179" t="s">
        <v>786</v>
      </c>
      <c r="Z1179" t="s">
        <v>4860</v>
      </c>
    </row>
    <row r="1180" spans="1:26" x14ac:dyDescent="0.3">
      <c r="A1180" t="s">
        <v>525</v>
      </c>
      <c r="B1180" t="s">
        <v>4863</v>
      </c>
      <c r="C1180" t="s">
        <v>4864</v>
      </c>
      <c r="D1180" t="s">
        <v>1290</v>
      </c>
      <c r="E1180" t="s">
        <v>1275</v>
      </c>
      <c r="F1180" t="s">
        <v>1276</v>
      </c>
      <c r="G1180" s="1">
        <v>44927</v>
      </c>
      <c r="H1180" s="1">
        <v>44989</v>
      </c>
      <c r="I1180" t="s">
        <v>665</v>
      </c>
      <c r="J1180" t="s">
        <v>1277</v>
      </c>
      <c r="K1180" t="s">
        <v>24</v>
      </c>
      <c r="L1180" t="s">
        <v>216</v>
      </c>
      <c r="M1180" t="s">
        <v>1804</v>
      </c>
      <c r="N1180" t="s">
        <v>315</v>
      </c>
      <c r="O1180" t="s">
        <v>1031</v>
      </c>
      <c r="P1180" t="s">
        <v>239</v>
      </c>
      <c r="Q1180" t="s">
        <v>4080</v>
      </c>
      <c r="R1180" t="s">
        <v>4081</v>
      </c>
      <c r="S1180" t="s">
        <v>783</v>
      </c>
      <c r="T1180" t="s">
        <v>550</v>
      </c>
      <c r="U1180" t="s">
        <v>4865</v>
      </c>
      <c r="V1180" t="s">
        <v>4866</v>
      </c>
      <c r="W1180" t="s">
        <v>613</v>
      </c>
      <c r="X1180" t="s">
        <v>74</v>
      </c>
      <c r="Y1180" t="s">
        <v>786</v>
      </c>
      <c r="Z1180" t="s">
        <v>4863</v>
      </c>
    </row>
    <row r="1181" spans="1:26" x14ac:dyDescent="0.3">
      <c r="A1181" t="s">
        <v>525</v>
      </c>
      <c r="B1181" t="s">
        <v>4867</v>
      </c>
      <c r="C1181" t="s">
        <v>4868</v>
      </c>
      <c r="D1181" t="s">
        <v>1290</v>
      </c>
      <c r="E1181" t="s">
        <v>1291</v>
      </c>
      <c r="F1181" t="s">
        <v>1292</v>
      </c>
      <c r="G1181" s="1">
        <v>44927</v>
      </c>
      <c r="H1181" s="1">
        <v>44943</v>
      </c>
      <c r="I1181" t="s">
        <v>665</v>
      </c>
      <c r="J1181" t="s">
        <v>1041</v>
      </c>
      <c r="K1181" t="s">
        <v>24</v>
      </c>
      <c r="L1181" t="s">
        <v>216</v>
      </c>
      <c r="M1181" t="s">
        <v>1804</v>
      </c>
      <c r="N1181" t="s">
        <v>315</v>
      </c>
      <c r="O1181" t="s">
        <v>1031</v>
      </c>
      <c r="P1181" t="s">
        <v>239</v>
      </c>
      <c r="Q1181" t="s">
        <v>4080</v>
      </c>
      <c r="R1181" t="s">
        <v>4081</v>
      </c>
      <c r="S1181" t="s">
        <v>783</v>
      </c>
      <c r="T1181" t="s">
        <v>550</v>
      </c>
      <c r="U1181" t="s">
        <v>4865</v>
      </c>
      <c r="V1181" t="s">
        <v>4869</v>
      </c>
      <c r="W1181" t="s">
        <v>613</v>
      </c>
      <c r="X1181" t="s">
        <v>74</v>
      </c>
      <c r="Y1181" t="s">
        <v>786</v>
      </c>
      <c r="Z1181" t="s">
        <v>4867</v>
      </c>
    </row>
    <row r="1182" spans="1:26" x14ac:dyDescent="0.3">
      <c r="A1182" t="s">
        <v>525</v>
      </c>
      <c r="B1182" t="s">
        <v>4870</v>
      </c>
      <c r="C1182" t="s">
        <v>4871</v>
      </c>
      <c r="D1182" t="s">
        <v>4872</v>
      </c>
      <c r="E1182" t="s">
        <v>664</v>
      </c>
      <c r="F1182" t="s">
        <v>27</v>
      </c>
      <c r="G1182" s="1">
        <v>44927</v>
      </c>
      <c r="H1182" s="1">
        <v>44927</v>
      </c>
      <c r="I1182" t="s">
        <v>665</v>
      </c>
      <c r="J1182" t="s">
        <v>666</v>
      </c>
      <c r="K1182" t="s">
        <v>635</v>
      </c>
      <c r="L1182" t="s">
        <v>667</v>
      </c>
      <c r="M1182" t="s">
        <v>1804</v>
      </c>
      <c r="N1182" t="s">
        <v>315</v>
      </c>
      <c r="O1182" t="s">
        <v>1031</v>
      </c>
      <c r="P1182" t="s">
        <v>239</v>
      </c>
      <c r="Q1182" t="s">
        <v>4080</v>
      </c>
      <c r="R1182" t="s">
        <v>4081</v>
      </c>
      <c r="S1182" t="s">
        <v>783</v>
      </c>
      <c r="T1182" t="s">
        <v>550</v>
      </c>
      <c r="U1182" t="s">
        <v>4393</v>
      </c>
      <c r="V1182" t="s">
        <v>4873</v>
      </c>
      <c r="W1182" t="s">
        <v>613</v>
      </c>
      <c r="X1182" t="s">
        <v>74</v>
      </c>
      <c r="Y1182" t="s">
        <v>1281</v>
      </c>
      <c r="Z1182" t="s">
        <v>4872</v>
      </c>
    </row>
    <row r="1183" spans="1:26" x14ac:dyDescent="0.3">
      <c r="A1183" t="s">
        <v>525</v>
      </c>
      <c r="B1183" t="s">
        <v>4874</v>
      </c>
      <c r="C1183" t="s">
        <v>4875</v>
      </c>
      <c r="D1183" t="s">
        <v>1079</v>
      </c>
      <c r="E1183" t="s">
        <v>664</v>
      </c>
      <c r="F1183" t="s">
        <v>27</v>
      </c>
      <c r="G1183" s="1">
        <v>44992</v>
      </c>
      <c r="H1183" s="1">
        <v>45003</v>
      </c>
      <c r="I1183" t="s">
        <v>665</v>
      </c>
      <c r="J1183" t="s">
        <v>666</v>
      </c>
      <c r="K1183" t="s">
        <v>24</v>
      </c>
      <c r="L1183" t="s">
        <v>863</v>
      </c>
      <c r="M1183" t="s">
        <v>1804</v>
      </c>
      <c r="N1183" t="s">
        <v>315</v>
      </c>
      <c r="O1183" t="s">
        <v>1031</v>
      </c>
      <c r="P1183" t="s">
        <v>239</v>
      </c>
      <c r="Q1183" t="s">
        <v>4080</v>
      </c>
      <c r="R1183" t="s">
        <v>4081</v>
      </c>
      <c r="S1183" t="s">
        <v>1471</v>
      </c>
      <c r="T1183" t="s">
        <v>550</v>
      </c>
      <c r="U1183" t="s">
        <v>4825</v>
      </c>
      <c r="V1183" t="s">
        <v>4876</v>
      </c>
      <c r="W1183" t="s">
        <v>1021</v>
      </c>
      <c r="X1183" t="s">
        <v>74</v>
      </c>
      <c r="Y1183" t="s">
        <v>1075</v>
      </c>
      <c r="Z1183" t="s">
        <v>4874</v>
      </c>
    </row>
    <row r="1184" spans="1:26" x14ac:dyDescent="0.3">
      <c r="A1184" t="s">
        <v>525</v>
      </c>
      <c r="B1184" t="s">
        <v>4877</v>
      </c>
      <c r="C1184" t="s">
        <v>4878</v>
      </c>
      <c r="D1184" t="s">
        <v>1063</v>
      </c>
      <c r="E1184" t="s">
        <v>1065</v>
      </c>
      <c r="F1184" t="s">
        <v>1066</v>
      </c>
      <c r="G1184" s="1">
        <v>44562</v>
      </c>
      <c r="H1184" s="1">
        <v>44568</v>
      </c>
      <c r="I1184" t="s">
        <v>665</v>
      </c>
      <c r="J1184" t="s">
        <v>1067</v>
      </c>
      <c r="K1184" t="s">
        <v>24</v>
      </c>
      <c r="L1184" t="s">
        <v>667</v>
      </c>
      <c r="M1184" t="s">
        <v>1031</v>
      </c>
      <c r="N1184" t="s">
        <v>239</v>
      </c>
      <c r="O1184" t="s">
        <v>1031</v>
      </c>
      <c r="P1184" t="s">
        <v>239</v>
      </c>
      <c r="Q1184" t="s">
        <v>4080</v>
      </c>
      <c r="R1184" t="s">
        <v>4081</v>
      </c>
      <c r="S1184" t="s">
        <v>783</v>
      </c>
      <c r="T1184" t="s">
        <v>550</v>
      </c>
      <c r="U1184" t="s">
        <v>550</v>
      </c>
      <c r="V1184" t="s">
        <v>4879</v>
      </c>
      <c r="W1184" t="s">
        <v>613</v>
      </c>
      <c r="X1184" t="s">
        <v>74</v>
      </c>
      <c r="Y1184" t="s">
        <v>786</v>
      </c>
      <c r="Z1184" t="s">
        <v>4877</v>
      </c>
    </row>
    <row r="1185" spans="1:26" x14ac:dyDescent="0.3">
      <c r="A1185" t="s">
        <v>525</v>
      </c>
      <c r="B1185" t="s">
        <v>4880</v>
      </c>
      <c r="C1185" t="s">
        <v>4881</v>
      </c>
      <c r="D1185" t="s">
        <v>1063</v>
      </c>
      <c r="E1185" t="s">
        <v>1065</v>
      </c>
      <c r="F1185" t="s">
        <v>1066</v>
      </c>
      <c r="G1185" s="1">
        <v>44927</v>
      </c>
      <c r="H1185" s="1">
        <v>44933</v>
      </c>
      <c r="I1185" t="s">
        <v>665</v>
      </c>
      <c r="J1185" t="s">
        <v>1067</v>
      </c>
      <c r="K1185" t="s">
        <v>24</v>
      </c>
      <c r="L1185" t="s">
        <v>667</v>
      </c>
      <c r="M1185" t="s">
        <v>1031</v>
      </c>
      <c r="N1185" t="s">
        <v>239</v>
      </c>
      <c r="O1185" t="s">
        <v>1031</v>
      </c>
      <c r="P1185" t="s">
        <v>239</v>
      </c>
      <c r="Q1185" t="s">
        <v>4080</v>
      </c>
      <c r="R1185" t="s">
        <v>4081</v>
      </c>
      <c r="S1185" t="s">
        <v>783</v>
      </c>
      <c r="T1185" t="s">
        <v>550</v>
      </c>
      <c r="U1185" t="s">
        <v>4393</v>
      </c>
      <c r="V1185" t="s">
        <v>4882</v>
      </c>
      <c r="W1185" t="s">
        <v>613</v>
      </c>
      <c r="X1185" t="s">
        <v>74</v>
      </c>
      <c r="Y1185" t="s">
        <v>786</v>
      </c>
      <c r="Z1185" t="s">
        <v>4880</v>
      </c>
    </row>
    <row r="1186" spans="1:26" x14ac:dyDescent="0.3">
      <c r="A1186" t="s">
        <v>525</v>
      </c>
      <c r="B1186" t="s">
        <v>4883</v>
      </c>
      <c r="C1186" t="s">
        <v>4884</v>
      </c>
      <c r="D1186" t="s">
        <v>3971</v>
      </c>
      <c r="E1186" t="s">
        <v>1117</v>
      </c>
      <c r="F1186" t="s">
        <v>1118</v>
      </c>
      <c r="G1186" s="1">
        <v>44562</v>
      </c>
      <c r="H1186" s="1">
        <v>44562</v>
      </c>
      <c r="I1186" t="s">
        <v>665</v>
      </c>
      <c r="J1186" t="s">
        <v>1119</v>
      </c>
      <c r="K1186" t="s">
        <v>24</v>
      </c>
      <c r="L1186" t="s">
        <v>216</v>
      </c>
      <c r="M1186" t="s">
        <v>1120</v>
      </c>
      <c r="N1186" t="s">
        <v>1121</v>
      </c>
      <c r="O1186" t="s">
        <v>1031</v>
      </c>
      <c r="P1186" t="s">
        <v>239</v>
      </c>
      <c r="Q1186" t="s">
        <v>4080</v>
      </c>
      <c r="R1186" t="s">
        <v>4081</v>
      </c>
      <c r="S1186" t="s">
        <v>783</v>
      </c>
      <c r="T1186" t="s">
        <v>550</v>
      </c>
      <c r="U1186" t="s">
        <v>550</v>
      </c>
      <c r="V1186" t="s">
        <v>4885</v>
      </c>
      <c r="W1186" t="s">
        <v>613</v>
      </c>
      <c r="X1186" t="s">
        <v>74</v>
      </c>
      <c r="Y1186" t="s">
        <v>786</v>
      </c>
      <c r="Z1186" t="s">
        <v>4883</v>
      </c>
    </row>
    <row r="1187" spans="1:26" x14ac:dyDescent="0.3">
      <c r="A1187" t="s">
        <v>525</v>
      </c>
      <c r="B1187" t="s">
        <v>4886</v>
      </c>
      <c r="C1187" t="s">
        <v>4887</v>
      </c>
      <c r="D1187" t="s">
        <v>3971</v>
      </c>
      <c r="E1187" t="s">
        <v>1117</v>
      </c>
      <c r="F1187" t="s">
        <v>1118</v>
      </c>
      <c r="G1187" s="1">
        <v>44927</v>
      </c>
      <c r="H1187" s="1">
        <v>45182</v>
      </c>
      <c r="I1187" t="s">
        <v>665</v>
      </c>
      <c r="J1187" t="s">
        <v>1119</v>
      </c>
      <c r="K1187" t="s">
        <v>24</v>
      </c>
      <c r="L1187" t="s">
        <v>216</v>
      </c>
      <c r="M1187" t="s">
        <v>1120</v>
      </c>
      <c r="N1187" t="s">
        <v>1121</v>
      </c>
      <c r="O1187" t="s">
        <v>1031</v>
      </c>
      <c r="P1187" t="s">
        <v>239</v>
      </c>
      <c r="Q1187" t="s">
        <v>4080</v>
      </c>
      <c r="R1187" t="s">
        <v>4081</v>
      </c>
      <c r="S1187" t="s">
        <v>783</v>
      </c>
      <c r="T1187" t="s">
        <v>550</v>
      </c>
      <c r="U1187" t="s">
        <v>784</v>
      </c>
      <c r="V1187" t="s">
        <v>4888</v>
      </c>
      <c r="W1187" t="s">
        <v>613</v>
      </c>
      <c r="X1187" t="s">
        <v>74</v>
      </c>
      <c r="Y1187" t="s">
        <v>786</v>
      </c>
      <c r="Z1187" t="s">
        <v>4886</v>
      </c>
    </row>
    <row r="1188" spans="1:26" x14ac:dyDescent="0.3">
      <c r="A1188" t="s">
        <v>525</v>
      </c>
      <c r="B1188" t="s">
        <v>4889</v>
      </c>
      <c r="C1188" t="s">
        <v>4890</v>
      </c>
      <c r="D1188" t="s">
        <v>550</v>
      </c>
      <c r="E1188" t="s">
        <v>4507</v>
      </c>
      <c r="F1188" t="s">
        <v>4508</v>
      </c>
      <c r="G1188" s="1">
        <v>45200</v>
      </c>
      <c r="H1188" s="1">
        <v>45200</v>
      </c>
      <c r="I1188" t="s">
        <v>665</v>
      </c>
      <c r="J1188" t="s">
        <v>4509</v>
      </c>
      <c r="K1188" t="s">
        <v>862</v>
      </c>
      <c r="L1188" t="s">
        <v>216</v>
      </c>
      <c r="M1188" t="s">
        <v>1904</v>
      </c>
      <c r="N1188" t="s">
        <v>1905</v>
      </c>
      <c r="O1188" t="s">
        <v>1031</v>
      </c>
      <c r="P1188" t="s">
        <v>239</v>
      </c>
      <c r="Q1188" t="s">
        <v>4080</v>
      </c>
      <c r="R1188" t="s">
        <v>4081</v>
      </c>
      <c r="S1188" t="s">
        <v>783</v>
      </c>
      <c r="T1188" t="s">
        <v>550</v>
      </c>
      <c r="U1188" t="s">
        <v>1900</v>
      </c>
      <c r="V1188" t="s">
        <v>4891</v>
      </c>
      <c r="W1188" t="s">
        <v>869</v>
      </c>
      <c r="X1188" t="s">
        <v>870</v>
      </c>
      <c r="Y1188" t="s">
        <v>847</v>
      </c>
      <c r="Z1188" t="s">
        <v>4889</v>
      </c>
    </row>
    <row r="1189" spans="1:26" x14ac:dyDescent="0.3">
      <c r="A1189" t="s">
        <v>525</v>
      </c>
      <c r="B1189" t="s">
        <v>4892</v>
      </c>
      <c r="C1189" t="s">
        <v>4893</v>
      </c>
      <c r="D1189" t="s">
        <v>4889</v>
      </c>
      <c r="E1189" t="s">
        <v>4507</v>
      </c>
      <c r="F1189" t="s">
        <v>4508</v>
      </c>
      <c r="G1189" s="1">
        <v>45230</v>
      </c>
      <c r="H1189" s="1">
        <v>45237</v>
      </c>
      <c r="I1189" t="s">
        <v>665</v>
      </c>
      <c r="J1189" t="s">
        <v>4509</v>
      </c>
      <c r="K1189" t="s">
        <v>862</v>
      </c>
      <c r="L1189" t="s">
        <v>216</v>
      </c>
      <c r="M1189" t="s">
        <v>1904</v>
      </c>
      <c r="N1189" t="s">
        <v>1905</v>
      </c>
      <c r="O1189" t="s">
        <v>1031</v>
      </c>
      <c r="P1189" t="s">
        <v>239</v>
      </c>
      <c r="Q1189" t="s">
        <v>4080</v>
      </c>
      <c r="R1189" t="s">
        <v>4081</v>
      </c>
      <c r="S1189" t="s">
        <v>783</v>
      </c>
      <c r="T1189" t="s">
        <v>550</v>
      </c>
      <c r="U1189" t="s">
        <v>1900</v>
      </c>
      <c r="V1189" t="s">
        <v>4894</v>
      </c>
      <c r="W1189" t="s">
        <v>869</v>
      </c>
      <c r="X1189" t="s">
        <v>870</v>
      </c>
      <c r="Y1189" t="s">
        <v>847</v>
      </c>
      <c r="Z1189" t="s">
        <v>4892</v>
      </c>
    </row>
    <row r="1190" spans="1:26" x14ac:dyDescent="0.3">
      <c r="A1190" t="s">
        <v>525</v>
      </c>
      <c r="B1190" t="s">
        <v>4895</v>
      </c>
      <c r="C1190" t="s">
        <v>4896</v>
      </c>
      <c r="D1190" t="s">
        <v>4686</v>
      </c>
      <c r="E1190" t="s">
        <v>982</v>
      </c>
      <c r="F1190" t="s">
        <v>983</v>
      </c>
      <c r="G1190" s="1">
        <v>45292</v>
      </c>
      <c r="H1190" s="1">
        <v>45292</v>
      </c>
      <c r="I1190" t="s">
        <v>665</v>
      </c>
      <c r="J1190" t="s">
        <v>666</v>
      </c>
      <c r="K1190" t="s">
        <v>900</v>
      </c>
      <c r="L1190" t="s">
        <v>217</v>
      </c>
      <c r="M1190" t="s">
        <v>2266</v>
      </c>
      <c r="N1190" t="s">
        <v>307</v>
      </c>
      <c r="O1190" t="s">
        <v>2266</v>
      </c>
      <c r="P1190" t="s">
        <v>307</v>
      </c>
      <c r="Q1190" t="s">
        <v>4080</v>
      </c>
      <c r="R1190" t="s">
        <v>4081</v>
      </c>
      <c r="S1190" t="s">
        <v>783</v>
      </c>
      <c r="T1190" t="s">
        <v>550</v>
      </c>
      <c r="U1190" t="s">
        <v>550</v>
      </c>
      <c r="V1190" t="s">
        <v>4897</v>
      </c>
      <c r="W1190" t="s">
        <v>2255</v>
      </c>
      <c r="Z1190" t="s">
        <v>4895</v>
      </c>
    </row>
    <row r="1191" spans="1:26" x14ac:dyDescent="0.3">
      <c r="A1191" t="s">
        <v>525</v>
      </c>
      <c r="B1191" t="s">
        <v>4898</v>
      </c>
      <c r="C1191" t="s">
        <v>4899</v>
      </c>
      <c r="D1191" t="s">
        <v>980</v>
      </c>
      <c r="E1191" t="s">
        <v>982</v>
      </c>
      <c r="F1191" t="s">
        <v>983</v>
      </c>
      <c r="G1191" s="1">
        <v>45292</v>
      </c>
      <c r="H1191" s="1">
        <v>45292</v>
      </c>
      <c r="I1191" t="s">
        <v>665</v>
      </c>
      <c r="J1191" t="s">
        <v>666</v>
      </c>
      <c r="K1191" t="s">
        <v>24</v>
      </c>
      <c r="L1191" t="s">
        <v>217</v>
      </c>
      <c r="M1191" t="s">
        <v>2266</v>
      </c>
      <c r="N1191" t="s">
        <v>307</v>
      </c>
      <c r="O1191" t="s">
        <v>2266</v>
      </c>
      <c r="P1191" t="s">
        <v>307</v>
      </c>
      <c r="Q1191" t="s">
        <v>4080</v>
      </c>
      <c r="R1191" t="s">
        <v>4081</v>
      </c>
      <c r="S1191" t="s">
        <v>783</v>
      </c>
      <c r="T1191" t="s">
        <v>550</v>
      </c>
      <c r="U1191" t="s">
        <v>550</v>
      </c>
      <c r="V1191" t="s">
        <v>4900</v>
      </c>
      <c r="W1191" t="s">
        <v>2255</v>
      </c>
      <c r="Z1191" t="s">
        <v>4898</v>
      </c>
    </row>
    <row r="1192" spans="1:26" x14ac:dyDescent="0.3">
      <c r="A1192" t="s">
        <v>525</v>
      </c>
      <c r="B1192" t="s">
        <v>4901</v>
      </c>
      <c r="C1192" t="s">
        <v>4902</v>
      </c>
      <c r="D1192" t="s">
        <v>4903</v>
      </c>
      <c r="E1192" t="s">
        <v>4904</v>
      </c>
      <c r="F1192" t="s">
        <v>4905</v>
      </c>
      <c r="G1192" s="1">
        <v>45292</v>
      </c>
      <c r="H1192" s="1">
        <v>45297</v>
      </c>
      <c r="I1192" t="s">
        <v>665</v>
      </c>
      <c r="J1192" t="s">
        <v>4906</v>
      </c>
      <c r="K1192" t="s">
        <v>4782</v>
      </c>
      <c r="L1192" t="s">
        <v>216</v>
      </c>
      <c r="M1192" t="s">
        <v>1222</v>
      </c>
      <c r="N1192" t="s">
        <v>231</v>
      </c>
      <c r="O1192" t="s">
        <v>1031</v>
      </c>
      <c r="P1192" t="s">
        <v>239</v>
      </c>
      <c r="Q1192" t="s">
        <v>4080</v>
      </c>
      <c r="R1192" t="s">
        <v>4081</v>
      </c>
      <c r="S1192" t="s">
        <v>783</v>
      </c>
      <c r="T1192" t="s">
        <v>550</v>
      </c>
      <c r="U1192" t="s">
        <v>4907</v>
      </c>
      <c r="V1192" t="s">
        <v>4908</v>
      </c>
      <c r="W1192" t="s">
        <v>613</v>
      </c>
      <c r="X1192" t="s">
        <v>272</v>
      </c>
      <c r="Y1192" t="s">
        <v>4561</v>
      </c>
      <c r="Z1192" t="s">
        <v>4901</v>
      </c>
    </row>
    <row r="1193" spans="1:26" x14ac:dyDescent="0.3">
      <c r="A1193" t="s">
        <v>525</v>
      </c>
      <c r="B1193" t="s">
        <v>4754</v>
      </c>
      <c r="C1193" t="s">
        <v>4909</v>
      </c>
      <c r="D1193" t="s">
        <v>550</v>
      </c>
      <c r="E1193" t="s">
        <v>664</v>
      </c>
      <c r="F1193" t="s">
        <v>27</v>
      </c>
      <c r="G1193" s="1">
        <v>45292</v>
      </c>
      <c r="H1193" s="1">
        <v>45292</v>
      </c>
      <c r="I1193" t="s">
        <v>780</v>
      </c>
      <c r="J1193" t="s">
        <v>666</v>
      </c>
      <c r="K1193" t="s">
        <v>24</v>
      </c>
      <c r="L1193" t="s">
        <v>217</v>
      </c>
      <c r="M1193" t="s">
        <v>2299</v>
      </c>
      <c r="N1193" t="s">
        <v>265</v>
      </c>
      <c r="O1193" t="s">
        <v>1031</v>
      </c>
      <c r="P1193" t="s">
        <v>239</v>
      </c>
      <c r="Q1193" t="s">
        <v>4080</v>
      </c>
      <c r="R1193" t="s">
        <v>4081</v>
      </c>
      <c r="S1193" t="s">
        <v>783</v>
      </c>
      <c r="T1193" t="s">
        <v>550</v>
      </c>
      <c r="U1193" t="s">
        <v>550</v>
      </c>
      <c r="V1193" t="s">
        <v>4910</v>
      </c>
      <c r="W1193" t="s">
        <v>613</v>
      </c>
      <c r="Z1193" t="s">
        <v>4754</v>
      </c>
    </row>
    <row r="1194" spans="1:26" x14ac:dyDescent="0.3">
      <c r="A1194" t="s">
        <v>525</v>
      </c>
      <c r="B1194" t="s">
        <v>4911</v>
      </c>
      <c r="C1194" t="s">
        <v>4912</v>
      </c>
      <c r="D1194" t="s">
        <v>1274</v>
      </c>
      <c r="E1194" t="s">
        <v>1275</v>
      </c>
      <c r="F1194" t="s">
        <v>1276</v>
      </c>
      <c r="G1194" s="1">
        <v>44562</v>
      </c>
      <c r="H1194" s="1">
        <v>44562</v>
      </c>
      <c r="I1194" t="s">
        <v>665</v>
      </c>
      <c r="J1194" t="s">
        <v>1277</v>
      </c>
      <c r="K1194" t="s">
        <v>24</v>
      </c>
      <c r="L1194" t="s">
        <v>1045</v>
      </c>
      <c r="M1194" t="s">
        <v>1293</v>
      </c>
      <c r="N1194" t="s">
        <v>256</v>
      </c>
      <c r="O1194" t="s">
        <v>1031</v>
      </c>
      <c r="P1194" t="s">
        <v>239</v>
      </c>
      <c r="Q1194" t="s">
        <v>4080</v>
      </c>
      <c r="R1194" t="s">
        <v>4081</v>
      </c>
      <c r="S1194" t="s">
        <v>1471</v>
      </c>
      <c r="T1194" t="s">
        <v>550</v>
      </c>
      <c r="U1194" t="s">
        <v>550</v>
      </c>
      <c r="V1194" t="s">
        <v>4913</v>
      </c>
      <c r="W1194" t="s">
        <v>613</v>
      </c>
      <c r="X1194" t="s">
        <v>74</v>
      </c>
      <c r="Y1194" t="s">
        <v>1281</v>
      </c>
      <c r="Z1194" t="s">
        <v>4911</v>
      </c>
    </row>
    <row r="1195" spans="1:26" x14ac:dyDescent="0.3">
      <c r="A1195" t="s">
        <v>525</v>
      </c>
      <c r="B1195" t="s">
        <v>4914</v>
      </c>
      <c r="C1195" t="s">
        <v>4915</v>
      </c>
      <c r="D1195" t="s">
        <v>1274</v>
      </c>
      <c r="E1195" t="s">
        <v>1275</v>
      </c>
      <c r="F1195" t="s">
        <v>1276</v>
      </c>
      <c r="G1195" s="1">
        <v>44927</v>
      </c>
      <c r="H1195" s="1">
        <v>44970</v>
      </c>
      <c r="I1195" t="s">
        <v>665</v>
      </c>
      <c r="J1195" t="s">
        <v>1277</v>
      </c>
      <c r="K1195" t="s">
        <v>24</v>
      </c>
      <c r="L1195" t="s">
        <v>216</v>
      </c>
      <c r="M1195" t="s">
        <v>1293</v>
      </c>
      <c r="N1195" t="s">
        <v>256</v>
      </c>
      <c r="O1195" t="s">
        <v>1031</v>
      </c>
      <c r="P1195" t="s">
        <v>239</v>
      </c>
      <c r="Q1195" t="s">
        <v>4080</v>
      </c>
      <c r="R1195" t="s">
        <v>4081</v>
      </c>
      <c r="S1195" t="s">
        <v>1471</v>
      </c>
      <c r="T1195" t="s">
        <v>550</v>
      </c>
      <c r="U1195" t="s">
        <v>4865</v>
      </c>
      <c r="V1195" t="s">
        <v>4916</v>
      </c>
      <c r="W1195" t="s">
        <v>613</v>
      </c>
      <c r="X1195" t="s">
        <v>74</v>
      </c>
      <c r="Y1195" t="s">
        <v>1281</v>
      </c>
      <c r="Z1195" t="s">
        <v>4914</v>
      </c>
    </row>
    <row r="1196" spans="1:26" x14ac:dyDescent="0.3">
      <c r="A1196" t="s">
        <v>525</v>
      </c>
      <c r="B1196" t="s">
        <v>4917</v>
      </c>
      <c r="C1196" t="s">
        <v>4918</v>
      </c>
      <c r="D1196" t="s">
        <v>1822</v>
      </c>
      <c r="E1196" t="s">
        <v>1813</v>
      </c>
      <c r="F1196" t="s">
        <v>1339</v>
      </c>
      <c r="G1196" s="1">
        <v>44562</v>
      </c>
      <c r="H1196" s="1">
        <v>44562</v>
      </c>
      <c r="I1196" t="s">
        <v>665</v>
      </c>
      <c r="J1196" t="s">
        <v>1814</v>
      </c>
      <c r="K1196" t="s">
        <v>958</v>
      </c>
      <c r="L1196" t="s">
        <v>216</v>
      </c>
      <c r="M1196" t="s">
        <v>1293</v>
      </c>
      <c r="N1196" t="s">
        <v>256</v>
      </c>
      <c r="O1196" t="s">
        <v>1031</v>
      </c>
      <c r="P1196" t="s">
        <v>239</v>
      </c>
      <c r="Q1196" t="s">
        <v>4080</v>
      </c>
      <c r="R1196" t="s">
        <v>4081</v>
      </c>
      <c r="S1196" t="s">
        <v>783</v>
      </c>
      <c r="T1196" t="s">
        <v>550</v>
      </c>
      <c r="U1196" t="s">
        <v>162</v>
      </c>
      <c r="V1196" t="s">
        <v>4919</v>
      </c>
      <c r="W1196" t="s">
        <v>1021</v>
      </c>
      <c r="X1196" t="s">
        <v>74</v>
      </c>
      <c r="Y1196" t="s">
        <v>803</v>
      </c>
      <c r="Z1196" t="s">
        <v>4917</v>
      </c>
    </row>
    <row r="1197" spans="1:26" x14ac:dyDescent="0.3">
      <c r="A1197" t="s">
        <v>525</v>
      </c>
      <c r="B1197" t="s">
        <v>4920</v>
      </c>
      <c r="C1197" t="s">
        <v>4921</v>
      </c>
      <c r="D1197" t="s">
        <v>1072</v>
      </c>
      <c r="E1197" t="s">
        <v>664</v>
      </c>
      <c r="F1197" t="s">
        <v>27</v>
      </c>
      <c r="G1197" s="1">
        <v>44562</v>
      </c>
      <c r="H1197" s="1">
        <v>44618</v>
      </c>
      <c r="I1197" t="s">
        <v>665</v>
      </c>
      <c r="J1197" t="s">
        <v>666</v>
      </c>
      <c r="K1197" t="s">
        <v>24</v>
      </c>
      <c r="L1197" t="s">
        <v>667</v>
      </c>
      <c r="M1197" t="s">
        <v>1293</v>
      </c>
      <c r="N1197" t="s">
        <v>256</v>
      </c>
      <c r="O1197" t="s">
        <v>1031</v>
      </c>
      <c r="P1197" t="s">
        <v>239</v>
      </c>
      <c r="Q1197" t="s">
        <v>4080</v>
      </c>
      <c r="R1197" t="s">
        <v>4081</v>
      </c>
      <c r="S1197" t="s">
        <v>783</v>
      </c>
      <c r="T1197" t="s">
        <v>550</v>
      </c>
      <c r="U1197" t="s">
        <v>550</v>
      </c>
      <c r="V1197" t="s">
        <v>4922</v>
      </c>
      <c r="W1197" t="s">
        <v>1021</v>
      </c>
      <c r="X1197" t="s">
        <v>74</v>
      </c>
      <c r="Y1197" t="s">
        <v>1075</v>
      </c>
      <c r="Z1197" t="s">
        <v>4920</v>
      </c>
    </row>
    <row r="1198" spans="1:26" x14ac:dyDescent="0.3">
      <c r="A1198" t="s">
        <v>525</v>
      </c>
      <c r="B1198" t="s">
        <v>4923</v>
      </c>
      <c r="C1198" t="s">
        <v>4924</v>
      </c>
      <c r="D1198" t="s">
        <v>1290</v>
      </c>
      <c r="E1198" t="s">
        <v>1275</v>
      </c>
      <c r="F1198" t="s">
        <v>1276</v>
      </c>
      <c r="G1198" s="1">
        <v>44562</v>
      </c>
      <c r="H1198" s="1">
        <v>44573</v>
      </c>
      <c r="I1198" t="s">
        <v>665</v>
      </c>
      <c r="J1198" t="s">
        <v>1277</v>
      </c>
      <c r="K1198" t="s">
        <v>24</v>
      </c>
      <c r="L1198" t="s">
        <v>216</v>
      </c>
      <c r="M1198" t="s">
        <v>1293</v>
      </c>
      <c r="N1198" t="s">
        <v>256</v>
      </c>
      <c r="O1198" t="s">
        <v>1031</v>
      </c>
      <c r="P1198" t="s">
        <v>239</v>
      </c>
      <c r="Q1198" t="s">
        <v>4080</v>
      </c>
      <c r="R1198" t="s">
        <v>4081</v>
      </c>
      <c r="S1198" t="s">
        <v>783</v>
      </c>
      <c r="T1198" t="s">
        <v>550</v>
      </c>
      <c r="U1198" t="s">
        <v>550</v>
      </c>
      <c r="V1198" t="s">
        <v>4925</v>
      </c>
      <c r="W1198" t="s">
        <v>613</v>
      </c>
      <c r="X1198" t="s">
        <v>74</v>
      </c>
      <c r="Y1198" t="s">
        <v>786</v>
      </c>
      <c r="Z1198" t="s">
        <v>4923</v>
      </c>
    </row>
    <row r="1199" spans="1:26" x14ac:dyDescent="0.3">
      <c r="A1199" t="s">
        <v>525</v>
      </c>
      <c r="B1199" t="s">
        <v>4926</v>
      </c>
      <c r="C1199" t="s">
        <v>4927</v>
      </c>
      <c r="D1199" t="s">
        <v>1290</v>
      </c>
      <c r="E1199" t="s">
        <v>1291</v>
      </c>
      <c r="F1199" t="s">
        <v>1292</v>
      </c>
      <c r="G1199" s="1">
        <v>44562</v>
      </c>
      <c r="H1199" s="1">
        <v>44570</v>
      </c>
      <c r="I1199" t="s">
        <v>665</v>
      </c>
      <c r="J1199" t="s">
        <v>1041</v>
      </c>
      <c r="K1199" t="s">
        <v>24</v>
      </c>
      <c r="L1199" t="s">
        <v>216</v>
      </c>
      <c r="M1199" t="s">
        <v>1293</v>
      </c>
      <c r="N1199" t="s">
        <v>256</v>
      </c>
      <c r="O1199" t="s">
        <v>1031</v>
      </c>
      <c r="P1199" t="s">
        <v>239</v>
      </c>
      <c r="Q1199" t="s">
        <v>4080</v>
      </c>
      <c r="R1199" t="s">
        <v>4081</v>
      </c>
      <c r="S1199" t="s">
        <v>783</v>
      </c>
      <c r="T1199" t="s">
        <v>550</v>
      </c>
      <c r="U1199" t="s">
        <v>162</v>
      </c>
      <c r="V1199" t="s">
        <v>4928</v>
      </c>
      <c r="W1199" t="s">
        <v>613</v>
      </c>
      <c r="X1199" t="s">
        <v>74</v>
      </c>
      <c r="Y1199" t="s">
        <v>786</v>
      </c>
      <c r="Z1199" t="s">
        <v>4926</v>
      </c>
    </row>
    <row r="1200" spans="1:26" x14ac:dyDescent="0.3">
      <c r="A1200" t="s">
        <v>525</v>
      </c>
      <c r="B1200" t="s">
        <v>4929</v>
      </c>
      <c r="C1200" t="s">
        <v>4930</v>
      </c>
      <c r="D1200" t="s">
        <v>1109</v>
      </c>
      <c r="E1200" t="s">
        <v>664</v>
      </c>
      <c r="F1200" t="s">
        <v>27</v>
      </c>
      <c r="G1200" s="1">
        <v>44562</v>
      </c>
      <c r="H1200" s="1">
        <v>44562</v>
      </c>
      <c r="I1200" t="s">
        <v>665</v>
      </c>
      <c r="J1200" t="s">
        <v>666</v>
      </c>
      <c r="K1200" t="s">
        <v>24</v>
      </c>
      <c r="L1200" t="s">
        <v>1045</v>
      </c>
      <c r="M1200" t="s">
        <v>1095</v>
      </c>
      <c r="N1200" t="s">
        <v>298</v>
      </c>
      <c r="O1200" t="s">
        <v>1031</v>
      </c>
      <c r="P1200" t="s">
        <v>239</v>
      </c>
      <c r="Q1200" t="s">
        <v>4080</v>
      </c>
      <c r="R1200" t="s">
        <v>4081</v>
      </c>
      <c r="S1200" t="s">
        <v>1471</v>
      </c>
      <c r="T1200" t="s">
        <v>550</v>
      </c>
      <c r="U1200" t="s">
        <v>550</v>
      </c>
      <c r="V1200" t="s">
        <v>4931</v>
      </c>
      <c r="W1200" t="s">
        <v>1021</v>
      </c>
      <c r="X1200" t="s">
        <v>74</v>
      </c>
      <c r="Y1200" t="s">
        <v>1033</v>
      </c>
      <c r="Z1200" t="s">
        <v>4929</v>
      </c>
    </row>
    <row r="1201" spans="1:26" x14ac:dyDescent="0.3">
      <c r="A1201" t="s">
        <v>525</v>
      </c>
      <c r="B1201" t="s">
        <v>4932</v>
      </c>
      <c r="C1201" t="s">
        <v>4933</v>
      </c>
      <c r="D1201" t="s">
        <v>1109</v>
      </c>
      <c r="E1201" t="s">
        <v>664</v>
      </c>
      <c r="F1201" t="s">
        <v>27</v>
      </c>
      <c r="G1201" s="1">
        <v>44927</v>
      </c>
      <c r="H1201" s="1">
        <v>44939</v>
      </c>
      <c r="I1201" t="s">
        <v>665</v>
      </c>
      <c r="J1201" t="s">
        <v>666</v>
      </c>
      <c r="K1201" t="s">
        <v>24</v>
      </c>
      <c r="L1201" t="s">
        <v>216</v>
      </c>
      <c r="M1201" t="s">
        <v>1095</v>
      </c>
      <c r="N1201" t="s">
        <v>298</v>
      </c>
      <c r="O1201" t="s">
        <v>1031</v>
      </c>
      <c r="P1201" t="s">
        <v>239</v>
      </c>
      <c r="Q1201" t="s">
        <v>4080</v>
      </c>
      <c r="R1201" t="s">
        <v>4081</v>
      </c>
      <c r="S1201" t="s">
        <v>1471</v>
      </c>
      <c r="T1201" t="s">
        <v>550</v>
      </c>
      <c r="U1201" t="s">
        <v>4427</v>
      </c>
      <c r="V1201" t="s">
        <v>4934</v>
      </c>
      <c r="W1201" t="s">
        <v>1021</v>
      </c>
      <c r="X1201" t="s">
        <v>74</v>
      </c>
      <c r="Y1201" t="s">
        <v>1033</v>
      </c>
      <c r="Z1201" t="s">
        <v>4932</v>
      </c>
    </row>
    <row r="1202" spans="1:26" x14ac:dyDescent="0.3">
      <c r="A1202" t="s">
        <v>525</v>
      </c>
      <c r="B1202" t="s">
        <v>4935</v>
      </c>
      <c r="C1202" t="s">
        <v>4936</v>
      </c>
      <c r="D1202" t="s">
        <v>1100</v>
      </c>
      <c r="E1202" t="s">
        <v>1102</v>
      </c>
      <c r="F1202" t="s">
        <v>1103</v>
      </c>
      <c r="G1202" s="1">
        <v>44562</v>
      </c>
      <c r="H1202" s="1">
        <v>44593</v>
      </c>
      <c r="I1202" t="s">
        <v>665</v>
      </c>
      <c r="J1202" t="s">
        <v>1104</v>
      </c>
      <c r="K1202" t="s">
        <v>24</v>
      </c>
      <c r="L1202" t="s">
        <v>1045</v>
      </c>
      <c r="M1202" t="s">
        <v>1095</v>
      </c>
      <c r="N1202" t="s">
        <v>298</v>
      </c>
      <c r="O1202" t="s">
        <v>1031</v>
      </c>
      <c r="P1202" t="s">
        <v>239</v>
      </c>
      <c r="Q1202" t="s">
        <v>4080</v>
      </c>
      <c r="R1202" t="s">
        <v>4081</v>
      </c>
      <c r="S1202" t="s">
        <v>1471</v>
      </c>
      <c r="T1202" t="s">
        <v>550</v>
      </c>
      <c r="U1202" t="s">
        <v>550</v>
      </c>
      <c r="V1202" t="s">
        <v>4937</v>
      </c>
      <c r="W1202" t="s">
        <v>1021</v>
      </c>
      <c r="X1202" t="s">
        <v>74</v>
      </c>
      <c r="Y1202" t="s">
        <v>1033</v>
      </c>
      <c r="Z1202" t="s">
        <v>4935</v>
      </c>
    </row>
    <row r="1203" spans="1:26" x14ac:dyDescent="0.3">
      <c r="A1203" t="s">
        <v>525</v>
      </c>
      <c r="B1203" t="s">
        <v>4938</v>
      </c>
      <c r="C1203" t="s">
        <v>4939</v>
      </c>
      <c r="D1203" t="s">
        <v>1100</v>
      </c>
      <c r="E1203" t="s">
        <v>1102</v>
      </c>
      <c r="F1203" t="s">
        <v>1103</v>
      </c>
      <c r="G1203" s="1">
        <v>44927</v>
      </c>
      <c r="H1203" s="1">
        <v>44964</v>
      </c>
      <c r="I1203" t="s">
        <v>665</v>
      </c>
      <c r="J1203" t="s">
        <v>1104</v>
      </c>
      <c r="K1203" t="s">
        <v>24</v>
      </c>
      <c r="L1203" t="s">
        <v>216</v>
      </c>
      <c r="M1203" t="s">
        <v>1095</v>
      </c>
      <c r="N1203" t="s">
        <v>298</v>
      </c>
      <c r="O1203" t="s">
        <v>1031</v>
      </c>
      <c r="P1203" t="s">
        <v>239</v>
      </c>
      <c r="Q1203" t="s">
        <v>4080</v>
      </c>
      <c r="R1203" t="s">
        <v>4081</v>
      </c>
      <c r="S1203" t="s">
        <v>1471</v>
      </c>
      <c r="T1203" t="s">
        <v>550</v>
      </c>
      <c r="U1203" t="s">
        <v>4427</v>
      </c>
      <c r="V1203" t="s">
        <v>4940</v>
      </c>
      <c r="W1203" t="s">
        <v>1021</v>
      </c>
      <c r="X1203" t="s">
        <v>74</v>
      </c>
      <c r="Y1203" t="s">
        <v>1033</v>
      </c>
      <c r="Z1203" t="s">
        <v>4938</v>
      </c>
    </row>
    <row r="1204" spans="1:26" x14ac:dyDescent="0.3">
      <c r="A1204" t="s">
        <v>525</v>
      </c>
      <c r="B1204" t="s">
        <v>4941</v>
      </c>
      <c r="C1204" t="s">
        <v>4942</v>
      </c>
      <c r="D1204" t="s">
        <v>1091</v>
      </c>
      <c r="E1204" t="s">
        <v>1092</v>
      </c>
      <c r="F1204" t="s">
        <v>1093</v>
      </c>
      <c r="G1204" s="1">
        <v>44562</v>
      </c>
      <c r="H1204" s="1">
        <v>44562</v>
      </c>
      <c r="I1204" t="s">
        <v>665</v>
      </c>
      <c r="J1204" t="s">
        <v>1094</v>
      </c>
      <c r="K1204" t="s">
        <v>24</v>
      </c>
      <c r="L1204" t="s">
        <v>1045</v>
      </c>
      <c r="M1204" t="s">
        <v>1095</v>
      </c>
      <c r="N1204" t="s">
        <v>298</v>
      </c>
      <c r="O1204" t="s">
        <v>1031</v>
      </c>
      <c r="P1204" t="s">
        <v>239</v>
      </c>
      <c r="Q1204" t="s">
        <v>4080</v>
      </c>
      <c r="R1204" t="s">
        <v>4081</v>
      </c>
      <c r="S1204" t="s">
        <v>1471</v>
      </c>
      <c r="T1204" t="s">
        <v>550</v>
      </c>
      <c r="U1204" t="s">
        <v>550</v>
      </c>
      <c r="V1204" t="s">
        <v>4943</v>
      </c>
      <c r="W1204" t="s">
        <v>1021</v>
      </c>
      <c r="X1204" t="s">
        <v>74</v>
      </c>
      <c r="Y1204" t="s">
        <v>1075</v>
      </c>
      <c r="Z1204" t="s">
        <v>4941</v>
      </c>
    </row>
    <row r="1205" spans="1:26" x14ac:dyDescent="0.3">
      <c r="A1205" t="s">
        <v>525</v>
      </c>
      <c r="B1205" t="s">
        <v>4944</v>
      </c>
      <c r="C1205" t="s">
        <v>4945</v>
      </c>
      <c r="D1205" t="s">
        <v>1091</v>
      </c>
      <c r="E1205" t="s">
        <v>1092</v>
      </c>
      <c r="F1205" t="s">
        <v>1093</v>
      </c>
      <c r="G1205" s="1">
        <v>44927</v>
      </c>
      <c r="H1205" s="1">
        <v>44945</v>
      </c>
      <c r="I1205" t="s">
        <v>665</v>
      </c>
      <c r="J1205" t="s">
        <v>1094</v>
      </c>
      <c r="K1205" t="s">
        <v>24</v>
      </c>
      <c r="L1205" t="s">
        <v>216</v>
      </c>
      <c r="M1205" t="s">
        <v>1095</v>
      </c>
      <c r="N1205" t="s">
        <v>298</v>
      </c>
      <c r="O1205" t="s">
        <v>1031</v>
      </c>
      <c r="P1205" t="s">
        <v>239</v>
      </c>
      <c r="Q1205" t="s">
        <v>4080</v>
      </c>
      <c r="R1205" t="s">
        <v>4081</v>
      </c>
      <c r="S1205" t="s">
        <v>1471</v>
      </c>
      <c r="T1205" t="s">
        <v>550</v>
      </c>
      <c r="U1205" t="s">
        <v>4427</v>
      </c>
      <c r="V1205" t="s">
        <v>4946</v>
      </c>
      <c r="W1205" t="s">
        <v>1021</v>
      </c>
      <c r="X1205" t="s">
        <v>74</v>
      </c>
      <c r="Y1205" t="s">
        <v>1075</v>
      </c>
      <c r="Z1205" t="s">
        <v>4944</v>
      </c>
    </row>
    <row r="1206" spans="1:26" x14ac:dyDescent="0.3">
      <c r="A1206" t="s">
        <v>525</v>
      </c>
      <c r="B1206" t="s">
        <v>4947</v>
      </c>
      <c r="C1206" t="s">
        <v>4948</v>
      </c>
      <c r="D1206" t="s">
        <v>1085</v>
      </c>
      <c r="E1206" t="s">
        <v>664</v>
      </c>
      <c r="F1206" t="s">
        <v>27</v>
      </c>
      <c r="G1206" s="1">
        <v>44562</v>
      </c>
      <c r="H1206" s="1">
        <v>44562</v>
      </c>
      <c r="I1206" t="s">
        <v>665</v>
      </c>
      <c r="J1206" t="s">
        <v>666</v>
      </c>
      <c r="K1206" t="s">
        <v>24</v>
      </c>
      <c r="L1206" t="s">
        <v>1045</v>
      </c>
      <c r="M1206" t="s">
        <v>1031</v>
      </c>
      <c r="N1206" t="s">
        <v>239</v>
      </c>
      <c r="O1206" t="s">
        <v>1031</v>
      </c>
      <c r="P1206" t="s">
        <v>239</v>
      </c>
      <c r="Q1206" t="s">
        <v>4080</v>
      </c>
      <c r="R1206" t="s">
        <v>4081</v>
      </c>
      <c r="S1206" t="s">
        <v>1471</v>
      </c>
      <c r="T1206" t="s">
        <v>550</v>
      </c>
      <c r="U1206" t="s">
        <v>550</v>
      </c>
      <c r="V1206" t="s">
        <v>4949</v>
      </c>
      <c r="W1206" t="s">
        <v>613</v>
      </c>
      <c r="X1206" t="s">
        <v>74</v>
      </c>
      <c r="Y1206" t="s">
        <v>786</v>
      </c>
      <c r="Z1206" t="s">
        <v>4947</v>
      </c>
    </row>
    <row r="1207" spans="1:26" x14ac:dyDescent="0.3">
      <c r="A1207" t="s">
        <v>525</v>
      </c>
      <c r="B1207" t="s">
        <v>4950</v>
      </c>
      <c r="C1207" t="s">
        <v>4951</v>
      </c>
      <c r="D1207" t="s">
        <v>1072</v>
      </c>
      <c r="E1207" t="s">
        <v>664</v>
      </c>
      <c r="F1207" t="s">
        <v>27</v>
      </c>
      <c r="G1207" s="1">
        <v>44927</v>
      </c>
      <c r="H1207" s="1">
        <v>44927</v>
      </c>
      <c r="I1207" t="s">
        <v>665</v>
      </c>
      <c r="J1207" t="s">
        <v>666</v>
      </c>
      <c r="K1207" t="s">
        <v>24</v>
      </c>
      <c r="L1207" t="s">
        <v>667</v>
      </c>
      <c r="M1207" t="s">
        <v>1031</v>
      </c>
      <c r="N1207" t="s">
        <v>239</v>
      </c>
      <c r="O1207" t="s">
        <v>1031</v>
      </c>
      <c r="P1207" t="s">
        <v>239</v>
      </c>
      <c r="Q1207" t="s">
        <v>4080</v>
      </c>
      <c r="R1207" t="s">
        <v>4081</v>
      </c>
      <c r="S1207" t="s">
        <v>783</v>
      </c>
      <c r="T1207" t="s">
        <v>550</v>
      </c>
      <c r="U1207" t="s">
        <v>4393</v>
      </c>
      <c r="V1207" t="s">
        <v>4952</v>
      </c>
      <c r="W1207" t="s">
        <v>1021</v>
      </c>
      <c r="X1207" t="s">
        <v>74</v>
      </c>
      <c r="Y1207" t="s">
        <v>1075</v>
      </c>
      <c r="Z1207" t="s">
        <v>4950</v>
      </c>
    </row>
    <row r="1208" spans="1:26" x14ac:dyDescent="0.3">
      <c r="A1208" t="s">
        <v>525</v>
      </c>
      <c r="B1208" t="s">
        <v>4953</v>
      </c>
      <c r="C1208" t="s">
        <v>4954</v>
      </c>
      <c r="D1208" t="s">
        <v>1079</v>
      </c>
      <c r="E1208" t="s">
        <v>664</v>
      </c>
      <c r="F1208" t="s">
        <v>27</v>
      </c>
      <c r="G1208" s="1">
        <v>44562</v>
      </c>
      <c r="H1208" s="1">
        <v>44562</v>
      </c>
      <c r="I1208" t="s">
        <v>665</v>
      </c>
      <c r="J1208" t="s">
        <v>666</v>
      </c>
      <c r="K1208" t="s">
        <v>24</v>
      </c>
      <c r="L1208" t="s">
        <v>863</v>
      </c>
      <c r="M1208" t="s">
        <v>1031</v>
      </c>
      <c r="N1208" t="s">
        <v>239</v>
      </c>
      <c r="O1208" t="s">
        <v>1031</v>
      </c>
      <c r="P1208" t="s">
        <v>239</v>
      </c>
      <c r="Q1208" t="s">
        <v>4080</v>
      </c>
      <c r="R1208" t="s">
        <v>4081</v>
      </c>
      <c r="S1208" t="s">
        <v>783</v>
      </c>
      <c r="T1208" t="s">
        <v>550</v>
      </c>
      <c r="U1208" t="s">
        <v>550</v>
      </c>
      <c r="V1208" t="s">
        <v>4955</v>
      </c>
      <c r="W1208" t="s">
        <v>1021</v>
      </c>
      <c r="X1208" t="s">
        <v>74</v>
      </c>
      <c r="Y1208" t="s">
        <v>1075</v>
      </c>
      <c r="Z1208" t="s">
        <v>4953</v>
      </c>
    </row>
    <row r="1209" spans="1:26" x14ac:dyDescent="0.3">
      <c r="A1209" t="s">
        <v>525</v>
      </c>
      <c r="B1209" t="s">
        <v>4956</v>
      </c>
      <c r="C1209" t="s">
        <v>4957</v>
      </c>
      <c r="D1209" t="s">
        <v>1398</v>
      </c>
      <c r="E1209" t="s">
        <v>664</v>
      </c>
      <c r="F1209" t="s">
        <v>27</v>
      </c>
      <c r="G1209" s="1">
        <v>44562</v>
      </c>
      <c r="H1209" s="1">
        <v>44562</v>
      </c>
      <c r="I1209" t="s">
        <v>665</v>
      </c>
      <c r="J1209" t="s">
        <v>666</v>
      </c>
      <c r="K1209" t="s">
        <v>24</v>
      </c>
      <c r="L1209" t="s">
        <v>1045</v>
      </c>
      <c r="M1209" t="s">
        <v>1095</v>
      </c>
      <c r="N1209" t="s">
        <v>298</v>
      </c>
      <c r="O1209" t="s">
        <v>1031</v>
      </c>
      <c r="P1209" t="s">
        <v>239</v>
      </c>
      <c r="Q1209" t="s">
        <v>4080</v>
      </c>
      <c r="R1209" t="s">
        <v>4081</v>
      </c>
      <c r="S1209" t="s">
        <v>1471</v>
      </c>
      <c r="T1209" t="s">
        <v>550</v>
      </c>
      <c r="U1209" t="s">
        <v>550</v>
      </c>
      <c r="V1209" t="s">
        <v>4958</v>
      </c>
      <c r="W1209" t="s">
        <v>1021</v>
      </c>
      <c r="X1209" t="s">
        <v>74</v>
      </c>
      <c r="Y1209" t="s">
        <v>1033</v>
      </c>
      <c r="Z1209" t="s">
        <v>4956</v>
      </c>
    </row>
    <row r="1210" spans="1:26" x14ac:dyDescent="0.3">
      <c r="A1210" t="s">
        <v>525</v>
      </c>
      <c r="B1210" t="s">
        <v>4623</v>
      </c>
      <c r="C1210" t="s">
        <v>4959</v>
      </c>
      <c r="D1210" t="s">
        <v>550</v>
      </c>
      <c r="E1210" t="s">
        <v>1039</v>
      </c>
      <c r="F1210" t="s">
        <v>1040</v>
      </c>
      <c r="G1210" s="1">
        <v>44927</v>
      </c>
      <c r="H1210" s="1">
        <v>44927</v>
      </c>
      <c r="I1210" t="s">
        <v>780</v>
      </c>
      <c r="J1210" t="s">
        <v>1041</v>
      </c>
      <c r="K1210" t="s">
        <v>24</v>
      </c>
      <c r="L1210" t="s">
        <v>216</v>
      </c>
      <c r="M1210" t="s">
        <v>3069</v>
      </c>
      <c r="O1210" t="s">
        <v>1031</v>
      </c>
      <c r="P1210" t="s">
        <v>239</v>
      </c>
      <c r="Q1210" t="s">
        <v>4080</v>
      </c>
      <c r="R1210" t="s">
        <v>4081</v>
      </c>
      <c r="S1210" t="s">
        <v>783</v>
      </c>
      <c r="T1210" t="s">
        <v>550</v>
      </c>
      <c r="U1210" t="s">
        <v>4494</v>
      </c>
      <c r="V1210" t="s">
        <v>4960</v>
      </c>
      <c r="W1210" t="s">
        <v>613</v>
      </c>
      <c r="X1210" t="s">
        <v>74</v>
      </c>
      <c r="Y1210" t="s">
        <v>786</v>
      </c>
      <c r="Z1210" t="s">
        <v>4623</v>
      </c>
    </row>
    <row r="1211" spans="1:26" x14ac:dyDescent="0.3">
      <c r="A1211" t="s">
        <v>525</v>
      </c>
      <c r="B1211" t="s">
        <v>4961</v>
      </c>
      <c r="C1211" t="s">
        <v>4959</v>
      </c>
      <c r="D1211" t="s">
        <v>4623</v>
      </c>
      <c r="E1211" t="s">
        <v>1039</v>
      </c>
      <c r="F1211" t="s">
        <v>1040</v>
      </c>
      <c r="G1211" s="1">
        <v>44927</v>
      </c>
      <c r="H1211" s="1">
        <v>44954</v>
      </c>
      <c r="I1211" t="s">
        <v>665</v>
      </c>
      <c r="J1211" t="s">
        <v>1041</v>
      </c>
      <c r="K1211" t="s">
        <v>24</v>
      </c>
      <c r="L1211" t="s">
        <v>216</v>
      </c>
      <c r="M1211" t="s">
        <v>3069</v>
      </c>
      <c r="O1211" t="s">
        <v>1031</v>
      </c>
      <c r="P1211" t="s">
        <v>239</v>
      </c>
      <c r="Q1211" t="s">
        <v>4080</v>
      </c>
      <c r="R1211" t="s">
        <v>4081</v>
      </c>
      <c r="S1211" t="s">
        <v>783</v>
      </c>
      <c r="T1211" t="s">
        <v>550</v>
      </c>
      <c r="U1211" t="s">
        <v>4494</v>
      </c>
      <c r="V1211" t="s">
        <v>4962</v>
      </c>
      <c r="W1211" t="s">
        <v>613</v>
      </c>
      <c r="X1211" t="s">
        <v>74</v>
      </c>
      <c r="Y1211" t="s">
        <v>786</v>
      </c>
      <c r="Z1211" t="s">
        <v>4961</v>
      </c>
    </row>
    <row r="1212" spans="1:26" x14ac:dyDescent="0.3">
      <c r="A1212" t="s">
        <v>525</v>
      </c>
      <c r="B1212" t="s">
        <v>4963</v>
      </c>
      <c r="C1212" t="s">
        <v>777</v>
      </c>
      <c r="D1212" t="s">
        <v>776</v>
      </c>
      <c r="E1212" t="s">
        <v>778</v>
      </c>
      <c r="F1212" t="s">
        <v>779</v>
      </c>
      <c r="G1212" s="1">
        <v>44927</v>
      </c>
      <c r="H1212" s="1">
        <v>44929</v>
      </c>
      <c r="I1212" t="s">
        <v>665</v>
      </c>
      <c r="J1212" t="s">
        <v>781</v>
      </c>
      <c r="K1212" t="s">
        <v>24</v>
      </c>
      <c r="L1212" t="s">
        <v>216</v>
      </c>
      <c r="M1212" t="s">
        <v>782</v>
      </c>
      <c r="N1212" t="s">
        <v>287</v>
      </c>
      <c r="O1212" t="s">
        <v>1031</v>
      </c>
      <c r="P1212" t="s">
        <v>239</v>
      </c>
      <c r="Q1212" t="s">
        <v>4080</v>
      </c>
      <c r="R1212" t="s">
        <v>4081</v>
      </c>
      <c r="S1212" t="s">
        <v>783</v>
      </c>
      <c r="T1212" t="s">
        <v>550</v>
      </c>
      <c r="U1212" t="s">
        <v>784</v>
      </c>
      <c r="V1212" t="s">
        <v>4964</v>
      </c>
      <c r="W1212" t="s">
        <v>613</v>
      </c>
      <c r="X1212" t="s">
        <v>74</v>
      </c>
      <c r="Y1212" t="s">
        <v>786</v>
      </c>
      <c r="Z1212" t="s">
        <v>4963</v>
      </c>
    </row>
    <row r="1213" spans="1:26" x14ac:dyDescent="0.3">
      <c r="A1213" t="s">
        <v>525</v>
      </c>
      <c r="B1213" t="s">
        <v>4484</v>
      </c>
      <c r="C1213" t="s">
        <v>4965</v>
      </c>
      <c r="D1213" t="s">
        <v>550</v>
      </c>
      <c r="E1213" t="s">
        <v>778</v>
      </c>
      <c r="F1213" t="s">
        <v>779</v>
      </c>
      <c r="G1213" s="1">
        <v>45392</v>
      </c>
      <c r="H1213" s="1">
        <v>45392</v>
      </c>
      <c r="I1213" t="s">
        <v>780</v>
      </c>
      <c r="J1213" t="s">
        <v>781</v>
      </c>
      <c r="K1213" t="s">
        <v>24</v>
      </c>
      <c r="L1213" t="s">
        <v>216</v>
      </c>
      <c r="M1213" t="s">
        <v>782</v>
      </c>
      <c r="N1213" t="s">
        <v>287</v>
      </c>
      <c r="O1213" t="s">
        <v>1031</v>
      </c>
      <c r="P1213" t="s">
        <v>239</v>
      </c>
      <c r="Q1213" t="s">
        <v>4080</v>
      </c>
      <c r="R1213" t="s">
        <v>4081</v>
      </c>
      <c r="S1213" t="s">
        <v>550</v>
      </c>
      <c r="T1213" t="s">
        <v>550</v>
      </c>
      <c r="U1213" t="s">
        <v>550</v>
      </c>
      <c r="V1213" t="s">
        <v>4966</v>
      </c>
      <c r="W1213" t="s">
        <v>613</v>
      </c>
      <c r="X1213" t="s">
        <v>276</v>
      </c>
      <c r="Z1213" t="s">
        <v>4484</v>
      </c>
    </row>
    <row r="1214" spans="1:26" x14ac:dyDescent="0.3">
      <c r="A1214" t="s">
        <v>525</v>
      </c>
      <c r="B1214" t="s">
        <v>4642</v>
      </c>
      <c r="C1214" t="s">
        <v>1449</v>
      </c>
      <c r="D1214" t="s">
        <v>550</v>
      </c>
      <c r="E1214" t="s">
        <v>778</v>
      </c>
      <c r="F1214" t="s">
        <v>779</v>
      </c>
      <c r="G1214" s="1">
        <v>44197</v>
      </c>
      <c r="H1214" s="1">
        <v>44197</v>
      </c>
      <c r="I1214" t="s">
        <v>780</v>
      </c>
      <c r="J1214" t="s">
        <v>781</v>
      </c>
      <c r="K1214" t="s">
        <v>24</v>
      </c>
      <c r="L1214" t="s">
        <v>1045</v>
      </c>
      <c r="M1214" t="s">
        <v>782</v>
      </c>
      <c r="N1214" t="s">
        <v>287</v>
      </c>
      <c r="O1214" t="s">
        <v>1031</v>
      </c>
      <c r="P1214" t="s">
        <v>239</v>
      </c>
      <c r="Q1214" t="s">
        <v>4080</v>
      </c>
      <c r="R1214" t="s">
        <v>4081</v>
      </c>
      <c r="S1214" t="s">
        <v>550</v>
      </c>
      <c r="T1214" t="s">
        <v>550</v>
      </c>
      <c r="U1214" t="s">
        <v>550</v>
      </c>
      <c r="V1214" t="s">
        <v>4967</v>
      </c>
      <c r="W1214" t="s">
        <v>613</v>
      </c>
      <c r="X1214" t="s">
        <v>74</v>
      </c>
      <c r="Y1214" t="s">
        <v>786</v>
      </c>
      <c r="Z1214" t="s">
        <v>4642</v>
      </c>
    </row>
    <row r="1215" spans="1:26" x14ac:dyDescent="0.3">
      <c r="A1215" t="s">
        <v>525</v>
      </c>
      <c r="B1215" t="s">
        <v>4968</v>
      </c>
      <c r="C1215" t="s">
        <v>4969</v>
      </c>
      <c r="D1215" t="s">
        <v>4642</v>
      </c>
      <c r="E1215" t="s">
        <v>778</v>
      </c>
      <c r="F1215" t="s">
        <v>779</v>
      </c>
      <c r="G1215" s="1">
        <v>44197</v>
      </c>
      <c r="H1215" s="1">
        <v>44273</v>
      </c>
      <c r="I1215" t="s">
        <v>665</v>
      </c>
      <c r="J1215" t="s">
        <v>781</v>
      </c>
      <c r="K1215" t="s">
        <v>24</v>
      </c>
      <c r="L1215" t="s">
        <v>1045</v>
      </c>
      <c r="M1215" t="s">
        <v>782</v>
      </c>
      <c r="N1215" t="s">
        <v>287</v>
      </c>
      <c r="O1215" t="s">
        <v>1031</v>
      </c>
      <c r="P1215" t="s">
        <v>239</v>
      </c>
      <c r="Q1215" t="s">
        <v>4080</v>
      </c>
      <c r="R1215" t="s">
        <v>4081</v>
      </c>
      <c r="S1215" t="s">
        <v>550</v>
      </c>
      <c r="T1215" t="s">
        <v>550</v>
      </c>
      <c r="U1215" t="s">
        <v>162</v>
      </c>
      <c r="V1215" t="s">
        <v>4970</v>
      </c>
      <c r="W1215" t="s">
        <v>613</v>
      </c>
      <c r="X1215" t="s">
        <v>74</v>
      </c>
      <c r="Y1215" t="s">
        <v>786</v>
      </c>
      <c r="Z1215" t="s">
        <v>4968</v>
      </c>
    </row>
    <row r="1216" spans="1:26" x14ac:dyDescent="0.3">
      <c r="A1216" t="s">
        <v>525</v>
      </c>
      <c r="B1216" t="s">
        <v>4971</v>
      </c>
      <c r="C1216" t="s">
        <v>4972</v>
      </c>
      <c r="D1216" t="s">
        <v>4642</v>
      </c>
      <c r="E1216" t="s">
        <v>778</v>
      </c>
      <c r="F1216" t="s">
        <v>779</v>
      </c>
      <c r="G1216" s="1">
        <v>44562</v>
      </c>
      <c r="H1216" s="1">
        <v>44562</v>
      </c>
      <c r="I1216" t="s">
        <v>665</v>
      </c>
      <c r="J1216" t="s">
        <v>781</v>
      </c>
      <c r="K1216" t="s">
        <v>24</v>
      </c>
      <c r="L1216" t="s">
        <v>1045</v>
      </c>
      <c r="M1216" t="s">
        <v>782</v>
      </c>
      <c r="N1216" t="s">
        <v>287</v>
      </c>
      <c r="O1216" t="s">
        <v>1031</v>
      </c>
      <c r="P1216" t="s">
        <v>239</v>
      </c>
      <c r="Q1216" t="s">
        <v>4080</v>
      </c>
      <c r="R1216" t="s">
        <v>4081</v>
      </c>
      <c r="S1216" t="s">
        <v>783</v>
      </c>
      <c r="T1216" t="s">
        <v>550</v>
      </c>
      <c r="U1216" t="s">
        <v>162</v>
      </c>
      <c r="V1216" t="s">
        <v>4973</v>
      </c>
      <c r="W1216" t="s">
        <v>613</v>
      </c>
      <c r="X1216" t="s">
        <v>74</v>
      </c>
      <c r="Y1216" t="s">
        <v>786</v>
      </c>
      <c r="Z1216" t="s">
        <v>4971</v>
      </c>
    </row>
    <row r="1217" spans="1:26" x14ac:dyDescent="0.3">
      <c r="A1217" t="s">
        <v>525</v>
      </c>
      <c r="B1217" t="s">
        <v>4974</v>
      </c>
      <c r="C1217" t="s">
        <v>4975</v>
      </c>
      <c r="D1217" t="s">
        <v>4642</v>
      </c>
      <c r="E1217" t="s">
        <v>778</v>
      </c>
      <c r="F1217" t="s">
        <v>779</v>
      </c>
      <c r="G1217" s="1">
        <v>44562</v>
      </c>
      <c r="H1217" s="1">
        <v>44581</v>
      </c>
      <c r="I1217" t="s">
        <v>665</v>
      </c>
      <c r="J1217" t="s">
        <v>781</v>
      </c>
      <c r="K1217" t="s">
        <v>24</v>
      </c>
      <c r="L1217" t="s">
        <v>1045</v>
      </c>
      <c r="M1217" t="s">
        <v>782</v>
      </c>
      <c r="N1217" t="s">
        <v>287</v>
      </c>
      <c r="O1217" t="s">
        <v>1031</v>
      </c>
      <c r="P1217" t="s">
        <v>239</v>
      </c>
      <c r="Q1217" t="s">
        <v>4080</v>
      </c>
      <c r="R1217" t="s">
        <v>4081</v>
      </c>
      <c r="S1217" t="s">
        <v>783</v>
      </c>
      <c r="T1217" t="s">
        <v>550</v>
      </c>
      <c r="U1217" t="s">
        <v>162</v>
      </c>
      <c r="V1217" t="s">
        <v>4976</v>
      </c>
      <c r="W1217" t="s">
        <v>613</v>
      </c>
      <c r="X1217" t="s">
        <v>74</v>
      </c>
      <c r="Y1217" t="s">
        <v>786</v>
      </c>
      <c r="Z1217" t="s">
        <v>4974</v>
      </c>
    </row>
    <row r="1218" spans="1:26" x14ac:dyDescent="0.3">
      <c r="A1218" t="s">
        <v>525</v>
      </c>
      <c r="B1218" t="s">
        <v>4977</v>
      </c>
      <c r="C1218" t="s">
        <v>4978</v>
      </c>
      <c r="D1218" t="s">
        <v>4642</v>
      </c>
      <c r="E1218" t="s">
        <v>778</v>
      </c>
      <c r="F1218" t="s">
        <v>779</v>
      </c>
      <c r="G1218" s="1">
        <v>44927</v>
      </c>
      <c r="H1218" s="1">
        <v>44931</v>
      </c>
      <c r="I1218" t="s">
        <v>665</v>
      </c>
      <c r="J1218" t="s">
        <v>781</v>
      </c>
      <c r="K1218" t="s">
        <v>24</v>
      </c>
      <c r="L1218" t="s">
        <v>216</v>
      </c>
      <c r="M1218" t="s">
        <v>782</v>
      </c>
      <c r="N1218" t="s">
        <v>287</v>
      </c>
      <c r="O1218" t="s">
        <v>1031</v>
      </c>
      <c r="P1218" t="s">
        <v>239</v>
      </c>
      <c r="Q1218" t="s">
        <v>4080</v>
      </c>
      <c r="R1218" t="s">
        <v>4081</v>
      </c>
      <c r="S1218" t="s">
        <v>1471</v>
      </c>
      <c r="T1218" t="s">
        <v>550</v>
      </c>
      <c r="U1218" t="s">
        <v>784</v>
      </c>
      <c r="V1218" t="s">
        <v>4979</v>
      </c>
      <c r="W1218" t="s">
        <v>613</v>
      </c>
      <c r="X1218" t="s">
        <v>74</v>
      </c>
      <c r="Y1218" t="s">
        <v>786</v>
      </c>
      <c r="Z1218" t="s">
        <v>4977</v>
      </c>
    </row>
    <row r="1219" spans="1:26" x14ac:dyDescent="0.3">
      <c r="A1219" t="s">
        <v>525</v>
      </c>
      <c r="B1219" t="s">
        <v>4980</v>
      </c>
      <c r="C1219" t="s">
        <v>4981</v>
      </c>
      <c r="D1219" t="s">
        <v>4642</v>
      </c>
      <c r="E1219" t="s">
        <v>778</v>
      </c>
      <c r="F1219" t="s">
        <v>779</v>
      </c>
      <c r="G1219" s="1">
        <v>44927</v>
      </c>
      <c r="H1219" s="1">
        <v>44946</v>
      </c>
      <c r="I1219" t="s">
        <v>665</v>
      </c>
      <c r="J1219" t="s">
        <v>781</v>
      </c>
      <c r="K1219" t="s">
        <v>24</v>
      </c>
      <c r="L1219" t="s">
        <v>216</v>
      </c>
      <c r="M1219" t="s">
        <v>782</v>
      </c>
      <c r="N1219" t="s">
        <v>287</v>
      </c>
      <c r="O1219" t="s">
        <v>1031</v>
      </c>
      <c r="P1219" t="s">
        <v>239</v>
      </c>
      <c r="Q1219" t="s">
        <v>4080</v>
      </c>
      <c r="R1219" t="s">
        <v>4081</v>
      </c>
      <c r="S1219" t="s">
        <v>783</v>
      </c>
      <c r="T1219" t="s">
        <v>550</v>
      </c>
      <c r="U1219" t="s">
        <v>784</v>
      </c>
      <c r="V1219" t="s">
        <v>4982</v>
      </c>
      <c r="W1219" t="s">
        <v>613</v>
      </c>
      <c r="X1219" t="s">
        <v>74</v>
      </c>
      <c r="Y1219" t="s">
        <v>786</v>
      </c>
      <c r="Z1219" t="s">
        <v>4980</v>
      </c>
    </row>
    <row r="1220" spans="1:26" x14ac:dyDescent="0.3">
      <c r="A1220" t="s">
        <v>525</v>
      </c>
      <c r="B1220" t="s">
        <v>4872</v>
      </c>
      <c r="C1220" t="s">
        <v>4983</v>
      </c>
      <c r="D1220" t="s">
        <v>550</v>
      </c>
      <c r="E1220" t="s">
        <v>664</v>
      </c>
      <c r="F1220" t="s">
        <v>27</v>
      </c>
      <c r="G1220" s="1">
        <v>44927</v>
      </c>
      <c r="H1220" s="1">
        <v>44927</v>
      </c>
      <c r="I1220" t="s">
        <v>665</v>
      </c>
      <c r="J1220" t="s">
        <v>666</v>
      </c>
      <c r="K1220" t="s">
        <v>635</v>
      </c>
      <c r="L1220" t="s">
        <v>667</v>
      </c>
      <c r="M1220" t="s">
        <v>782</v>
      </c>
      <c r="N1220" t="s">
        <v>287</v>
      </c>
      <c r="O1220" t="s">
        <v>1031</v>
      </c>
      <c r="P1220" t="s">
        <v>239</v>
      </c>
      <c r="Q1220" t="s">
        <v>4080</v>
      </c>
      <c r="R1220" t="s">
        <v>4081</v>
      </c>
      <c r="S1220" t="s">
        <v>783</v>
      </c>
      <c r="T1220" t="s">
        <v>550</v>
      </c>
      <c r="U1220" t="s">
        <v>550</v>
      </c>
      <c r="V1220" t="s">
        <v>4873</v>
      </c>
      <c r="W1220" t="s">
        <v>613</v>
      </c>
      <c r="X1220" t="s">
        <v>74</v>
      </c>
      <c r="Y1220" t="s">
        <v>1281</v>
      </c>
      <c r="Z1220" t="s">
        <v>4872</v>
      </c>
    </row>
    <row r="1221" spans="1:26" x14ac:dyDescent="0.3">
      <c r="A1221" t="s">
        <v>525</v>
      </c>
      <c r="B1221" t="s">
        <v>4984</v>
      </c>
      <c r="C1221" t="s">
        <v>4985</v>
      </c>
      <c r="D1221" t="s">
        <v>550</v>
      </c>
      <c r="E1221" t="s">
        <v>664</v>
      </c>
      <c r="F1221" t="s">
        <v>27</v>
      </c>
      <c r="G1221" s="1">
        <v>44562</v>
      </c>
      <c r="H1221" s="1">
        <v>44926</v>
      </c>
      <c r="I1221" t="s">
        <v>665</v>
      </c>
      <c r="J1221" t="s">
        <v>666</v>
      </c>
      <c r="K1221" t="s">
        <v>635</v>
      </c>
      <c r="L1221" t="s">
        <v>667</v>
      </c>
      <c r="M1221" t="s">
        <v>1839</v>
      </c>
      <c r="N1221" t="s">
        <v>222</v>
      </c>
      <c r="O1221" t="s">
        <v>1031</v>
      </c>
      <c r="P1221" t="s">
        <v>239</v>
      </c>
      <c r="Q1221" t="s">
        <v>4080</v>
      </c>
      <c r="R1221" t="s">
        <v>4081</v>
      </c>
      <c r="S1221" t="s">
        <v>550</v>
      </c>
      <c r="T1221" t="s">
        <v>550</v>
      </c>
      <c r="U1221" t="s">
        <v>550</v>
      </c>
      <c r="V1221" t="s">
        <v>4986</v>
      </c>
      <c r="W1221" t="s">
        <v>613</v>
      </c>
      <c r="X1221" t="s">
        <v>669</v>
      </c>
      <c r="Y1221" t="s">
        <v>799</v>
      </c>
      <c r="Z1221" t="s">
        <v>4984</v>
      </c>
    </row>
    <row r="1222" spans="1:26" x14ac:dyDescent="0.3">
      <c r="A1222" t="s">
        <v>525</v>
      </c>
      <c r="B1222" t="s">
        <v>4987</v>
      </c>
      <c r="C1222" t="s">
        <v>4988</v>
      </c>
      <c r="D1222" t="s">
        <v>4984</v>
      </c>
      <c r="E1222" t="s">
        <v>664</v>
      </c>
      <c r="F1222" t="s">
        <v>27</v>
      </c>
      <c r="G1222" s="1">
        <v>44562</v>
      </c>
      <c r="H1222" s="1">
        <v>44562</v>
      </c>
      <c r="I1222" t="s">
        <v>665</v>
      </c>
      <c r="J1222" t="s">
        <v>666</v>
      </c>
      <c r="K1222" t="s">
        <v>635</v>
      </c>
      <c r="L1222" t="s">
        <v>667</v>
      </c>
      <c r="M1222" t="s">
        <v>1839</v>
      </c>
      <c r="N1222" t="s">
        <v>222</v>
      </c>
      <c r="O1222" t="s">
        <v>1031</v>
      </c>
      <c r="P1222" t="s">
        <v>239</v>
      </c>
      <c r="Q1222" t="s">
        <v>4080</v>
      </c>
      <c r="R1222" t="s">
        <v>4081</v>
      </c>
      <c r="S1222" t="s">
        <v>783</v>
      </c>
      <c r="T1222" t="s">
        <v>550</v>
      </c>
      <c r="U1222" t="s">
        <v>550</v>
      </c>
      <c r="V1222" t="s">
        <v>4989</v>
      </c>
      <c r="W1222" t="s">
        <v>613</v>
      </c>
      <c r="X1222" t="s">
        <v>669</v>
      </c>
      <c r="Y1222" t="s">
        <v>799</v>
      </c>
      <c r="Z1222" t="s">
        <v>4987</v>
      </c>
    </row>
    <row r="1223" spans="1:26" x14ac:dyDescent="0.3">
      <c r="A1223" t="s">
        <v>525</v>
      </c>
      <c r="B1223" t="s">
        <v>4990</v>
      </c>
      <c r="C1223" t="s">
        <v>4832</v>
      </c>
      <c r="D1223" t="s">
        <v>4831</v>
      </c>
      <c r="E1223" t="s">
        <v>4833</v>
      </c>
      <c r="F1223" t="s">
        <v>4834</v>
      </c>
      <c r="G1223" s="1">
        <v>44927</v>
      </c>
      <c r="H1223" s="1">
        <v>44970</v>
      </c>
      <c r="I1223" t="s">
        <v>665</v>
      </c>
      <c r="J1223" t="s">
        <v>4835</v>
      </c>
      <c r="K1223" t="s">
        <v>24</v>
      </c>
      <c r="L1223" t="s">
        <v>216</v>
      </c>
      <c r="M1223" t="s">
        <v>1293</v>
      </c>
      <c r="N1223" t="s">
        <v>256</v>
      </c>
      <c r="O1223" t="s">
        <v>1031</v>
      </c>
      <c r="P1223" t="s">
        <v>239</v>
      </c>
      <c r="Q1223" t="s">
        <v>4080</v>
      </c>
      <c r="R1223" t="s">
        <v>4081</v>
      </c>
      <c r="S1223" t="s">
        <v>783</v>
      </c>
      <c r="T1223" t="s">
        <v>550</v>
      </c>
      <c r="U1223" t="s">
        <v>4393</v>
      </c>
      <c r="V1223" t="s">
        <v>4991</v>
      </c>
      <c r="W1223" t="s">
        <v>1021</v>
      </c>
      <c r="X1223" t="s">
        <v>74</v>
      </c>
      <c r="Y1223" t="s">
        <v>1033</v>
      </c>
      <c r="Z1223" t="s">
        <v>4990</v>
      </c>
    </row>
    <row r="1224" spans="1:26" x14ac:dyDescent="0.3">
      <c r="A1224" t="s">
        <v>525</v>
      </c>
      <c r="B1224" t="s">
        <v>3351</v>
      </c>
      <c r="C1224" t="s">
        <v>4992</v>
      </c>
      <c r="D1224" t="s">
        <v>550</v>
      </c>
      <c r="E1224" t="s">
        <v>1318</v>
      </c>
      <c r="F1224" t="s">
        <v>1319</v>
      </c>
      <c r="G1224" s="1">
        <v>44562</v>
      </c>
      <c r="H1224" s="1">
        <v>44562</v>
      </c>
      <c r="I1224" t="s">
        <v>780</v>
      </c>
      <c r="J1224" t="s">
        <v>1320</v>
      </c>
      <c r="K1224" t="s">
        <v>958</v>
      </c>
      <c r="L1224" t="s">
        <v>216</v>
      </c>
      <c r="M1224" t="s">
        <v>4420</v>
      </c>
      <c r="N1224" t="s">
        <v>299</v>
      </c>
      <c r="O1224" t="s">
        <v>1031</v>
      </c>
      <c r="P1224" t="s">
        <v>239</v>
      </c>
      <c r="Q1224" t="s">
        <v>4080</v>
      </c>
      <c r="R1224" t="s">
        <v>4081</v>
      </c>
      <c r="S1224" t="s">
        <v>550</v>
      </c>
      <c r="T1224" t="s">
        <v>550</v>
      </c>
      <c r="U1224" t="s">
        <v>550</v>
      </c>
      <c r="V1224" t="s">
        <v>4993</v>
      </c>
      <c r="W1224" t="s">
        <v>613</v>
      </c>
      <c r="X1224" t="s">
        <v>74</v>
      </c>
      <c r="Y1224" t="s">
        <v>803</v>
      </c>
      <c r="Z1224" t="s">
        <v>3351</v>
      </c>
    </row>
    <row r="1225" spans="1:26" x14ac:dyDescent="0.3">
      <c r="A1225" t="s">
        <v>525</v>
      </c>
      <c r="B1225" t="s">
        <v>4994</v>
      </c>
      <c r="C1225" t="s">
        <v>4995</v>
      </c>
      <c r="D1225" t="s">
        <v>3351</v>
      </c>
      <c r="E1225" t="s">
        <v>2287</v>
      </c>
      <c r="F1225" t="s">
        <v>2288</v>
      </c>
      <c r="G1225" s="1">
        <v>44562</v>
      </c>
      <c r="H1225" s="1">
        <v>44562</v>
      </c>
      <c r="I1225" t="s">
        <v>665</v>
      </c>
      <c r="J1225" t="s">
        <v>2289</v>
      </c>
      <c r="K1225" t="s">
        <v>635</v>
      </c>
      <c r="L1225" t="s">
        <v>216</v>
      </c>
      <c r="M1225" t="s">
        <v>4420</v>
      </c>
      <c r="N1225" t="s">
        <v>299</v>
      </c>
      <c r="O1225" t="s">
        <v>1031</v>
      </c>
      <c r="P1225" t="s">
        <v>239</v>
      </c>
      <c r="Q1225" t="s">
        <v>4080</v>
      </c>
      <c r="R1225" t="s">
        <v>4081</v>
      </c>
      <c r="S1225" t="s">
        <v>783</v>
      </c>
      <c r="T1225" t="s">
        <v>550</v>
      </c>
      <c r="U1225" t="s">
        <v>550</v>
      </c>
      <c r="V1225" t="s">
        <v>4996</v>
      </c>
      <c r="W1225" t="s">
        <v>613</v>
      </c>
      <c r="X1225" t="s">
        <v>74</v>
      </c>
      <c r="Y1225" t="s">
        <v>803</v>
      </c>
      <c r="Z1225" t="s">
        <v>4994</v>
      </c>
    </row>
    <row r="1226" spans="1:26" x14ac:dyDescent="0.3">
      <c r="A1226" t="s">
        <v>525</v>
      </c>
      <c r="B1226" t="s">
        <v>2824</v>
      </c>
      <c r="C1226" t="s">
        <v>4997</v>
      </c>
      <c r="D1226" t="s">
        <v>550</v>
      </c>
      <c r="E1226" t="s">
        <v>2825</v>
      </c>
      <c r="F1226" t="s">
        <v>2826</v>
      </c>
      <c r="G1226" s="1">
        <v>44562</v>
      </c>
      <c r="H1226" s="1">
        <v>44926</v>
      </c>
      <c r="I1226" t="s">
        <v>780</v>
      </c>
      <c r="J1226" t="s">
        <v>2827</v>
      </c>
      <c r="K1226" t="s">
        <v>958</v>
      </c>
      <c r="L1226" t="s">
        <v>216</v>
      </c>
      <c r="M1226" t="s">
        <v>4420</v>
      </c>
      <c r="N1226" t="s">
        <v>299</v>
      </c>
      <c r="O1226" t="s">
        <v>1031</v>
      </c>
      <c r="P1226" t="s">
        <v>239</v>
      </c>
      <c r="Q1226" t="s">
        <v>4080</v>
      </c>
      <c r="R1226" t="s">
        <v>4081</v>
      </c>
      <c r="S1226" t="s">
        <v>783</v>
      </c>
      <c r="T1226" t="s">
        <v>550</v>
      </c>
      <c r="U1226" t="s">
        <v>550</v>
      </c>
      <c r="V1226" t="s">
        <v>4998</v>
      </c>
      <c r="W1226" t="s">
        <v>613</v>
      </c>
      <c r="X1226" t="s">
        <v>74</v>
      </c>
      <c r="Y1226" t="s">
        <v>786</v>
      </c>
      <c r="Z1226" t="s">
        <v>2824</v>
      </c>
    </row>
    <row r="1227" spans="1:26" x14ac:dyDescent="0.3">
      <c r="A1227" t="s">
        <v>525</v>
      </c>
      <c r="B1227" t="s">
        <v>4999</v>
      </c>
      <c r="C1227" t="s">
        <v>5000</v>
      </c>
      <c r="D1227" t="s">
        <v>2824</v>
      </c>
      <c r="E1227" t="s">
        <v>2825</v>
      </c>
      <c r="F1227" t="s">
        <v>2826</v>
      </c>
      <c r="G1227" s="1">
        <v>44562</v>
      </c>
      <c r="H1227" s="1">
        <v>44586</v>
      </c>
      <c r="I1227" t="s">
        <v>665</v>
      </c>
      <c r="J1227" t="s">
        <v>2827</v>
      </c>
      <c r="K1227" t="s">
        <v>958</v>
      </c>
      <c r="L1227" t="s">
        <v>216</v>
      </c>
      <c r="M1227" t="s">
        <v>4420</v>
      </c>
      <c r="N1227" t="s">
        <v>299</v>
      </c>
      <c r="O1227" t="s">
        <v>1031</v>
      </c>
      <c r="P1227" t="s">
        <v>239</v>
      </c>
      <c r="Q1227" t="s">
        <v>4080</v>
      </c>
      <c r="R1227" t="s">
        <v>4081</v>
      </c>
      <c r="S1227" t="s">
        <v>783</v>
      </c>
      <c r="T1227" t="s">
        <v>550</v>
      </c>
      <c r="U1227" t="s">
        <v>550</v>
      </c>
      <c r="V1227" t="s">
        <v>5001</v>
      </c>
      <c r="W1227" t="s">
        <v>613</v>
      </c>
      <c r="X1227" t="s">
        <v>74</v>
      </c>
      <c r="Y1227" t="s">
        <v>786</v>
      </c>
      <c r="Z1227" t="s">
        <v>4999</v>
      </c>
    </row>
    <row r="1228" spans="1:26" x14ac:dyDescent="0.3">
      <c r="A1228" t="s">
        <v>525</v>
      </c>
      <c r="B1228" t="s">
        <v>4829</v>
      </c>
      <c r="C1228" t="s">
        <v>5002</v>
      </c>
      <c r="D1228" t="s">
        <v>550</v>
      </c>
      <c r="E1228" t="s">
        <v>664</v>
      </c>
      <c r="F1228" t="s">
        <v>27</v>
      </c>
      <c r="G1228" s="1">
        <v>44562</v>
      </c>
      <c r="H1228" s="1">
        <v>44926</v>
      </c>
      <c r="I1228" t="s">
        <v>665</v>
      </c>
      <c r="J1228" t="s">
        <v>666</v>
      </c>
      <c r="K1228" t="s">
        <v>24</v>
      </c>
      <c r="L1228" t="s">
        <v>1045</v>
      </c>
      <c r="M1228" t="s">
        <v>1324</v>
      </c>
      <c r="N1228" t="s">
        <v>1325</v>
      </c>
      <c r="O1228" t="s">
        <v>1031</v>
      </c>
      <c r="P1228" t="s">
        <v>239</v>
      </c>
      <c r="Q1228" t="s">
        <v>4080</v>
      </c>
      <c r="R1228" t="s">
        <v>4081</v>
      </c>
      <c r="S1228" t="s">
        <v>1471</v>
      </c>
      <c r="T1228" t="s">
        <v>550</v>
      </c>
      <c r="U1228" t="s">
        <v>550</v>
      </c>
      <c r="V1228" t="s">
        <v>5003</v>
      </c>
      <c r="W1228" t="s">
        <v>1021</v>
      </c>
      <c r="X1228" t="s">
        <v>74</v>
      </c>
      <c r="Y1228" t="s">
        <v>1033</v>
      </c>
      <c r="Z1228" t="s">
        <v>4829</v>
      </c>
    </row>
    <row r="1229" spans="1:26" x14ac:dyDescent="0.3">
      <c r="A1229" t="s">
        <v>525</v>
      </c>
      <c r="B1229" t="s">
        <v>5004</v>
      </c>
      <c r="C1229" t="s">
        <v>5005</v>
      </c>
      <c r="D1229" t="s">
        <v>1056</v>
      </c>
      <c r="E1229" t="s">
        <v>664</v>
      </c>
      <c r="F1229" t="s">
        <v>27</v>
      </c>
      <c r="G1229" s="1">
        <v>45292</v>
      </c>
      <c r="H1229" s="1">
        <v>45293</v>
      </c>
      <c r="I1229" t="s">
        <v>665</v>
      </c>
      <c r="J1229" t="s">
        <v>666</v>
      </c>
      <c r="K1229" t="s">
        <v>24</v>
      </c>
      <c r="L1229" t="s">
        <v>216</v>
      </c>
      <c r="M1229" t="s">
        <v>1293</v>
      </c>
      <c r="N1229" t="s">
        <v>256</v>
      </c>
      <c r="O1229" t="s">
        <v>1031</v>
      </c>
      <c r="P1229" t="s">
        <v>239</v>
      </c>
      <c r="Q1229" t="s">
        <v>4080</v>
      </c>
      <c r="R1229" t="s">
        <v>4081</v>
      </c>
      <c r="S1229" t="s">
        <v>1471</v>
      </c>
      <c r="T1229" t="s">
        <v>550</v>
      </c>
      <c r="U1229" t="s">
        <v>550</v>
      </c>
      <c r="V1229" t="s">
        <v>5006</v>
      </c>
      <c r="W1229" t="s">
        <v>613</v>
      </c>
      <c r="X1229" t="s">
        <v>281</v>
      </c>
      <c r="Z1229" t="s">
        <v>5004</v>
      </c>
    </row>
    <row r="1230" spans="1:26" x14ac:dyDescent="0.3">
      <c r="A1230" t="s">
        <v>525</v>
      </c>
      <c r="B1230" t="s">
        <v>5007</v>
      </c>
      <c r="C1230" t="s">
        <v>5008</v>
      </c>
      <c r="D1230" t="s">
        <v>1056</v>
      </c>
      <c r="E1230" t="s">
        <v>664</v>
      </c>
      <c r="F1230" t="s">
        <v>27</v>
      </c>
      <c r="G1230" s="1">
        <v>44562</v>
      </c>
      <c r="H1230" s="1">
        <v>44562</v>
      </c>
      <c r="I1230" t="s">
        <v>665</v>
      </c>
      <c r="J1230" t="s">
        <v>666</v>
      </c>
      <c r="K1230" t="s">
        <v>24</v>
      </c>
      <c r="L1230" t="s">
        <v>1045</v>
      </c>
      <c r="M1230" t="s">
        <v>1293</v>
      </c>
      <c r="N1230" t="s">
        <v>256</v>
      </c>
      <c r="O1230" t="s">
        <v>1031</v>
      </c>
      <c r="P1230" t="s">
        <v>239</v>
      </c>
      <c r="Q1230" t="s">
        <v>4080</v>
      </c>
      <c r="R1230" t="s">
        <v>4081</v>
      </c>
      <c r="S1230" t="s">
        <v>1471</v>
      </c>
      <c r="T1230" t="s">
        <v>550</v>
      </c>
      <c r="U1230" t="s">
        <v>550</v>
      </c>
      <c r="V1230" t="s">
        <v>5009</v>
      </c>
      <c r="W1230" t="s">
        <v>1021</v>
      </c>
      <c r="X1230" t="s">
        <v>74</v>
      </c>
      <c r="Y1230" t="s">
        <v>1059</v>
      </c>
      <c r="Z1230" t="s">
        <v>5007</v>
      </c>
    </row>
    <row r="1231" spans="1:26" x14ac:dyDescent="0.3">
      <c r="A1231" t="s">
        <v>525</v>
      </c>
      <c r="B1231" t="s">
        <v>5010</v>
      </c>
      <c r="C1231" t="s">
        <v>5011</v>
      </c>
      <c r="D1231" t="s">
        <v>1056</v>
      </c>
      <c r="E1231" t="s">
        <v>664</v>
      </c>
      <c r="F1231" t="s">
        <v>27</v>
      </c>
      <c r="G1231" s="1">
        <v>44927</v>
      </c>
      <c r="H1231" s="1">
        <v>44927</v>
      </c>
      <c r="I1231" t="s">
        <v>665</v>
      </c>
      <c r="J1231" t="s">
        <v>666</v>
      </c>
      <c r="K1231" t="s">
        <v>24</v>
      </c>
      <c r="L1231" t="s">
        <v>216</v>
      </c>
      <c r="M1231" t="s">
        <v>1293</v>
      </c>
      <c r="N1231" t="s">
        <v>256</v>
      </c>
      <c r="O1231" t="s">
        <v>1031</v>
      </c>
      <c r="P1231" t="s">
        <v>239</v>
      </c>
      <c r="Q1231" t="s">
        <v>4080</v>
      </c>
      <c r="R1231" t="s">
        <v>4081</v>
      </c>
      <c r="S1231" t="s">
        <v>1471</v>
      </c>
      <c r="T1231" t="s">
        <v>550</v>
      </c>
      <c r="U1231" t="s">
        <v>4393</v>
      </c>
      <c r="V1231" t="s">
        <v>5012</v>
      </c>
      <c r="W1231" t="s">
        <v>1021</v>
      </c>
      <c r="X1231" t="s">
        <v>74</v>
      </c>
      <c r="Y1231" t="s">
        <v>1059</v>
      </c>
      <c r="Z1231" t="s">
        <v>5010</v>
      </c>
    </row>
    <row r="1232" spans="1:26" x14ac:dyDescent="0.3">
      <c r="A1232" t="s">
        <v>525</v>
      </c>
      <c r="B1232" t="s">
        <v>5013</v>
      </c>
      <c r="C1232" t="s">
        <v>5014</v>
      </c>
      <c r="D1232" t="s">
        <v>1085</v>
      </c>
      <c r="E1232" t="s">
        <v>664</v>
      </c>
      <c r="F1232" t="s">
        <v>27</v>
      </c>
      <c r="G1232" s="1">
        <v>44927</v>
      </c>
      <c r="H1232" s="1">
        <v>44945</v>
      </c>
      <c r="I1232" t="s">
        <v>665</v>
      </c>
      <c r="J1232" t="s">
        <v>666</v>
      </c>
      <c r="K1232" t="s">
        <v>24</v>
      </c>
      <c r="L1232" t="s">
        <v>216</v>
      </c>
      <c r="M1232" t="s">
        <v>1031</v>
      </c>
      <c r="N1232" t="s">
        <v>239</v>
      </c>
      <c r="O1232" t="s">
        <v>1804</v>
      </c>
      <c r="P1232" t="s">
        <v>315</v>
      </c>
      <c r="Q1232" t="s">
        <v>4080</v>
      </c>
      <c r="R1232" t="s">
        <v>4081</v>
      </c>
      <c r="S1232" t="s">
        <v>1471</v>
      </c>
      <c r="T1232" t="s">
        <v>550</v>
      </c>
      <c r="U1232" t="s">
        <v>1807</v>
      </c>
      <c r="V1232" t="s">
        <v>5015</v>
      </c>
      <c r="W1232" t="s">
        <v>613</v>
      </c>
      <c r="X1232" t="s">
        <v>74</v>
      </c>
      <c r="Y1232" t="s">
        <v>786</v>
      </c>
      <c r="Z1232" t="s">
        <v>5013</v>
      </c>
    </row>
    <row r="1233" spans="1:26" x14ac:dyDescent="0.3">
      <c r="A1233" t="s">
        <v>525</v>
      </c>
      <c r="B1233" t="s">
        <v>5016</v>
      </c>
      <c r="C1233" t="s">
        <v>5017</v>
      </c>
      <c r="D1233" t="s">
        <v>2824</v>
      </c>
      <c r="E1233" t="s">
        <v>2825</v>
      </c>
      <c r="F1233" t="s">
        <v>2826</v>
      </c>
      <c r="G1233" s="1">
        <v>44927</v>
      </c>
      <c r="H1233" s="1">
        <v>44960</v>
      </c>
      <c r="I1233" t="s">
        <v>665</v>
      </c>
      <c r="J1233" t="s">
        <v>2827</v>
      </c>
      <c r="K1233" t="s">
        <v>958</v>
      </c>
      <c r="L1233" t="s">
        <v>216</v>
      </c>
      <c r="M1233" t="s">
        <v>1804</v>
      </c>
      <c r="N1233" t="s">
        <v>315</v>
      </c>
      <c r="O1233" t="s">
        <v>1804</v>
      </c>
      <c r="P1233" t="s">
        <v>315</v>
      </c>
      <c r="Q1233" t="s">
        <v>4080</v>
      </c>
      <c r="R1233" t="s">
        <v>4081</v>
      </c>
      <c r="S1233" t="s">
        <v>783</v>
      </c>
      <c r="T1233" t="s">
        <v>550</v>
      </c>
      <c r="U1233" t="s">
        <v>1807</v>
      </c>
      <c r="V1233" t="s">
        <v>5018</v>
      </c>
      <c r="W1233" t="s">
        <v>1809</v>
      </c>
      <c r="X1233" t="s">
        <v>74</v>
      </c>
      <c r="Y1233" t="s">
        <v>786</v>
      </c>
      <c r="Z1233" t="s">
        <v>5016</v>
      </c>
    </row>
    <row r="1234" spans="1:26" x14ac:dyDescent="0.3">
      <c r="A1234" t="s">
        <v>525</v>
      </c>
      <c r="B1234" t="s">
        <v>5019</v>
      </c>
      <c r="C1234" t="s">
        <v>5020</v>
      </c>
      <c r="D1234" t="s">
        <v>1336</v>
      </c>
      <c r="E1234" t="s">
        <v>1338</v>
      </c>
      <c r="F1234" t="s">
        <v>1339</v>
      </c>
      <c r="G1234" s="1">
        <v>44927</v>
      </c>
      <c r="H1234" s="1">
        <v>44958</v>
      </c>
      <c r="I1234" t="s">
        <v>665</v>
      </c>
      <c r="J1234" t="s">
        <v>1340</v>
      </c>
      <c r="K1234" t="s">
        <v>958</v>
      </c>
      <c r="L1234" t="s">
        <v>216</v>
      </c>
      <c r="M1234" t="s">
        <v>1293</v>
      </c>
      <c r="N1234" t="s">
        <v>256</v>
      </c>
      <c r="O1234" t="s">
        <v>1804</v>
      </c>
      <c r="P1234" t="s">
        <v>315</v>
      </c>
      <c r="Q1234" t="s">
        <v>4080</v>
      </c>
      <c r="R1234" t="s">
        <v>4081</v>
      </c>
      <c r="S1234" t="s">
        <v>550</v>
      </c>
      <c r="T1234" t="s">
        <v>550</v>
      </c>
      <c r="U1234" t="s">
        <v>1807</v>
      </c>
      <c r="V1234" t="s">
        <v>5021</v>
      </c>
      <c r="W1234" t="s">
        <v>1809</v>
      </c>
      <c r="X1234" t="s">
        <v>74</v>
      </c>
      <c r="Y1234" t="s">
        <v>1281</v>
      </c>
      <c r="Z1234" t="s">
        <v>5019</v>
      </c>
    </row>
    <row r="1235" spans="1:26" x14ac:dyDescent="0.3">
      <c r="A1235" t="s">
        <v>525</v>
      </c>
      <c r="B1235" t="s">
        <v>5022</v>
      </c>
      <c r="C1235" t="s">
        <v>5023</v>
      </c>
      <c r="D1235" t="s">
        <v>1390</v>
      </c>
      <c r="E1235" t="s">
        <v>664</v>
      </c>
      <c r="F1235" t="s">
        <v>27</v>
      </c>
      <c r="G1235" s="1">
        <v>44927</v>
      </c>
      <c r="H1235" s="1">
        <v>44976</v>
      </c>
      <c r="I1235" t="s">
        <v>665</v>
      </c>
      <c r="J1235" t="s">
        <v>666</v>
      </c>
      <c r="K1235" t="s">
        <v>24</v>
      </c>
      <c r="L1235" t="s">
        <v>216</v>
      </c>
      <c r="M1235" t="s">
        <v>1030</v>
      </c>
      <c r="N1235" t="s">
        <v>255</v>
      </c>
      <c r="O1235" t="s">
        <v>1031</v>
      </c>
      <c r="P1235" t="s">
        <v>239</v>
      </c>
      <c r="Q1235" t="s">
        <v>4080</v>
      </c>
      <c r="R1235" t="s">
        <v>4081</v>
      </c>
      <c r="S1235" t="s">
        <v>1471</v>
      </c>
      <c r="T1235" t="s">
        <v>550</v>
      </c>
      <c r="U1235" t="s">
        <v>4427</v>
      </c>
      <c r="V1235" t="s">
        <v>5024</v>
      </c>
      <c r="W1235" t="s">
        <v>1021</v>
      </c>
      <c r="X1235" t="s">
        <v>74</v>
      </c>
      <c r="Y1235" t="s">
        <v>1033</v>
      </c>
      <c r="Z1235" t="s">
        <v>5022</v>
      </c>
    </row>
    <row r="1236" spans="1:26" x14ac:dyDescent="0.3">
      <c r="A1236" t="s">
        <v>525</v>
      </c>
      <c r="B1236" t="s">
        <v>4795</v>
      </c>
      <c r="C1236" t="s">
        <v>5025</v>
      </c>
      <c r="D1236" t="s">
        <v>550</v>
      </c>
      <c r="E1236" t="s">
        <v>2811</v>
      </c>
      <c r="F1236" t="s">
        <v>2812</v>
      </c>
      <c r="G1236" s="1">
        <v>44642</v>
      </c>
      <c r="H1236" s="1">
        <v>45291</v>
      </c>
      <c r="I1236" t="s">
        <v>665</v>
      </c>
      <c r="J1236" t="s">
        <v>2813</v>
      </c>
      <c r="K1236" t="s">
        <v>24</v>
      </c>
      <c r="L1236" t="s">
        <v>216</v>
      </c>
      <c r="M1236" t="s">
        <v>1030</v>
      </c>
      <c r="N1236" t="s">
        <v>255</v>
      </c>
      <c r="O1236" t="s">
        <v>1031</v>
      </c>
      <c r="P1236" t="s">
        <v>239</v>
      </c>
      <c r="Q1236" t="s">
        <v>4080</v>
      </c>
      <c r="R1236" t="s">
        <v>4081</v>
      </c>
      <c r="S1236" t="s">
        <v>550</v>
      </c>
      <c r="T1236" t="s">
        <v>550</v>
      </c>
      <c r="U1236" t="s">
        <v>550</v>
      </c>
      <c r="V1236" t="s">
        <v>4796</v>
      </c>
      <c r="W1236" t="s">
        <v>1021</v>
      </c>
      <c r="X1236" t="s">
        <v>74</v>
      </c>
      <c r="Y1236" t="s">
        <v>803</v>
      </c>
      <c r="Z1236" t="s">
        <v>4795</v>
      </c>
    </row>
    <row r="1237" spans="1:26" x14ac:dyDescent="0.3">
      <c r="A1237" t="s">
        <v>525</v>
      </c>
      <c r="B1237" t="s">
        <v>5026</v>
      </c>
      <c r="C1237" t="s">
        <v>5027</v>
      </c>
      <c r="D1237" t="s">
        <v>550</v>
      </c>
      <c r="E1237" t="s">
        <v>664</v>
      </c>
      <c r="F1237" t="s">
        <v>27</v>
      </c>
      <c r="G1237" s="1">
        <v>45292</v>
      </c>
      <c r="H1237" s="1">
        <v>45292</v>
      </c>
      <c r="I1237" t="s">
        <v>780</v>
      </c>
      <c r="J1237" t="s">
        <v>666</v>
      </c>
      <c r="K1237" t="s">
        <v>24</v>
      </c>
      <c r="L1237" t="s">
        <v>217</v>
      </c>
      <c r="M1237" t="s">
        <v>1222</v>
      </c>
      <c r="N1237" t="s">
        <v>231</v>
      </c>
      <c r="O1237" t="s">
        <v>1222</v>
      </c>
      <c r="P1237" t="s">
        <v>231</v>
      </c>
      <c r="Q1237" t="s">
        <v>4080</v>
      </c>
      <c r="R1237" t="s">
        <v>4081</v>
      </c>
      <c r="S1237" t="s">
        <v>783</v>
      </c>
      <c r="T1237" t="s">
        <v>550</v>
      </c>
      <c r="U1237" t="s">
        <v>550</v>
      </c>
      <c r="V1237" t="s">
        <v>5028</v>
      </c>
      <c r="W1237" t="s">
        <v>835</v>
      </c>
      <c r="Z1237" t="s">
        <v>5026</v>
      </c>
    </row>
    <row r="1238" spans="1:26" x14ac:dyDescent="0.3">
      <c r="A1238" t="s">
        <v>525</v>
      </c>
      <c r="B1238" t="s">
        <v>5029</v>
      </c>
      <c r="C1238" t="s">
        <v>5030</v>
      </c>
      <c r="D1238" t="s">
        <v>5026</v>
      </c>
      <c r="E1238" t="s">
        <v>664</v>
      </c>
      <c r="F1238" t="s">
        <v>27</v>
      </c>
      <c r="G1238" s="1">
        <v>45292</v>
      </c>
      <c r="H1238" s="1">
        <v>45292</v>
      </c>
      <c r="I1238" t="s">
        <v>665</v>
      </c>
      <c r="J1238" t="s">
        <v>666</v>
      </c>
      <c r="K1238" t="s">
        <v>24</v>
      </c>
      <c r="L1238" t="s">
        <v>217</v>
      </c>
      <c r="M1238" t="s">
        <v>1222</v>
      </c>
      <c r="N1238" t="s">
        <v>231</v>
      </c>
      <c r="O1238" t="s">
        <v>1222</v>
      </c>
      <c r="P1238" t="s">
        <v>231</v>
      </c>
      <c r="Q1238" t="s">
        <v>4080</v>
      </c>
      <c r="R1238" t="s">
        <v>4081</v>
      </c>
      <c r="S1238" t="s">
        <v>783</v>
      </c>
      <c r="T1238" t="s">
        <v>550</v>
      </c>
      <c r="U1238" t="s">
        <v>550</v>
      </c>
      <c r="V1238" t="s">
        <v>5031</v>
      </c>
      <c r="W1238" t="s">
        <v>835</v>
      </c>
      <c r="Z1238" t="s">
        <v>5029</v>
      </c>
    </row>
    <row r="1239" spans="1:26" x14ac:dyDescent="0.3">
      <c r="A1239" t="s">
        <v>525</v>
      </c>
      <c r="B1239" t="s">
        <v>5032</v>
      </c>
      <c r="C1239" t="s">
        <v>4359</v>
      </c>
      <c r="D1239" t="s">
        <v>4358</v>
      </c>
      <c r="E1239" t="s">
        <v>664</v>
      </c>
      <c r="F1239" t="s">
        <v>27</v>
      </c>
      <c r="G1239" s="1">
        <v>44927</v>
      </c>
      <c r="H1239" s="1">
        <v>44927</v>
      </c>
      <c r="I1239" t="s">
        <v>665</v>
      </c>
      <c r="J1239" t="s">
        <v>3593</v>
      </c>
      <c r="K1239" t="s">
        <v>4203</v>
      </c>
      <c r="L1239" t="s">
        <v>667</v>
      </c>
      <c r="M1239" t="s">
        <v>1222</v>
      </c>
      <c r="N1239" t="s">
        <v>231</v>
      </c>
      <c r="O1239" t="s">
        <v>1222</v>
      </c>
      <c r="P1239" t="s">
        <v>231</v>
      </c>
      <c r="Q1239" t="s">
        <v>4080</v>
      </c>
      <c r="R1239" t="s">
        <v>4081</v>
      </c>
      <c r="S1239" t="s">
        <v>783</v>
      </c>
      <c r="T1239" t="s">
        <v>550</v>
      </c>
      <c r="U1239" t="s">
        <v>5033</v>
      </c>
      <c r="V1239" t="s">
        <v>5034</v>
      </c>
      <c r="W1239" t="s">
        <v>4361</v>
      </c>
      <c r="X1239" t="s">
        <v>669</v>
      </c>
      <c r="Y1239" t="s">
        <v>803</v>
      </c>
      <c r="Z1239" t="s">
        <v>5032</v>
      </c>
    </row>
    <row r="1240" spans="1:26" x14ac:dyDescent="0.3">
      <c r="A1240" t="s">
        <v>525</v>
      </c>
      <c r="B1240" t="s">
        <v>5035</v>
      </c>
      <c r="C1240" t="s">
        <v>4269</v>
      </c>
      <c r="D1240" t="s">
        <v>4268</v>
      </c>
      <c r="E1240" t="s">
        <v>664</v>
      </c>
      <c r="F1240" t="s">
        <v>27</v>
      </c>
      <c r="G1240" s="1">
        <v>44927</v>
      </c>
      <c r="H1240" s="1">
        <v>44927</v>
      </c>
      <c r="I1240" t="s">
        <v>665</v>
      </c>
      <c r="J1240" t="s">
        <v>3702</v>
      </c>
      <c r="K1240" t="s">
        <v>4203</v>
      </c>
      <c r="L1240" t="s">
        <v>667</v>
      </c>
      <c r="M1240" t="s">
        <v>1222</v>
      </c>
      <c r="N1240" t="s">
        <v>231</v>
      </c>
      <c r="O1240" t="s">
        <v>1222</v>
      </c>
      <c r="P1240" t="s">
        <v>231</v>
      </c>
      <c r="Q1240" t="s">
        <v>4080</v>
      </c>
      <c r="R1240" t="s">
        <v>4081</v>
      </c>
      <c r="S1240" t="s">
        <v>783</v>
      </c>
      <c r="T1240" t="s">
        <v>550</v>
      </c>
      <c r="U1240" t="s">
        <v>5033</v>
      </c>
      <c r="V1240" t="s">
        <v>5036</v>
      </c>
      <c r="W1240" t="s">
        <v>978</v>
      </c>
      <c r="X1240" t="s">
        <v>979</v>
      </c>
      <c r="Y1240" t="s">
        <v>803</v>
      </c>
      <c r="Z1240" t="s">
        <v>5035</v>
      </c>
    </row>
    <row r="1241" spans="1:26" x14ac:dyDescent="0.3">
      <c r="A1241" t="s">
        <v>525</v>
      </c>
      <c r="B1241" t="s">
        <v>5037</v>
      </c>
      <c r="C1241" t="s">
        <v>4277</v>
      </c>
      <c r="D1241" t="s">
        <v>4276</v>
      </c>
      <c r="E1241" t="s">
        <v>664</v>
      </c>
      <c r="F1241" t="s">
        <v>27</v>
      </c>
      <c r="G1241" s="1">
        <v>44927</v>
      </c>
      <c r="H1241" s="1">
        <v>44927</v>
      </c>
      <c r="I1241" t="s">
        <v>665</v>
      </c>
      <c r="J1241" t="s">
        <v>3714</v>
      </c>
      <c r="K1241" t="s">
        <v>4203</v>
      </c>
      <c r="L1241" t="s">
        <v>667</v>
      </c>
      <c r="M1241" t="s">
        <v>1222</v>
      </c>
      <c r="N1241" t="s">
        <v>231</v>
      </c>
      <c r="O1241" t="s">
        <v>1222</v>
      </c>
      <c r="P1241" t="s">
        <v>231</v>
      </c>
      <c r="Q1241" t="s">
        <v>4080</v>
      </c>
      <c r="R1241" t="s">
        <v>4081</v>
      </c>
      <c r="S1241" t="s">
        <v>783</v>
      </c>
      <c r="T1241" t="s">
        <v>550</v>
      </c>
      <c r="U1241" t="s">
        <v>5033</v>
      </c>
      <c r="V1241" t="s">
        <v>5038</v>
      </c>
      <c r="W1241" t="s">
        <v>835</v>
      </c>
      <c r="X1241" t="s">
        <v>979</v>
      </c>
      <c r="Y1241" t="s">
        <v>803</v>
      </c>
      <c r="Z1241" t="s">
        <v>5037</v>
      </c>
    </row>
    <row r="1242" spans="1:26" x14ac:dyDescent="0.3">
      <c r="A1242" t="s">
        <v>525</v>
      </c>
      <c r="B1242" t="s">
        <v>5039</v>
      </c>
      <c r="C1242" t="s">
        <v>5040</v>
      </c>
      <c r="D1242" t="s">
        <v>1204</v>
      </c>
      <c r="E1242" t="s">
        <v>664</v>
      </c>
      <c r="F1242" t="s">
        <v>27</v>
      </c>
      <c r="G1242" s="1">
        <v>44562</v>
      </c>
      <c r="H1242" s="1">
        <v>44562</v>
      </c>
      <c r="I1242" t="s">
        <v>665</v>
      </c>
      <c r="J1242" t="s">
        <v>666</v>
      </c>
      <c r="K1242" t="s">
        <v>24</v>
      </c>
      <c r="L1242" t="s">
        <v>667</v>
      </c>
      <c r="M1242" t="s">
        <v>797</v>
      </c>
      <c r="N1242" t="s">
        <v>313</v>
      </c>
      <c r="O1242" t="s">
        <v>1168</v>
      </c>
      <c r="P1242" t="s">
        <v>1169</v>
      </c>
      <c r="Q1242" t="s">
        <v>4080</v>
      </c>
      <c r="R1242" t="s">
        <v>4081</v>
      </c>
      <c r="S1242" t="s">
        <v>783</v>
      </c>
      <c r="T1242" t="s">
        <v>550</v>
      </c>
      <c r="U1242" t="s">
        <v>550</v>
      </c>
      <c r="V1242" t="s">
        <v>5041</v>
      </c>
      <c r="W1242" t="s">
        <v>554</v>
      </c>
      <c r="X1242" t="s">
        <v>669</v>
      </c>
      <c r="Y1242" t="s">
        <v>799</v>
      </c>
      <c r="Z1242" t="s">
        <v>5039</v>
      </c>
    </row>
    <row r="1243" spans="1:26" x14ac:dyDescent="0.3">
      <c r="A1243" t="s">
        <v>525</v>
      </c>
      <c r="B1243" t="s">
        <v>5042</v>
      </c>
      <c r="C1243" t="s">
        <v>5043</v>
      </c>
      <c r="D1243" t="s">
        <v>1216</v>
      </c>
      <c r="E1243" t="s">
        <v>664</v>
      </c>
      <c r="F1243" t="s">
        <v>27</v>
      </c>
      <c r="G1243" s="1">
        <v>44562</v>
      </c>
      <c r="H1243" s="1">
        <v>44562</v>
      </c>
      <c r="I1243" t="s">
        <v>665</v>
      </c>
      <c r="J1243" t="s">
        <v>666</v>
      </c>
      <c r="K1243" t="s">
        <v>24</v>
      </c>
      <c r="L1243" t="s">
        <v>1010</v>
      </c>
      <c r="M1243" t="s">
        <v>797</v>
      </c>
      <c r="N1243" t="s">
        <v>313</v>
      </c>
      <c r="O1243" t="s">
        <v>1168</v>
      </c>
      <c r="P1243" t="s">
        <v>1169</v>
      </c>
      <c r="Q1243" t="s">
        <v>4080</v>
      </c>
      <c r="R1243" t="s">
        <v>4081</v>
      </c>
      <c r="S1243" t="s">
        <v>783</v>
      </c>
      <c r="T1243" t="s">
        <v>550</v>
      </c>
      <c r="U1243" t="s">
        <v>550</v>
      </c>
      <c r="V1243" t="s">
        <v>5044</v>
      </c>
      <c r="W1243" t="s">
        <v>554</v>
      </c>
      <c r="X1243" t="s">
        <v>669</v>
      </c>
      <c r="Y1243" t="s">
        <v>799</v>
      </c>
      <c r="Z1243" t="s">
        <v>5042</v>
      </c>
    </row>
    <row r="1244" spans="1:26" x14ac:dyDescent="0.3">
      <c r="A1244" t="s">
        <v>525</v>
      </c>
      <c r="B1244" t="s">
        <v>5045</v>
      </c>
      <c r="C1244" t="s">
        <v>5046</v>
      </c>
      <c r="D1244" t="s">
        <v>1210</v>
      </c>
      <c r="E1244" t="s">
        <v>664</v>
      </c>
      <c r="F1244" t="s">
        <v>27</v>
      </c>
      <c r="G1244" s="1">
        <v>44562</v>
      </c>
      <c r="H1244" s="1">
        <v>44562</v>
      </c>
      <c r="I1244" t="s">
        <v>665</v>
      </c>
      <c r="J1244" t="s">
        <v>666</v>
      </c>
      <c r="K1244" t="s">
        <v>24</v>
      </c>
      <c r="L1244" t="s">
        <v>667</v>
      </c>
      <c r="M1244" t="s">
        <v>797</v>
      </c>
      <c r="N1244" t="s">
        <v>313</v>
      </c>
      <c r="O1244" t="s">
        <v>1168</v>
      </c>
      <c r="P1244" t="s">
        <v>1169</v>
      </c>
      <c r="Q1244" t="s">
        <v>4080</v>
      </c>
      <c r="R1244" t="s">
        <v>4081</v>
      </c>
      <c r="S1244" t="s">
        <v>783</v>
      </c>
      <c r="T1244" t="s">
        <v>550</v>
      </c>
      <c r="U1244" t="s">
        <v>550</v>
      </c>
      <c r="V1244" t="s">
        <v>5047</v>
      </c>
      <c r="W1244" t="s">
        <v>554</v>
      </c>
      <c r="X1244" t="s">
        <v>669</v>
      </c>
      <c r="Y1244" t="s">
        <v>799</v>
      </c>
      <c r="Z1244" t="s">
        <v>5045</v>
      </c>
    </row>
    <row r="1245" spans="1:26" x14ac:dyDescent="0.3">
      <c r="A1245" t="s">
        <v>525</v>
      </c>
      <c r="B1245" t="s">
        <v>5048</v>
      </c>
      <c r="C1245" t="s">
        <v>5049</v>
      </c>
      <c r="D1245" t="s">
        <v>1186</v>
      </c>
      <c r="E1245" t="s">
        <v>664</v>
      </c>
      <c r="F1245" t="s">
        <v>27</v>
      </c>
      <c r="G1245" s="1">
        <v>44562</v>
      </c>
      <c r="H1245" s="1">
        <v>44562</v>
      </c>
      <c r="I1245" t="s">
        <v>665</v>
      </c>
      <c r="J1245" t="s">
        <v>666</v>
      </c>
      <c r="K1245" t="s">
        <v>24</v>
      </c>
      <c r="L1245" t="s">
        <v>667</v>
      </c>
      <c r="M1245" t="s">
        <v>873</v>
      </c>
      <c r="N1245" t="s">
        <v>244</v>
      </c>
      <c r="O1245" t="s">
        <v>1168</v>
      </c>
      <c r="P1245" t="s">
        <v>1169</v>
      </c>
      <c r="Q1245" t="s">
        <v>4080</v>
      </c>
      <c r="R1245" t="s">
        <v>4081</v>
      </c>
      <c r="S1245" t="s">
        <v>783</v>
      </c>
      <c r="T1245" t="s">
        <v>550</v>
      </c>
      <c r="U1245" t="s">
        <v>550</v>
      </c>
      <c r="V1245" t="s">
        <v>5050</v>
      </c>
      <c r="W1245" t="s">
        <v>875</v>
      </c>
      <c r="X1245" t="s">
        <v>669</v>
      </c>
      <c r="Y1245" t="s">
        <v>856</v>
      </c>
      <c r="Z1245" t="s">
        <v>5048</v>
      </c>
    </row>
    <row r="1246" spans="1:26" x14ac:dyDescent="0.3">
      <c r="A1246" t="s">
        <v>525</v>
      </c>
      <c r="B1246" t="s">
        <v>5051</v>
      </c>
      <c r="C1246" t="s">
        <v>5052</v>
      </c>
      <c r="D1246" t="s">
        <v>1186</v>
      </c>
      <c r="E1246" t="s">
        <v>664</v>
      </c>
      <c r="F1246" t="s">
        <v>27</v>
      </c>
      <c r="G1246" s="1">
        <v>44927</v>
      </c>
      <c r="H1246" s="1">
        <v>45093</v>
      </c>
      <c r="I1246" t="s">
        <v>665</v>
      </c>
      <c r="J1246" t="s">
        <v>666</v>
      </c>
      <c r="K1246" t="s">
        <v>24</v>
      </c>
      <c r="L1246" t="s">
        <v>667</v>
      </c>
      <c r="M1246" t="s">
        <v>873</v>
      </c>
      <c r="N1246" t="s">
        <v>244</v>
      </c>
      <c r="O1246" t="s">
        <v>1168</v>
      </c>
      <c r="P1246" t="s">
        <v>1169</v>
      </c>
      <c r="Q1246" t="s">
        <v>4080</v>
      </c>
      <c r="R1246" t="s">
        <v>4081</v>
      </c>
      <c r="S1246" t="s">
        <v>783</v>
      </c>
      <c r="T1246" t="s">
        <v>550</v>
      </c>
      <c r="U1246" t="s">
        <v>4372</v>
      </c>
      <c r="V1246" t="s">
        <v>5053</v>
      </c>
      <c r="W1246" t="s">
        <v>875</v>
      </c>
      <c r="X1246" t="s">
        <v>669</v>
      </c>
      <c r="Y1246" t="s">
        <v>856</v>
      </c>
      <c r="Z1246" t="s">
        <v>5051</v>
      </c>
    </row>
    <row r="1247" spans="1:26" x14ac:dyDescent="0.3">
      <c r="A1247" t="s">
        <v>525</v>
      </c>
      <c r="B1247" t="s">
        <v>5054</v>
      </c>
      <c r="C1247" t="s">
        <v>5055</v>
      </c>
      <c r="D1247" t="s">
        <v>550</v>
      </c>
      <c r="E1247" t="s">
        <v>664</v>
      </c>
      <c r="F1247" t="s">
        <v>27</v>
      </c>
      <c r="G1247" s="1">
        <v>44562</v>
      </c>
      <c r="H1247" s="1">
        <v>44562</v>
      </c>
      <c r="I1247" t="s">
        <v>665</v>
      </c>
      <c r="J1247" t="s">
        <v>666</v>
      </c>
      <c r="K1247" t="s">
        <v>24</v>
      </c>
      <c r="L1247" t="s">
        <v>667</v>
      </c>
      <c r="M1247" t="s">
        <v>5056</v>
      </c>
      <c r="N1247" t="s">
        <v>5057</v>
      </c>
      <c r="O1247" t="s">
        <v>1168</v>
      </c>
      <c r="P1247" t="s">
        <v>1169</v>
      </c>
      <c r="Q1247" t="s">
        <v>4080</v>
      </c>
      <c r="R1247" t="s">
        <v>4081</v>
      </c>
      <c r="S1247" t="s">
        <v>783</v>
      </c>
      <c r="T1247" t="s">
        <v>550</v>
      </c>
      <c r="U1247" t="s">
        <v>550</v>
      </c>
      <c r="V1247" t="s">
        <v>5058</v>
      </c>
      <c r="W1247" t="s">
        <v>554</v>
      </c>
      <c r="X1247" t="s">
        <v>669</v>
      </c>
      <c r="Y1247" t="s">
        <v>799</v>
      </c>
      <c r="Z1247" t="s">
        <v>5054</v>
      </c>
    </row>
    <row r="1248" spans="1:26" x14ac:dyDescent="0.3">
      <c r="A1248" t="s">
        <v>525</v>
      </c>
      <c r="B1248" t="s">
        <v>5059</v>
      </c>
      <c r="C1248" t="s">
        <v>5060</v>
      </c>
      <c r="D1248" t="s">
        <v>5054</v>
      </c>
      <c r="E1248" t="s">
        <v>664</v>
      </c>
      <c r="F1248" t="s">
        <v>27</v>
      </c>
      <c r="G1248" s="1">
        <v>44562</v>
      </c>
      <c r="H1248" s="1">
        <v>44628</v>
      </c>
      <c r="I1248" t="s">
        <v>665</v>
      </c>
      <c r="J1248" t="s">
        <v>666</v>
      </c>
      <c r="K1248" t="s">
        <v>24</v>
      </c>
      <c r="L1248" t="s">
        <v>667</v>
      </c>
      <c r="M1248" t="s">
        <v>5056</v>
      </c>
      <c r="N1248" t="s">
        <v>5057</v>
      </c>
      <c r="O1248" t="s">
        <v>1168</v>
      </c>
      <c r="P1248" t="s">
        <v>1169</v>
      </c>
      <c r="Q1248" t="s">
        <v>4080</v>
      </c>
      <c r="R1248" t="s">
        <v>4081</v>
      </c>
      <c r="S1248" t="s">
        <v>783</v>
      </c>
      <c r="T1248" t="s">
        <v>893</v>
      </c>
      <c r="U1248" t="s">
        <v>550</v>
      </c>
      <c r="V1248" t="s">
        <v>5061</v>
      </c>
      <c r="W1248" t="s">
        <v>554</v>
      </c>
      <c r="X1248" t="s">
        <v>669</v>
      </c>
      <c r="Y1248" t="s">
        <v>799</v>
      </c>
      <c r="Z1248" t="s">
        <v>5059</v>
      </c>
    </row>
    <row r="1249" spans="1:26" x14ac:dyDescent="0.3">
      <c r="A1249" t="s">
        <v>525</v>
      </c>
      <c r="B1249" t="s">
        <v>5062</v>
      </c>
      <c r="C1249" t="s">
        <v>5063</v>
      </c>
      <c r="D1249" t="s">
        <v>1180</v>
      </c>
      <c r="E1249" t="s">
        <v>664</v>
      </c>
      <c r="F1249" t="s">
        <v>27</v>
      </c>
      <c r="G1249" s="1">
        <v>44562</v>
      </c>
      <c r="H1249" s="1">
        <v>44562</v>
      </c>
      <c r="I1249" t="s">
        <v>665</v>
      </c>
      <c r="J1249" t="s">
        <v>666</v>
      </c>
      <c r="K1249" t="s">
        <v>24</v>
      </c>
      <c r="L1249" t="s">
        <v>667</v>
      </c>
      <c r="M1249" t="s">
        <v>873</v>
      </c>
      <c r="N1249" t="s">
        <v>244</v>
      </c>
      <c r="O1249" t="s">
        <v>1168</v>
      </c>
      <c r="P1249" t="s">
        <v>1169</v>
      </c>
      <c r="Q1249" t="s">
        <v>4080</v>
      </c>
      <c r="R1249" t="s">
        <v>4081</v>
      </c>
      <c r="S1249" t="s">
        <v>783</v>
      </c>
      <c r="T1249" t="s">
        <v>550</v>
      </c>
      <c r="U1249" t="s">
        <v>550</v>
      </c>
      <c r="V1249" t="s">
        <v>5064</v>
      </c>
      <c r="W1249" t="s">
        <v>875</v>
      </c>
      <c r="X1249" t="s">
        <v>669</v>
      </c>
      <c r="Y1249" t="s">
        <v>856</v>
      </c>
      <c r="Z1249" t="s">
        <v>5062</v>
      </c>
    </row>
    <row r="1250" spans="1:26" x14ac:dyDescent="0.3">
      <c r="A1250" t="s">
        <v>525</v>
      </c>
      <c r="B1250" t="s">
        <v>5065</v>
      </c>
      <c r="C1250" t="s">
        <v>5066</v>
      </c>
      <c r="D1250" t="s">
        <v>1180</v>
      </c>
      <c r="E1250" t="s">
        <v>664</v>
      </c>
      <c r="F1250" t="s">
        <v>27</v>
      </c>
      <c r="G1250" s="1">
        <v>44927</v>
      </c>
      <c r="H1250" s="1">
        <v>45062</v>
      </c>
      <c r="I1250" t="s">
        <v>665</v>
      </c>
      <c r="J1250" t="s">
        <v>666</v>
      </c>
      <c r="K1250" t="s">
        <v>24</v>
      </c>
      <c r="L1250" t="s">
        <v>667</v>
      </c>
      <c r="M1250" t="s">
        <v>873</v>
      </c>
      <c r="N1250" t="s">
        <v>244</v>
      </c>
      <c r="O1250" t="s">
        <v>1168</v>
      </c>
      <c r="P1250" t="s">
        <v>1169</v>
      </c>
      <c r="Q1250" t="s">
        <v>4080</v>
      </c>
      <c r="R1250" t="s">
        <v>4081</v>
      </c>
      <c r="S1250" t="s">
        <v>783</v>
      </c>
      <c r="T1250" t="s">
        <v>550</v>
      </c>
      <c r="U1250" t="s">
        <v>4372</v>
      </c>
      <c r="V1250" t="s">
        <v>5067</v>
      </c>
      <c r="W1250" t="s">
        <v>875</v>
      </c>
      <c r="X1250" t="s">
        <v>669</v>
      </c>
      <c r="Y1250" t="s">
        <v>856</v>
      </c>
      <c r="Z1250" t="s">
        <v>5065</v>
      </c>
    </row>
    <row r="1251" spans="1:26" x14ac:dyDescent="0.3">
      <c r="A1251" t="s">
        <v>525</v>
      </c>
      <c r="B1251" t="s">
        <v>5068</v>
      </c>
      <c r="C1251" t="s">
        <v>5069</v>
      </c>
      <c r="D1251" t="s">
        <v>1174</v>
      </c>
      <c r="E1251" t="s">
        <v>664</v>
      </c>
      <c r="F1251" t="s">
        <v>27</v>
      </c>
      <c r="G1251" s="1">
        <v>44562</v>
      </c>
      <c r="H1251" s="1">
        <v>44562</v>
      </c>
      <c r="I1251" t="s">
        <v>665</v>
      </c>
      <c r="J1251" t="s">
        <v>666</v>
      </c>
      <c r="K1251" t="s">
        <v>24</v>
      </c>
      <c r="L1251" t="s">
        <v>667</v>
      </c>
      <c r="M1251" t="s">
        <v>873</v>
      </c>
      <c r="N1251" t="s">
        <v>244</v>
      </c>
      <c r="O1251" t="s">
        <v>1168</v>
      </c>
      <c r="P1251" t="s">
        <v>1169</v>
      </c>
      <c r="Q1251" t="s">
        <v>4080</v>
      </c>
      <c r="R1251" t="s">
        <v>4081</v>
      </c>
      <c r="S1251" t="s">
        <v>783</v>
      </c>
      <c r="T1251" t="s">
        <v>550</v>
      </c>
      <c r="U1251" t="s">
        <v>550</v>
      </c>
      <c r="V1251" t="s">
        <v>5070</v>
      </c>
      <c r="W1251" t="s">
        <v>875</v>
      </c>
      <c r="X1251" t="s">
        <v>669</v>
      </c>
      <c r="Y1251" t="s">
        <v>856</v>
      </c>
      <c r="Z1251" t="s">
        <v>5068</v>
      </c>
    </row>
    <row r="1252" spans="1:26" x14ac:dyDescent="0.3">
      <c r="A1252" t="s">
        <v>525</v>
      </c>
      <c r="B1252" t="s">
        <v>5071</v>
      </c>
      <c r="C1252" t="s">
        <v>5072</v>
      </c>
      <c r="D1252" t="s">
        <v>1174</v>
      </c>
      <c r="E1252" t="s">
        <v>664</v>
      </c>
      <c r="F1252" t="s">
        <v>27</v>
      </c>
      <c r="G1252" s="1">
        <v>44927</v>
      </c>
      <c r="H1252" s="1">
        <v>45075</v>
      </c>
      <c r="I1252" t="s">
        <v>665</v>
      </c>
      <c r="J1252" t="s">
        <v>666</v>
      </c>
      <c r="K1252" t="s">
        <v>24</v>
      </c>
      <c r="L1252" t="s">
        <v>667</v>
      </c>
      <c r="M1252" t="s">
        <v>873</v>
      </c>
      <c r="N1252" t="s">
        <v>244</v>
      </c>
      <c r="O1252" t="s">
        <v>1168</v>
      </c>
      <c r="P1252" t="s">
        <v>1169</v>
      </c>
      <c r="Q1252" t="s">
        <v>4080</v>
      </c>
      <c r="R1252" t="s">
        <v>4081</v>
      </c>
      <c r="S1252" t="s">
        <v>783</v>
      </c>
      <c r="T1252" t="s">
        <v>550</v>
      </c>
      <c r="U1252" t="s">
        <v>4372</v>
      </c>
      <c r="V1252" t="s">
        <v>5073</v>
      </c>
      <c r="W1252" t="s">
        <v>875</v>
      </c>
      <c r="X1252" t="s">
        <v>669</v>
      </c>
      <c r="Y1252" t="s">
        <v>856</v>
      </c>
      <c r="Z1252" t="s">
        <v>5071</v>
      </c>
    </row>
    <row r="1253" spans="1:26" x14ac:dyDescent="0.3">
      <c r="A1253" t="s">
        <v>525</v>
      </c>
      <c r="B1253" t="s">
        <v>5074</v>
      </c>
      <c r="C1253" t="s">
        <v>5075</v>
      </c>
      <c r="D1253" t="s">
        <v>1166</v>
      </c>
      <c r="E1253" t="s">
        <v>664</v>
      </c>
      <c r="F1253" t="s">
        <v>27</v>
      </c>
      <c r="G1253" s="1">
        <v>44562</v>
      </c>
      <c r="H1253" s="1">
        <v>44562</v>
      </c>
      <c r="I1253" t="s">
        <v>665</v>
      </c>
      <c r="J1253" t="s">
        <v>666</v>
      </c>
      <c r="K1253" t="s">
        <v>24</v>
      </c>
      <c r="L1253" t="s">
        <v>667</v>
      </c>
      <c r="M1253" t="s">
        <v>873</v>
      </c>
      <c r="N1253" t="s">
        <v>244</v>
      </c>
      <c r="O1253" t="s">
        <v>1168</v>
      </c>
      <c r="P1253" t="s">
        <v>1169</v>
      </c>
      <c r="Q1253" t="s">
        <v>4080</v>
      </c>
      <c r="R1253" t="s">
        <v>4081</v>
      </c>
      <c r="S1253" t="s">
        <v>783</v>
      </c>
      <c r="T1253" t="s">
        <v>550</v>
      </c>
      <c r="U1253" t="s">
        <v>550</v>
      </c>
      <c r="V1253" t="s">
        <v>5076</v>
      </c>
      <c r="W1253" t="s">
        <v>875</v>
      </c>
      <c r="X1253" t="s">
        <v>669</v>
      </c>
      <c r="Y1253" t="s">
        <v>856</v>
      </c>
      <c r="Z1253" t="s">
        <v>5074</v>
      </c>
    </row>
    <row r="1254" spans="1:26" x14ac:dyDescent="0.3">
      <c r="A1254" t="s">
        <v>525</v>
      </c>
      <c r="B1254" t="s">
        <v>5077</v>
      </c>
      <c r="C1254" t="s">
        <v>5078</v>
      </c>
      <c r="D1254" t="s">
        <v>1166</v>
      </c>
      <c r="E1254" t="s">
        <v>664</v>
      </c>
      <c r="F1254" t="s">
        <v>27</v>
      </c>
      <c r="G1254" s="1">
        <v>44927</v>
      </c>
      <c r="H1254" s="1">
        <v>45050</v>
      </c>
      <c r="I1254" t="s">
        <v>665</v>
      </c>
      <c r="J1254" t="s">
        <v>666</v>
      </c>
      <c r="K1254" t="s">
        <v>24</v>
      </c>
      <c r="L1254" t="s">
        <v>667</v>
      </c>
      <c r="M1254" t="s">
        <v>873</v>
      </c>
      <c r="N1254" t="s">
        <v>244</v>
      </c>
      <c r="O1254" t="s">
        <v>1168</v>
      </c>
      <c r="P1254" t="s">
        <v>1169</v>
      </c>
      <c r="Q1254" t="s">
        <v>4080</v>
      </c>
      <c r="R1254" t="s">
        <v>4081</v>
      </c>
      <c r="S1254" t="s">
        <v>783</v>
      </c>
      <c r="T1254" t="s">
        <v>550</v>
      </c>
      <c r="U1254" t="s">
        <v>4372</v>
      </c>
      <c r="V1254" t="s">
        <v>5079</v>
      </c>
      <c r="W1254" t="s">
        <v>875</v>
      </c>
      <c r="X1254" t="s">
        <v>669</v>
      </c>
      <c r="Y1254" t="s">
        <v>856</v>
      </c>
      <c r="Z1254" t="s">
        <v>5077</v>
      </c>
    </row>
    <row r="1255" spans="1:26" x14ac:dyDescent="0.3">
      <c r="A1255" t="s">
        <v>525</v>
      </c>
      <c r="B1255" t="s">
        <v>5080</v>
      </c>
      <c r="C1255" t="s">
        <v>5081</v>
      </c>
      <c r="D1255" t="s">
        <v>1248</v>
      </c>
      <c r="E1255" t="s">
        <v>664</v>
      </c>
      <c r="F1255" t="s">
        <v>27</v>
      </c>
      <c r="G1255" s="1">
        <v>44562</v>
      </c>
      <c r="H1255" s="1">
        <v>44562</v>
      </c>
      <c r="I1255" t="s">
        <v>665</v>
      </c>
      <c r="J1255" t="s">
        <v>666</v>
      </c>
      <c r="K1255" t="s">
        <v>24</v>
      </c>
      <c r="L1255" t="s">
        <v>667</v>
      </c>
      <c r="M1255" t="s">
        <v>1230</v>
      </c>
      <c r="N1255" t="s">
        <v>1231</v>
      </c>
      <c r="O1255" t="s">
        <v>1168</v>
      </c>
      <c r="P1255" t="s">
        <v>1169</v>
      </c>
      <c r="Q1255" t="s">
        <v>4080</v>
      </c>
      <c r="R1255" t="s">
        <v>4081</v>
      </c>
      <c r="S1255" t="s">
        <v>783</v>
      </c>
      <c r="T1255" t="s">
        <v>550</v>
      </c>
      <c r="U1255" t="s">
        <v>550</v>
      </c>
      <c r="V1255" t="s">
        <v>5082</v>
      </c>
      <c r="W1255" t="s">
        <v>554</v>
      </c>
      <c r="X1255" t="s">
        <v>669</v>
      </c>
      <c r="Y1255" t="s">
        <v>799</v>
      </c>
      <c r="Z1255" t="s">
        <v>5080</v>
      </c>
    </row>
    <row r="1256" spans="1:26" x14ac:dyDescent="0.3">
      <c r="A1256" t="s">
        <v>525</v>
      </c>
      <c r="B1256" t="s">
        <v>5083</v>
      </c>
      <c r="C1256" t="s">
        <v>5084</v>
      </c>
      <c r="D1256" t="s">
        <v>1248</v>
      </c>
      <c r="E1256" t="s">
        <v>664</v>
      </c>
      <c r="F1256" t="s">
        <v>27</v>
      </c>
      <c r="G1256" s="1">
        <v>44927</v>
      </c>
      <c r="H1256" s="1">
        <v>45076</v>
      </c>
      <c r="I1256" t="s">
        <v>665</v>
      </c>
      <c r="J1256" t="s">
        <v>666</v>
      </c>
      <c r="K1256" t="s">
        <v>24</v>
      </c>
      <c r="L1256" t="s">
        <v>667</v>
      </c>
      <c r="M1256" t="s">
        <v>1230</v>
      </c>
      <c r="N1256" t="s">
        <v>1231</v>
      </c>
      <c r="O1256" t="s">
        <v>1168</v>
      </c>
      <c r="P1256" t="s">
        <v>1169</v>
      </c>
      <c r="Q1256" t="s">
        <v>4080</v>
      </c>
      <c r="R1256" t="s">
        <v>4081</v>
      </c>
      <c r="S1256" t="s">
        <v>783</v>
      </c>
      <c r="T1256" t="s">
        <v>550</v>
      </c>
      <c r="U1256" t="s">
        <v>4400</v>
      </c>
      <c r="V1256" t="s">
        <v>5085</v>
      </c>
      <c r="W1256" t="s">
        <v>554</v>
      </c>
      <c r="X1256" t="s">
        <v>669</v>
      </c>
      <c r="Y1256" t="s">
        <v>799</v>
      </c>
      <c r="Z1256" t="s">
        <v>5083</v>
      </c>
    </row>
    <row r="1257" spans="1:26" x14ac:dyDescent="0.3">
      <c r="A1257" t="s">
        <v>525</v>
      </c>
      <c r="B1257" t="s">
        <v>5086</v>
      </c>
      <c r="C1257" t="s">
        <v>5087</v>
      </c>
      <c r="D1257" t="s">
        <v>1242</v>
      </c>
      <c r="E1257" t="s">
        <v>664</v>
      </c>
      <c r="F1257" t="s">
        <v>27</v>
      </c>
      <c r="G1257" s="1">
        <v>44562</v>
      </c>
      <c r="H1257" s="1">
        <v>44562</v>
      </c>
      <c r="I1257" t="s">
        <v>665</v>
      </c>
      <c r="J1257" t="s">
        <v>666</v>
      </c>
      <c r="K1257" t="s">
        <v>24</v>
      </c>
      <c r="L1257" t="s">
        <v>667</v>
      </c>
      <c r="M1257" t="s">
        <v>1230</v>
      </c>
      <c r="N1257" t="s">
        <v>1231</v>
      </c>
      <c r="O1257" t="s">
        <v>1168</v>
      </c>
      <c r="P1257" t="s">
        <v>1169</v>
      </c>
      <c r="Q1257" t="s">
        <v>4080</v>
      </c>
      <c r="R1257" t="s">
        <v>4081</v>
      </c>
      <c r="S1257" t="s">
        <v>783</v>
      </c>
      <c r="T1257" t="s">
        <v>550</v>
      </c>
      <c r="U1257" t="s">
        <v>550</v>
      </c>
      <c r="V1257" t="s">
        <v>5088</v>
      </c>
      <c r="W1257" t="s">
        <v>554</v>
      </c>
      <c r="X1257" t="s">
        <v>669</v>
      </c>
      <c r="Y1257" t="s">
        <v>799</v>
      </c>
      <c r="Z1257" t="s">
        <v>5086</v>
      </c>
    </row>
    <row r="1258" spans="1:26" x14ac:dyDescent="0.3">
      <c r="A1258" t="s">
        <v>525</v>
      </c>
      <c r="B1258" t="s">
        <v>5089</v>
      </c>
      <c r="C1258" t="s">
        <v>5090</v>
      </c>
      <c r="D1258" t="s">
        <v>1242</v>
      </c>
      <c r="E1258" t="s">
        <v>664</v>
      </c>
      <c r="F1258" t="s">
        <v>27</v>
      </c>
      <c r="G1258" s="1">
        <v>44927</v>
      </c>
      <c r="H1258" s="1">
        <v>45084</v>
      </c>
      <c r="I1258" t="s">
        <v>665</v>
      </c>
      <c r="J1258" t="s">
        <v>666</v>
      </c>
      <c r="K1258" t="s">
        <v>24</v>
      </c>
      <c r="L1258" t="s">
        <v>667</v>
      </c>
      <c r="M1258" t="s">
        <v>1230</v>
      </c>
      <c r="N1258" t="s">
        <v>1231</v>
      </c>
      <c r="O1258" t="s">
        <v>1168</v>
      </c>
      <c r="P1258" t="s">
        <v>1169</v>
      </c>
      <c r="Q1258" t="s">
        <v>4080</v>
      </c>
      <c r="R1258" t="s">
        <v>4081</v>
      </c>
      <c r="S1258" t="s">
        <v>783</v>
      </c>
      <c r="T1258" t="s">
        <v>550</v>
      </c>
      <c r="U1258" t="s">
        <v>4400</v>
      </c>
      <c r="V1258" t="s">
        <v>5091</v>
      </c>
      <c r="W1258" t="s">
        <v>554</v>
      </c>
      <c r="X1258" t="s">
        <v>669</v>
      </c>
      <c r="Y1258" t="s">
        <v>799</v>
      </c>
      <c r="Z1258" t="s">
        <v>5089</v>
      </c>
    </row>
    <row r="1259" spans="1:26" x14ac:dyDescent="0.3">
      <c r="A1259" t="s">
        <v>525</v>
      </c>
      <c r="B1259" t="s">
        <v>5092</v>
      </c>
      <c r="C1259" t="s">
        <v>5093</v>
      </c>
      <c r="D1259" t="s">
        <v>1236</v>
      </c>
      <c r="E1259" t="s">
        <v>664</v>
      </c>
      <c r="F1259" t="s">
        <v>27</v>
      </c>
      <c r="G1259" s="1">
        <v>44562</v>
      </c>
      <c r="H1259" s="1">
        <v>44562</v>
      </c>
      <c r="I1259" t="s">
        <v>665</v>
      </c>
      <c r="J1259" t="s">
        <v>666</v>
      </c>
      <c r="K1259" t="s">
        <v>24</v>
      </c>
      <c r="L1259" t="s">
        <v>667</v>
      </c>
      <c r="M1259" t="s">
        <v>1230</v>
      </c>
      <c r="N1259" t="s">
        <v>1231</v>
      </c>
      <c r="O1259" t="s">
        <v>1168</v>
      </c>
      <c r="P1259" t="s">
        <v>1169</v>
      </c>
      <c r="Q1259" t="s">
        <v>4080</v>
      </c>
      <c r="R1259" t="s">
        <v>4081</v>
      </c>
      <c r="S1259" t="s">
        <v>783</v>
      </c>
      <c r="T1259" t="s">
        <v>550</v>
      </c>
      <c r="U1259" t="s">
        <v>550</v>
      </c>
      <c r="V1259" t="s">
        <v>5094</v>
      </c>
      <c r="W1259" t="s">
        <v>554</v>
      </c>
      <c r="X1259" t="s">
        <v>669</v>
      </c>
      <c r="Y1259" t="s">
        <v>799</v>
      </c>
      <c r="Z1259" t="s">
        <v>5092</v>
      </c>
    </row>
    <row r="1260" spans="1:26" x14ac:dyDescent="0.3">
      <c r="A1260" t="s">
        <v>525</v>
      </c>
      <c r="B1260" t="s">
        <v>5095</v>
      </c>
      <c r="C1260" t="s">
        <v>5096</v>
      </c>
      <c r="D1260" t="s">
        <v>1236</v>
      </c>
      <c r="E1260" t="s">
        <v>664</v>
      </c>
      <c r="F1260" t="s">
        <v>27</v>
      </c>
      <c r="G1260" s="1">
        <v>44927</v>
      </c>
      <c r="H1260" s="1">
        <v>45389</v>
      </c>
      <c r="I1260" t="s">
        <v>665</v>
      </c>
      <c r="J1260" t="s">
        <v>666</v>
      </c>
      <c r="K1260" t="s">
        <v>24</v>
      </c>
      <c r="L1260" t="s">
        <v>667</v>
      </c>
      <c r="M1260" t="s">
        <v>1230</v>
      </c>
      <c r="N1260" t="s">
        <v>1231</v>
      </c>
      <c r="O1260" t="s">
        <v>1168</v>
      </c>
      <c r="P1260" t="s">
        <v>1169</v>
      </c>
      <c r="Q1260" t="s">
        <v>4080</v>
      </c>
      <c r="R1260" t="s">
        <v>4081</v>
      </c>
      <c r="S1260" t="s">
        <v>783</v>
      </c>
      <c r="T1260" t="s">
        <v>550</v>
      </c>
      <c r="U1260" t="s">
        <v>4400</v>
      </c>
      <c r="V1260" t="s">
        <v>5097</v>
      </c>
      <c r="W1260" t="s">
        <v>554</v>
      </c>
      <c r="X1260" t="s">
        <v>669</v>
      </c>
      <c r="Y1260" t="s">
        <v>799</v>
      </c>
      <c r="Z1260" t="s">
        <v>5095</v>
      </c>
    </row>
    <row r="1261" spans="1:26" x14ac:dyDescent="0.3">
      <c r="A1261" t="s">
        <v>525</v>
      </c>
      <c r="B1261" t="s">
        <v>5098</v>
      </c>
      <c r="C1261" t="s">
        <v>5099</v>
      </c>
      <c r="D1261" t="s">
        <v>1254</v>
      </c>
      <c r="E1261" t="s">
        <v>664</v>
      </c>
      <c r="F1261" t="s">
        <v>27</v>
      </c>
      <c r="G1261" s="1">
        <v>44927</v>
      </c>
      <c r="H1261" s="1">
        <v>44927</v>
      </c>
      <c r="I1261" t="s">
        <v>665</v>
      </c>
      <c r="J1261" t="s">
        <v>666</v>
      </c>
      <c r="K1261" t="s">
        <v>24</v>
      </c>
      <c r="L1261" t="s">
        <v>216</v>
      </c>
      <c r="M1261" t="s">
        <v>1230</v>
      </c>
      <c r="N1261" t="s">
        <v>1231</v>
      </c>
      <c r="O1261" t="s">
        <v>1168</v>
      </c>
      <c r="P1261" t="s">
        <v>1169</v>
      </c>
      <c r="Q1261" t="s">
        <v>4080</v>
      </c>
      <c r="R1261" t="s">
        <v>4081</v>
      </c>
      <c r="S1261" t="s">
        <v>1471</v>
      </c>
      <c r="T1261" t="s">
        <v>550</v>
      </c>
      <c r="U1261" t="s">
        <v>1472</v>
      </c>
      <c r="V1261" t="s">
        <v>5100</v>
      </c>
      <c r="W1261" t="s">
        <v>554</v>
      </c>
      <c r="X1261" t="s">
        <v>669</v>
      </c>
      <c r="Y1261" t="s">
        <v>799</v>
      </c>
      <c r="Z1261" t="s">
        <v>5098</v>
      </c>
    </row>
    <row r="1262" spans="1:26" x14ac:dyDescent="0.3">
      <c r="A1262" t="s">
        <v>525</v>
      </c>
      <c r="B1262" t="s">
        <v>5101</v>
      </c>
      <c r="C1262" t="s">
        <v>5102</v>
      </c>
      <c r="D1262" t="s">
        <v>1228</v>
      </c>
      <c r="E1262" t="s">
        <v>664</v>
      </c>
      <c r="F1262" t="s">
        <v>27</v>
      </c>
      <c r="G1262" s="1">
        <v>44562</v>
      </c>
      <c r="H1262" s="1">
        <v>44562</v>
      </c>
      <c r="I1262" t="s">
        <v>665</v>
      </c>
      <c r="J1262" t="s">
        <v>666</v>
      </c>
      <c r="K1262" t="s">
        <v>24</v>
      </c>
      <c r="L1262" t="s">
        <v>667</v>
      </c>
      <c r="M1262" t="s">
        <v>1230</v>
      </c>
      <c r="N1262" t="s">
        <v>1231</v>
      </c>
      <c r="O1262" t="s">
        <v>1168</v>
      </c>
      <c r="P1262" t="s">
        <v>1169</v>
      </c>
      <c r="Q1262" t="s">
        <v>4080</v>
      </c>
      <c r="R1262" t="s">
        <v>4081</v>
      </c>
      <c r="S1262" t="s">
        <v>783</v>
      </c>
      <c r="T1262" t="s">
        <v>550</v>
      </c>
      <c r="U1262" t="s">
        <v>550</v>
      </c>
      <c r="V1262" t="s">
        <v>5103</v>
      </c>
      <c r="W1262" t="s">
        <v>554</v>
      </c>
      <c r="X1262" t="s">
        <v>669</v>
      </c>
      <c r="Y1262" t="s">
        <v>799</v>
      </c>
      <c r="Z1262" t="s">
        <v>5101</v>
      </c>
    </row>
    <row r="1263" spans="1:26" x14ac:dyDescent="0.3">
      <c r="A1263" t="s">
        <v>525</v>
      </c>
      <c r="B1263" t="s">
        <v>5104</v>
      </c>
      <c r="C1263" t="s">
        <v>5105</v>
      </c>
      <c r="D1263" t="s">
        <v>1228</v>
      </c>
      <c r="E1263" t="s">
        <v>664</v>
      </c>
      <c r="F1263" t="s">
        <v>27</v>
      </c>
      <c r="G1263" s="1">
        <v>44927</v>
      </c>
      <c r="H1263" s="1">
        <v>45041</v>
      </c>
      <c r="I1263" t="s">
        <v>665</v>
      </c>
      <c r="J1263" t="s">
        <v>666</v>
      </c>
      <c r="K1263" t="s">
        <v>24</v>
      </c>
      <c r="L1263" t="s">
        <v>667</v>
      </c>
      <c r="M1263" t="s">
        <v>1230</v>
      </c>
      <c r="N1263" t="s">
        <v>1231</v>
      </c>
      <c r="O1263" t="s">
        <v>1168</v>
      </c>
      <c r="P1263" t="s">
        <v>1169</v>
      </c>
      <c r="Q1263" t="s">
        <v>4080</v>
      </c>
      <c r="R1263" t="s">
        <v>4081</v>
      </c>
      <c r="S1263" t="s">
        <v>783</v>
      </c>
      <c r="T1263" t="s">
        <v>550</v>
      </c>
      <c r="U1263" t="s">
        <v>4400</v>
      </c>
      <c r="V1263" t="s">
        <v>5106</v>
      </c>
      <c r="W1263" t="s">
        <v>554</v>
      </c>
      <c r="X1263" t="s">
        <v>669</v>
      </c>
      <c r="Y1263" t="s">
        <v>799</v>
      </c>
      <c r="Z1263" t="s">
        <v>5104</v>
      </c>
    </row>
    <row r="1264" spans="1:26" x14ac:dyDescent="0.3">
      <c r="A1264" t="s">
        <v>525</v>
      </c>
      <c r="B1264" t="s">
        <v>5107</v>
      </c>
      <c r="C1264" t="s">
        <v>5108</v>
      </c>
      <c r="D1264" t="s">
        <v>1216</v>
      </c>
      <c r="E1264" t="s">
        <v>664</v>
      </c>
      <c r="F1264" t="s">
        <v>27</v>
      </c>
      <c r="G1264" s="1">
        <v>44927</v>
      </c>
      <c r="H1264" s="1">
        <v>45004</v>
      </c>
      <c r="I1264" t="s">
        <v>665</v>
      </c>
      <c r="J1264" t="s">
        <v>666</v>
      </c>
      <c r="K1264" t="s">
        <v>24</v>
      </c>
      <c r="L1264" t="s">
        <v>667</v>
      </c>
      <c r="M1264" t="s">
        <v>1230</v>
      </c>
      <c r="N1264" t="s">
        <v>1231</v>
      </c>
      <c r="O1264" t="s">
        <v>1168</v>
      </c>
      <c r="P1264" t="s">
        <v>1169</v>
      </c>
      <c r="Q1264" t="s">
        <v>4080</v>
      </c>
      <c r="R1264" t="s">
        <v>4081</v>
      </c>
      <c r="S1264" t="s">
        <v>783</v>
      </c>
      <c r="T1264" t="s">
        <v>550</v>
      </c>
      <c r="U1264" t="s">
        <v>1472</v>
      </c>
      <c r="V1264" t="s">
        <v>5109</v>
      </c>
      <c r="W1264" t="s">
        <v>554</v>
      </c>
      <c r="X1264" t="s">
        <v>669</v>
      </c>
      <c r="Y1264" t="s">
        <v>799</v>
      </c>
      <c r="Z1264" t="s">
        <v>5107</v>
      </c>
    </row>
    <row r="1265" spans="1:26" x14ac:dyDescent="0.3">
      <c r="A1265" t="s">
        <v>525</v>
      </c>
      <c r="B1265" t="s">
        <v>5110</v>
      </c>
      <c r="C1265" t="s">
        <v>5111</v>
      </c>
      <c r="D1265" t="s">
        <v>1204</v>
      </c>
      <c r="E1265" t="s">
        <v>664</v>
      </c>
      <c r="F1265" t="s">
        <v>27</v>
      </c>
      <c r="G1265" s="1">
        <v>44927</v>
      </c>
      <c r="H1265" s="1">
        <v>44983</v>
      </c>
      <c r="I1265" t="s">
        <v>665</v>
      </c>
      <c r="J1265" t="s">
        <v>666</v>
      </c>
      <c r="K1265" t="s">
        <v>24</v>
      </c>
      <c r="L1265" t="s">
        <v>667</v>
      </c>
      <c r="M1265" t="s">
        <v>1230</v>
      </c>
      <c r="N1265" t="s">
        <v>1231</v>
      </c>
      <c r="O1265" t="s">
        <v>1168</v>
      </c>
      <c r="P1265" t="s">
        <v>1169</v>
      </c>
      <c r="Q1265" t="s">
        <v>4080</v>
      </c>
      <c r="R1265" t="s">
        <v>4081</v>
      </c>
      <c r="S1265" t="s">
        <v>783</v>
      </c>
      <c r="T1265" t="s">
        <v>550</v>
      </c>
      <c r="U1265" t="s">
        <v>1472</v>
      </c>
      <c r="V1265" t="s">
        <v>5112</v>
      </c>
      <c r="W1265" t="s">
        <v>554</v>
      </c>
      <c r="X1265" t="s">
        <v>669</v>
      </c>
      <c r="Y1265" t="s">
        <v>799</v>
      </c>
      <c r="Z1265" t="s">
        <v>5110</v>
      </c>
    </row>
    <row r="1266" spans="1:26" x14ac:dyDescent="0.3">
      <c r="A1266" t="s">
        <v>525</v>
      </c>
      <c r="B1266" t="s">
        <v>5113</v>
      </c>
      <c r="C1266" t="s">
        <v>5114</v>
      </c>
      <c r="D1266" t="s">
        <v>1222</v>
      </c>
      <c r="E1266" t="s">
        <v>664</v>
      </c>
      <c r="F1266" t="s">
        <v>27</v>
      </c>
      <c r="G1266" s="1">
        <v>44562</v>
      </c>
      <c r="H1266" s="1">
        <v>44562</v>
      </c>
      <c r="I1266" t="s">
        <v>665</v>
      </c>
      <c r="J1266" t="s">
        <v>666</v>
      </c>
      <c r="K1266" t="s">
        <v>24</v>
      </c>
      <c r="L1266" t="s">
        <v>667</v>
      </c>
      <c r="M1266" t="s">
        <v>797</v>
      </c>
      <c r="N1266" t="s">
        <v>313</v>
      </c>
      <c r="O1266" t="s">
        <v>1168</v>
      </c>
      <c r="P1266" t="s">
        <v>1169</v>
      </c>
      <c r="Q1266" t="s">
        <v>4080</v>
      </c>
      <c r="R1266" t="s">
        <v>4081</v>
      </c>
      <c r="S1266" t="s">
        <v>783</v>
      </c>
      <c r="T1266" t="s">
        <v>550</v>
      </c>
      <c r="U1266" t="s">
        <v>550</v>
      </c>
      <c r="V1266" t="s">
        <v>5115</v>
      </c>
      <c r="W1266" t="s">
        <v>554</v>
      </c>
      <c r="X1266" t="s">
        <v>669</v>
      </c>
      <c r="Y1266" t="s">
        <v>799</v>
      </c>
      <c r="Z1266" t="s">
        <v>5113</v>
      </c>
    </row>
    <row r="1267" spans="1:26" x14ac:dyDescent="0.3">
      <c r="A1267" t="s">
        <v>525</v>
      </c>
      <c r="B1267" t="s">
        <v>5116</v>
      </c>
      <c r="C1267" t="s">
        <v>5117</v>
      </c>
      <c r="D1267" t="s">
        <v>1198</v>
      </c>
      <c r="E1267" t="s">
        <v>664</v>
      </c>
      <c r="F1267" t="s">
        <v>27</v>
      </c>
      <c r="G1267" s="1">
        <v>44562</v>
      </c>
      <c r="H1267" s="1">
        <v>44562</v>
      </c>
      <c r="I1267" t="s">
        <v>665</v>
      </c>
      <c r="J1267" t="s">
        <v>666</v>
      </c>
      <c r="K1267" t="s">
        <v>24</v>
      </c>
      <c r="L1267" t="s">
        <v>667</v>
      </c>
      <c r="M1267" t="s">
        <v>797</v>
      </c>
      <c r="N1267" t="s">
        <v>313</v>
      </c>
      <c r="O1267" t="s">
        <v>1168</v>
      </c>
      <c r="P1267" t="s">
        <v>1169</v>
      </c>
      <c r="Q1267" t="s">
        <v>4080</v>
      </c>
      <c r="R1267" t="s">
        <v>4081</v>
      </c>
      <c r="S1267" t="s">
        <v>783</v>
      </c>
      <c r="T1267" t="s">
        <v>550</v>
      </c>
      <c r="U1267" t="s">
        <v>550</v>
      </c>
      <c r="V1267" t="s">
        <v>5118</v>
      </c>
      <c r="W1267" t="s">
        <v>875</v>
      </c>
      <c r="X1267" t="s">
        <v>669</v>
      </c>
      <c r="Y1267" t="s">
        <v>799</v>
      </c>
      <c r="Z1267" t="s">
        <v>5116</v>
      </c>
    </row>
    <row r="1268" spans="1:26" x14ac:dyDescent="0.3">
      <c r="A1268" t="s">
        <v>525</v>
      </c>
      <c r="B1268" t="s">
        <v>5119</v>
      </c>
      <c r="C1268" t="s">
        <v>5120</v>
      </c>
      <c r="D1268" t="s">
        <v>550</v>
      </c>
      <c r="E1268" t="s">
        <v>664</v>
      </c>
      <c r="F1268" t="s">
        <v>27</v>
      </c>
      <c r="G1268" s="1">
        <v>44562</v>
      </c>
      <c r="H1268" s="1">
        <v>44562</v>
      </c>
      <c r="I1268" t="s">
        <v>665</v>
      </c>
      <c r="J1268" t="s">
        <v>666</v>
      </c>
      <c r="K1268" t="s">
        <v>24</v>
      </c>
      <c r="L1268" t="s">
        <v>667</v>
      </c>
      <c r="M1268" t="s">
        <v>1230</v>
      </c>
      <c r="N1268" t="s">
        <v>1231</v>
      </c>
      <c r="O1268" t="s">
        <v>1168</v>
      </c>
      <c r="P1268" t="s">
        <v>1169</v>
      </c>
      <c r="Q1268" t="s">
        <v>4080</v>
      </c>
      <c r="R1268" t="s">
        <v>4081</v>
      </c>
      <c r="S1268" t="s">
        <v>550</v>
      </c>
      <c r="T1268" t="s">
        <v>550</v>
      </c>
      <c r="U1268" t="s">
        <v>550</v>
      </c>
      <c r="V1268" t="s">
        <v>5121</v>
      </c>
      <c r="W1268" t="s">
        <v>554</v>
      </c>
      <c r="X1268" t="s">
        <v>669</v>
      </c>
      <c r="Y1268" t="s">
        <v>799</v>
      </c>
      <c r="Z1268" t="s">
        <v>5119</v>
      </c>
    </row>
    <row r="1269" spans="1:26" x14ac:dyDescent="0.3">
      <c r="A1269" t="s">
        <v>525</v>
      </c>
      <c r="B1269" t="s">
        <v>5122</v>
      </c>
      <c r="C1269" t="s">
        <v>5123</v>
      </c>
      <c r="D1269" t="s">
        <v>5119</v>
      </c>
      <c r="E1269" t="s">
        <v>664</v>
      </c>
      <c r="F1269" t="s">
        <v>27</v>
      </c>
      <c r="G1269" s="1">
        <v>44562</v>
      </c>
      <c r="H1269" s="1">
        <v>44562</v>
      </c>
      <c r="I1269" t="s">
        <v>665</v>
      </c>
      <c r="J1269" t="s">
        <v>666</v>
      </c>
      <c r="K1269" t="s">
        <v>24</v>
      </c>
      <c r="L1269" t="s">
        <v>667</v>
      </c>
      <c r="M1269" t="s">
        <v>1230</v>
      </c>
      <c r="N1269" t="s">
        <v>1231</v>
      </c>
      <c r="O1269" t="s">
        <v>1168</v>
      </c>
      <c r="P1269" t="s">
        <v>1169</v>
      </c>
      <c r="Q1269" t="s">
        <v>4080</v>
      </c>
      <c r="R1269" t="s">
        <v>4081</v>
      </c>
      <c r="S1269" t="s">
        <v>783</v>
      </c>
      <c r="T1269" t="s">
        <v>550</v>
      </c>
      <c r="U1269" t="s">
        <v>550</v>
      </c>
      <c r="V1269" t="s">
        <v>5124</v>
      </c>
      <c r="W1269" t="s">
        <v>554</v>
      </c>
      <c r="X1269" t="s">
        <v>669</v>
      </c>
      <c r="Y1269" t="s">
        <v>799</v>
      </c>
      <c r="Z1269" t="s">
        <v>5122</v>
      </c>
    </row>
    <row r="1270" spans="1:26" x14ac:dyDescent="0.3">
      <c r="A1270" t="s">
        <v>525</v>
      </c>
      <c r="B1270" t="s">
        <v>5125</v>
      </c>
      <c r="C1270" t="s">
        <v>5126</v>
      </c>
      <c r="D1270" t="s">
        <v>5119</v>
      </c>
      <c r="E1270" t="s">
        <v>664</v>
      </c>
      <c r="F1270" t="s">
        <v>27</v>
      </c>
      <c r="G1270" s="1">
        <v>44927</v>
      </c>
      <c r="H1270" s="1">
        <v>45434</v>
      </c>
      <c r="I1270" t="s">
        <v>665</v>
      </c>
      <c r="J1270" t="s">
        <v>666</v>
      </c>
      <c r="K1270" t="s">
        <v>958</v>
      </c>
      <c r="L1270" t="s">
        <v>667</v>
      </c>
      <c r="M1270" t="s">
        <v>1230</v>
      </c>
      <c r="N1270" t="s">
        <v>1231</v>
      </c>
      <c r="O1270" t="s">
        <v>1168</v>
      </c>
      <c r="P1270" t="s">
        <v>1169</v>
      </c>
      <c r="Q1270" t="s">
        <v>4080</v>
      </c>
      <c r="R1270" t="s">
        <v>4081</v>
      </c>
      <c r="S1270" t="s">
        <v>783</v>
      </c>
      <c r="T1270" t="s">
        <v>550</v>
      </c>
      <c r="U1270" t="s">
        <v>5127</v>
      </c>
      <c r="V1270" t="s">
        <v>5128</v>
      </c>
      <c r="W1270" t="s">
        <v>554</v>
      </c>
      <c r="X1270" t="s">
        <v>669</v>
      </c>
      <c r="Y1270" t="s">
        <v>799</v>
      </c>
      <c r="Z1270" t="s">
        <v>5125</v>
      </c>
    </row>
    <row r="1271" spans="1:26" x14ac:dyDescent="0.3">
      <c r="A1271" t="s">
        <v>525</v>
      </c>
      <c r="B1271" t="s">
        <v>5129</v>
      </c>
      <c r="C1271" t="s">
        <v>5130</v>
      </c>
      <c r="D1271" t="s">
        <v>1266</v>
      </c>
      <c r="E1271" t="s">
        <v>664</v>
      </c>
      <c r="F1271" t="s">
        <v>27</v>
      </c>
      <c r="G1271" s="1">
        <v>44562</v>
      </c>
      <c r="H1271" s="1">
        <v>44562</v>
      </c>
      <c r="I1271" t="s">
        <v>665</v>
      </c>
      <c r="J1271" t="s">
        <v>666</v>
      </c>
      <c r="K1271" t="s">
        <v>24</v>
      </c>
      <c r="L1271" t="s">
        <v>667</v>
      </c>
      <c r="M1271" t="s">
        <v>889</v>
      </c>
      <c r="N1271" t="s">
        <v>890</v>
      </c>
      <c r="O1271" t="s">
        <v>1168</v>
      </c>
      <c r="P1271" t="s">
        <v>1169</v>
      </c>
      <c r="Q1271" t="s">
        <v>4080</v>
      </c>
      <c r="R1271" t="s">
        <v>4081</v>
      </c>
      <c r="S1271" t="s">
        <v>783</v>
      </c>
      <c r="T1271" t="s">
        <v>893</v>
      </c>
      <c r="U1271" t="s">
        <v>550</v>
      </c>
      <c r="V1271" t="s">
        <v>5131</v>
      </c>
      <c r="W1271" t="s">
        <v>565</v>
      </c>
      <c r="X1271" t="s">
        <v>669</v>
      </c>
      <c r="Y1271" t="s">
        <v>856</v>
      </c>
      <c r="Z1271" t="s">
        <v>5129</v>
      </c>
    </row>
    <row r="1272" spans="1:26" x14ac:dyDescent="0.3">
      <c r="A1272" t="s">
        <v>525</v>
      </c>
      <c r="B1272" t="s">
        <v>5132</v>
      </c>
      <c r="C1272" t="s">
        <v>5133</v>
      </c>
      <c r="D1272" t="s">
        <v>1260</v>
      </c>
      <c r="E1272" t="s">
        <v>664</v>
      </c>
      <c r="F1272" t="s">
        <v>27</v>
      </c>
      <c r="G1272" s="1">
        <v>44562</v>
      </c>
      <c r="H1272" s="1">
        <v>44562</v>
      </c>
      <c r="I1272" t="s">
        <v>665</v>
      </c>
      <c r="J1272" t="s">
        <v>666</v>
      </c>
      <c r="K1272" t="s">
        <v>24</v>
      </c>
      <c r="L1272" t="s">
        <v>667</v>
      </c>
      <c r="M1272" t="s">
        <v>1230</v>
      </c>
      <c r="N1272" t="s">
        <v>1231</v>
      </c>
      <c r="O1272" t="s">
        <v>1168</v>
      </c>
      <c r="P1272" t="s">
        <v>1169</v>
      </c>
      <c r="Q1272" t="s">
        <v>4080</v>
      </c>
      <c r="R1272" t="s">
        <v>4081</v>
      </c>
      <c r="S1272" t="s">
        <v>783</v>
      </c>
      <c r="T1272" t="s">
        <v>550</v>
      </c>
      <c r="U1272" t="s">
        <v>550</v>
      </c>
      <c r="V1272" t="s">
        <v>5134</v>
      </c>
      <c r="W1272" t="s">
        <v>554</v>
      </c>
      <c r="X1272" t="s">
        <v>669</v>
      </c>
      <c r="Y1272" t="s">
        <v>799</v>
      </c>
      <c r="Z1272" t="s">
        <v>5132</v>
      </c>
    </row>
    <row r="1273" spans="1:26" x14ac:dyDescent="0.3">
      <c r="A1273" t="s">
        <v>525</v>
      </c>
      <c r="B1273" t="s">
        <v>5135</v>
      </c>
      <c r="C1273" t="s">
        <v>5136</v>
      </c>
      <c r="D1273" t="s">
        <v>1260</v>
      </c>
      <c r="E1273" t="s">
        <v>664</v>
      </c>
      <c r="F1273" t="s">
        <v>27</v>
      </c>
      <c r="G1273" s="1">
        <v>44927</v>
      </c>
      <c r="H1273" s="1">
        <v>44953</v>
      </c>
      <c r="I1273" t="s">
        <v>665</v>
      </c>
      <c r="J1273" t="s">
        <v>666</v>
      </c>
      <c r="K1273" t="s">
        <v>24</v>
      </c>
      <c r="L1273" t="s">
        <v>667</v>
      </c>
      <c r="M1273" t="s">
        <v>1230</v>
      </c>
      <c r="N1273" t="s">
        <v>1231</v>
      </c>
      <c r="O1273" t="s">
        <v>1168</v>
      </c>
      <c r="P1273" t="s">
        <v>1169</v>
      </c>
      <c r="Q1273" t="s">
        <v>4080</v>
      </c>
      <c r="R1273" t="s">
        <v>4081</v>
      </c>
      <c r="S1273" t="s">
        <v>783</v>
      </c>
      <c r="T1273" t="s">
        <v>550</v>
      </c>
      <c r="U1273" t="s">
        <v>1472</v>
      </c>
      <c r="V1273" t="s">
        <v>5137</v>
      </c>
      <c r="W1273" t="s">
        <v>554</v>
      </c>
      <c r="X1273" t="s">
        <v>669</v>
      </c>
      <c r="Y1273" t="s">
        <v>799</v>
      </c>
      <c r="Z1273" t="s">
        <v>5135</v>
      </c>
    </row>
    <row r="1274" spans="1:26" x14ac:dyDescent="0.3">
      <c r="A1274" t="s">
        <v>525</v>
      </c>
      <c r="B1274" t="s">
        <v>5138</v>
      </c>
      <c r="C1274" t="s">
        <v>5139</v>
      </c>
      <c r="D1274" t="s">
        <v>1254</v>
      </c>
      <c r="E1274" t="s">
        <v>664</v>
      </c>
      <c r="F1274" t="s">
        <v>27</v>
      </c>
      <c r="G1274" s="1">
        <v>44562</v>
      </c>
      <c r="H1274" s="1">
        <v>44562</v>
      </c>
      <c r="I1274" t="s">
        <v>665</v>
      </c>
      <c r="J1274" t="s">
        <v>666</v>
      </c>
      <c r="K1274" t="s">
        <v>24</v>
      </c>
      <c r="L1274" t="s">
        <v>216</v>
      </c>
      <c r="M1274" t="s">
        <v>797</v>
      </c>
      <c r="N1274" t="s">
        <v>313</v>
      </c>
      <c r="O1274" t="s">
        <v>1168</v>
      </c>
      <c r="P1274" t="s">
        <v>1169</v>
      </c>
      <c r="Q1274" t="s">
        <v>4080</v>
      </c>
      <c r="R1274" t="s">
        <v>4081</v>
      </c>
      <c r="S1274" t="s">
        <v>1471</v>
      </c>
      <c r="T1274" t="s">
        <v>550</v>
      </c>
      <c r="U1274" t="s">
        <v>550</v>
      </c>
      <c r="V1274" t="s">
        <v>5140</v>
      </c>
      <c r="W1274" t="s">
        <v>554</v>
      </c>
      <c r="X1274" t="s">
        <v>669</v>
      </c>
      <c r="Y1274" t="s">
        <v>799</v>
      </c>
      <c r="Z1274" t="s">
        <v>5138</v>
      </c>
    </row>
    <row r="1275" spans="1:26" x14ac:dyDescent="0.3">
      <c r="A1275" t="s">
        <v>525</v>
      </c>
      <c r="B1275" t="s">
        <v>5141</v>
      </c>
      <c r="C1275" t="s">
        <v>5142</v>
      </c>
      <c r="D1275" t="s">
        <v>1290</v>
      </c>
      <c r="E1275" t="s">
        <v>1291</v>
      </c>
      <c r="F1275" t="s">
        <v>1292</v>
      </c>
      <c r="G1275" s="1">
        <v>44562</v>
      </c>
      <c r="H1275" s="1">
        <v>44562</v>
      </c>
      <c r="I1275" t="s">
        <v>665</v>
      </c>
      <c r="J1275" t="s">
        <v>1041</v>
      </c>
      <c r="K1275" t="s">
        <v>24</v>
      </c>
      <c r="L1275" t="s">
        <v>216</v>
      </c>
      <c r="M1275" t="s">
        <v>1293</v>
      </c>
      <c r="N1275" t="s">
        <v>256</v>
      </c>
      <c r="O1275" t="s">
        <v>1278</v>
      </c>
      <c r="P1275" t="s">
        <v>1279</v>
      </c>
      <c r="Q1275" t="s">
        <v>4080</v>
      </c>
      <c r="R1275" t="s">
        <v>4081</v>
      </c>
      <c r="S1275" t="s">
        <v>783</v>
      </c>
      <c r="T1275" t="s">
        <v>550</v>
      </c>
      <c r="U1275" t="s">
        <v>162</v>
      </c>
      <c r="V1275" t="s">
        <v>5143</v>
      </c>
      <c r="W1275" t="s">
        <v>613</v>
      </c>
      <c r="X1275" t="s">
        <v>74</v>
      </c>
      <c r="Y1275" t="s">
        <v>1281</v>
      </c>
      <c r="Z1275" t="s">
        <v>5141</v>
      </c>
    </row>
    <row r="1276" spans="1:26" x14ac:dyDescent="0.3">
      <c r="A1276" t="s">
        <v>525</v>
      </c>
      <c r="B1276" t="s">
        <v>4404</v>
      </c>
      <c r="C1276" t="s">
        <v>5144</v>
      </c>
      <c r="D1276" t="s">
        <v>550</v>
      </c>
      <c r="E1276" t="s">
        <v>664</v>
      </c>
      <c r="F1276" t="s">
        <v>27</v>
      </c>
      <c r="G1276" s="1">
        <v>44927</v>
      </c>
      <c r="H1276" s="1">
        <v>44927</v>
      </c>
      <c r="I1276" t="s">
        <v>780</v>
      </c>
      <c r="J1276" t="s">
        <v>666</v>
      </c>
      <c r="K1276" t="s">
        <v>635</v>
      </c>
      <c r="L1276" t="s">
        <v>667</v>
      </c>
      <c r="M1276" t="s">
        <v>1780</v>
      </c>
      <c r="N1276" t="s">
        <v>1781</v>
      </c>
      <c r="O1276" t="s">
        <v>1168</v>
      </c>
      <c r="P1276" t="s">
        <v>1169</v>
      </c>
      <c r="Q1276" t="s">
        <v>4080</v>
      </c>
      <c r="R1276" t="s">
        <v>4081</v>
      </c>
      <c r="S1276" t="s">
        <v>783</v>
      </c>
      <c r="T1276" t="s">
        <v>550</v>
      </c>
      <c r="U1276" t="s">
        <v>550</v>
      </c>
      <c r="V1276" t="s">
        <v>5145</v>
      </c>
      <c r="W1276" t="s">
        <v>554</v>
      </c>
      <c r="X1276" t="s">
        <v>669</v>
      </c>
      <c r="Y1276" t="s">
        <v>799</v>
      </c>
      <c r="Z1276" t="s">
        <v>4404</v>
      </c>
    </row>
    <row r="1277" spans="1:26" x14ac:dyDescent="0.3">
      <c r="A1277" t="s">
        <v>525</v>
      </c>
      <c r="B1277" t="s">
        <v>5146</v>
      </c>
      <c r="C1277" t="s">
        <v>5147</v>
      </c>
      <c r="D1277" t="s">
        <v>4126</v>
      </c>
      <c r="E1277" t="s">
        <v>664</v>
      </c>
      <c r="F1277" t="s">
        <v>27</v>
      </c>
      <c r="G1277" s="1">
        <v>44927</v>
      </c>
      <c r="H1277" s="1">
        <v>44950</v>
      </c>
      <c r="I1277" t="s">
        <v>665</v>
      </c>
      <c r="J1277" t="s">
        <v>666</v>
      </c>
      <c r="K1277" t="s">
        <v>958</v>
      </c>
      <c r="L1277" t="s">
        <v>216</v>
      </c>
      <c r="M1277" t="s">
        <v>5148</v>
      </c>
      <c r="N1277" t="s">
        <v>5149</v>
      </c>
      <c r="O1277" t="s">
        <v>1168</v>
      </c>
      <c r="P1277" t="s">
        <v>1169</v>
      </c>
      <c r="Q1277" t="s">
        <v>4080</v>
      </c>
      <c r="R1277" t="s">
        <v>4081</v>
      </c>
      <c r="S1277" t="s">
        <v>783</v>
      </c>
      <c r="T1277" t="s">
        <v>550</v>
      </c>
      <c r="U1277" t="s">
        <v>1472</v>
      </c>
      <c r="V1277" t="s">
        <v>5150</v>
      </c>
      <c r="W1277" t="s">
        <v>554</v>
      </c>
      <c r="X1277" t="s">
        <v>669</v>
      </c>
      <c r="Y1277" t="s">
        <v>799</v>
      </c>
      <c r="Z1277" t="s">
        <v>5146</v>
      </c>
    </row>
    <row r="1278" spans="1:26" x14ac:dyDescent="0.3">
      <c r="A1278" t="s">
        <v>525</v>
      </c>
      <c r="B1278" t="s">
        <v>5151</v>
      </c>
      <c r="C1278" t="s">
        <v>5152</v>
      </c>
      <c r="D1278" t="s">
        <v>1274</v>
      </c>
      <c r="E1278" t="s">
        <v>1275</v>
      </c>
      <c r="F1278" t="s">
        <v>1276</v>
      </c>
      <c r="G1278" s="1">
        <v>44562</v>
      </c>
      <c r="H1278" s="1">
        <v>44562</v>
      </c>
      <c r="I1278" t="s">
        <v>665</v>
      </c>
      <c r="J1278" t="s">
        <v>1277</v>
      </c>
      <c r="K1278" t="s">
        <v>24</v>
      </c>
      <c r="L1278" t="s">
        <v>1045</v>
      </c>
      <c r="M1278" t="s">
        <v>1293</v>
      </c>
      <c r="N1278" t="s">
        <v>256</v>
      </c>
      <c r="O1278" t="s">
        <v>1278</v>
      </c>
      <c r="P1278" t="s">
        <v>1279</v>
      </c>
      <c r="Q1278" t="s">
        <v>4080</v>
      </c>
      <c r="R1278" t="s">
        <v>4081</v>
      </c>
      <c r="S1278" t="s">
        <v>783</v>
      </c>
      <c r="T1278" t="s">
        <v>550</v>
      </c>
      <c r="U1278" t="s">
        <v>550</v>
      </c>
      <c r="V1278" t="s">
        <v>5153</v>
      </c>
      <c r="W1278" t="s">
        <v>613</v>
      </c>
      <c r="X1278" t="s">
        <v>74</v>
      </c>
      <c r="Y1278" t="s">
        <v>1281</v>
      </c>
      <c r="Z1278" t="s">
        <v>5151</v>
      </c>
    </row>
    <row r="1279" spans="1:26" x14ac:dyDescent="0.3">
      <c r="A1279" t="s">
        <v>525</v>
      </c>
      <c r="B1279" t="s">
        <v>4126</v>
      </c>
      <c r="C1279" t="s">
        <v>5154</v>
      </c>
      <c r="D1279" t="s">
        <v>550</v>
      </c>
      <c r="E1279" t="s">
        <v>664</v>
      </c>
      <c r="F1279" t="s">
        <v>27</v>
      </c>
      <c r="G1279" s="1">
        <v>44927</v>
      </c>
      <c r="H1279" s="1">
        <v>45291</v>
      </c>
      <c r="I1279" t="s">
        <v>780</v>
      </c>
      <c r="J1279" t="s">
        <v>666</v>
      </c>
      <c r="K1279" t="s">
        <v>635</v>
      </c>
      <c r="L1279" t="s">
        <v>216</v>
      </c>
      <c r="M1279" t="s">
        <v>1904</v>
      </c>
      <c r="N1279" t="s">
        <v>1905</v>
      </c>
      <c r="O1279" t="s">
        <v>1904</v>
      </c>
      <c r="P1279" t="s">
        <v>1905</v>
      </c>
      <c r="Q1279" t="s">
        <v>4080</v>
      </c>
      <c r="R1279" t="s">
        <v>4081</v>
      </c>
      <c r="S1279" t="s">
        <v>783</v>
      </c>
      <c r="T1279" t="s">
        <v>550</v>
      </c>
      <c r="U1279" t="s">
        <v>1472</v>
      </c>
      <c r="V1279" t="s">
        <v>5155</v>
      </c>
      <c r="W1279" t="s">
        <v>554</v>
      </c>
      <c r="X1279" t="s">
        <v>669</v>
      </c>
      <c r="Y1279" t="s">
        <v>799</v>
      </c>
      <c r="Z1279" t="s">
        <v>4126</v>
      </c>
    </row>
    <row r="1280" spans="1:26" x14ac:dyDescent="0.3">
      <c r="A1280" t="s">
        <v>525</v>
      </c>
      <c r="B1280" t="s">
        <v>5156</v>
      </c>
      <c r="C1280" t="s">
        <v>5157</v>
      </c>
      <c r="D1280" t="s">
        <v>550</v>
      </c>
      <c r="E1280" t="s">
        <v>5158</v>
      </c>
      <c r="F1280" t="s">
        <v>5159</v>
      </c>
      <c r="G1280" s="1">
        <v>44562</v>
      </c>
      <c r="H1280" s="1">
        <v>44926</v>
      </c>
      <c r="I1280" t="s">
        <v>665</v>
      </c>
      <c r="J1280" t="s">
        <v>5160</v>
      </c>
      <c r="K1280" t="s">
        <v>635</v>
      </c>
      <c r="L1280" t="s">
        <v>216</v>
      </c>
      <c r="M1280" t="s">
        <v>1904</v>
      </c>
      <c r="N1280" t="s">
        <v>1905</v>
      </c>
      <c r="O1280" t="s">
        <v>1904</v>
      </c>
      <c r="P1280" t="s">
        <v>1905</v>
      </c>
      <c r="Q1280" t="s">
        <v>4080</v>
      </c>
      <c r="R1280" t="s">
        <v>4081</v>
      </c>
      <c r="S1280" t="s">
        <v>550</v>
      </c>
      <c r="T1280" t="s">
        <v>550</v>
      </c>
      <c r="U1280" t="s">
        <v>550</v>
      </c>
      <c r="V1280" t="s">
        <v>5161</v>
      </c>
      <c r="W1280" t="s">
        <v>869</v>
      </c>
      <c r="X1280" t="s">
        <v>870</v>
      </c>
      <c r="Y1280" t="s">
        <v>847</v>
      </c>
      <c r="Z1280" t="s">
        <v>5156</v>
      </c>
    </row>
    <row r="1281" spans="1:26" x14ac:dyDescent="0.3">
      <c r="A1281" t="s">
        <v>525</v>
      </c>
      <c r="B1281" t="s">
        <v>5162</v>
      </c>
      <c r="C1281" t="s">
        <v>5157</v>
      </c>
      <c r="D1281" t="s">
        <v>5156</v>
      </c>
      <c r="E1281" t="s">
        <v>664</v>
      </c>
      <c r="F1281" t="s">
        <v>27</v>
      </c>
      <c r="G1281" s="1">
        <v>44562</v>
      </c>
      <c r="H1281" s="1">
        <v>44565</v>
      </c>
      <c r="I1281" t="s">
        <v>665</v>
      </c>
      <c r="J1281" t="s">
        <v>666</v>
      </c>
      <c r="K1281" t="s">
        <v>635</v>
      </c>
      <c r="L1281" t="s">
        <v>216</v>
      </c>
      <c r="M1281" t="s">
        <v>1904</v>
      </c>
      <c r="N1281" t="s">
        <v>1905</v>
      </c>
      <c r="O1281" t="s">
        <v>1904</v>
      </c>
      <c r="P1281" t="s">
        <v>1905</v>
      </c>
      <c r="Q1281" t="s">
        <v>4080</v>
      </c>
      <c r="R1281" t="s">
        <v>4081</v>
      </c>
      <c r="S1281" t="s">
        <v>783</v>
      </c>
      <c r="T1281" t="s">
        <v>550</v>
      </c>
      <c r="U1281" t="s">
        <v>550</v>
      </c>
      <c r="V1281" t="s">
        <v>5163</v>
      </c>
      <c r="W1281" t="s">
        <v>869</v>
      </c>
      <c r="X1281" t="s">
        <v>870</v>
      </c>
      <c r="Y1281" t="s">
        <v>847</v>
      </c>
      <c r="Z1281" t="s">
        <v>5162</v>
      </c>
    </row>
    <row r="1282" spans="1:26" x14ac:dyDescent="0.3">
      <c r="A1282" t="s">
        <v>525</v>
      </c>
      <c r="B1282" t="s">
        <v>5164</v>
      </c>
      <c r="C1282" t="s">
        <v>5165</v>
      </c>
      <c r="D1282" t="s">
        <v>550</v>
      </c>
      <c r="E1282" t="s">
        <v>2461</v>
      </c>
      <c r="F1282" t="s">
        <v>2462</v>
      </c>
      <c r="G1282" s="1">
        <v>44927</v>
      </c>
      <c r="H1282" s="1">
        <v>45291</v>
      </c>
      <c r="I1282" t="s">
        <v>665</v>
      </c>
      <c r="J1282" t="s">
        <v>2463</v>
      </c>
      <c r="K1282" t="s">
        <v>24</v>
      </c>
      <c r="L1282" t="s">
        <v>863</v>
      </c>
      <c r="M1282" t="s">
        <v>1904</v>
      </c>
      <c r="N1282" t="s">
        <v>1905</v>
      </c>
      <c r="O1282" t="s">
        <v>1904</v>
      </c>
      <c r="P1282" t="s">
        <v>1905</v>
      </c>
      <c r="Q1282" t="s">
        <v>4080</v>
      </c>
      <c r="R1282" t="s">
        <v>4081</v>
      </c>
      <c r="S1282" t="s">
        <v>783</v>
      </c>
      <c r="T1282" t="s">
        <v>550</v>
      </c>
      <c r="U1282" t="s">
        <v>550</v>
      </c>
      <c r="V1282" t="s">
        <v>5166</v>
      </c>
      <c r="W1282" t="s">
        <v>1014</v>
      </c>
      <c r="X1282" t="s">
        <v>870</v>
      </c>
      <c r="Y1282" t="s">
        <v>1281</v>
      </c>
      <c r="Z1282" t="s">
        <v>5164</v>
      </c>
    </row>
    <row r="1283" spans="1:26" x14ac:dyDescent="0.3">
      <c r="A1283" t="s">
        <v>525</v>
      </c>
      <c r="B1283" t="s">
        <v>5167</v>
      </c>
      <c r="C1283" t="s">
        <v>5168</v>
      </c>
      <c r="D1283" t="s">
        <v>5164</v>
      </c>
      <c r="E1283" t="s">
        <v>2461</v>
      </c>
      <c r="F1283" t="s">
        <v>2462</v>
      </c>
      <c r="G1283" s="1">
        <v>44927</v>
      </c>
      <c r="H1283" s="1">
        <v>45031</v>
      </c>
      <c r="I1283" t="s">
        <v>665</v>
      </c>
      <c r="J1283" t="s">
        <v>2463</v>
      </c>
      <c r="K1283" t="s">
        <v>24</v>
      </c>
      <c r="L1283" t="s">
        <v>863</v>
      </c>
      <c r="M1283" t="s">
        <v>1904</v>
      </c>
      <c r="N1283" t="s">
        <v>1905</v>
      </c>
      <c r="O1283" t="s">
        <v>1904</v>
      </c>
      <c r="P1283" t="s">
        <v>1905</v>
      </c>
      <c r="Q1283" t="s">
        <v>4080</v>
      </c>
      <c r="R1283" t="s">
        <v>4081</v>
      </c>
      <c r="S1283" t="s">
        <v>783</v>
      </c>
      <c r="T1283" t="s">
        <v>550</v>
      </c>
      <c r="U1283" t="s">
        <v>5169</v>
      </c>
      <c r="V1283" t="s">
        <v>5166</v>
      </c>
      <c r="W1283" t="s">
        <v>1014</v>
      </c>
      <c r="X1283" t="s">
        <v>870</v>
      </c>
      <c r="Y1283" t="s">
        <v>1281</v>
      </c>
      <c r="Z1283" t="s">
        <v>5164</v>
      </c>
    </row>
    <row r="1284" spans="1:26" x14ac:dyDescent="0.3">
      <c r="A1284" t="s">
        <v>525</v>
      </c>
      <c r="B1284" t="s">
        <v>5170</v>
      </c>
      <c r="C1284" t="s">
        <v>5171</v>
      </c>
      <c r="D1284" t="s">
        <v>5164</v>
      </c>
      <c r="E1284" t="s">
        <v>2461</v>
      </c>
      <c r="F1284" t="s">
        <v>2462</v>
      </c>
      <c r="G1284" s="1">
        <v>44927</v>
      </c>
      <c r="H1284" s="1">
        <v>45031</v>
      </c>
      <c r="I1284" t="s">
        <v>665</v>
      </c>
      <c r="J1284" t="s">
        <v>2463</v>
      </c>
      <c r="K1284" t="s">
        <v>24</v>
      </c>
      <c r="L1284" t="s">
        <v>863</v>
      </c>
      <c r="M1284" t="s">
        <v>1904</v>
      </c>
      <c r="N1284" t="s">
        <v>1905</v>
      </c>
      <c r="O1284" t="s">
        <v>1904</v>
      </c>
      <c r="P1284" t="s">
        <v>1905</v>
      </c>
      <c r="Q1284" t="s">
        <v>4080</v>
      </c>
      <c r="R1284" t="s">
        <v>4081</v>
      </c>
      <c r="S1284" t="s">
        <v>783</v>
      </c>
      <c r="T1284" t="s">
        <v>550</v>
      </c>
      <c r="U1284" t="s">
        <v>550</v>
      </c>
      <c r="V1284" t="s">
        <v>5166</v>
      </c>
      <c r="W1284" t="s">
        <v>1014</v>
      </c>
      <c r="X1284" t="s">
        <v>870</v>
      </c>
      <c r="Y1284" t="s">
        <v>1281</v>
      </c>
      <c r="Z1284" t="s">
        <v>5164</v>
      </c>
    </row>
    <row r="1285" spans="1:26" x14ac:dyDescent="0.3">
      <c r="A1285" t="s">
        <v>525</v>
      </c>
      <c r="B1285" t="s">
        <v>5172</v>
      </c>
      <c r="C1285" t="s">
        <v>5173</v>
      </c>
      <c r="D1285" t="s">
        <v>1313</v>
      </c>
      <c r="E1285" t="s">
        <v>1306</v>
      </c>
      <c r="F1285" t="s">
        <v>1307</v>
      </c>
      <c r="G1285" s="1">
        <v>44562</v>
      </c>
      <c r="H1285" s="1">
        <v>44562</v>
      </c>
      <c r="I1285" t="s">
        <v>665</v>
      </c>
      <c r="J1285" t="s">
        <v>1308</v>
      </c>
      <c r="K1285" t="s">
        <v>24</v>
      </c>
      <c r="L1285" t="s">
        <v>1045</v>
      </c>
      <c r="M1285" t="s">
        <v>1293</v>
      </c>
      <c r="N1285" t="s">
        <v>256</v>
      </c>
      <c r="O1285" t="s">
        <v>1301</v>
      </c>
      <c r="P1285" t="s">
        <v>1302</v>
      </c>
      <c r="Q1285" t="s">
        <v>4080</v>
      </c>
      <c r="R1285" t="s">
        <v>4081</v>
      </c>
      <c r="S1285" t="s">
        <v>1471</v>
      </c>
      <c r="T1285" t="s">
        <v>550</v>
      </c>
      <c r="U1285" t="s">
        <v>550</v>
      </c>
      <c r="V1285" t="s">
        <v>5174</v>
      </c>
      <c r="W1285" t="s">
        <v>1021</v>
      </c>
      <c r="X1285" t="s">
        <v>74</v>
      </c>
      <c r="Y1285" t="s">
        <v>1033</v>
      </c>
      <c r="Z1285" t="s">
        <v>5172</v>
      </c>
    </row>
    <row r="1286" spans="1:26" x14ac:dyDescent="0.3">
      <c r="A1286" t="s">
        <v>525</v>
      </c>
      <c r="B1286" t="s">
        <v>5175</v>
      </c>
      <c r="C1286" t="s">
        <v>5176</v>
      </c>
      <c r="D1286" t="s">
        <v>1336</v>
      </c>
      <c r="E1286" t="s">
        <v>1338</v>
      </c>
      <c r="F1286" t="s">
        <v>1339</v>
      </c>
      <c r="G1286" s="1">
        <v>44562</v>
      </c>
      <c r="H1286" s="1">
        <v>44570</v>
      </c>
      <c r="I1286" t="s">
        <v>665</v>
      </c>
      <c r="J1286" t="s">
        <v>1340</v>
      </c>
      <c r="K1286" t="s">
        <v>958</v>
      </c>
      <c r="L1286" t="s">
        <v>216</v>
      </c>
      <c r="M1286" t="s">
        <v>1293</v>
      </c>
      <c r="N1286" t="s">
        <v>256</v>
      </c>
      <c r="O1286" t="s">
        <v>1301</v>
      </c>
      <c r="P1286" t="s">
        <v>1302</v>
      </c>
      <c r="Q1286" t="s">
        <v>4080</v>
      </c>
      <c r="R1286" t="s">
        <v>4081</v>
      </c>
      <c r="S1286" t="s">
        <v>783</v>
      </c>
      <c r="T1286" t="s">
        <v>550</v>
      </c>
      <c r="U1286" t="s">
        <v>162</v>
      </c>
      <c r="V1286" t="s">
        <v>5177</v>
      </c>
      <c r="W1286" t="s">
        <v>613</v>
      </c>
      <c r="X1286" t="s">
        <v>74</v>
      </c>
      <c r="Y1286" t="s">
        <v>1281</v>
      </c>
      <c r="Z1286" t="s">
        <v>5175</v>
      </c>
    </row>
    <row r="1287" spans="1:26" x14ac:dyDescent="0.3">
      <c r="A1287" t="s">
        <v>525</v>
      </c>
      <c r="B1287" t="s">
        <v>5178</v>
      </c>
      <c r="C1287" t="s">
        <v>5179</v>
      </c>
      <c r="D1287" t="s">
        <v>3905</v>
      </c>
      <c r="E1287" t="s">
        <v>3907</v>
      </c>
      <c r="F1287" t="s">
        <v>3908</v>
      </c>
      <c r="G1287" s="1">
        <v>44927</v>
      </c>
      <c r="H1287" s="1">
        <v>44932</v>
      </c>
      <c r="I1287" t="s">
        <v>665</v>
      </c>
      <c r="J1287" t="s">
        <v>3909</v>
      </c>
      <c r="K1287" t="s">
        <v>862</v>
      </c>
      <c r="L1287" t="s">
        <v>863</v>
      </c>
      <c r="M1287" t="s">
        <v>1946</v>
      </c>
      <c r="N1287" t="s">
        <v>1947</v>
      </c>
      <c r="O1287" t="s">
        <v>1459</v>
      </c>
      <c r="P1287" t="s">
        <v>1460</v>
      </c>
      <c r="Q1287" t="s">
        <v>4080</v>
      </c>
      <c r="R1287" t="s">
        <v>4081</v>
      </c>
      <c r="S1287" t="s">
        <v>783</v>
      </c>
      <c r="T1287" t="s">
        <v>550</v>
      </c>
      <c r="U1287" t="s">
        <v>1900</v>
      </c>
      <c r="V1287" t="s">
        <v>5180</v>
      </c>
      <c r="W1287" t="s">
        <v>869</v>
      </c>
      <c r="X1287" t="s">
        <v>870</v>
      </c>
      <c r="Y1287" t="s">
        <v>803</v>
      </c>
      <c r="Z1287" t="s">
        <v>5178</v>
      </c>
    </row>
    <row r="1288" spans="1:26" x14ac:dyDescent="0.3">
      <c r="A1288" t="s">
        <v>525</v>
      </c>
      <c r="B1288" t="s">
        <v>5181</v>
      </c>
      <c r="C1288" t="s">
        <v>5182</v>
      </c>
      <c r="D1288" t="s">
        <v>550</v>
      </c>
      <c r="E1288" t="s">
        <v>5183</v>
      </c>
      <c r="F1288" t="s">
        <v>5184</v>
      </c>
      <c r="G1288" s="1">
        <v>44866</v>
      </c>
      <c r="H1288" s="1">
        <v>44866</v>
      </c>
      <c r="I1288" t="s">
        <v>665</v>
      </c>
      <c r="J1288" t="s">
        <v>5185</v>
      </c>
      <c r="K1288" t="s">
        <v>3181</v>
      </c>
      <c r="L1288" t="s">
        <v>863</v>
      </c>
      <c r="M1288" t="s">
        <v>1377</v>
      </c>
      <c r="N1288" t="s">
        <v>1378</v>
      </c>
      <c r="O1288" t="s">
        <v>1459</v>
      </c>
      <c r="P1288" t="s">
        <v>1460</v>
      </c>
      <c r="Q1288" t="s">
        <v>4080</v>
      </c>
      <c r="R1288" t="s">
        <v>4081</v>
      </c>
      <c r="S1288" t="s">
        <v>783</v>
      </c>
      <c r="T1288" t="s">
        <v>550</v>
      </c>
      <c r="U1288" t="s">
        <v>550</v>
      </c>
      <c r="V1288" t="s">
        <v>5186</v>
      </c>
      <c r="W1288" t="s">
        <v>869</v>
      </c>
      <c r="X1288" t="s">
        <v>870</v>
      </c>
      <c r="Y1288" t="s">
        <v>847</v>
      </c>
      <c r="Z1288" t="s">
        <v>5181</v>
      </c>
    </row>
    <row r="1289" spans="1:26" x14ac:dyDescent="0.3">
      <c r="A1289" t="s">
        <v>525</v>
      </c>
      <c r="B1289" t="s">
        <v>5187</v>
      </c>
      <c r="C1289" t="s">
        <v>5182</v>
      </c>
      <c r="D1289" t="s">
        <v>5181</v>
      </c>
      <c r="E1289" t="s">
        <v>5183</v>
      </c>
      <c r="F1289" t="s">
        <v>5184</v>
      </c>
      <c r="G1289" s="1">
        <v>44866</v>
      </c>
      <c r="H1289" s="1">
        <v>44871</v>
      </c>
      <c r="I1289" t="s">
        <v>665</v>
      </c>
      <c r="J1289" t="s">
        <v>5185</v>
      </c>
      <c r="K1289" t="s">
        <v>3181</v>
      </c>
      <c r="L1289" t="s">
        <v>863</v>
      </c>
      <c r="M1289" t="s">
        <v>1377</v>
      </c>
      <c r="N1289" t="s">
        <v>1378</v>
      </c>
      <c r="O1289" t="s">
        <v>1459</v>
      </c>
      <c r="P1289" t="s">
        <v>1460</v>
      </c>
      <c r="Q1289" t="s">
        <v>4080</v>
      </c>
      <c r="R1289" t="s">
        <v>4081</v>
      </c>
      <c r="S1289" t="s">
        <v>783</v>
      </c>
      <c r="T1289" t="s">
        <v>550</v>
      </c>
      <c r="U1289" t="s">
        <v>550</v>
      </c>
      <c r="V1289" t="s">
        <v>5188</v>
      </c>
      <c r="W1289" t="s">
        <v>869</v>
      </c>
      <c r="X1289" t="s">
        <v>870</v>
      </c>
      <c r="Y1289" t="s">
        <v>847</v>
      </c>
      <c r="Z1289" t="s">
        <v>5187</v>
      </c>
    </row>
    <row r="1290" spans="1:26" x14ac:dyDescent="0.3">
      <c r="A1290" t="s">
        <v>525</v>
      </c>
      <c r="B1290" t="s">
        <v>5189</v>
      </c>
      <c r="C1290" t="s">
        <v>5190</v>
      </c>
      <c r="D1290" t="s">
        <v>2057</v>
      </c>
      <c r="E1290" t="s">
        <v>2059</v>
      </c>
      <c r="F1290" t="s">
        <v>2060</v>
      </c>
      <c r="G1290" s="1">
        <v>44562</v>
      </c>
      <c r="H1290" s="1">
        <v>44562</v>
      </c>
      <c r="I1290" t="s">
        <v>665</v>
      </c>
      <c r="J1290" t="s">
        <v>2061</v>
      </c>
      <c r="K1290" t="s">
        <v>808</v>
      </c>
      <c r="L1290" t="s">
        <v>863</v>
      </c>
      <c r="M1290" t="s">
        <v>1946</v>
      </c>
      <c r="N1290" t="s">
        <v>1947</v>
      </c>
      <c r="O1290" t="s">
        <v>1459</v>
      </c>
      <c r="P1290" t="s">
        <v>1460</v>
      </c>
      <c r="Q1290" t="s">
        <v>4080</v>
      </c>
      <c r="R1290" t="s">
        <v>4081</v>
      </c>
      <c r="S1290" t="s">
        <v>783</v>
      </c>
      <c r="T1290" t="s">
        <v>550</v>
      </c>
      <c r="U1290" t="s">
        <v>550</v>
      </c>
      <c r="V1290" t="s">
        <v>5191</v>
      </c>
      <c r="W1290" t="s">
        <v>869</v>
      </c>
      <c r="X1290" t="s">
        <v>870</v>
      </c>
      <c r="Y1290" t="s">
        <v>847</v>
      </c>
      <c r="Z1290" t="s">
        <v>5189</v>
      </c>
    </row>
    <row r="1291" spans="1:26" x14ac:dyDescent="0.3">
      <c r="A1291" t="s">
        <v>525</v>
      </c>
      <c r="B1291" t="s">
        <v>5192</v>
      </c>
      <c r="C1291" t="s">
        <v>2069</v>
      </c>
      <c r="D1291" t="s">
        <v>2068</v>
      </c>
      <c r="E1291" t="s">
        <v>664</v>
      </c>
      <c r="F1291" t="s">
        <v>27</v>
      </c>
      <c r="G1291" s="1">
        <v>44562</v>
      </c>
      <c r="H1291" s="1">
        <v>44562</v>
      </c>
      <c r="I1291" t="s">
        <v>665</v>
      </c>
      <c r="J1291" t="s">
        <v>666</v>
      </c>
      <c r="K1291" t="s">
        <v>24</v>
      </c>
      <c r="L1291" t="s">
        <v>863</v>
      </c>
      <c r="M1291" t="s">
        <v>1459</v>
      </c>
      <c r="N1291" t="s">
        <v>1460</v>
      </c>
      <c r="O1291" t="s">
        <v>1459</v>
      </c>
      <c r="P1291" t="s">
        <v>1460</v>
      </c>
      <c r="Q1291" t="s">
        <v>4080</v>
      </c>
      <c r="R1291" t="s">
        <v>4081</v>
      </c>
      <c r="S1291" t="s">
        <v>783</v>
      </c>
      <c r="T1291" t="s">
        <v>550</v>
      </c>
      <c r="U1291" t="s">
        <v>550</v>
      </c>
      <c r="V1291" t="s">
        <v>5193</v>
      </c>
      <c r="W1291" t="s">
        <v>869</v>
      </c>
      <c r="X1291" t="s">
        <v>870</v>
      </c>
      <c r="Y1291" t="s">
        <v>847</v>
      </c>
      <c r="Z1291" t="s">
        <v>5192</v>
      </c>
    </row>
    <row r="1292" spans="1:26" x14ac:dyDescent="0.3">
      <c r="A1292" t="s">
        <v>525</v>
      </c>
      <c r="B1292" t="s">
        <v>5194</v>
      </c>
      <c r="C1292" t="s">
        <v>2069</v>
      </c>
      <c r="D1292" t="s">
        <v>2068</v>
      </c>
      <c r="E1292" t="s">
        <v>664</v>
      </c>
      <c r="F1292" t="s">
        <v>27</v>
      </c>
      <c r="G1292" s="1">
        <v>44927</v>
      </c>
      <c r="H1292" s="1">
        <v>44945</v>
      </c>
      <c r="I1292" t="s">
        <v>665</v>
      </c>
      <c r="J1292" t="s">
        <v>666</v>
      </c>
      <c r="K1292" t="s">
        <v>24</v>
      </c>
      <c r="L1292" t="s">
        <v>667</v>
      </c>
      <c r="M1292" t="s">
        <v>1459</v>
      </c>
      <c r="N1292" t="s">
        <v>1460</v>
      </c>
      <c r="O1292" t="s">
        <v>1459</v>
      </c>
      <c r="P1292" t="s">
        <v>1460</v>
      </c>
      <c r="Q1292" t="s">
        <v>4080</v>
      </c>
      <c r="R1292" t="s">
        <v>4081</v>
      </c>
      <c r="S1292" t="s">
        <v>783</v>
      </c>
      <c r="T1292" t="s">
        <v>550</v>
      </c>
      <c r="U1292" t="s">
        <v>1900</v>
      </c>
      <c r="V1292" t="s">
        <v>5195</v>
      </c>
      <c r="W1292" t="s">
        <v>869</v>
      </c>
      <c r="X1292" t="s">
        <v>870</v>
      </c>
      <c r="Y1292" t="s">
        <v>847</v>
      </c>
      <c r="Z1292" t="s">
        <v>5194</v>
      </c>
    </row>
    <row r="1293" spans="1:26" x14ac:dyDescent="0.3">
      <c r="A1293" t="s">
        <v>525</v>
      </c>
      <c r="B1293" t="s">
        <v>5196</v>
      </c>
      <c r="C1293" t="s">
        <v>5197</v>
      </c>
      <c r="D1293" t="s">
        <v>3900</v>
      </c>
      <c r="E1293" t="s">
        <v>3901</v>
      </c>
      <c r="F1293" t="s">
        <v>3902</v>
      </c>
      <c r="G1293" s="1">
        <v>44562</v>
      </c>
      <c r="H1293" s="1">
        <v>44574</v>
      </c>
      <c r="I1293" t="s">
        <v>665</v>
      </c>
      <c r="J1293" t="s">
        <v>3903</v>
      </c>
      <c r="K1293" t="s">
        <v>862</v>
      </c>
      <c r="L1293" t="s">
        <v>863</v>
      </c>
      <c r="M1293" t="s">
        <v>1459</v>
      </c>
      <c r="N1293" t="s">
        <v>1460</v>
      </c>
      <c r="O1293" t="s">
        <v>1459</v>
      </c>
      <c r="P1293" t="s">
        <v>1460</v>
      </c>
      <c r="Q1293" t="s">
        <v>4080</v>
      </c>
      <c r="R1293" t="s">
        <v>4081</v>
      </c>
      <c r="S1293" t="s">
        <v>783</v>
      </c>
      <c r="T1293" t="s">
        <v>550</v>
      </c>
      <c r="U1293" t="s">
        <v>162</v>
      </c>
      <c r="V1293" t="s">
        <v>5198</v>
      </c>
      <c r="W1293" t="s">
        <v>869</v>
      </c>
      <c r="X1293" t="s">
        <v>870</v>
      </c>
      <c r="Y1293" t="s">
        <v>847</v>
      </c>
      <c r="Z1293" t="s">
        <v>5196</v>
      </c>
    </row>
    <row r="1294" spans="1:26" x14ac:dyDescent="0.3">
      <c r="A1294" t="s">
        <v>525</v>
      </c>
      <c r="B1294" t="s">
        <v>5199</v>
      </c>
      <c r="C1294" t="s">
        <v>5200</v>
      </c>
      <c r="D1294" t="s">
        <v>2094</v>
      </c>
      <c r="E1294" t="s">
        <v>2090</v>
      </c>
      <c r="F1294" t="s">
        <v>2091</v>
      </c>
      <c r="G1294" s="1">
        <v>44562</v>
      </c>
      <c r="H1294" s="1">
        <v>44600</v>
      </c>
      <c r="I1294" t="s">
        <v>665</v>
      </c>
      <c r="J1294" t="s">
        <v>2092</v>
      </c>
      <c r="K1294" t="s">
        <v>24</v>
      </c>
      <c r="L1294" t="s">
        <v>863</v>
      </c>
      <c r="M1294" t="s">
        <v>1459</v>
      </c>
      <c r="N1294" t="s">
        <v>1460</v>
      </c>
      <c r="O1294" t="s">
        <v>1459</v>
      </c>
      <c r="P1294" t="s">
        <v>1460</v>
      </c>
      <c r="Q1294" t="s">
        <v>4080</v>
      </c>
      <c r="R1294" t="s">
        <v>4081</v>
      </c>
      <c r="S1294" t="s">
        <v>783</v>
      </c>
      <c r="T1294" t="s">
        <v>550</v>
      </c>
      <c r="U1294" t="s">
        <v>550</v>
      </c>
      <c r="V1294" t="s">
        <v>5201</v>
      </c>
      <c r="W1294" t="s">
        <v>1014</v>
      </c>
      <c r="X1294" t="s">
        <v>870</v>
      </c>
      <c r="Y1294" t="s">
        <v>856</v>
      </c>
      <c r="Z1294" t="s">
        <v>5199</v>
      </c>
    </row>
    <row r="1295" spans="1:26" x14ac:dyDescent="0.3">
      <c r="A1295" t="s">
        <v>525</v>
      </c>
      <c r="B1295" t="s">
        <v>5202</v>
      </c>
      <c r="C1295" t="s">
        <v>5203</v>
      </c>
      <c r="D1295" t="s">
        <v>2048</v>
      </c>
      <c r="E1295" t="s">
        <v>2050</v>
      </c>
      <c r="F1295" t="s">
        <v>2051</v>
      </c>
      <c r="G1295" s="1">
        <v>44562</v>
      </c>
      <c r="H1295" s="1">
        <v>44562</v>
      </c>
      <c r="I1295" t="s">
        <v>665</v>
      </c>
      <c r="J1295" t="s">
        <v>2052</v>
      </c>
      <c r="K1295" t="s">
        <v>862</v>
      </c>
      <c r="L1295" t="s">
        <v>863</v>
      </c>
      <c r="M1295" t="s">
        <v>1459</v>
      </c>
      <c r="N1295" t="s">
        <v>1460</v>
      </c>
      <c r="O1295" t="s">
        <v>1459</v>
      </c>
      <c r="P1295" t="s">
        <v>1460</v>
      </c>
      <c r="Q1295" t="s">
        <v>4080</v>
      </c>
      <c r="R1295" t="s">
        <v>4081</v>
      </c>
      <c r="S1295" t="s">
        <v>783</v>
      </c>
      <c r="T1295" t="s">
        <v>550</v>
      </c>
      <c r="U1295" t="s">
        <v>550</v>
      </c>
      <c r="V1295" t="s">
        <v>5204</v>
      </c>
      <c r="W1295" t="s">
        <v>869</v>
      </c>
      <c r="X1295" t="s">
        <v>870</v>
      </c>
      <c r="Y1295" t="s">
        <v>847</v>
      </c>
      <c r="Z1295" t="s">
        <v>5202</v>
      </c>
    </row>
    <row r="1296" spans="1:26" x14ac:dyDescent="0.3">
      <c r="A1296" t="s">
        <v>525</v>
      </c>
      <c r="B1296" t="s">
        <v>5205</v>
      </c>
      <c r="C1296" t="s">
        <v>5206</v>
      </c>
      <c r="D1296" t="s">
        <v>2048</v>
      </c>
      <c r="E1296" t="s">
        <v>2050</v>
      </c>
      <c r="F1296" t="s">
        <v>2051</v>
      </c>
      <c r="G1296" s="1">
        <v>44927</v>
      </c>
      <c r="H1296" s="1">
        <v>45089</v>
      </c>
      <c r="I1296" t="s">
        <v>665</v>
      </c>
      <c r="J1296" t="s">
        <v>2052</v>
      </c>
      <c r="K1296" t="s">
        <v>862</v>
      </c>
      <c r="L1296" t="s">
        <v>216</v>
      </c>
      <c r="M1296" t="s">
        <v>1459</v>
      </c>
      <c r="N1296" t="s">
        <v>1460</v>
      </c>
      <c r="O1296" t="s">
        <v>1459</v>
      </c>
      <c r="P1296" t="s">
        <v>1460</v>
      </c>
      <c r="Q1296" t="s">
        <v>4080</v>
      </c>
      <c r="R1296" t="s">
        <v>4081</v>
      </c>
      <c r="S1296" t="s">
        <v>783</v>
      </c>
      <c r="T1296" t="s">
        <v>550</v>
      </c>
      <c r="U1296" t="s">
        <v>4815</v>
      </c>
      <c r="V1296" t="s">
        <v>5207</v>
      </c>
      <c r="W1296" t="s">
        <v>869</v>
      </c>
      <c r="X1296" t="s">
        <v>870</v>
      </c>
      <c r="Y1296" t="s">
        <v>847</v>
      </c>
      <c r="Z1296" t="s">
        <v>5205</v>
      </c>
    </row>
    <row r="1297" spans="1:26" x14ac:dyDescent="0.3">
      <c r="A1297" t="s">
        <v>525</v>
      </c>
      <c r="B1297" t="s">
        <v>5208</v>
      </c>
      <c r="C1297" t="s">
        <v>5209</v>
      </c>
      <c r="D1297" t="s">
        <v>1972</v>
      </c>
      <c r="E1297" t="s">
        <v>1896</v>
      </c>
      <c r="F1297" t="s">
        <v>1897</v>
      </c>
      <c r="G1297" s="1">
        <v>44562</v>
      </c>
      <c r="H1297" s="1">
        <v>44575</v>
      </c>
      <c r="I1297" t="s">
        <v>665</v>
      </c>
      <c r="J1297" t="s">
        <v>1898</v>
      </c>
      <c r="K1297" t="s">
        <v>862</v>
      </c>
      <c r="L1297" t="s">
        <v>216</v>
      </c>
      <c r="M1297" t="s">
        <v>1946</v>
      </c>
      <c r="N1297" t="s">
        <v>1947</v>
      </c>
      <c r="O1297" t="s">
        <v>1459</v>
      </c>
      <c r="P1297" t="s">
        <v>1460</v>
      </c>
      <c r="Q1297" t="s">
        <v>4080</v>
      </c>
      <c r="R1297" t="s">
        <v>4081</v>
      </c>
      <c r="S1297" t="s">
        <v>783</v>
      </c>
      <c r="T1297" t="s">
        <v>550</v>
      </c>
      <c r="U1297" t="s">
        <v>550</v>
      </c>
      <c r="V1297" t="s">
        <v>5210</v>
      </c>
      <c r="W1297" t="s">
        <v>869</v>
      </c>
      <c r="X1297" t="s">
        <v>870</v>
      </c>
      <c r="Y1297" t="s">
        <v>847</v>
      </c>
      <c r="Z1297" t="s">
        <v>5208</v>
      </c>
    </row>
    <row r="1298" spans="1:26" x14ac:dyDescent="0.3">
      <c r="A1298" t="s">
        <v>525</v>
      </c>
      <c r="B1298" t="s">
        <v>5211</v>
      </c>
      <c r="C1298" t="s">
        <v>5212</v>
      </c>
      <c r="D1298" t="s">
        <v>550</v>
      </c>
      <c r="E1298" t="s">
        <v>1896</v>
      </c>
      <c r="F1298" t="s">
        <v>1897</v>
      </c>
      <c r="G1298" s="1">
        <v>44562</v>
      </c>
      <c r="H1298" s="1">
        <v>44926</v>
      </c>
      <c r="I1298" t="s">
        <v>665</v>
      </c>
      <c r="J1298" t="s">
        <v>4770</v>
      </c>
      <c r="K1298" t="s">
        <v>862</v>
      </c>
      <c r="L1298" t="s">
        <v>216</v>
      </c>
      <c r="M1298" t="s">
        <v>1946</v>
      </c>
      <c r="N1298" t="s">
        <v>1947</v>
      </c>
      <c r="O1298" t="s">
        <v>1459</v>
      </c>
      <c r="P1298" t="s">
        <v>1460</v>
      </c>
      <c r="Q1298" t="s">
        <v>4080</v>
      </c>
      <c r="R1298" t="s">
        <v>4081</v>
      </c>
      <c r="S1298" t="s">
        <v>783</v>
      </c>
      <c r="T1298" t="s">
        <v>550</v>
      </c>
      <c r="U1298" t="s">
        <v>550</v>
      </c>
      <c r="V1298" t="s">
        <v>5213</v>
      </c>
      <c r="W1298" t="s">
        <v>869</v>
      </c>
      <c r="X1298" t="s">
        <v>870</v>
      </c>
      <c r="Y1298" t="s">
        <v>847</v>
      </c>
      <c r="Z1298" t="s">
        <v>5211</v>
      </c>
    </row>
    <row r="1299" spans="1:26" x14ac:dyDescent="0.3">
      <c r="A1299" t="s">
        <v>525</v>
      </c>
      <c r="B1299" t="s">
        <v>5214</v>
      </c>
      <c r="C1299" t="s">
        <v>5215</v>
      </c>
      <c r="D1299" t="s">
        <v>5211</v>
      </c>
      <c r="E1299" t="s">
        <v>1896</v>
      </c>
      <c r="F1299" t="s">
        <v>1897</v>
      </c>
      <c r="G1299" s="1">
        <v>44562</v>
      </c>
      <c r="H1299" s="1">
        <v>44573</v>
      </c>
      <c r="I1299" t="s">
        <v>665</v>
      </c>
      <c r="J1299" t="s">
        <v>4770</v>
      </c>
      <c r="K1299" t="s">
        <v>862</v>
      </c>
      <c r="L1299" t="s">
        <v>216</v>
      </c>
      <c r="M1299" t="s">
        <v>1946</v>
      </c>
      <c r="N1299" t="s">
        <v>1947</v>
      </c>
      <c r="O1299" t="s">
        <v>1459</v>
      </c>
      <c r="P1299" t="s">
        <v>1460</v>
      </c>
      <c r="Q1299" t="s">
        <v>4080</v>
      </c>
      <c r="R1299" t="s">
        <v>4081</v>
      </c>
      <c r="S1299" t="s">
        <v>783</v>
      </c>
      <c r="T1299" t="s">
        <v>550</v>
      </c>
      <c r="U1299" t="s">
        <v>550</v>
      </c>
      <c r="V1299" t="s">
        <v>5216</v>
      </c>
      <c r="W1299" t="s">
        <v>869</v>
      </c>
      <c r="X1299" t="s">
        <v>870</v>
      </c>
      <c r="Y1299" t="s">
        <v>847</v>
      </c>
      <c r="Z1299" t="s">
        <v>5214</v>
      </c>
    </row>
    <row r="1300" spans="1:26" x14ac:dyDescent="0.3">
      <c r="A1300" t="s">
        <v>525</v>
      </c>
      <c r="B1300" t="s">
        <v>4769</v>
      </c>
      <c r="C1300" t="s">
        <v>5217</v>
      </c>
      <c r="D1300" t="s">
        <v>550</v>
      </c>
      <c r="E1300" t="s">
        <v>1896</v>
      </c>
      <c r="F1300" t="s">
        <v>1897</v>
      </c>
      <c r="G1300" s="1">
        <v>44992</v>
      </c>
      <c r="H1300" s="1">
        <v>44992</v>
      </c>
      <c r="I1300" t="s">
        <v>780</v>
      </c>
      <c r="J1300" t="s">
        <v>4770</v>
      </c>
      <c r="K1300" t="s">
        <v>862</v>
      </c>
      <c r="L1300" t="s">
        <v>216</v>
      </c>
      <c r="M1300" t="s">
        <v>1946</v>
      </c>
      <c r="N1300" t="s">
        <v>1947</v>
      </c>
      <c r="O1300" t="s">
        <v>1459</v>
      </c>
      <c r="P1300" t="s">
        <v>1460</v>
      </c>
      <c r="Q1300" t="s">
        <v>4080</v>
      </c>
      <c r="R1300" t="s">
        <v>4081</v>
      </c>
      <c r="S1300" t="s">
        <v>550</v>
      </c>
      <c r="T1300" t="s">
        <v>550</v>
      </c>
      <c r="U1300" t="s">
        <v>1900</v>
      </c>
      <c r="V1300" t="s">
        <v>5218</v>
      </c>
      <c r="W1300" t="s">
        <v>869</v>
      </c>
      <c r="X1300" t="s">
        <v>870</v>
      </c>
      <c r="Y1300" t="s">
        <v>847</v>
      </c>
      <c r="Z1300" t="s">
        <v>4769</v>
      </c>
    </row>
    <row r="1301" spans="1:26" x14ac:dyDescent="0.3">
      <c r="A1301" t="s">
        <v>525</v>
      </c>
      <c r="B1301" t="s">
        <v>5219</v>
      </c>
      <c r="C1301" t="s">
        <v>5220</v>
      </c>
      <c r="D1301" t="s">
        <v>550</v>
      </c>
      <c r="E1301" t="s">
        <v>5221</v>
      </c>
      <c r="F1301" t="s">
        <v>5222</v>
      </c>
      <c r="G1301" s="1">
        <v>44927</v>
      </c>
      <c r="H1301" s="1">
        <v>45291</v>
      </c>
      <c r="I1301" t="s">
        <v>665</v>
      </c>
      <c r="J1301" t="s">
        <v>5223</v>
      </c>
      <c r="K1301" t="s">
        <v>862</v>
      </c>
      <c r="L1301" t="s">
        <v>863</v>
      </c>
      <c r="M1301" t="s">
        <v>1946</v>
      </c>
      <c r="N1301" t="s">
        <v>1947</v>
      </c>
      <c r="O1301" t="s">
        <v>1459</v>
      </c>
      <c r="P1301" t="s">
        <v>1460</v>
      </c>
      <c r="Q1301" t="s">
        <v>4080</v>
      </c>
      <c r="R1301" t="s">
        <v>4081</v>
      </c>
      <c r="S1301" t="s">
        <v>783</v>
      </c>
      <c r="T1301" t="s">
        <v>550</v>
      </c>
      <c r="U1301" t="s">
        <v>1900</v>
      </c>
      <c r="V1301" t="s">
        <v>5224</v>
      </c>
      <c r="W1301" t="s">
        <v>869</v>
      </c>
      <c r="X1301" t="s">
        <v>870</v>
      </c>
      <c r="Y1301" t="s">
        <v>847</v>
      </c>
      <c r="Z1301" t="s">
        <v>5219</v>
      </c>
    </row>
    <row r="1302" spans="1:26" x14ac:dyDescent="0.3">
      <c r="A1302" t="s">
        <v>525</v>
      </c>
      <c r="B1302" t="s">
        <v>5225</v>
      </c>
      <c r="C1302" t="s">
        <v>5226</v>
      </c>
      <c r="D1302" t="s">
        <v>5219</v>
      </c>
      <c r="E1302" t="s">
        <v>5221</v>
      </c>
      <c r="F1302" t="s">
        <v>5222</v>
      </c>
      <c r="G1302" s="1">
        <v>44927</v>
      </c>
      <c r="H1302" s="1">
        <v>44930</v>
      </c>
      <c r="I1302" t="s">
        <v>665</v>
      </c>
      <c r="J1302" t="s">
        <v>5223</v>
      </c>
      <c r="K1302" t="s">
        <v>862</v>
      </c>
      <c r="L1302" t="s">
        <v>863</v>
      </c>
      <c r="M1302" t="s">
        <v>1946</v>
      </c>
      <c r="N1302" t="s">
        <v>1947</v>
      </c>
      <c r="O1302" t="s">
        <v>1459</v>
      </c>
      <c r="P1302" t="s">
        <v>1460</v>
      </c>
      <c r="Q1302" t="s">
        <v>4080</v>
      </c>
      <c r="R1302" t="s">
        <v>4081</v>
      </c>
      <c r="S1302" t="s">
        <v>783</v>
      </c>
      <c r="T1302" t="s">
        <v>550</v>
      </c>
      <c r="U1302" t="s">
        <v>1900</v>
      </c>
      <c r="V1302" t="s">
        <v>5227</v>
      </c>
      <c r="W1302" t="s">
        <v>869</v>
      </c>
      <c r="X1302" t="s">
        <v>870</v>
      </c>
      <c r="Y1302" t="s">
        <v>847</v>
      </c>
      <c r="Z1302" t="s">
        <v>5225</v>
      </c>
    </row>
    <row r="1303" spans="1:26" x14ac:dyDescent="0.3">
      <c r="A1303" t="s">
        <v>525</v>
      </c>
      <c r="B1303" t="s">
        <v>4778</v>
      </c>
      <c r="C1303" t="s">
        <v>5228</v>
      </c>
      <c r="D1303" t="s">
        <v>550</v>
      </c>
      <c r="E1303" t="s">
        <v>1896</v>
      </c>
      <c r="F1303" t="s">
        <v>1897</v>
      </c>
      <c r="G1303" s="1">
        <v>45108</v>
      </c>
      <c r="H1303" s="1">
        <v>45108</v>
      </c>
      <c r="I1303" t="s">
        <v>780</v>
      </c>
      <c r="J1303" t="s">
        <v>4770</v>
      </c>
      <c r="K1303" t="s">
        <v>862</v>
      </c>
      <c r="L1303" t="s">
        <v>216</v>
      </c>
      <c r="M1303" t="s">
        <v>1946</v>
      </c>
      <c r="N1303" t="s">
        <v>1947</v>
      </c>
      <c r="O1303" t="s">
        <v>1459</v>
      </c>
      <c r="P1303" t="s">
        <v>1460</v>
      </c>
      <c r="Q1303" t="s">
        <v>4080</v>
      </c>
      <c r="R1303" t="s">
        <v>4081</v>
      </c>
      <c r="S1303" t="s">
        <v>783</v>
      </c>
      <c r="T1303" t="s">
        <v>550</v>
      </c>
      <c r="U1303" t="s">
        <v>550</v>
      </c>
      <c r="V1303" t="s">
        <v>5229</v>
      </c>
      <c r="W1303" t="s">
        <v>869</v>
      </c>
      <c r="X1303" t="s">
        <v>870</v>
      </c>
      <c r="Y1303" t="s">
        <v>847</v>
      </c>
      <c r="Z1303" t="s">
        <v>4778</v>
      </c>
    </row>
    <row r="1304" spans="1:26" x14ac:dyDescent="0.3">
      <c r="A1304" t="s">
        <v>525</v>
      </c>
      <c r="B1304" t="s">
        <v>5230</v>
      </c>
      <c r="C1304" t="s">
        <v>5231</v>
      </c>
      <c r="D1304" t="s">
        <v>1895</v>
      </c>
      <c r="E1304" t="s">
        <v>1896</v>
      </c>
      <c r="F1304" t="s">
        <v>1897</v>
      </c>
      <c r="G1304" s="1">
        <v>44562</v>
      </c>
      <c r="H1304" s="1">
        <v>44573</v>
      </c>
      <c r="I1304" t="s">
        <v>665</v>
      </c>
      <c r="J1304" t="s">
        <v>1898</v>
      </c>
      <c r="K1304" t="s">
        <v>862</v>
      </c>
      <c r="L1304" t="s">
        <v>216</v>
      </c>
      <c r="M1304" t="s">
        <v>1946</v>
      </c>
      <c r="N1304" t="s">
        <v>1947</v>
      </c>
      <c r="O1304" t="s">
        <v>1459</v>
      </c>
      <c r="P1304" t="s">
        <v>1460</v>
      </c>
      <c r="Q1304" t="s">
        <v>4080</v>
      </c>
      <c r="R1304" t="s">
        <v>4081</v>
      </c>
      <c r="S1304" t="s">
        <v>783</v>
      </c>
      <c r="T1304" t="s">
        <v>550</v>
      </c>
      <c r="U1304" t="s">
        <v>550</v>
      </c>
      <c r="V1304" t="s">
        <v>5232</v>
      </c>
      <c r="W1304" t="s">
        <v>869</v>
      </c>
      <c r="X1304" t="s">
        <v>870</v>
      </c>
      <c r="Y1304" t="s">
        <v>847</v>
      </c>
      <c r="Z1304" t="s">
        <v>5230</v>
      </c>
    </row>
    <row r="1305" spans="1:26" x14ac:dyDescent="0.3">
      <c r="A1305" t="s">
        <v>525</v>
      </c>
      <c r="B1305" t="s">
        <v>5233</v>
      </c>
      <c r="C1305" t="s">
        <v>5234</v>
      </c>
      <c r="D1305" t="s">
        <v>1959</v>
      </c>
      <c r="E1305" t="s">
        <v>1896</v>
      </c>
      <c r="F1305" t="s">
        <v>1897</v>
      </c>
      <c r="G1305" s="1">
        <v>44562</v>
      </c>
      <c r="H1305" s="1">
        <v>44571</v>
      </c>
      <c r="I1305" t="s">
        <v>665</v>
      </c>
      <c r="J1305" t="s">
        <v>1898</v>
      </c>
      <c r="K1305" t="s">
        <v>862</v>
      </c>
      <c r="L1305" t="s">
        <v>216</v>
      </c>
      <c r="M1305" t="s">
        <v>1946</v>
      </c>
      <c r="N1305" t="s">
        <v>1947</v>
      </c>
      <c r="O1305" t="s">
        <v>1459</v>
      </c>
      <c r="P1305" t="s">
        <v>1460</v>
      </c>
      <c r="Q1305" t="s">
        <v>4080</v>
      </c>
      <c r="R1305" t="s">
        <v>4081</v>
      </c>
      <c r="S1305" t="s">
        <v>783</v>
      </c>
      <c r="T1305" t="s">
        <v>550</v>
      </c>
      <c r="U1305" t="s">
        <v>550</v>
      </c>
      <c r="V1305" t="s">
        <v>5235</v>
      </c>
      <c r="W1305" t="s">
        <v>869</v>
      </c>
      <c r="X1305" t="s">
        <v>870</v>
      </c>
      <c r="Y1305" t="s">
        <v>847</v>
      </c>
      <c r="Z1305" t="s">
        <v>5233</v>
      </c>
    </row>
    <row r="1306" spans="1:26" x14ac:dyDescent="0.3">
      <c r="A1306" t="s">
        <v>525</v>
      </c>
      <c r="B1306" t="s">
        <v>5236</v>
      </c>
      <c r="C1306" t="s">
        <v>5237</v>
      </c>
      <c r="D1306" t="s">
        <v>550</v>
      </c>
      <c r="E1306" t="s">
        <v>1291</v>
      </c>
      <c r="F1306" t="s">
        <v>1292</v>
      </c>
      <c r="G1306" s="1">
        <v>45108</v>
      </c>
      <c r="H1306" s="1">
        <v>45108</v>
      </c>
      <c r="I1306" t="s">
        <v>665</v>
      </c>
      <c r="J1306" t="s">
        <v>1041</v>
      </c>
      <c r="K1306" t="s">
        <v>24</v>
      </c>
      <c r="L1306" t="s">
        <v>216</v>
      </c>
      <c r="M1306" t="s">
        <v>1904</v>
      </c>
      <c r="N1306" t="s">
        <v>1905</v>
      </c>
      <c r="O1306" t="s">
        <v>1459</v>
      </c>
      <c r="P1306" t="s">
        <v>1460</v>
      </c>
      <c r="Q1306" t="s">
        <v>4080</v>
      </c>
      <c r="R1306" t="s">
        <v>4081</v>
      </c>
      <c r="S1306" t="s">
        <v>783</v>
      </c>
      <c r="T1306" t="s">
        <v>550</v>
      </c>
      <c r="U1306" t="s">
        <v>5169</v>
      </c>
      <c r="V1306" t="s">
        <v>5238</v>
      </c>
      <c r="W1306" t="s">
        <v>1014</v>
      </c>
      <c r="X1306" t="s">
        <v>870</v>
      </c>
      <c r="Y1306" t="s">
        <v>799</v>
      </c>
      <c r="Z1306" t="s">
        <v>5236</v>
      </c>
    </row>
    <row r="1307" spans="1:26" x14ac:dyDescent="0.3">
      <c r="A1307" t="s">
        <v>525</v>
      </c>
      <c r="B1307" t="s">
        <v>5239</v>
      </c>
      <c r="C1307" t="s">
        <v>5237</v>
      </c>
      <c r="D1307" t="s">
        <v>5236</v>
      </c>
      <c r="E1307" t="s">
        <v>1291</v>
      </c>
      <c r="F1307" t="s">
        <v>1292</v>
      </c>
      <c r="G1307" s="1">
        <v>45108</v>
      </c>
      <c r="H1307" s="1">
        <v>45126</v>
      </c>
      <c r="I1307" t="s">
        <v>665</v>
      </c>
      <c r="J1307" t="s">
        <v>1041</v>
      </c>
      <c r="K1307" t="s">
        <v>24</v>
      </c>
      <c r="L1307" t="s">
        <v>216</v>
      </c>
      <c r="M1307" t="s">
        <v>1904</v>
      </c>
      <c r="N1307" t="s">
        <v>1905</v>
      </c>
      <c r="O1307" t="s">
        <v>1459</v>
      </c>
      <c r="P1307" t="s">
        <v>1460</v>
      </c>
      <c r="Q1307" t="s">
        <v>4080</v>
      </c>
      <c r="R1307" t="s">
        <v>4081</v>
      </c>
      <c r="S1307" t="s">
        <v>783</v>
      </c>
      <c r="T1307" t="s">
        <v>550</v>
      </c>
      <c r="U1307" t="s">
        <v>5169</v>
      </c>
      <c r="V1307" t="s">
        <v>5240</v>
      </c>
      <c r="W1307" t="s">
        <v>1014</v>
      </c>
      <c r="X1307" t="s">
        <v>870</v>
      </c>
      <c r="Y1307" t="s">
        <v>799</v>
      </c>
      <c r="Z1307" t="s">
        <v>5239</v>
      </c>
    </row>
    <row r="1308" spans="1:26" x14ac:dyDescent="0.3">
      <c r="A1308" t="s">
        <v>525</v>
      </c>
      <c r="B1308" t="s">
        <v>5241</v>
      </c>
      <c r="C1308" t="s">
        <v>5242</v>
      </c>
      <c r="D1308" t="s">
        <v>2073</v>
      </c>
      <c r="E1308" t="s">
        <v>664</v>
      </c>
      <c r="F1308" t="s">
        <v>27</v>
      </c>
      <c r="G1308" s="1">
        <v>44562</v>
      </c>
      <c r="H1308" s="1">
        <v>44562</v>
      </c>
      <c r="I1308" t="s">
        <v>665</v>
      </c>
      <c r="J1308" t="s">
        <v>666</v>
      </c>
      <c r="K1308" t="s">
        <v>24</v>
      </c>
      <c r="L1308" t="s">
        <v>863</v>
      </c>
      <c r="M1308" t="s">
        <v>1904</v>
      </c>
      <c r="N1308" t="s">
        <v>1905</v>
      </c>
      <c r="O1308" t="s">
        <v>1459</v>
      </c>
      <c r="P1308" t="s">
        <v>1460</v>
      </c>
      <c r="Q1308" t="s">
        <v>4080</v>
      </c>
      <c r="R1308" t="s">
        <v>4081</v>
      </c>
      <c r="S1308" t="s">
        <v>1471</v>
      </c>
      <c r="T1308" t="s">
        <v>550</v>
      </c>
      <c r="U1308" t="s">
        <v>550</v>
      </c>
      <c r="V1308" t="s">
        <v>5243</v>
      </c>
      <c r="W1308" t="s">
        <v>1014</v>
      </c>
      <c r="X1308" t="s">
        <v>870</v>
      </c>
      <c r="Y1308" t="s">
        <v>1462</v>
      </c>
      <c r="Z1308" t="s">
        <v>5241</v>
      </c>
    </row>
    <row r="1309" spans="1:26" x14ac:dyDescent="0.3">
      <c r="A1309" t="s">
        <v>525</v>
      </c>
      <c r="B1309" t="s">
        <v>5244</v>
      </c>
      <c r="C1309" t="s">
        <v>5245</v>
      </c>
      <c r="D1309" t="s">
        <v>2073</v>
      </c>
      <c r="E1309" t="s">
        <v>664</v>
      </c>
      <c r="F1309" t="s">
        <v>27</v>
      </c>
      <c r="G1309" s="1">
        <v>44927</v>
      </c>
      <c r="H1309" s="1">
        <v>45040</v>
      </c>
      <c r="I1309" t="s">
        <v>665</v>
      </c>
      <c r="J1309" t="s">
        <v>666</v>
      </c>
      <c r="K1309" t="s">
        <v>24</v>
      </c>
      <c r="L1309" t="s">
        <v>216</v>
      </c>
      <c r="M1309" t="s">
        <v>1904</v>
      </c>
      <c r="N1309" t="s">
        <v>1905</v>
      </c>
      <c r="O1309" t="s">
        <v>1459</v>
      </c>
      <c r="P1309" t="s">
        <v>1460</v>
      </c>
      <c r="Q1309" t="s">
        <v>4080</v>
      </c>
      <c r="R1309" t="s">
        <v>4081</v>
      </c>
      <c r="S1309" t="s">
        <v>1471</v>
      </c>
      <c r="T1309" t="s">
        <v>550</v>
      </c>
      <c r="U1309" t="s">
        <v>5169</v>
      </c>
      <c r="V1309" t="s">
        <v>5246</v>
      </c>
      <c r="W1309" t="s">
        <v>1014</v>
      </c>
      <c r="X1309" t="s">
        <v>870</v>
      </c>
      <c r="Y1309" t="s">
        <v>1462</v>
      </c>
      <c r="Z1309" t="s">
        <v>5244</v>
      </c>
    </row>
    <row r="1310" spans="1:26" x14ac:dyDescent="0.3">
      <c r="A1310" t="s">
        <v>525</v>
      </c>
      <c r="B1310" t="s">
        <v>5247</v>
      </c>
      <c r="C1310" t="s">
        <v>5248</v>
      </c>
      <c r="D1310" t="s">
        <v>2120</v>
      </c>
      <c r="E1310" t="s">
        <v>664</v>
      </c>
      <c r="F1310" t="s">
        <v>27</v>
      </c>
      <c r="G1310" s="1">
        <v>44562</v>
      </c>
      <c r="H1310" s="1">
        <v>44562</v>
      </c>
      <c r="I1310" t="s">
        <v>665</v>
      </c>
      <c r="J1310" t="s">
        <v>666</v>
      </c>
      <c r="K1310" t="s">
        <v>958</v>
      </c>
      <c r="L1310" t="s">
        <v>863</v>
      </c>
      <c r="M1310" t="s">
        <v>1904</v>
      </c>
      <c r="N1310" t="s">
        <v>1905</v>
      </c>
      <c r="O1310" t="s">
        <v>1459</v>
      </c>
      <c r="P1310" t="s">
        <v>1460</v>
      </c>
      <c r="Q1310" t="s">
        <v>4080</v>
      </c>
      <c r="R1310" t="s">
        <v>4081</v>
      </c>
      <c r="S1310" t="s">
        <v>1471</v>
      </c>
      <c r="T1310" t="s">
        <v>550</v>
      </c>
      <c r="U1310" t="s">
        <v>550</v>
      </c>
      <c r="V1310" t="s">
        <v>5249</v>
      </c>
      <c r="W1310" t="s">
        <v>1014</v>
      </c>
      <c r="X1310" t="s">
        <v>870</v>
      </c>
      <c r="Y1310" t="s">
        <v>1462</v>
      </c>
      <c r="Z1310" t="s">
        <v>5247</v>
      </c>
    </row>
    <row r="1311" spans="1:26" x14ac:dyDescent="0.3">
      <c r="A1311" t="s">
        <v>525</v>
      </c>
      <c r="B1311" t="s">
        <v>5250</v>
      </c>
      <c r="C1311" t="s">
        <v>5251</v>
      </c>
      <c r="D1311" t="s">
        <v>2079</v>
      </c>
      <c r="E1311" t="s">
        <v>664</v>
      </c>
      <c r="F1311" t="s">
        <v>27</v>
      </c>
      <c r="G1311" s="1">
        <v>44562</v>
      </c>
      <c r="H1311" s="1">
        <v>44562</v>
      </c>
      <c r="I1311" t="s">
        <v>665</v>
      </c>
      <c r="J1311" t="s">
        <v>666</v>
      </c>
      <c r="K1311" t="s">
        <v>958</v>
      </c>
      <c r="L1311" t="s">
        <v>863</v>
      </c>
      <c r="M1311" t="s">
        <v>1904</v>
      </c>
      <c r="N1311" t="s">
        <v>1905</v>
      </c>
      <c r="O1311" t="s">
        <v>1459</v>
      </c>
      <c r="P1311" t="s">
        <v>1460</v>
      </c>
      <c r="Q1311" t="s">
        <v>4080</v>
      </c>
      <c r="R1311" t="s">
        <v>4081</v>
      </c>
      <c r="S1311" t="s">
        <v>1471</v>
      </c>
      <c r="T1311" t="s">
        <v>550</v>
      </c>
      <c r="U1311" t="s">
        <v>550</v>
      </c>
      <c r="V1311" t="s">
        <v>5252</v>
      </c>
      <c r="W1311" t="s">
        <v>1014</v>
      </c>
      <c r="X1311" t="s">
        <v>870</v>
      </c>
      <c r="Y1311" t="s">
        <v>1462</v>
      </c>
      <c r="Z1311" t="s">
        <v>5250</v>
      </c>
    </row>
    <row r="1312" spans="1:26" x14ac:dyDescent="0.3">
      <c r="A1312" t="s">
        <v>525</v>
      </c>
      <c r="B1312" t="s">
        <v>5253</v>
      </c>
      <c r="C1312" t="s">
        <v>5254</v>
      </c>
      <c r="D1312" t="s">
        <v>550</v>
      </c>
      <c r="E1312" t="s">
        <v>664</v>
      </c>
      <c r="F1312" t="s">
        <v>27</v>
      </c>
      <c r="G1312" s="1">
        <v>44562</v>
      </c>
      <c r="H1312" s="1">
        <v>44562</v>
      </c>
      <c r="I1312" t="s">
        <v>665</v>
      </c>
      <c r="J1312" t="s">
        <v>1067</v>
      </c>
      <c r="K1312" t="s">
        <v>24</v>
      </c>
      <c r="L1312" t="s">
        <v>1010</v>
      </c>
      <c r="M1312" t="s">
        <v>1904</v>
      </c>
      <c r="N1312" t="s">
        <v>1905</v>
      </c>
      <c r="O1312" t="s">
        <v>1459</v>
      </c>
      <c r="P1312" t="s">
        <v>1460</v>
      </c>
      <c r="Q1312" t="s">
        <v>4080</v>
      </c>
      <c r="R1312" t="s">
        <v>4081</v>
      </c>
      <c r="S1312" t="s">
        <v>550</v>
      </c>
      <c r="T1312" t="s">
        <v>550</v>
      </c>
      <c r="U1312" t="s">
        <v>550</v>
      </c>
      <c r="V1312" t="s">
        <v>5255</v>
      </c>
      <c r="W1312" t="s">
        <v>1014</v>
      </c>
      <c r="X1312" t="s">
        <v>870</v>
      </c>
      <c r="Y1312" t="s">
        <v>803</v>
      </c>
      <c r="Z1312" t="s">
        <v>5253</v>
      </c>
    </row>
    <row r="1313" spans="1:26" x14ac:dyDescent="0.3">
      <c r="A1313" t="s">
        <v>525</v>
      </c>
      <c r="B1313" t="s">
        <v>5256</v>
      </c>
      <c r="C1313" t="s">
        <v>5254</v>
      </c>
      <c r="D1313" t="s">
        <v>5253</v>
      </c>
      <c r="E1313" t="s">
        <v>664</v>
      </c>
      <c r="F1313" t="s">
        <v>27</v>
      </c>
      <c r="G1313" s="1">
        <v>44562</v>
      </c>
      <c r="H1313" s="1">
        <v>44562</v>
      </c>
      <c r="I1313" t="s">
        <v>665</v>
      </c>
      <c r="J1313" t="s">
        <v>982</v>
      </c>
      <c r="K1313" t="s">
        <v>24</v>
      </c>
      <c r="L1313" t="s">
        <v>1010</v>
      </c>
      <c r="M1313" t="s">
        <v>1904</v>
      </c>
      <c r="N1313" t="s">
        <v>1905</v>
      </c>
      <c r="O1313" t="s">
        <v>1459</v>
      </c>
      <c r="P1313" t="s">
        <v>1460</v>
      </c>
      <c r="Q1313" t="s">
        <v>4080</v>
      </c>
      <c r="R1313" t="s">
        <v>4081</v>
      </c>
      <c r="S1313" t="s">
        <v>783</v>
      </c>
      <c r="T1313" t="s">
        <v>550</v>
      </c>
      <c r="U1313" t="s">
        <v>550</v>
      </c>
      <c r="V1313" t="s">
        <v>5257</v>
      </c>
      <c r="W1313" t="s">
        <v>1014</v>
      </c>
      <c r="X1313" t="s">
        <v>870</v>
      </c>
      <c r="Y1313" t="s">
        <v>803</v>
      </c>
      <c r="Z1313" t="s">
        <v>5256</v>
      </c>
    </row>
    <row r="1314" spans="1:26" x14ac:dyDescent="0.3">
      <c r="A1314" t="s">
        <v>525</v>
      </c>
      <c r="B1314" t="s">
        <v>5258</v>
      </c>
      <c r="C1314" t="s">
        <v>5254</v>
      </c>
      <c r="D1314" t="s">
        <v>5253</v>
      </c>
      <c r="E1314" t="s">
        <v>664</v>
      </c>
      <c r="F1314" t="s">
        <v>27</v>
      </c>
      <c r="G1314" s="1">
        <v>44927</v>
      </c>
      <c r="H1314" s="1">
        <v>44927</v>
      </c>
      <c r="I1314" t="s">
        <v>665</v>
      </c>
      <c r="J1314" t="s">
        <v>982</v>
      </c>
      <c r="K1314" t="s">
        <v>4203</v>
      </c>
      <c r="L1314" t="s">
        <v>667</v>
      </c>
      <c r="M1314" t="s">
        <v>1904</v>
      </c>
      <c r="N1314" t="s">
        <v>1905</v>
      </c>
      <c r="O1314" t="s">
        <v>1459</v>
      </c>
      <c r="P1314" t="s">
        <v>1460</v>
      </c>
      <c r="Q1314" t="s">
        <v>4080</v>
      </c>
      <c r="R1314" t="s">
        <v>4081</v>
      </c>
      <c r="S1314" t="s">
        <v>783</v>
      </c>
      <c r="T1314" t="s">
        <v>550</v>
      </c>
      <c r="U1314" t="s">
        <v>5033</v>
      </c>
      <c r="V1314" t="s">
        <v>5259</v>
      </c>
      <c r="W1314" t="s">
        <v>1014</v>
      </c>
      <c r="X1314" t="s">
        <v>870</v>
      </c>
      <c r="Y1314" t="s">
        <v>803</v>
      </c>
      <c r="Z1314" t="s">
        <v>5258</v>
      </c>
    </row>
    <row r="1315" spans="1:26" x14ac:dyDescent="0.3">
      <c r="A1315" t="s">
        <v>525</v>
      </c>
      <c r="B1315" t="s">
        <v>5260</v>
      </c>
      <c r="C1315" t="s">
        <v>5261</v>
      </c>
      <c r="D1315" t="s">
        <v>2079</v>
      </c>
      <c r="E1315" t="s">
        <v>664</v>
      </c>
      <c r="F1315" t="s">
        <v>27</v>
      </c>
      <c r="G1315" s="1">
        <v>44927</v>
      </c>
      <c r="H1315" s="1">
        <v>45711</v>
      </c>
      <c r="I1315" t="s">
        <v>665</v>
      </c>
      <c r="J1315" t="s">
        <v>666</v>
      </c>
      <c r="K1315" t="s">
        <v>958</v>
      </c>
      <c r="L1315" t="s">
        <v>216</v>
      </c>
      <c r="M1315" t="s">
        <v>1904</v>
      </c>
      <c r="N1315" t="s">
        <v>1905</v>
      </c>
      <c r="O1315" t="s">
        <v>1459</v>
      </c>
      <c r="P1315" t="s">
        <v>1460</v>
      </c>
      <c r="Q1315" t="s">
        <v>4080</v>
      </c>
      <c r="R1315" t="s">
        <v>4081</v>
      </c>
      <c r="S1315" t="s">
        <v>1471</v>
      </c>
      <c r="T1315" t="s">
        <v>550</v>
      </c>
      <c r="U1315" t="s">
        <v>5169</v>
      </c>
      <c r="V1315" t="s">
        <v>5262</v>
      </c>
      <c r="W1315" t="s">
        <v>5263</v>
      </c>
      <c r="X1315" t="s">
        <v>870</v>
      </c>
      <c r="Y1315" t="s">
        <v>1462</v>
      </c>
      <c r="Z1315" t="s">
        <v>5260</v>
      </c>
    </row>
    <row r="1316" spans="1:26" x14ac:dyDescent="0.3">
      <c r="A1316" t="s">
        <v>525</v>
      </c>
      <c r="B1316" t="s">
        <v>4553</v>
      </c>
      <c r="C1316" t="s">
        <v>5264</v>
      </c>
      <c r="D1316" t="s">
        <v>550</v>
      </c>
      <c r="E1316" t="s">
        <v>4554</v>
      </c>
      <c r="F1316" t="s">
        <v>4555</v>
      </c>
      <c r="G1316" s="1">
        <v>45078</v>
      </c>
      <c r="H1316" s="1">
        <v>45078</v>
      </c>
      <c r="I1316" t="s">
        <v>780</v>
      </c>
      <c r="J1316" t="s">
        <v>4556</v>
      </c>
      <c r="K1316" t="s">
        <v>958</v>
      </c>
      <c r="L1316" t="s">
        <v>863</v>
      </c>
      <c r="M1316" t="s">
        <v>1904</v>
      </c>
      <c r="N1316" t="s">
        <v>1905</v>
      </c>
      <c r="O1316" t="s">
        <v>1459</v>
      </c>
      <c r="P1316" t="s">
        <v>1460</v>
      </c>
      <c r="Q1316" t="s">
        <v>4080</v>
      </c>
      <c r="R1316" t="s">
        <v>4081</v>
      </c>
      <c r="S1316" t="s">
        <v>550</v>
      </c>
      <c r="T1316" t="s">
        <v>550</v>
      </c>
      <c r="U1316" t="s">
        <v>550</v>
      </c>
      <c r="V1316" t="s">
        <v>5265</v>
      </c>
      <c r="W1316" t="s">
        <v>5263</v>
      </c>
      <c r="X1316" t="s">
        <v>870</v>
      </c>
      <c r="Y1316" t="s">
        <v>856</v>
      </c>
      <c r="Z1316" t="s">
        <v>4553</v>
      </c>
    </row>
    <row r="1317" spans="1:26" x14ac:dyDescent="0.3">
      <c r="A1317" t="s">
        <v>525</v>
      </c>
      <c r="B1317" t="s">
        <v>5266</v>
      </c>
      <c r="C1317" t="s">
        <v>5264</v>
      </c>
      <c r="D1317" t="s">
        <v>4553</v>
      </c>
      <c r="E1317" t="s">
        <v>4554</v>
      </c>
      <c r="F1317" t="s">
        <v>4555</v>
      </c>
      <c r="G1317" s="1">
        <v>45078</v>
      </c>
      <c r="H1317" s="1">
        <v>45112</v>
      </c>
      <c r="I1317" t="s">
        <v>665</v>
      </c>
      <c r="J1317" t="s">
        <v>4556</v>
      </c>
      <c r="K1317" t="s">
        <v>958</v>
      </c>
      <c r="L1317" t="s">
        <v>863</v>
      </c>
      <c r="M1317" t="s">
        <v>1904</v>
      </c>
      <c r="N1317" t="s">
        <v>1905</v>
      </c>
      <c r="O1317" t="s">
        <v>1459</v>
      </c>
      <c r="P1317" t="s">
        <v>1460</v>
      </c>
      <c r="Q1317" t="s">
        <v>4080</v>
      </c>
      <c r="R1317" t="s">
        <v>4081</v>
      </c>
      <c r="S1317" t="s">
        <v>783</v>
      </c>
      <c r="T1317" t="s">
        <v>550</v>
      </c>
      <c r="U1317" t="s">
        <v>5169</v>
      </c>
      <c r="V1317" t="s">
        <v>5267</v>
      </c>
      <c r="W1317" t="s">
        <v>5263</v>
      </c>
      <c r="X1317" t="s">
        <v>870</v>
      </c>
      <c r="Y1317" t="s">
        <v>856</v>
      </c>
      <c r="Z1317" t="s">
        <v>5266</v>
      </c>
    </row>
    <row r="1318" spans="1:26" x14ac:dyDescent="0.3">
      <c r="A1318" t="s">
        <v>525</v>
      </c>
      <c r="B1318" t="s">
        <v>5268</v>
      </c>
      <c r="C1318" t="s">
        <v>5269</v>
      </c>
      <c r="D1318" t="s">
        <v>1902</v>
      </c>
      <c r="E1318" t="s">
        <v>1374</v>
      </c>
      <c r="F1318" t="s">
        <v>1375</v>
      </c>
      <c r="G1318" s="1">
        <v>44562</v>
      </c>
      <c r="H1318" s="1">
        <v>44562</v>
      </c>
      <c r="I1318" t="s">
        <v>665</v>
      </c>
      <c r="J1318" t="s">
        <v>1376</v>
      </c>
      <c r="K1318" t="s">
        <v>862</v>
      </c>
      <c r="L1318" t="s">
        <v>863</v>
      </c>
      <c r="M1318" t="s">
        <v>1904</v>
      </c>
      <c r="N1318" t="s">
        <v>1905</v>
      </c>
      <c r="O1318" t="s">
        <v>1459</v>
      </c>
      <c r="P1318" t="s">
        <v>1460</v>
      </c>
      <c r="Q1318" t="s">
        <v>4080</v>
      </c>
      <c r="R1318" t="s">
        <v>4081</v>
      </c>
      <c r="S1318" t="s">
        <v>783</v>
      </c>
      <c r="T1318" t="s">
        <v>550</v>
      </c>
      <c r="U1318" t="s">
        <v>550</v>
      </c>
      <c r="V1318" t="s">
        <v>5270</v>
      </c>
      <c r="W1318" t="s">
        <v>869</v>
      </c>
      <c r="X1318" t="s">
        <v>870</v>
      </c>
      <c r="Y1318" t="s">
        <v>847</v>
      </c>
      <c r="Z1318" t="s">
        <v>5268</v>
      </c>
    </row>
    <row r="1319" spans="1:26" x14ac:dyDescent="0.3">
      <c r="A1319" t="s">
        <v>525</v>
      </c>
      <c r="B1319" t="s">
        <v>5271</v>
      </c>
      <c r="C1319" t="s">
        <v>5272</v>
      </c>
      <c r="D1319" t="s">
        <v>1902</v>
      </c>
      <c r="E1319" t="s">
        <v>1374</v>
      </c>
      <c r="F1319" t="s">
        <v>1375</v>
      </c>
      <c r="G1319" s="1">
        <v>44927</v>
      </c>
      <c r="H1319" s="1">
        <v>44953</v>
      </c>
      <c r="I1319" t="s">
        <v>665</v>
      </c>
      <c r="J1319" t="s">
        <v>1376</v>
      </c>
      <c r="K1319" t="s">
        <v>862</v>
      </c>
      <c r="L1319" t="s">
        <v>216</v>
      </c>
      <c r="M1319" t="s">
        <v>1904</v>
      </c>
      <c r="N1319" t="s">
        <v>1905</v>
      </c>
      <c r="O1319" t="s">
        <v>1459</v>
      </c>
      <c r="P1319" t="s">
        <v>1460</v>
      </c>
      <c r="Q1319" t="s">
        <v>4080</v>
      </c>
      <c r="R1319" t="s">
        <v>4081</v>
      </c>
      <c r="S1319" t="s">
        <v>783</v>
      </c>
      <c r="T1319" t="s">
        <v>550</v>
      </c>
      <c r="U1319" t="s">
        <v>1900</v>
      </c>
      <c r="V1319" t="s">
        <v>5273</v>
      </c>
      <c r="W1319" t="s">
        <v>869</v>
      </c>
      <c r="X1319" t="s">
        <v>870</v>
      </c>
      <c r="Y1319" t="s">
        <v>847</v>
      </c>
      <c r="Z1319" t="s">
        <v>5271</v>
      </c>
    </row>
    <row r="1320" spans="1:26" x14ac:dyDescent="0.3">
      <c r="A1320" t="s">
        <v>525</v>
      </c>
      <c r="B1320" t="s">
        <v>5274</v>
      </c>
      <c r="C1320" t="s">
        <v>5275</v>
      </c>
      <c r="D1320" t="s">
        <v>1959</v>
      </c>
      <c r="E1320" t="s">
        <v>1896</v>
      </c>
      <c r="F1320" t="s">
        <v>1897</v>
      </c>
      <c r="G1320" s="1">
        <v>44927</v>
      </c>
      <c r="H1320" s="1">
        <v>44936</v>
      </c>
      <c r="I1320" t="s">
        <v>665</v>
      </c>
      <c r="J1320" t="s">
        <v>1898</v>
      </c>
      <c r="K1320" t="s">
        <v>862</v>
      </c>
      <c r="L1320" t="s">
        <v>216</v>
      </c>
      <c r="M1320" t="s">
        <v>1899</v>
      </c>
      <c r="N1320" t="s">
        <v>245</v>
      </c>
      <c r="O1320" t="s">
        <v>1459</v>
      </c>
      <c r="P1320" t="s">
        <v>1460</v>
      </c>
      <c r="Q1320" t="s">
        <v>4080</v>
      </c>
      <c r="R1320" t="s">
        <v>4081</v>
      </c>
      <c r="S1320" t="s">
        <v>783</v>
      </c>
      <c r="T1320" t="s">
        <v>550</v>
      </c>
      <c r="U1320" t="s">
        <v>1900</v>
      </c>
      <c r="V1320" t="s">
        <v>5276</v>
      </c>
      <c r="W1320" t="s">
        <v>869</v>
      </c>
      <c r="X1320" t="s">
        <v>870</v>
      </c>
      <c r="Y1320" t="s">
        <v>847</v>
      </c>
      <c r="Z1320" t="s">
        <v>5274</v>
      </c>
    </row>
    <row r="1321" spans="1:26" x14ac:dyDescent="0.3">
      <c r="A1321" t="s">
        <v>525</v>
      </c>
      <c r="B1321" t="s">
        <v>4903</v>
      </c>
      <c r="C1321" t="s">
        <v>5277</v>
      </c>
      <c r="D1321" t="s">
        <v>550</v>
      </c>
      <c r="E1321" t="s">
        <v>4904</v>
      </c>
      <c r="F1321" t="s">
        <v>4905</v>
      </c>
      <c r="G1321" s="1">
        <v>44562</v>
      </c>
      <c r="H1321" s="1">
        <v>44562</v>
      </c>
      <c r="I1321" t="s">
        <v>780</v>
      </c>
      <c r="J1321" t="s">
        <v>4906</v>
      </c>
      <c r="K1321" t="s">
        <v>4782</v>
      </c>
      <c r="L1321" t="s">
        <v>216</v>
      </c>
      <c r="M1321" t="s">
        <v>1904</v>
      </c>
      <c r="N1321" t="s">
        <v>1905</v>
      </c>
      <c r="O1321" t="s">
        <v>1459</v>
      </c>
      <c r="P1321" t="s">
        <v>1460</v>
      </c>
      <c r="Q1321" t="s">
        <v>4080</v>
      </c>
      <c r="R1321" t="s">
        <v>4081</v>
      </c>
      <c r="S1321" t="s">
        <v>550</v>
      </c>
      <c r="T1321" t="s">
        <v>550</v>
      </c>
      <c r="U1321" t="s">
        <v>550</v>
      </c>
      <c r="V1321" t="s">
        <v>5278</v>
      </c>
      <c r="W1321" t="s">
        <v>869</v>
      </c>
      <c r="X1321" t="s">
        <v>870</v>
      </c>
      <c r="Y1321" t="s">
        <v>847</v>
      </c>
      <c r="Z1321" t="s">
        <v>4903</v>
      </c>
    </row>
    <row r="1322" spans="1:26" x14ac:dyDescent="0.3">
      <c r="A1322" t="s">
        <v>525</v>
      </c>
      <c r="B1322" t="s">
        <v>5279</v>
      </c>
      <c r="C1322" t="s">
        <v>5280</v>
      </c>
      <c r="D1322" t="s">
        <v>4903</v>
      </c>
      <c r="E1322" t="s">
        <v>4904</v>
      </c>
      <c r="F1322" t="s">
        <v>4905</v>
      </c>
      <c r="G1322" s="1">
        <v>44562</v>
      </c>
      <c r="H1322" s="1">
        <v>44649</v>
      </c>
      <c r="I1322" t="s">
        <v>665</v>
      </c>
      <c r="J1322" t="s">
        <v>4906</v>
      </c>
      <c r="K1322" t="s">
        <v>862</v>
      </c>
      <c r="L1322" t="s">
        <v>216</v>
      </c>
      <c r="M1322" t="s">
        <v>1904</v>
      </c>
      <c r="N1322" t="s">
        <v>1905</v>
      </c>
      <c r="O1322" t="s">
        <v>1459</v>
      </c>
      <c r="P1322" t="s">
        <v>1460</v>
      </c>
      <c r="Q1322" t="s">
        <v>4080</v>
      </c>
      <c r="R1322" t="s">
        <v>4081</v>
      </c>
      <c r="S1322" t="s">
        <v>783</v>
      </c>
      <c r="T1322" t="s">
        <v>550</v>
      </c>
      <c r="U1322" t="s">
        <v>550</v>
      </c>
      <c r="V1322" t="s">
        <v>5281</v>
      </c>
      <c r="W1322" t="s">
        <v>869</v>
      </c>
      <c r="X1322" t="s">
        <v>870</v>
      </c>
      <c r="Y1322" t="s">
        <v>847</v>
      </c>
      <c r="Z1322" t="s">
        <v>5279</v>
      </c>
    </row>
    <row r="1323" spans="1:26" x14ac:dyDescent="0.3">
      <c r="A1323" t="s">
        <v>525</v>
      </c>
      <c r="B1323" t="s">
        <v>5282</v>
      </c>
      <c r="C1323" t="s">
        <v>5283</v>
      </c>
      <c r="D1323" t="s">
        <v>4903</v>
      </c>
      <c r="E1323" t="s">
        <v>4904</v>
      </c>
      <c r="F1323" t="s">
        <v>4905</v>
      </c>
      <c r="G1323" s="1">
        <v>44927</v>
      </c>
      <c r="H1323" s="1">
        <v>44966</v>
      </c>
      <c r="I1323" t="s">
        <v>665</v>
      </c>
      <c r="J1323" t="s">
        <v>4906</v>
      </c>
      <c r="K1323" t="s">
        <v>862</v>
      </c>
      <c r="L1323" t="s">
        <v>216</v>
      </c>
      <c r="M1323" t="s">
        <v>1904</v>
      </c>
      <c r="N1323" t="s">
        <v>1905</v>
      </c>
      <c r="O1323" t="s">
        <v>1459</v>
      </c>
      <c r="P1323" t="s">
        <v>1460</v>
      </c>
      <c r="Q1323" t="s">
        <v>4080</v>
      </c>
      <c r="R1323" t="s">
        <v>4081</v>
      </c>
      <c r="S1323" t="s">
        <v>783</v>
      </c>
      <c r="T1323" t="s">
        <v>550</v>
      </c>
      <c r="U1323" t="s">
        <v>4907</v>
      </c>
      <c r="V1323" t="s">
        <v>5284</v>
      </c>
      <c r="W1323" t="s">
        <v>869</v>
      </c>
      <c r="X1323" t="s">
        <v>870</v>
      </c>
      <c r="Y1323" t="s">
        <v>847</v>
      </c>
      <c r="Z1323" t="s">
        <v>5282</v>
      </c>
    </row>
    <row r="1324" spans="1:26" x14ac:dyDescent="0.3">
      <c r="A1324" t="s">
        <v>525</v>
      </c>
      <c r="B1324" t="s">
        <v>5285</v>
      </c>
      <c r="C1324" t="s">
        <v>5286</v>
      </c>
      <c r="D1324" t="s">
        <v>550</v>
      </c>
      <c r="E1324" t="s">
        <v>5158</v>
      </c>
      <c r="F1324" t="s">
        <v>5159</v>
      </c>
      <c r="G1324" s="1">
        <v>44562</v>
      </c>
      <c r="H1324" s="1">
        <v>44926</v>
      </c>
      <c r="I1324" t="s">
        <v>665</v>
      </c>
      <c r="J1324" t="s">
        <v>5160</v>
      </c>
      <c r="K1324" t="s">
        <v>862</v>
      </c>
      <c r="L1324" t="s">
        <v>863</v>
      </c>
      <c r="M1324" t="s">
        <v>1904</v>
      </c>
      <c r="N1324" t="s">
        <v>1905</v>
      </c>
      <c r="O1324" t="s">
        <v>1459</v>
      </c>
      <c r="P1324" t="s">
        <v>1460</v>
      </c>
      <c r="Q1324" t="s">
        <v>4080</v>
      </c>
      <c r="R1324" t="s">
        <v>4081</v>
      </c>
      <c r="S1324" t="s">
        <v>783</v>
      </c>
      <c r="T1324" t="s">
        <v>550</v>
      </c>
      <c r="U1324" t="s">
        <v>550</v>
      </c>
      <c r="V1324" t="s">
        <v>5287</v>
      </c>
      <c r="W1324" t="s">
        <v>869</v>
      </c>
      <c r="X1324" t="s">
        <v>870</v>
      </c>
      <c r="Y1324" t="s">
        <v>847</v>
      </c>
      <c r="Z1324" t="s">
        <v>5285</v>
      </c>
    </row>
    <row r="1325" spans="1:26" x14ac:dyDescent="0.3">
      <c r="A1325" t="s">
        <v>525</v>
      </c>
      <c r="B1325" t="s">
        <v>5288</v>
      </c>
      <c r="C1325" t="s">
        <v>5289</v>
      </c>
      <c r="D1325" t="s">
        <v>5285</v>
      </c>
      <c r="E1325" t="s">
        <v>5158</v>
      </c>
      <c r="F1325" t="s">
        <v>5159</v>
      </c>
      <c r="G1325" s="1">
        <v>44562</v>
      </c>
      <c r="H1325" s="1">
        <v>44568</v>
      </c>
      <c r="I1325" t="s">
        <v>665</v>
      </c>
      <c r="J1325" t="s">
        <v>5160</v>
      </c>
      <c r="K1325" t="s">
        <v>862</v>
      </c>
      <c r="L1325" t="s">
        <v>863</v>
      </c>
      <c r="M1325" t="s">
        <v>1904</v>
      </c>
      <c r="N1325" t="s">
        <v>1905</v>
      </c>
      <c r="O1325" t="s">
        <v>1459</v>
      </c>
      <c r="P1325" t="s">
        <v>1460</v>
      </c>
      <c r="Q1325" t="s">
        <v>4080</v>
      </c>
      <c r="R1325" t="s">
        <v>4081</v>
      </c>
      <c r="S1325" t="s">
        <v>783</v>
      </c>
      <c r="T1325" t="s">
        <v>550</v>
      </c>
      <c r="U1325" t="s">
        <v>550</v>
      </c>
      <c r="V1325" t="s">
        <v>5290</v>
      </c>
      <c r="W1325" t="s">
        <v>869</v>
      </c>
      <c r="X1325" t="s">
        <v>870</v>
      </c>
      <c r="Y1325" t="s">
        <v>847</v>
      </c>
      <c r="Z1325" t="s">
        <v>5288</v>
      </c>
    </row>
    <row r="1326" spans="1:26" x14ac:dyDescent="0.3">
      <c r="A1326" t="s">
        <v>525</v>
      </c>
      <c r="B1326" t="s">
        <v>5291</v>
      </c>
      <c r="C1326" t="s">
        <v>5292</v>
      </c>
      <c r="D1326" t="s">
        <v>2372</v>
      </c>
      <c r="E1326" t="s">
        <v>5293</v>
      </c>
      <c r="F1326" t="s">
        <v>5294</v>
      </c>
      <c r="G1326" s="1">
        <v>46143</v>
      </c>
      <c r="H1326" s="1">
        <v>46147</v>
      </c>
      <c r="I1326" t="s">
        <v>780</v>
      </c>
      <c r="J1326" t="s">
        <v>5295</v>
      </c>
      <c r="K1326" t="s">
        <v>24</v>
      </c>
      <c r="L1326" t="s">
        <v>216</v>
      </c>
      <c r="M1326" t="s">
        <v>2299</v>
      </c>
      <c r="N1326" t="s">
        <v>265</v>
      </c>
      <c r="O1326" t="s">
        <v>2299</v>
      </c>
      <c r="P1326" t="s">
        <v>265</v>
      </c>
      <c r="Q1326" t="s">
        <v>4080</v>
      </c>
      <c r="R1326" t="s">
        <v>4081</v>
      </c>
      <c r="S1326" t="s">
        <v>783</v>
      </c>
      <c r="T1326" t="s">
        <v>550</v>
      </c>
      <c r="U1326" t="s">
        <v>550</v>
      </c>
      <c r="V1326" t="s">
        <v>5296</v>
      </c>
      <c r="W1326" t="s">
        <v>613</v>
      </c>
      <c r="X1326" t="s">
        <v>281</v>
      </c>
      <c r="Z1326" t="s">
        <v>5291</v>
      </c>
    </row>
    <row r="1327" spans="1:26" x14ac:dyDescent="0.3">
      <c r="A1327" t="s">
        <v>525</v>
      </c>
      <c r="B1327" t="s">
        <v>5297</v>
      </c>
      <c r="C1327" t="s">
        <v>5298</v>
      </c>
      <c r="D1327" t="s">
        <v>1945</v>
      </c>
      <c r="E1327" t="s">
        <v>1896</v>
      </c>
      <c r="F1327" t="s">
        <v>1897</v>
      </c>
      <c r="G1327" s="1">
        <v>44927</v>
      </c>
      <c r="H1327" s="1">
        <v>44936</v>
      </c>
      <c r="I1327" t="s">
        <v>665</v>
      </c>
      <c r="J1327" t="s">
        <v>1898</v>
      </c>
      <c r="K1327" t="s">
        <v>862</v>
      </c>
      <c r="L1327" t="s">
        <v>863</v>
      </c>
      <c r="M1327" t="s">
        <v>1946</v>
      </c>
      <c r="N1327" t="s">
        <v>1947</v>
      </c>
      <c r="O1327" t="s">
        <v>1459</v>
      </c>
      <c r="P1327" t="s">
        <v>1460</v>
      </c>
      <c r="Q1327" t="s">
        <v>4080</v>
      </c>
      <c r="R1327" t="s">
        <v>4081</v>
      </c>
      <c r="S1327" t="s">
        <v>783</v>
      </c>
      <c r="T1327" t="s">
        <v>550</v>
      </c>
      <c r="U1327" t="s">
        <v>1900</v>
      </c>
      <c r="V1327" t="s">
        <v>5299</v>
      </c>
      <c r="W1327" t="s">
        <v>869</v>
      </c>
      <c r="X1327" t="s">
        <v>870</v>
      </c>
      <c r="Y1327" t="s">
        <v>847</v>
      </c>
      <c r="Z1327" t="s">
        <v>5297</v>
      </c>
    </row>
    <row r="1328" spans="1:26" x14ac:dyDescent="0.3">
      <c r="A1328" t="s">
        <v>525</v>
      </c>
      <c r="B1328" t="s">
        <v>5300</v>
      </c>
      <c r="C1328" t="s">
        <v>5301</v>
      </c>
      <c r="D1328" t="s">
        <v>1937</v>
      </c>
      <c r="E1328" t="s">
        <v>664</v>
      </c>
      <c r="F1328" t="s">
        <v>27</v>
      </c>
      <c r="G1328" s="1">
        <v>44562</v>
      </c>
      <c r="H1328" s="1">
        <v>44562</v>
      </c>
      <c r="I1328" t="s">
        <v>665</v>
      </c>
      <c r="J1328" t="s">
        <v>666</v>
      </c>
      <c r="K1328" t="s">
        <v>862</v>
      </c>
      <c r="L1328" t="s">
        <v>863</v>
      </c>
      <c r="M1328" t="s">
        <v>1904</v>
      </c>
      <c r="N1328" t="s">
        <v>1905</v>
      </c>
      <c r="O1328" t="s">
        <v>1459</v>
      </c>
      <c r="P1328" t="s">
        <v>1460</v>
      </c>
      <c r="Q1328" t="s">
        <v>4080</v>
      </c>
      <c r="R1328" t="s">
        <v>4081</v>
      </c>
      <c r="S1328" t="s">
        <v>1471</v>
      </c>
      <c r="T1328" t="s">
        <v>550</v>
      </c>
      <c r="U1328" t="s">
        <v>550</v>
      </c>
      <c r="V1328" t="s">
        <v>5302</v>
      </c>
      <c r="W1328" t="s">
        <v>869</v>
      </c>
      <c r="X1328" t="s">
        <v>870</v>
      </c>
      <c r="Y1328" t="s">
        <v>847</v>
      </c>
      <c r="Z1328" t="s">
        <v>5300</v>
      </c>
    </row>
    <row r="1329" spans="1:26" x14ac:dyDescent="0.3">
      <c r="A1329" t="s">
        <v>525</v>
      </c>
      <c r="B1329" t="s">
        <v>5303</v>
      </c>
      <c r="C1329" t="s">
        <v>5304</v>
      </c>
      <c r="D1329" t="s">
        <v>1937</v>
      </c>
      <c r="E1329" t="s">
        <v>664</v>
      </c>
      <c r="F1329" t="s">
        <v>27</v>
      </c>
      <c r="G1329" s="1">
        <v>44927</v>
      </c>
      <c r="H1329" s="1">
        <v>45076</v>
      </c>
      <c r="I1329" t="s">
        <v>665</v>
      </c>
      <c r="J1329" t="s">
        <v>666</v>
      </c>
      <c r="K1329" t="s">
        <v>862</v>
      </c>
      <c r="L1329" t="s">
        <v>216</v>
      </c>
      <c r="M1329" t="s">
        <v>1904</v>
      </c>
      <c r="N1329" t="s">
        <v>1905</v>
      </c>
      <c r="O1329" t="s">
        <v>1459</v>
      </c>
      <c r="P1329" t="s">
        <v>1460</v>
      </c>
      <c r="Q1329" t="s">
        <v>4080</v>
      </c>
      <c r="R1329" t="s">
        <v>4081</v>
      </c>
      <c r="S1329" t="s">
        <v>1471</v>
      </c>
      <c r="T1329" t="s">
        <v>550</v>
      </c>
      <c r="U1329" t="s">
        <v>4811</v>
      </c>
      <c r="V1329" t="s">
        <v>5305</v>
      </c>
      <c r="W1329" t="s">
        <v>869</v>
      </c>
      <c r="X1329" t="s">
        <v>870</v>
      </c>
      <c r="Y1329" t="s">
        <v>847</v>
      </c>
      <c r="Z1329" t="s">
        <v>5303</v>
      </c>
    </row>
    <row r="1330" spans="1:26" x14ac:dyDescent="0.3">
      <c r="A1330" t="s">
        <v>525</v>
      </c>
      <c r="B1330" t="s">
        <v>5306</v>
      </c>
      <c r="C1330" t="s">
        <v>5307</v>
      </c>
      <c r="D1330" t="s">
        <v>1919</v>
      </c>
      <c r="E1330" t="s">
        <v>1921</v>
      </c>
      <c r="F1330" t="s">
        <v>1922</v>
      </c>
      <c r="G1330" s="1">
        <v>44562</v>
      </c>
      <c r="H1330" s="1">
        <v>44562</v>
      </c>
      <c r="I1330" t="s">
        <v>665</v>
      </c>
      <c r="J1330" t="s">
        <v>1923</v>
      </c>
      <c r="K1330" t="s">
        <v>862</v>
      </c>
      <c r="L1330" t="s">
        <v>863</v>
      </c>
      <c r="M1330" t="s">
        <v>1904</v>
      </c>
      <c r="N1330" t="s">
        <v>1905</v>
      </c>
      <c r="O1330" t="s">
        <v>1459</v>
      </c>
      <c r="P1330" t="s">
        <v>1460</v>
      </c>
      <c r="Q1330" t="s">
        <v>4080</v>
      </c>
      <c r="R1330" t="s">
        <v>4081</v>
      </c>
      <c r="S1330" t="s">
        <v>1471</v>
      </c>
      <c r="T1330" t="s">
        <v>550</v>
      </c>
      <c r="U1330" t="s">
        <v>550</v>
      </c>
      <c r="V1330" t="s">
        <v>5308</v>
      </c>
      <c r="W1330" t="s">
        <v>869</v>
      </c>
      <c r="X1330" t="s">
        <v>870</v>
      </c>
      <c r="Y1330" t="s">
        <v>847</v>
      </c>
      <c r="Z1330" t="s">
        <v>5306</v>
      </c>
    </row>
    <row r="1331" spans="1:26" x14ac:dyDescent="0.3">
      <c r="A1331" t="s">
        <v>525</v>
      </c>
      <c r="B1331" t="s">
        <v>5309</v>
      </c>
      <c r="C1331" t="s">
        <v>5310</v>
      </c>
      <c r="D1331" t="s">
        <v>1919</v>
      </c>
      <c r="E1331" t="s">
        <v>1921</v>
      </c>
      <c r="F1331" t="s">
        <v>1922</v>
      </c>
      <c r="G1331" s="1">
        <v>44928</v>
      </c>
      <c r="H1331" s="1">
        <v>44928</v>
      </c>
      <c r="I1331" t="s">
        <v>665</v>
      </c>
      <c r="J1331" t="s">
        <v>1923</v>
      </c>
      <c r="K1331" t="s">
        <v>862</v>
      </c>
      <c r="L1331" t="s">
        <v>216</v>
      </c>
      <c r="M1331" t="s">
        <v>1904</v>
      </c>
      <c r="N1331" t="s">
        <v>1905</v>
      </c>
      <c r="O1331" t="s">
        <v>1459</v>
      </c>
      <c r="P1331" t="s">
        <v>1460</v>
      </c>
      <c r="Q1331" t="s">
        <v>4080</v>
      </c>
      <c r="R1331" t="s">
        <v>4081</v>
      </c>
      <c r="S1331" t="s">
        <v>1471</v>
      </c>
      <c r="T1331" t="s">
        <v>550</v>
      </c>
      <c r="U1331" t="s">
        <v>550</v>
      </c>
      <c r="V1331" t="s">
        <v>5311</v>
      </c>
      <c r="W1331" t="s">
        <v>869</v>
      </c>
      <c r="X1331" t="s">
        <v>870</v>
      </c>
      <c r="Y1331" t="s">
        <v>847</v>
      </c>
      <c r="Z1331" t="s">
        <v>5309</v>
      </c>
    </row>
    <row r="1332" spans="1:26" x14ac:dyDescent="0.3">
      <c r="A1332" t="s">
        <v>525</v>
      </c>
      <c r="B1332" t="s">
        <v>5312</v>
      </c>
      <c r="C1332" t="s">
        <v>5313</v>
      </c>
      <c r="D1332" t="s">
        <v>550</v>
      </c>
      <c r="E1332" t="s">
        <v>3849</v>
      </c>
      <c r="F1332" t="s">
        <v>3850</v>
      </c>
      <c r="G1332" s="1">
        <v>44964</v>
      </c>
      <c r="H1332" s="1">
        <v>45291</v>
      </c>
      <c r="I1332" t="s">
        <v>665</v>
      </c>
      <c r="J1332" t="s">
        <v>3851</v>
      </c>
      <c r="K1332" t="s">
        <v>862</v>
      </c>
      <c r="L1332" t="s">
        <v>863</v>
      </c>
      <c r="M1332" t="s">
        <v>1904</v>
      </c>
      <c r="N1332" t="s">
        <v>1905</v>
      </c>
      <c r="O1332" t="s">
        <v>1459</v>
      </c>
      <c r="P1332" t="s">
        <v>1460</v>
      </c>
      <c r="Q1332" t="s">
        <v>4080</v>
      </c>
      <c r="R1332" t="s">
        <v>4081</v>
      </c>
      <c r="S1332" t="s">
        <v>550</v>
      </c>
      <c r="T1332" t="s">
        <v>550</v>
      </c>
      <c r="U1332" t="s">
        <v>550</v>
      </c>
      <c r="V1332" t="s">
        <v>5314</v>
      </c>
      <c r="W1332" t="s">
        <v>869</v>
      </c>
      <c r="X1332" t="s">
        <v>870</v>
      </c>
      <c r="Y1332" t="s">
        <v>847</v>
      </c>
      <c r="Z1332" t="s">
        <v>5312</v>
      </c>
    </row>
    <row r="1333" spans="1:26" x14ac:dyDescent="0.3">
      <c r="A1333" t="s">
        <v>525</v>
      </c>
      <c r="B1333" t="s">
        <v>5315</v>
      </c>
      <c r="C1333" t="s">
        <v>5316</v>
      </c>
      <c r="D1333" t="s">
        <v>5312</v>
      </c>
      <c r="E1333" t="s">
        <v>3849</v>
      </c>
      <c r="F1333" t="s">
        <v>3850</v>
      </c>
      <c r="G1333" s="1">
        <v>44964</v>
      </c>
      <c r="H1333" s="1">
        <v>45008</v>
      </c>
      <c r="I1333" t="s">
        <v>665</v>
      </c>
      <c r="J1333" t="s">
        <v>3851</v>
      </c>
      <c r="K1333" t="s">
        <v>862</v>
      </c>
      <c r="L1333" t="s">
        <v>863</v>
      </c>
      <c r="M1333" t="s">
        <v>1904</v>
      </c>
      <c r="N1333" t="s">
        <v>1905</v>
      </c>
      <c r="O1333" t="s">
        <v>1459</v>
      </c>
      <c r="P1333" t="s">
        <v>1460</v>
      </c>
      <c r="Q1333" t="s">
        <v>4080</v>
      </c>
      <c r="R1333" t="s">
        <v>4081</v>
      </c>
      <c r="S1333" t="s">
        <v>1471</v>
      </c>
      <c r="T1333" t="s">
        <v>550</v>
      </c>
      <c r="U1333" t="s">
        <v>1900</v>
      </c>
      <c r="V1333" t="s">
        <v>5317</v>
      </c>
      <c r="W1333" t="s">
        <v>869</v>
      </c>
      <c r="X1333" t="s">
        <v>870</v>
      </c>
      <c r="Y1333" t="s">
        <v>847</v>
      </c>
      <c r="Z1333" t="s">
        <v>5315</v>
      </c>
    </row>
    <row r="1334" spans="1:26" x14ac:dyDescent="0.3">
      <c r="A1334" t="s">
        <v>525</v>
      </c>
      <c r="B1334" t="s">
        <v>5318</v>
      </c>
      <c r="C1334" t="s">
        <v>5319</v>
      </c>
      <c r="D1334" t="s">
        <v>550</v>
      </c>
      <c r="E1334" t="s">
        <v>664</v>
      </c>
      <c r="F1334" t="s">
        <v>27</v>
      </c>
      <c r="G1334" s="1">
        <v>44562</v>
      </c>
      <c r="H1334" s="1">
        <v>44562</v>
      </c>
      <c r="I1334" t="s">
        <v>665</v>
      </c>
      <c r="J1334" t="s">
        <v>666</v>
      </c>
      <c r="K1334" t="s">
        <v>862</v>
      </c>
      <c r="L1334" t="s">
        <v>863</v>
      </c>
      <c r="M1334" t="s">
        <v>1904</v>
      </c>
      <c r="N1334" t="s">
        <v>1905</v>
      </c>
      <c r="O1334" t="s">
        <v>1459</v>
      </c>
      <c r="P1334" t="s">
        <v>1460</v>
      </c>
      <c r="Q1334" t="s">
        <v>4080</v>
      </c>
      <c r="R1334" t="s">
        <v>4081</v>
      </c>
      <c r="S1334" t="s">
        <v>783</v>
      </c>
      <c r="T1334" t="s">
        <v>550</v>
      </c>
      <c r="U1334" t="s">
        <v>550</v>
      </c>
      <c r="V1334" t="s">
        <v>5320</v>
      </c>
      <c r="W1334" t="s">
        <v>869</v>
      </c>
      <c r="X1334" t="s">
        <v>870</v>
      </c>
      <c r="Y1334" t="s">
        <v>847</v>
      </c>
      <c r="Z1334" t="s">
        <v>5318</v>
      </c>
    </row>
    <row r="1335" spans="1:26" x14ac:dyDescent="0.3">
      <c r="A1335" t="s">
        <v>525</v>
      </c>
      <c r="B1335" t="s">
        <v>5321</v>
      </c>
      <c r="C1335" t="s">
        <v>5322</v>
      </c>
      <c r="D1335" t="s">
        <v>5318</v>
      </c>
      <c r="E1335" t="s">
        <v>5323</v>
      </c>
      <c r="F1335" t="s">
        <v>5324</v>
      </c>
      <c r="G1335" s="1">
        <v>44562</v>
      </c>
      <c r="H1335" s="1">
        <v>44582</v>
      </c>
      <c r="I1335" t="s">
        <v>665</v>
      </c>
      <c r="J1335" t="s">
        <v>666</v>
      </c>
      <c r="K1335" t="s">
        <v>862</v>
      </c>
      <c r="L1335" t="s">
        <v>863</v>
      </c>
      <c r="M1335" t="s">
        <v>1904</v>
      </c>
      <c r="N1335" t="s">
        <v>1905</v>
      </c>
      <c r="O1335" t="s">
        <v>1459</v>
      </c>
      <c r="P1335" t="s">
        <v>1460</v>
      </c>
      <c r="Q1335" t="s">
        <v>4080</v>
      </c>
      <c r="R1335" t="s">
        <v>4081</v>
      </c>
      <c r="S1335" t="s">
        <v>783</v>
      </c>
      <c r="T1335" t="s">
        <v>550</v>
      </c>
      <c r="U1335" t="s">
        <v>550</v>
      </c>
      <c r="V1335" t="s">
        <v>5325</v>
      </c>
      <c r="W1335" t="s">
        <v>869</v>
      </c>
      <c r="X1335" t="s">
        <v>870</v>
      </c>
      <c r="Y1335" t="s">
        <v>847</v>
      </c>
      <c r="Z1335" t="s">
        <v>5321</v>
      </c>
    </row>
    <row r="1336" spans="1:26" x14ac:dyDescent="0.3">
      <c r="A1336" t="s">
        <v>525</v>
      </c>
      <c r="B1336" t="s">
        <v>5326</v>
      </c>
      <c r="C1336" t="s">
        <v>5327</v>
      </c>
      <c r="D1336" t="s">
        <v>5318</v>
      </c>
      <c r="E1336" t="s">
        <v>5323</v>
      </c>
      <c r="F1336" t="s">
        <v>5324</v>
      </c>
      <c r="G1336" s="1">
        <v>44927</v>
      </c>
      <c r="H1336" s="1">
        <v>44942</v>
      </c>
      <c r="I1336" t="s">
        <v>665</v>
      </c>
      <c r="J1336" t="s">
        <v>666</v>
      </c>
      <c r="K1336" t="s">
        <v>862</v>
      </c>
      <c r="L1336" t="s">
        <v>863</v>
      </c>
      <c r="M1336" t="s">
        <v>1904</v>
      </c>
      <c r="N1336" t="s">
        <v>1905</v>
      </c>
      <c r="O1336" t="s">
        <v>1459</v>
      </c>
      <c r="P1336" t="s">
        <v>1460</v>
      </c>
      <c r="Q1336" t="s">
        <v>4080</v>
      </c>
      <c r="R1336" t="s">
        <v>4081</v>
      </c>
      <c r="S1336" t="s">
        <v>783</v>
      </c>
      <c r="T1336" t="s">
        <v>550</v>
      </c>
      <c r="U1336" t="s">
        <v>1900</v>
      </c>
      <c r="V1336" t="s">
        <v>5328</v>
      </c>
      <c r="W1336" t="s">
        <v>869</v>
      </c>
      <c r="X1336" t="s">
        <v>870</v>
      </c>
      <c r="Y1336" t="s">
        <v>847</v>
      </c>
      <c r="Z1336" t="s">
        <v>5326</v>
      </c>
    </row>
    <row r="1337" spans="1:26" x14ac:dyDescent="0.3">
      <c r="A1337" t="s">
        <v>525</v>
      </c>
      <c r="B1337" t="s">
        <v>4542</v>
      </c>
      <c r="C1337" t="s">
        <v>4544</v>
      </c>
      <c r="D1337" t="s">
        <v>550</v>
      </c>
      <c r="E1337" t="s">
        <v>4543</v>
      </c>
      <c r="F1337" t="s">
        <v>4544</v>
      </c>
      <c r="G1337" s="1">
        <v>45108</v>
      </c>
      <c r="H1337" s="1">
        <v>45108</v>
      </c>
      <c r="I1337" t="s">
        <v>780</v>
      </c>
      <c r="J1337" t="s">
        <v>4545</v>
      </c>
      <c r="K1337" t="s">
        <v>24</v>
      </c>
      <c r="L1337" t="s">
        <v>216</v>
      </c>
      <c r="M1337" t="s">
        <v>1904</v>
      </c>
      <c r="N1337" t="s">
        <v>1905</v>
      </c>
      <c r="O1337" t="s">
        <v>1459</v>
      </c>
      <c r="P1337" t="s">
        <v>1460</v>
      </c>
      <c r="Q1337" t="s">
        <v>4080</v>
      </c>
      <c r="R1337" t="s">
        <v>4081</v>
      </c>
      <c r="S1337" t="s">
        <v>783</v>
      </c>
      <c r="T1337" t="s">
        <v>550</v>
      </c>
      <c r="U1337" t="s">
        <v>5169</v>
      </c>
      <c r="V1337" t="s">
        <v>5329</v>
      </c>
      <c r="W1337" t="s">
        <v>1014</v>
      </c>
      <c r="X1337" t="s">
        <v>870</v>
      </c>
      <c r="Y1337" t="s">
        <v>856</v>
      </c>
      <c r="Z1337" t="s">
        <v>4542</v>
      </c>
    </row>
    <row r="1338" spans="1:26" x14ac:dyDescent="0.3">
      <c r="A1338" t="s">
        <v>525</v>
      </c>
      <c r="B1338" t="s">
        <v>5330</v>
      </c>
      <c r="C1338" t="s">
        <v>4544</v>
      </c>
      <c r="D1338" t="s">
        <v>4542</v>
      </c>
      <c r="E1338" t="s">
        <v>4543</v>
      </c>
      <c r="F1338" t="s">
        <v>4544</v>
      </c>
      <c r="G1338" s="1">
        <v>45108</v>
      </c>
      <c r="H1338" s="1">
        <v>45121</v>
      </c>
      <c r="I1338" t="s">
        <v>665</v>
      </c>
      <c r="J1338" t="s">
        <v>4545</v>
      </c>
      <c r="K1338" t="s">
        <v>24</v>
      </c>
      <c r="L1338" t="s">
        <v>216</v>
      </c>
      <c r="M1338" t="s">
        <v>1904</v>
      </c>
      <c r="N1338" t="s">
        <v>1905</v>
      </c>
      <c r="O1338" t="s">
        <v>1459</v>
      </c>
      <c r="P1338" t="s">
        <v>1460</v>
      </c>
      <c r="Q1338" t="s">
        <v>4080</v>
      </c>
      <c r="R1338" t="s">
        <v>4081</v>
      </c>
      <c r="S1338" t="s">
        <v>783</v>
      </c>
      <c r="T1338" t="s">
        <v>550</v>
      </c>
      <c r="U1338" t="s">
        <v>5169</v>
      </c>
      <c r="V1338" t="s">
        <v>5331</v>
      </c>
      <c r="W1338" t="s">
        <v>1014</v>
      </c>
      <c r="X1338" t="s">
        <v>870</v>
      </c>
      <c r="Y1338" t="s">
        <v>856</v>
      </c>
      <c r="Z1338" t="s">
        <v>5330</v>
      </c>
    </row>
    <row r="1339" spans="1:26" x14ac:dyDescent="0.3">
      <c r="A1339" t="s">
        <v>525</v>
      </c>
      <c r="B1339" t="s">
        <v>5332</v>
      </c>
      <c r="C1339" t="s">
        <v>5333</v>
      </c>
      <c r="D1339" t="s">
        <v>550</v>
      </c>
      <c r="E1339" t="s">
        <v>1291</v>
      </c>
      <c r="F1339" t="s">
        <v>1292</v>
      </c>
      <c r="G1339" s="1">
        <v>45108</v>
      </c>
      <c r="H1339" s="1">
        <v>45108</v>
      </c>
      <c r="I1339" t="s">
        <v>665</v>
      </c>
      <c r="J1339" t="s">
        <v>1041</v>
      </c>
      <c r="K1339" t="s">
        <v>24</v>
      </c>
      <c r="L1339" t="s">
        <v>216</v>
      </c>
      <c r="M1339" t="s">
        <v>1904</v>
      </c>
      <c r="N1339" t="s">
        <v>1905</v>
      </c>
      <c r="O1339" t="s">
        <v>1459</v>
      </c>
      <c r="P1339" t="s">
        <v>1460</v>
      </c>
      <c r="Q1339" t="s">
        <v>4080</v>
      </c>
      <c r="R1339" t="s">
        <v>4081</v>
      </c>
      <c r="S1339" t="s">
        <v>783</v>
      </c>
      <c r="T1339" t="s">
        <v>550</v>
      </c>
      <c r="U1339" t="s">
        <v>5169</v>
      </c>
      <c r="V1339" t="s">
        <v>5334</v>
      </c>
      <c r="W1339" t="s">
        <v>1014</v>
      </c>
      <c r="X1339" t="s">
        <v>870</v>
      </c>
      <c r="Y1339" t="s">
        <v>856</v>
      </c>
      <c r="Z1339" t="s">
        <v>5332</v>
      </c>
    </row>
    <row r="1340" spans="1:26" x14ac:dyDescent="0.3">
      <c r="A1340" t="s">
        <v>525</v>
      </c>
      <c r="B1340" t="s">
        <v>5335</v>
      </c>
      <c r="C1340" t="s">
        <v>5333</v>
      </c>
      <c r="D1340" t="s">
        <v>5332</v>
      </c>
      <c r="E1340" t="s">
        <v>1291</v>
      </c>
      <c r="F1340" t="s">
        <v>1292</v>
      </c>
      <c r="G1340" s="1">
        <v>45108</v>
      </c>
      <c r="H1340" s="1">
        <v>45146</v>
      </c>
      <c r="I1340" t="s">
        <v>665</v>
      </c>
      <c r="J1340" t="s">
        <v>1041</v>
      </c>
      <c r="K1340" t="s">
        <v>24</v>
      </c>
      <c r="L1340" t="s">
        <v>216</v>
      </c>
      <c r="M1340" t="s">
        <v>1904</v>
      </c>
      <c r="N1340" t="s">
        <v>1905</v>
      </c>
      <c r="O1340" t="s">
        <v>1459</v>
      </c>
      <c r="P1340" t="s">
        <v>1460</v>
      </c>
      <c r="Q1340" t="s">
        <v>4080</v>
      </c>
      <c r="R1340" t="s">
        <v>4081</v>
      </c>
      <c r="S1340" t="s">
        <v>783</v>
      </c>
      <c r="T1340" t="s">
        <v>550</v>
      </c>
      <c r="U1340" t="s">
        <v>5169</v>
      </c>
      <c r="V1340" t="s">
        <v>5336</v>
      </c>
      <c r="W1340" t="s">
        <v>1014</v>
      </c>
      <c r="X1340" t="s">
        <v>870</v>
      </c>
      <c r="Y1340" t="s">
        <v>856</v>
      </c>
      <c r="Z1340" t="s">
        <v>5335</v>
      </c>
    </row>
    <row r="1341" spans="1:26" x14ac:dyDescent="0.3">
      <c r="A1341" t="s">
        <v>525</v>
      </c>
      <c r="B1341" t="s">
        <v>5337</v>
      </c>
      <c r="C1341" t="s">
        <v>5338</v>
      </c>
      <c r="D1341" t="s">
        <v>550</v>
      </c>
      <c r="E1341" t="s">
        <v>1039</v>
      </c>
      <c r="F1341" t="s">
        <v>1040</v>
      </c>
      <c r="G1341" s="1">
        <v>45189</v>
      </c>
      <c r="H1341" s="1">
        <v>45189</v>
      </c>
      <c r="I1341" t="s">
        <v>665</v>
      </c>
      <c r="J1341" t="s">
        <v>3554</v>
      </c>
      <c r="K1341" t="s">
        <v>24</v>
      </c>
      <c r="L1341" t="s">
        <v>863</v>
      </c>
      <c r="M1341" t="s">
        <v>1904</v>
      </c>
      <c r="N1341" t="s">
        <v>1905</v>
      </c>
      <c r="O1341" t="s">
        <v>1459</v>
      </c>
      <c r="P1341" t="s">
        <v>1460</v>
      </c>
      <c r="Q1341" t="s">
        <v>4080</v>
      </c>
      <c r="R1341" t="s">
        <v>4081</v>
      </c>
      <c r="S1341" t="s">
        <v>783</v>
      </c>
      <c r="T1341" t="s">
        <v>550</v>
      </c>
      <c r="U1341" t="s">
        <v>5169</v>
      </c>
      <c r="V1341" t="s">
        <v>5339</v>
      </c>
      <c r="W1341" t="s">
        <v>1014</v>
      </c>
      <c r="X1341" t="s">
        <v>870</v>
      </c>
      <c r="Y1341" t="s">
        <v>856</v>
      </c>
      <c r="Z1341" t="s">
        <v>5337</v>
      </c>
    </row>
    <row r="1342" spans="1:26" x14ac:dyDescent="0.3">
      <c r="A1342" t="s">
        <v>525</v>
      </c>
      <c r="B1342" t="s">
        <v>5340</v>
      </c>
      <c r="C1342" t="s">
        <v>5338</v>
      </c>
      <c r="D1342" t="s">
        <v>5337</v>
      </c>
      <c r="E1342" t="s">
        <v>1039</v>
      </c>
      <c r="F1342" t="s">
        <v>1040</v>
      </c>
      <c r="G1342" s="1">
        <v>45189</v>
      </c>
      <c r="H1342" s="1">
        <v>45210</v>
      </c>
      <c r="I1342" t="s">
        <v>665</v>
      </c>
      <c r="J1342" t="s">
        <v>3554</v>
      </c>
      <c r="K1342" t="s">
        <v>24</v>
      </c>
      <c r="L1342" t="s">
        <v>863</v>
      </c>
      <c r="M1342" t="s">
        <v>1904</v>
      </c>
      <c r="N1342" t="s">
        <v>1905</v>
      </c>
      <c r="O1342" t="s">
        <v>1459</v>
      </c>
      <c r="P1342" t="s">
        <v>1460</v>
      </c>
      <c r="Q1342" t="s">
        <v>4080</v>
      </c>
      <c r="R1342" t="s">
        <v>4081</v>
      </c>
      <c r="S1342" t="s">
        <v>783</v>
      </c>
      <c r="T1342" t="s">
        <v>550</v>
      </c>
      <c r="U1342" t="s">
        <v>5169</v>
      </c>
      <c r="V1342" t="s">
        <v>5341</v>
      </c>
      <c r="W1342" t="s">
        <v>1014</v>
      </c>
      <c r="X1342" t="s">
        <v>870</v>
      </c>
      <c r="Y1342" t="s">
        <v>856</v>
      </c>
      <c r="Z1342" t="s">
        <v>5340</v>
      </c>
    </row>
    <row r="1343" spans="1:26" x14ac:dyDescent="0.3">
      <c r="A1343" t="s">
        <v>525</v>
      </c>
      <c r="B1343" t="s">
        <v>5342</v>
      </c>
      <c r="C1343" t="s">
        <v>5217</v>
      </c>
      <c r="D1343" t="s">
        <v>4769</v>
      </c>
      <c r="E1343" t="s">
        <v>1896</v>
      </c>
      <c r="F1343" t="s">
        <v>1897</v>
      </c>
      <c r="G1343" s="1">
        <v>44992</v>
      </c>
      <c r="H1343" s="1">
        <v>45010</v>
      </c>
      <c r="I1343" t="s">
        <v>665</v>
      </c>
      <c r="J1343" t="s">
        <v>4770</v>
      </c>
      <c r="K1343" t="s">
        <v>862</v>
      </c>
      <c r="L1343" t="s">
        <v>216</v>
      </c>
      <c r="M1343" t="s">
        <v>1899</v>
      </c>
      <c r="N1343" t="s">
        <v>245</v>
      </c>
      <c r="O1343" t="s">
        <v>1459</v>
      </c>
      <c r="P1343" t="s">
        <v>1460</v>
      </c>
      <c r="Q1343" t="s">
        <v>4080</v>
      </c>
      <c r="R1343" t="s">
        <v>4081</v>
      </c>
      <c r="S1343" t="s">
        <v>783</v>
      </c>
      <c r="T1343" t="s">
        <v>550</v>
      </c>
      <c r="U1343" t="s">
        <v>1900</v>
      </c>
      <c r="V1343" t="s">
        <v>5343</v>
      </c>
      <c r="W1343" t="s">
        <v>869</v>
      </c>
      <c r="X1343" t="s">
        <v>870</v>
      </c>
      <c r="Y1343" t="s">
        <v>847</v>
      </c>
      <c r="Z1343" t="s">
        <v>5342</v>
      </c>
    </row>
    <row r="1344" spans="1:26" x14ac:dyDescent="0.3">
      <c r="A1344" t="s">
        <v>525</v>
      </c>
      <c r="B1344" t="s">
        <v>5344</v>
      </c>
      <c r="C1344" t="s">
        <v>5228</v>
      </c>
      <c r="D1344" t="s">
        <v>4778</v>
      </c>
      <c r="E1344" t="s">
        <v>1896</v>
      </c>
      <c r="F1344" t="s">
        <v>1897</v>
      </c>
      <c r="G1344" s="1">
        <v>45108</v>
      </c>
      <c r="H1344" s="1">
        <v>45139</v>
      </c>
      <c r="I1344" t="s">
        <v>665</v>
      </c>
      <c r="J1344" t="s">
        <v>4770</v>
      </c>
      <c r="K1344" t="s">
        <v>862</v>
      </c>
      <c r="L1344" t="s">
        <v>216</v>
      </c>
      <c r="M1344" t="s">
        <v>1899</v>
      </c>
      <c r="N1344" t="s">
        <v>245</v>
      </c>
      <c r="O1344" t="s">
        <v>1459</v>
      </c>
      <c r="P1344" t="s">
        <v>1460</v>
      </c>
      <c r="Q1344" t="s">
        <v>4080</v>
      </c>
      <c r="R1344" t="s">
        <v>4081</v>
      </c>
      <c r="S1344" t="s">
        <v>783</v>
      </c>
      <c r="T1344" t="s">
        <v>550</v>
      </c>
      <c r="U1344" t="s">
        <v>1900</v>
      </c>
      <c r="V1344" t="s">
        <v>5345</v>
      </c>
      <c r="W1344" t="s">
        <v>869</v>
      </c>
      <c r="X1344" t="s">
        <v>870</v>
      </c>
      <c r="Y1344" t="s">
        <v>847</v>
      </c>
      <c r="Z1344" t="s">
        <v>5344</v>
      </c>
    </row>
    <row r="1345" spans="1:26" x14ac:dyDescent="0.3">
      <c r="A1345" t="s">
        <v>525</v>
      </c>
      <c r="B1345" t="s">
        <v>5346</v>
      </c>
      <c r="C1345" t="s">
        <v>5347</v>
      </c>
      <c r="D1345" t="s">
        <v>5211</v>
      </c>
      <c r="E1345" t="s">
        <v>1896</v>
      </c>
      <c r="F1345" t="s">
        <v>1897</v>
      </c>
      <c r="G1345" s="1">
        <v>44927</v>
      </c>
      <c r="H1345" s="1">
        <v>44937</v>
      </c>
      <c r="I1345" t="s">
        <v>665</v>
      </c>
      <c r="J1345" t="s">
        <v>4770</v>
      </c>
      <c r="K1345" t="s">
        <v>862</v>
      </c>
      <c r="L1345" t="s">
        <v>216</v>
      </c>
      <c r="M1345" t="s">
        <v>1899</v>
      </c>
      <c r="N1345" t="s">
        <v>245</v>
      </c>
      <c r="O1345" t="s">
        <v>1459</v>
      </c>
      <c r="P1345" t="s">
        <v>1460</v>
      </c>
      <c r="Q1345" t="s">
        <v>4080</v>
      </c>
      <c r="R1345" t="s">
        <v>4081</v>
      </c>
      <c r="S1345" t="s">
        <v>783</v>
      </c>
      <c r="T1345" t="s">
        <v>550</v>
      </c>
      <c r="U1345" t="s">
        <v>1900</v>
      </c>
      <c r="V1345" t="s">
        <v>5348</v>
      </c>
      <c r="W1345" t="s">
        <v>869</v>
      </c>
      <c r="X1345" t="s">
        <v>870</v>
      </c>
      <c r="Y1345" t="s">
        <v>847</v>
      </c>
      <c r="Z1345" t="s">
        <v>5346</v>
      </c>
    </row>
    <row r="1346" spans="1:26" x14ac:dyDescent="0.3">
      <c r="A1346" t="s">
        <v>525</v>
      </c>
      <c r="B1346" t="s">
        <v>5349</v>
      </c>
      <c r="C1346" t="s">
        <v>5350</v>
      </c>
      <c r="D1346" t="s">
        <v>1972</v>
      </c>
      <c r="E1346" t="s">
        <v>1896</v>
      </c>
      <c r="F1346" t="s">
        <v>1897</v>
      </c>
      <c r="G1346" s="1">
        <v>44927</v>
      </c>
      <c r="H1346" s="1">
        <v>44938</v>
      </c>
      <c r="I1346" t="s">
        <v>665</v>
      </c>
      <c r="J1346" t="s">
        <v>1898</v>
      </c>
      <c r="K1346" t="s">
        <v>862</v>
      </c>
      <c r="L1346" t="s">
        <v>216</v>
      </c>
      <c r="M1346" t="s">
        <v>1899</v>
      </c>
      <c r="N1346" t="s">
        <v>245</v>
      </c>
      <c r="O1346" t="s">
        <v>1459</v>
      </c>
      <c r="P1346" t="s">
        <v>1460</v>
      </c>
      <c r="Q1346" t="s">
        <v>4080</v>
      </c>
      <c r="R1346" t="s">
        <v>4081</v>
      </c>
      <c r="S1346" t="s">
        <v>783</v>
      </c>
      <c r="T1346" t="s">
        <v>550</v>
      </c>
      <c r="U1346" t="s">
        <v>1900</v>
      </c>
      <c r="V1346" t="s">
        <v>5351</v>
      </c>
      <c r="W1346" t="s">
        <v>869</v>
      </c>
      <c r="X1346" t="s">
        <v>870</v>
      </c>
      <c r="Y1346" t="s">
        <v>847</v>
      </c>
      <c r="Z1346" t="s">
        <v>5349</v>
      </c>
    </row>
    <row r="1347" spans="1:26" x14ac:dyDescent="0.3">
      <c r="A1347" t="s">
        <v>525</v>
      </c>
      <c r="B1347" t="s">
        <v>4566</v>
      </c>
      <c r="C1347" t="s">
        <v>5352</v>
      </c>
      <c r="D1347" t="s">
        <v>550</v>
      </c>
      <c r="E1347" t="s">
        <v>982</v>
      </c>
      <c r="F1347" t="s">
        <v>983</v>
      </c>
      <c r="G1347" s="1">
        <v>45293</v>
      </c>
      <c r="H1347" s="1">
        <v>45657</v>
      </c>
      <c r="I1347" t="s">
        <v>780</v>
      </c>
      <c r="J1347" t="s">
        <v>666</v>
      </c>
      <c r="K1347" t="s">
        <v>24</v>
      </c>
      <c r="L1347" t="s">
        <v>216</v>
      </c>
      <c r="M1347" t="s">
        <v>1222</v>
      </c>
      <c r="N1347" t="s">
        <v>231</v>
      </c>
      <c r="O1347" t="s">
        <v>1459</v>
      </c>
      <c r="P1347" t="s">
        <v>1460</v>
      </c>
      <c r="Q1347" t="s">
        <v>4080</v>
      </c>
      <c r="R1347" t="s">
        <v>4081</v>
      </c>
      <c r="S1347" t="s">
        <v>783</v>
      </c>
      <c r="T1347" t="s">
        <v>550</v>
      </c>
      <c r="U1347" t="s">
        <v>550</v>
      </c>
      <c r="V1347" t="s">
        <v>5353</v>
      </c>
      <c r="W1347" t="s">
        <v>565</v>
      </c>
      <c r="X1347" t="s">
        <v>263</v>
      </c>
      <c r="Z1347" t="s">
        <v>4566</v>
      </c>
    </row>
    <row r="1348" spans="1:26" x14ac:dyDescent="0.3">
      <c r="A1348" t="s">
        <v>525</v>
      </c>
      <c r="B1348" t="s">
        <v>4774</v>
      </c>
      <c r="C1348" t="s">
        <v>5354</v>
      </c>
      <c r="D1348" t="s">
        <v>550</v>
      </c>
      <c r="E1348" t="s">
        <v>1896</v>
      </c>
      <c r="F1348" t="s">
        <v>1897</v>
      </c>
      <c r="G1348" s="1">
        <v>45078</v>
      </c>
      <c r="H1348" s="1">
        <v>45078</v>
      </c>
      <c r="I1348" t="s">
        <v>780</v>
      </c>
      <c r="J1348" t="s">
        <v>4770</v>
      </c>
      <c r="K1348" t="s">
        <v>862</v>
      </c>
      <c r="L1348" t="s">
        <v>216</v>
      </c>
      <c r="M1348" t="s">
        <v>2396</v>
      </c>
      <c r="N1348" t="s">
        <v>308</v>
      </c>
      <c r="O1348" t="s">
        <v>1459</v>
      </c>
      <c r="P1348" t="s">
        <v>1460</v>
      </c>
      <c r="Q1348" t="s">
        <v>4080</v>
      </c>
      <c r="R1348" t="s">
        <v>4081</v>
      </c>
      <c r="S1348" t="s">
        <v>783</v>
      </c>
      <c r="T1348" t="s">
        <v>550</v>
      </c>
      <c r="U1348" t="s">
        <v>1900</v>
      </c>
      <c r="V1348" t="s">
        <v>5355</v>
      </c>
      <c r="W1348" t="s">
        <v>869</v>
      </c>
      <c r="X1348" t="s">
        <v>870</v>
      </c>
      <c r="Y1348" t="s">
        <v>847</v>
      </c>
      <c r="Z1348" t="s">
        <v>4774</v>
      </c>
    </row>
    <row r="1349" spans="1:26" x14ac:dyDescent="0.3">
      <c r="A1349" t="s">
        <v>525</v>
      </c>
      <c r="B1349" t="s">
        <v>5356</v>
      </c>
      <c r="C1349" t="s">
        <v>5354</v>
      </c>
      <c r="D1349" t="s">
        <v>4774</v>
      </c>
      <c r="E1349" t="s">
        <v>1896</v>
      </c>
      <c r="F1349" t="s">
        <v>1897</v>
      </c>
      <c r="G1349" s="1">
        <v>45082</v>
      </c>
      <c r="H1349" s="1">
        <v>45096</v>
      </c>
      <c r="I1349" t="s">
        <v>665</v>
      </c>
      <c r="J1349" t="s">
        <v>4770</v>
      </c>
      <c r="K1349" t="s">
        <v>862</v>
      </c>
      <c r="L1349" t="s">
        <v>216</v>
      </c>
      <c r="M1349" t="s">
        <v>2396</v>
      </c>
      <c r="N1349" t="s">
        <v>308</v>
      </c>
      <c r="O1349" t="s">
        <v>1459</v>
      </c>
      <c r="P1349" t="s">
        <v>1460</v>
      </c>
      <c r="Q1349" t="s">
        <v>4080</v>
      </c>
      <c r="R1349" t="s">
        <v>4081</v>
      </c>
      <c r="S1349" t="s">
        <v>783</v>
      </c>
      <c r="T1349" t="s">
        <v>550</v>
      </c>
      <c r="U1349" t="s">
        <v>1900</v>
      </c>
      <c r="V1349" t="s">
        <v>5357</v>
      </c>
      <c r="W1349" t="s">
        <v>869</v>
      </c>
      <c r="X1349" t="s">
        <v>870</v>
      </c>
      <c r="Y1349" t="s">
        <v>847</v>
      </c>
      <c r="Z1349" t="s">
        <v>5356</v>
      </c>
    </row>
    <row r="1350" spans="1:26" x14ac:dyDescent="0.3">
      <c r="A1350" t="s">
        <v>525</v>
      </c>
      <c r="B1350" t="s">
        <v>4691</v>
      </c>
      <c r="C1350" t="s">
        <v>5358</v>
      </c>
      <c r="D1350" t="s">
        <v>550</v>
      </c>
      <c r="E1350" t="s">
        <v>664</v>
      </c>
      <c r="F1350" t="s">
        <v>27</v>
      </c>
      <c r="G1350" s="1">
        <v>44562</v>
      </c>
      <c r="H1350" s="1">
        <v>44562</v>
      </c>
      <c r="I1350" t="s">
        <v>665</v>
      </c>
      <c r="J1350" t="s">
        <v>666</v>
      </c>
      <c r="K1350" t="s">
        <v>24</v>
      </c>
      <c r="L1350" t="s">
        <v>667</v>
      </c>
      <c r="M1350" t="s">
        <v>5359</v>
      </c>
      <c r="N1350" t="s">
        <v>5360</v>
      </c>
      <c r="O1350" t="s">
        <v>985</v>
      </c>
      <c r="P1350" t="s">
        <v>986</v>
      </c>
      <c r="Q1350" t="s">
        <v>4080</v>
      </c>
      <c r="R1350" t="s">
        <v>4081</v>
      </c>
      <c r="S1350" t="s">
        <v>783</v>
      </c>
      <c r="T1350" t="s">
        <v>550</v>
      </c>
      <c r="U1350" t="s">
        <v>550</v>
      </c>
      <c r="V1350" t="s">
        <v>5361</v>
      </c>
      <c r="W1350" t="s">
        <v>988</v>
      </c>
      <c r="X1350" t="s">
        <v>669</v>
      </c>
      <c r="Y1350" t="s">
        <v>803</v>
      </c>
      <c r="Z1350" t="s">
        <v>4691</v>
      </c>
    </row>
    <row r="1351" spans="1:26" x14ac:dyDescent="0.3">
      <c r="A1351" t="s">
        <v>525</v>
      </c>
      <c r="B1351" t="s">
        <v>5362</v>
      </c>
      <c r="C1351" t="s">
        <v>5363</v>
      </c>
      <c r="D1351" t="s">
        <v>4568</v>
      </c>
      <c r="E1351" t="s">
        <v>664</v>
      </c>
      <c r="F1351" t="s">
        <v>27</v>
      </c>
      <c r="G1351" s="1">
        <v>45292</v>
      </c>
      <c r="H1351" s="1">
        <v>45327</v>
      </c>
      <c r="I1351" t="s">
        <v>665</v>
      </c>
      <c r="J1351" t="s">
        <v>666</v>
      </c>
      <c r="K1351" t="s">
        <v>24</v>
      </c>
      <c r="L1351" t="s">
        <v>217</v>
      </c>
      <c r="M1351" t="s">
        <v>797</v>
      </c>
      <c r="N1351" t="s">
        <v>313</v>
      </c>
      <c r="O1351" t="s">
        <v>3819</v>
      </c>
      <c r="P1351" t="s">
        <v>250</v>
      </c>
      <c r="Q1351" t="s">
        <v>4080</v>
      </c>
      <c r="R1351" t="s">
        <v>4081</v>
      </c>
      <c r="S1351" t="s">
        <v>550</v>
      </c>
      <c r="T1351" t="s">
        <v>550</v>
      </c>
      <c r="U1351" t="s">
        <v>550</v>
      </c>
      <c r="V1351" t="s">
        <v>5364</v>
      </c>
      <c r="W1351" t="s">
        <v>835</v>
      </c>
      <c r="Z1351" t="s">
        <v>5362</v>
      </c>
    </row>
    <row r="1352" spans="1:26" x14ac:dyDescent="0.3">
      <c r="A1352" t="s">
        <v>525</v>
      </c>
      <c r="B1352" t="s">
        <v>5365</v>
      </c>
      <c r="C1352" t="s">
        <v>5366</v>
      </c>
      <c r="D1352" t="s">
        <v>4568</v>
      </c>
      <c r="E1352" t="s">
        <v>664</v>
      </c>
      <c r="F1352" t="s">
        <v>27</v>
      </c>
      <c r="G1352" s="1">
        <v>45658</v>
      </c>
      <c r="H1352" s="1">
        <v>45660</v>
      </c>
      <c r="I1352" t="s">
        <v>665</v>
      </c>
      <c r="J1352" t="s">
        <v>666</v>
      </c>
      <c r="K1352" t="s">
        <v>24</v>
      </c>
      <c r="L1352" t="s">
        <v>217</v>
      </c>
      <c r="M1352" t="s">
        <v>797</v>
      </c>
      <c r="N1352" t="s">
        <v>313</v>
      </c>
      <c r="O1352" t="s">
        <v>3819</v>
      </c>
      <c r="P1352" t="s">
        <v>250</v>
      </c>
      <c r="Q1352" t="s">
        <v>4080</v>
      </c>
      <c r="R1352" t="s">
        <v>4081</v>
      </c>
      <c r="S1352" t="s">
        <v>783</v>
      </c>
      <c r="T1352" t="s">
        <v>550</v>
      </c>
      <c r="U1352" t="s">
        <v>550</v>
      </c>
      <c r="V1352" t="s">
        <v>5367</v>
      </c>
      <c r="W1352" t="s">
        <v>835</v>
      </c>
      <c r="Z1352" t="s">
        <v>5365</v>
      </c>
    </row>
    <row r="1353" spans="1:26" x14ac:dyDescent="0.3">
      <c r="A1353" t="s">
        <v>525</v>
      </c>
      <c r="B1353" t="s">
        <v>5368</v>
      </c>
      <c r="C1353" t="s">
        <v>5369</v>
      </c>
      <c r="D1353" t="s">
        <v>2286</v>
      </c>
      <c r="E1353" t="s">
        <v>2287</v>
      </c>
      <c r="F1353" t="s">
        <v>2288</v>
      </c>
      <c r="G1353" s="1">
        <v>44927</v>
      </c>
      <c r="H1353" s="1">
        <v>45250</v>
      </c>
      <c r="I1353" t="s">
        <v>665</v>
      </c>
      <c r="J1353" t="s">
        <v>2289</v>
      </c>
      <c r="K1353" t="s">
        <v>958</v>
      </c>
      <c r="L1353" t="s">
        <v>216</v>
      </c>
      <c r="M1353" t="s">
        <v>1459</v>
      </c>
      <c r="N1353" t="s">
        <v>1460</v>
      </c>
      <c r="O1353" t="s">
        <v>1459</v>
      </c>
      <c r="P1353" t="s">
        <v>1460</v>
      </c>
      <c r="Q1353" t="s">
        <v>4080</v>
      </c>
      <c r="R1353" t="s">
        <v>4081</v>
      </c>
      <c r="S1353" t="s">
        <v>783</v>
      </c>
      <c r="T1353" t="s">
        <v>550</v>
      </c>
      <c r="U1353" t="s">
        <v>5169</v>
      </c>
      <c r="V1353" t="s">
        <v>5370</v>
      </c>
      <c r="W1353" t="s">
        <v>5263</v>
      </c>
      <c r="X1353" t="s">
        <v>263</v>
      </c>
      <c r="Z1353" t="s">
        <v>5368</v>
      </c>
    </row>
    <row r="1354" spans="1:26" x14ac:dyDescent="0.3">
      <c r="A1354" t="s">
        <v>525</v>
      </c>
      <c r="B1354" t="s">
        <v>5371</v>
      </c>
      <c r="C1354" t="s">
        <v>5372</v>
      </c>
      <c r="D1354" t="s">
        <v>550</v>
      </c>
      <c r="E1354" t="s">
        <v>664</v>
      </c>
      <c r="F1354" t="s">
        <v>27</v>
      </c>
      <c r="G1354" s="1">
        <v>43467</v>
      </c>
      <c r="H1354" s="1">
        <v>43830</v>
      </c>
      <c r="I1354" t="s">
        <v>665</v>
      </c>
      <c r="J1354" t="s">
        <v>666</v>
      </c>
      <c r="K1354" t="s">
        <v>24</v>
      </c>
      <c r="L1354" t="s">
        <v>1010</v>
      </c>
      <c r="M1354" t="s">
        <v>3819</v>
      </c>
      <c r="N1354" t="s">
        <v>250</v>
      </c>
      <c r="O1354" t="s">
        <v>3819</v>
      </c>
      <c r="P1354" t="s">
        <v>250</v>
      </c>
      <c r="Q1354" t="s">
        <v>5373</v>
      </c>
      <c r="R1354" t="s">
        <v>5374</v>
      </c>
      <c r="S1354" t="s">
        <v>550</v>
      </c>
      <c r="T1354" t="s">
        <v>550</v>
      </c>
      <c r="U1354" t="s">
        <v>550</v>
      </c>
      <c r="V1354" t="s">
        <v>5375</v>
      </c>
      <c r="W1354" t="s">
        <v>565</v>
      </c>
      <c r="X1354" t="s">
        <v>669</v>
      </c>
      <c r="Y1354" t="s">
        <v>856</v>
      </c>
      <c r="Z1354" t="s">
        <v>5371</v>
      </c>
    </row>
    <row r="1355" spans="1:26" x14ac:dyDescent="0.3">
      <c r="A1355" t="s">
        <v>525</v>
      </c>
      <c r="B1355" t="s">
        <v>5376</v>
      </c>
      <c r="C1355" t="s">
        <v>5377</v>
      </c>
      <c r="D1355" t="s">
        <v>550</v>
      </c>
      <c r="E1355" t="s">
        <v>664</v>
      </c>
      <c r="F1355" t="s">
        <v>27</v>
      </c>
      <c r="G1355" s="1">
        <v>43467</v>
      </c>
      <c r="H1355" s="1">
        <v>43830</v>
      </c>
      <c r="I1355" t="s">
        <v>665</v>
      </c>
      <c r="J1355" t="s">
        <v>666</v>
      </c>
      <c r="K1355" t="s">
        <v>958</v>
      </c>
      <c r="L1355" t="s">
        <v>863</v>
      </c>
      <c r="M1355" t="s">
        <v>1369</v>
      </c>
      <c r="N1355" t="s">
        <v>1370</v>
      </c>
      <c r="O1355" t="s">
        <v>1459</v>
      </c>
      <c r="P1355" t="s">
        <v>1460</v>
      </c>
      <c r="Q1355" t="s">
        <v>5373</v>
      </c>
      <c r="R1355" t="s">
        <v>5374</v>
      </c>
      <c r="S1355" t="s">
        <v>550</v>
      </c>
      <c r="T1355" t="s">
        <v>550</v>
      </c>
      <c r="U1355" t="s">
        <v>550</v>
      </c>
      <c r="V1355" t="s">
        <v>5378</v>
      </c>
      <c r="W1355" t="s">
        <v>1014</v>
      </c>
      <c r="X1355" t="s">
        <v>870</v>
      </c>
      <c r="Y1355" t="s">
        <v>799</v>
      </c>
      <c r="Z1355" t="s">
        <v>5376</v>
      </c>
    </row>
    <row r="1356" spans="1:26" x14ac:dyDescent="0.3">
      <c r="A1356" t="s">
        <v>525</v>
      </c>
      <c r="B1356" t="s">
        <v>5379</v>
      </c>
      <c r="C1356" t="s">
        <v>5380</v>
      </c>
      <c r="D1356" t="s">
        <v>1297</v>
      </c>
      <c r="E1356" t="s">
        <v>1298</v>
      </c>
      <c r="F1356" t="s">
        <v>1299</v>
      </c>
      <c r="G1356" s="1">
        <v>43831</v>
      </c>
      <c r="H1356" s="1">
        <v>43847</v>
      </c>
      <c r="I1356" t="s">
        <v>665</v>
      </c>
      <c r="J1356" t="s">
        <v>1300</v>
      </c>
      <c r="K1356" t="s">
        <v>958</v>
      </c>
      <c r="L1356" t="s">
        <v>216</v>
      </c>
      <c r="M1356" t="s">
        <v>1030</v>
      </c>
      <c r="N1356" t="s">
        <v>255</v>
      </c>
      <c r="O1356" t="s">
        <v>1301</v>
      </c>
      <c r="P1356" t="s">
        <v>1302</v>
      </c>
      <c r="Q1356" t="s">
        <v>5373</v>
      </c>
      <c r="R1356" t="s">
        <v>5374</v>
      </c>
      <c r="S1356" t="s">
        <v>550</v>
      </c>
      <c r="T1356" t="s">
        <v>550</v>
      </c>
      <c r="U1356" t="s">
        <v>550</v>
      </c>
      <c r="V1356" t="s">
        <v>5381</v>
      </c>
      <c r="W1356" t="s">
        <v>613</v>
      </c>
      <c r="X1356" t="s">
        <v>74</v>
      </c>
      <c r="Y1356" t="s">
        <v>803</v>
      </c>
      <c r="Z1356" t="s">
        <v>5379</v>
      </c>
    </row>
    <row r="1357" spans="1:26" x14ac:dyDescent="0.3">
      <c r="A1357" t="s">
        <v>525</v>
      </c>
      <c r="B1357" t="s">
        <v>5382</v>
      </c>
      <c r="C1357" t="s">
        <v>5383</v>
      </c>
      <c r="D1357" t="s">
        <v>1812</v>
      </c>
      <c r="E1357" t="s">
        <v>1813</v>
      </c>
      <c r="F1357" t="s">
        <v>1339</v>
      </c>
      <c r="G1357" s="1">
        <v>43467</v>
      </c>
      <c r="H1357" s="1">
        <v>43501</v>
      </c>
      <c r="I1357" t="s">
        <v>665</v>
      </c>
      <c r="J1357" t="s">
        <v>1814</v>
      </c>
      <c r="K1357" t="s">
        <v>958</v>
      </c>
      <c r="L1357" t="s">
        <v>216</v>
      </c>
      <c r="M1357" t="s">
        <v>1293</v>
      </c>
      <c r="N1357" t="s">
        <v>256</v>
      </c>
      <c r="O1357" t="s">
        <v>1301</v>
      </c>
      <c r="P1357" t="s">
        <v>1302</v>
      </c>
      <c r="Q1357" t="s">
        <v>5373</v>
      </c>
      <c r="R1357" t="s">
        <v>5374</v>
      </c>
      <c r="S1357" t="s">
        <v>550</v>
      </c>
      <c r="T1357" t="s">
        <v>550</v>
      </c>
      <c r="U1357" t="s">
        <v>162</v>
      </c>
      <c r="V1357" t="s">
        <v>5384</v>
      </c>
      <c r="W1357" t="s">
        <v>613</v>
      </c>
      <c r="X1357" t="s">
        <v>74</v>
      </c>
      <c r="Y1357" t="s">
        <v>803</v>
      </c>
      <c r="Z1357" t="s">
        <v>5382</v>
      </c>
    </row>
    <row r="1358" spans="1:26" x14ac:dyDescent="0.3">
      <c r="A1358" t="s">
        <v>525</v>
      </c>
      <c r="B1358" t="s">
        <v>5385</v>
      </c>
      <c r="C1358" t="s">
        <v>5386</v>
      </c>
      <c r="D1358" t="s">
        <v>550</v>
      </c>
      <c r="E1358" t="s">
        <v>859</v>
      </c>
      <c r="F1358" t="s">
        <v>860</v>
      </c>
      <c r="G1358" s="1">
        <v>43467</v>
      </c>
      <c r="H1358" s="1">
        <v>43830</v>
      </c>
      <c r="I1358" t="s">
        <v>665</v>
      </c>
      <c r="J1358" t="s">
        <v>861</v>
      </c>
      <c r="K1358" t="s">
        <v>862</v>
      </c>
      <c r="L1358" t="s">
        <v>863</v>
      </c>
      <c r="M1358" t="s">
        <v>864</v>
      </c>
      <c r="N1358" t="s">
        <v>865</v>
      </c>
      <c r="O1358" t="s">
        <v>1369</v>
      </c>
      <c r="P1358" t="s">
        <v>1370</v>
      </c>
      <c r="Q1358" t="s">
        <v>5373</v>
      </c>
      <c r="R1358" t="s">
        <v>5374</v>
      </c>
      <c r="S1358" t="s">
        <v>550</v>
      </c>
      <c r="T1358" t="s">
        <v>550</v>
      </c>
      <c r="U1358" t="s">
        <v>550</v>
      </c>
      <c r="V1358" t="s">
        <v>5387</v>
      </c>
      <c r="W1358" t="s">
        <v>869</v>
      </c>
      <c r="X1358" t="s">
        <v>870</v>
      </c>
      <c r="Y1358" t="s">
        <v>847</v>
      </c>
      <c r="Z1358" t="s">
        <v>5385</v>
      </c>
    </row>
    <row r="1359" spans="1:26" x14ac:dyDescent="0.3">
      <c r="A1359" t="s">
        <v>525</v>
      </c>
      <c r="B1359" t="s">
        <v>5388</v>
      </c>
      <c r="C1359" t="s">
        <v>5389</v>
      </c>
      <c r="D1359" t="s">
        <v>550</v>
      </c>
      <c r="E1359" t="s">
        <v>859</v>
      </c>
      <c r="F1359" t="s">
        <v>860</v>
      </c>
      <c r="G1359" s="1">
        <v>43467</v>
      </c>
      <c r="H1359" s="1">
        <v>43830</v>
      </c>
      <c r="I1359" t="s">
        <v>665</v>
      </c>
      <c r="J1359" t="s">
        <v>861</v>
      </c>
      <c r="K1359" t="s">
        <v>862</v>
      </c>
      <c r="L1359" t="s">
        <v>863</v>
      </c>
      <c r="M1359" t="s">
        <v>864</v>
      </c>
      <c r="N1359" t="s">
        <v>865</v>
      </c>
      <c r="O1359" t="s">
        <v>1369</v>
      </c>
      <c r="P1359" t="s">
        <v>1370</v>
      </c>
      <c r="Q1359" t="s">
        <v>5373</v>
      </c>
      <c r="R1359" t="s">
        <v>5374</v>
      </c>
      <c r="S1359" t="s">
        <v>550</v>
      </c>
      <c r="T1359" t="s">
        <v>550</v>
      </c>
      <c r="U1359" t="s">
        <v>550</v>
      </c>
      <c r="V1359" t="s">
        <v>5390</v>
      </c>
      <c r="W1359" t="s">
        <v>869</v>
      </c>
      <c r="X1359" t="s">
        <v>870</v>
      </c>
      <c r="Y1359" t="s">
        <v>847</v>
      </c>
      <c r="Z1359" t="s">
        <v>5388</v>
      </c>
    </row>
    <row r="1360" spans="1:26" x14ac:dyDescent="0.3">
      <c r="A1360" t="s">
        <v>525</v>
      </c>
      <c r="B1360" t="s">
        <v>5391</v>
      </c>
      <c r="C1360" t="s">
        <v>5392</v>
      </c>
      <c r="D1360" t="s">
        <v>550</v>
      </c>
      <c r="E1360" t="s">
        <v>2140</v>
      </c>
      <c r="F1360" t="s">
        <v>2141</v>
      </c>
      <c r="G1360" s="1">
        <v>43467</v>
      </c>
      <c r="H1360" s="1">
        <v>43830</v>
      </c>
      <c r="I1360" t="s">
        <v>665</v>
      </c>
      <c r="J1360" t="s">
        <v>2142</v>
      </c>
      <c r="K1360" t="s">
        <v>808</v>
      </c>
      <c r="L1360" t="s">
        <v>863</v>
      </c>
      <c r="M1360" t="s">
        <v>864</v>
      </c>
      <c r="N1360" t="s">
        <v>865</v>
      </c>
      <c r="O1360" t="s">
        <v>1369</v>
      </c>
      <c r="P1360" t="s">
        <v>1370</v>
      </c>
      <c r="Q1360" t="s">
        <v>5373</v>
      </c>
      <c r="R1360" t="s">
        <v>5374</v>
      </c>
      <c r="S1360" t="s">
        <v>550</v>
      </c>
      <c r="T1360" t="s">
        <v>550</v>
      </c>
      <c r="U1360" t="s">
        <v>550</v>
      </c>
      <c r="V1360" t="s">
        <v>5393</v>
      </c>
      <c r="W1360" t="s">
        <v>869</v>
      </c>
      <c r="X1360" t="s">
        <v>870</v>
      </c>
      <c r="Y1360" t="s">
        <v>847</v>
      </c>
      <c r="Z1360" t="s">
        <v>5391</v>
      </c>
    </row>
    <row r="1361" spans="1:26" x14ac:dyDescent="0.3">
      <c r="A1361" t="s">
        <v>525</v>
      </c>
      <c r="B1361" t="s">
        <v>5394</v>
      </c>
      <c r="C1361" t="s">
        <v>5395</v>
      </c>
      <c r="D1361" t="s">
        <v>550</v>
      </c>
      <c r="E1361" t="s">
        <v>664</v>
      </c>
      <c r="F1361" t="s">
        <v>27</v>
      </c>
      <c r="G1361" s="1">
        <v>43467</v>
      </c>
      <c r="H1361" s="1">
        <v>43467</v>
      </c>
      <c r="I1361" t="s">
        <v>665</v>
      </c>
      <c r="J1361" t="s">
        <v>666</v>
      </c>
      <c r="K1361" t="s">
        <v>958</v>
      </c>
      <c r="L1361" t="s">
        <v>863</v>
      </c>
      <c r="M1361" t="s">
        <v>1377</v>
      </c>
      <c r="N1361" t="s">
        <v>1378</v>
      </c>
      <c r="O1361" t="s">
        <v>1369</v>
      </c>
      <c r="P1361" t="s">
        <v>1370</v>
      </c>
      <c r="Q1361" t="s">
        <v>5373</v>
      </c>
      <c r="R1361" t="s">
        <v>5374</v>
      </c>
      <c r="S1361" t="s">
        <v>550</v>
      </c>
      <c r="T1361" t="s">
        <v>550</v>
      </c>
      <c r="U1361" t="s">
        <v>550</v>
      </c>
      <c r="V1361" t="s">
        <v>5396</v>
      </c>
      <c r="W1361" t="s">
        <v>869</v>
      </c>
      <c r="X1361" t="s">
        <v>870</v>
      </c>
      <c r="Y1361" t="s">
        <v>847</v>
      </c>
      <c r="Z1361" t="s">
        <v>5394</v>
      </c>
    </row>
    <row r="1362" spans="1:26" x14ac:dyDescent="0.3">
      <c r="A1362" t="s">
        <v>525</v>
      </c>
      <c r="B1362" t="s">
        <v>5397</v>
      </c>
      <c r="C1362" t="s">
        <v>5398</v>
      </c>
      <c r="D1362" t="s">
        <v>5394</v>
      </c>
      <c r="E1362" t="s">
        <v>5399</v>
      </c>
      <c r="F1362" t="s">
        <v>5400</v>
      </c>
      <c r="G1362" s="1">
        <v>43467</v>
      </c>
      <c r="H1362" s="1">
        <v>43469</v>
      </c>
      <c r="I1362" t="s">
        <v>665</v>
      </c>
      <c r="J1362" t="s">
        <v>5401</v>
      </c>
      <c r="K1362" t="s">
        <v>958</v>
      </c>
      <c r="L1362" t="s">
        <v>863</v>
      </c>
      <c r="M1362" t="s">
        <v>1377</v>
      </c>
      <c r="N1362" t="s">
        <v>1378</v>
      </c>
      <c r="O1362" t="s">
        <v>1369</v>
      </c>
      <c r="P1362" t="s">
        <v>1370</v>
      </c>
      <c r="Q1362" t="s">
        <v>5373</v>
      </c>
      <c r="R1362" t="s">
        <v>5374</v>
      </c>
      <c r="S1362" t="s">
        <v>550</v>
      </c>
      <c r="T1362" t="s">
        <v>550</v>
      </c>
      <c r="U1362" t="s">
        <v>550</v>
      </c>
      <c r="V1362" t="s">
        <v>5402</v>
      </c>
      <c r="W1362" t="s">
        <v>869</v>
      </c>
      <c r="X1362" t="s">
        <v>870</v>
      </c>
      <c r="Y1362" t="s">
        <v>847</v>
      </c>
      <c r="Z1362" t="s">
        <v>5397</v>
      </c>
    </row>
    <row r="1363" spans="1:26" x14ac:dyDescent="0.3">
      <c r="A1363" t="s">
        <v>525</v>
      </c>
      <c r="B1363" t="s">
        <v>5403</v>
      </c>
      <c r="C1363" t="s">
        <v>5404</v>
      </c>
      <c r="D1363" t="s">
        <v>5394</v>
      </c>
      <c r="E1363" t="s">
        <v>5405</v>
      </c>
      <c r="F1363" t="s">
        <v>5406</v>
      </c>
      <c r="G1363" s="1">
        <v>43497</v>
      </c>
      <c r="H1363" s="1">
        <v>43500</v>
      </c>
      <c r="I1363" t="s">
        <v>665</v>
      </c>
      <c r="J1363" t="s">
        <v>5407</v>
      </c>
      <c r="K1363" t="s">
        <v>3232</v>
      </c>
      <c r="L1363" t="s">
        <v>863</v>
      </c>
      <c r="M1363" t="s">
        <v>1377</v>
      </c>
      <c r="N1363" t="s">
        <v>1378</v>
      </c>
      <c r="O1363" t="s">
        <v>1369</v>
      </c>
      <c r="P1363" t="s">
        <v>1370</v>
      </c>
      <c r="Q1363" t="s">
        <v>5373</v>
      </c>
      <c r="R1363" t="s">
        <v>5374</v>
      </c>
      <c r="S1363" t="s">
        <v>550</v>
      </c>
      <c r="T1363" t="s">
        <v>550</v>
      </c>
      <c r="U1363" t="s">
        <v>550</v>
      </c>
      <c r="V1363" t="s">
        <v>5408</v>
      </c>
      <c r="W1363" t="s">
        <v>869</v>
      </c>
      <c r="X1363" t="s">
        <v>870</v>
      </c>
      <c r="Y1363" t="s">
        <v>847</v>
      </c>
      <c r="Z1363" t="s">
        <v>5403</v>
      </c>
    </row>
    <row r="1364" spans="1:26" x14ac:dyDescent="0.3">
      <c r="A1364" t="s">
        <v>525</v>
      </c>
      <c r="B1364" t="s">
        <v>5409</v>
      </c>
      <c r="C1364" t="s">
        <v>5410</v>
      </c>
      <c r="D1364" t="s">
        <v>5394</v>
      </c>
      <c r="E1364" t="s">
        <v>3271</v>
      </c>
      <c r="F1364" t="s">
        <v>3272</v>
      </c>
      <c r="G1364" s="1">
        <v>43525</v>
      </c>
      <c r="H1364" s="1">
        <v>43528</v>
      </c>
      <c r="I1364" t="s">
        <v>665</v>
      </c>
      <c r="J1364" t="s">
        <v>5411</v>
      </c>
      <c r="K1364" t="s">
        <v>841</v>
      </c>
      <c r="L1364" t="s">
        <v>863</v>
      </c>
      <c r="M1364" t="s">
        <v>1377</v>
      </c>
      <c r="N1364" t="s">
        <v>1378</v>
      </c>
      <c r="O1364" t="s">
        <v>1369</v>
      </c>
      <c r="P1364" t="s">
        <v>1370</v>
      </c>
      <c r="Q1364" t="s">
        <v>5373</v>
      </c>
      <c r="R1364" t="s">
        <v>5374</v>
      </c>
      <c r="S1364" t="s">
        <v>550</v>
      </c>
      <c r="T1364" t="s">
        <v>550</v>
      </c>
      <c r="U1364" t="s">
        <v>550</v>
      </c>
      <c r="V1364" t="s">
        <v>5412</v>
      </c>
      <c r="W1364" t="s">
        <v>869</v>
      </c>
      <c r="X1364" t="s">
        <v>870</v>
      </c>
      <c r="Y1364" t="s">
        <v>847</v>
      </c>
      <c r="Z1364" t="s">
        <v>5409</v>
      </c>
    </row>
    <row r="1365" spans="1:26" x14ac:dyDescent="0.3">
      <c r="A1365" t="s">
        <v>525</v>
      </c>
      <c r="B1365" t="s">
        <v>5413</v>
      </c>
      <c r="C1365" t="s">
        <v>5414</v>
      </c>
      <c r="D1365" t="s">
        <v>550</v>
      </c>
      <c r="E1365" t="s">
        <v>859</v>
      </c>
      <c r="F1365" t="s">
        <v>860</v>
      </c>
      <c r="G1365" s="1">
        <v>43497</v>
      </c>
      <c r="H1365" s="1">
        <v>43553</v>
      </c>
      <c r="I1365" t="s">
        <v>665</v>
      </c>
      <c r="J1365" t="s">
        <v>861</v>
      </c>
      <c r="K1365" t="s">
        <v>862</v>
      </c>
      <c r="L1365" t="s">
        <v>863</v>
      </c>
      <c r="M1365" t="s">
        <v>864</v>
      </c>
      <c r="N1365" t="s">
        <v>865</v>
      </c>
      <c r="O1365" t="s">
        <v>1369</v>
      </c>
      <c r="P1365" t="s">
        <v>1370</v>
      </c>
      <c r="Q1365" t="s">
        <v>5373</v>
      </c>
      <c r="R1365" t="s">
        <v>5374</v>
      </c>
      <c r="S1365" t="s">
        <v>550</v>
      </c>
      <c r="T1365" t="s">
        <v>550</v>
      </c>
      <c r="U1365" t="s">
        <v>550</v>
      </c>
      <c r="V1365" t="s">
        <v>5415</v>
      </c>
      <c r="W1365" t="s">
        <v>869</v>
      </c>
      <c r="X1365" t="s">
        <v>870</v>
      </c>
      <c r="Y1365" t="s">
        <v>847</v>
      </c>
      <c r="Z1365" t="s">
        <v>5413</v>
      </c>
    </row>
    <row r="1366" spans="1:26" x14ac:dyDescent="0.3">
      <c r="A1366" t="s">
        <v>525</v>
      </c>
      <c r="B1366" t="s">
        <v>5416</v>
      </c>
      <c r="C1366" t="s">
        <v>5417</v>
      </c>
      <c r="D1366" t="s">
        <v>550</v>
      </c>
      <c r="E1366" t="s">
        <v>859</v>
      </c>
      <c r="F1366" t="s">
        <v>860</v>
      </c>
      <c r="G1366" s="1">
        <v>43497</v>
      </c>
      <c r="H1366" s="1">
        <v>43530</v>
      </c>
      <c r="I1366" t="s">
        <v>665</v>
      </c>
      <c r="J1366" t="s">
        <v>861</v>
      </c>
      <c r="K1366" t="s">
        <v>862</v>
      </c>
      <c r="L1366" t="s">
        <v>863</v>
      </c>
      <c r="M1366" t="s">
        <v>864</v>
      </c>
      <c r="N1366" t="s">
        <v>865</v>
      </c>
      <c r="O1366" t="s">
        <v>1369</v>
      </c>
      <c r="P1366" t="s">
        <v>1370</v>
      </c>
      <c r="Q1366" t="s">
        <v>5373</v>
      </c>
      <c r="R1366" t="s">
        <v>5374</v>
      </c>
      <c r="S1366" t="s">
        <v>550</v>
      </c>
      <c r="T1366" t="s">
        <v>550</v>
      </c>
      <c r="U1366" t="s">
        <v>550</v>
      </c>
      <c r="V1366" t="s">
        <v>5418</v>
      </c>
      <c r="W1366" t="s">
        <v>869</v>
      </c>
      <c r="X1366" t="s">
        <v>870</v>
      </c>
      <c r="Y1366" t="s">
        <v>847</v>
      </c>
      <c r="Z1366" t="s">
        <v>5416</v>
      </c>
    </row>
    <row r="1367" spans="1:26" x14ac:dyDescent="0.3">
      <c r="A1367" t="s">
        <v>525</v>
      </c>
      <c r="B1367" t="s">
        <v>5419</v>
      </c>
      <c r="C1367" t="s">
        <v>5420</v>
      </c>
      <c r="D1367" t="s">
        <v>550</v>
      </c>
      <c r="E1367" t="s">
        <v>859</v>
      </c>
      <c r="F1367" t="s">
        <v>860</v>
      </c>
      <c r="G1367" s="1">
        <v>43497</v>
      </c>
      <c r="H1367" s="1">
        <v>43515</v>
      </c>
      <c r="I1367" t="s">
        <v>665</v>
      </c>
      <c r="J1367" t="s">
        <v>861</v>
      </c>
      <c r="K1367" t="s">
        <v>862</v>
      </c>
      <c r="L1367" t="s">
        <v>863</v>
      </c>
      <c r="M1367" t="s">
        <v>864</v>
      </c>
      <c r="N1367" t="s">
        <v>865</v>
      </c>
      <c r="O1367" t="s">
        <v>1369</v>
      </c>
      <c r="P1367" t="s">
        <v>1370</v>
      </c>
      <c r="Q1367" t="s">
        <v>5373</v>
      </c>
      <c r="R1367" t="s">
        <v>5374</v>
      </c>
      <c r="S1367" t="s">
        <v>550</v>
      </c>
      <c r="T1367" t="s">
        <v>550</v>
      </c>
      <c r="U1367" t="s">
        <v>550</v>
      </c>
      <c r="V1367" t="s">
        <v>5421</v>
      </c>
      <c r="W1367" t="s">
        <v>869</v>
      </c>
      <c r="X1367" t="s">
        <v>870</v>
      </c>
      <c r="Y1367" t="s">
        <v>847</v>
      </c>
      <c r="Z1367" t="s">
        <v>5419</v>
      </c>
    </row>
    <row r="1368" spans="1:26" x14ac:dyDescent="0.3">
      <c r="A1368" t="s">
        <v>525</v>
      </c>
      <c r="B1368" t="s">
        <v>5422</v>
      </c>
      <c r="C1368" t="s">
        <v>5423</v>
      </c>
      <c r="D1368" t="s">
        <v>550</v>
      </c>
      <c r="E1368" t="s">
        <v>3239</v>
      </c>
      <c r="F1368" t="s">
        <v>3240</v>
      </c>
      <c r="G1368" s="1">
        <v>43467</v>
      </c>
      <c r="H1368" s="1">
        <v>43830</v>
      </c>
      <c r="I1368" t="s">
        <v>665</v>
      </c>
      <c r="J1368" t="s">
        <v>3241</v>
      </c>
      <c r="K1368" t="s">
        <v>862</v>
      </c>
      <c r="L1368" t="s">
        <v>863</v>
      </c>
      <c r="M1368" t="s">
        <v>1377</v>
      </c>
      <c r="N1368" t="s">
        <v>1378</v>
      </c>
      <c r="O1368" t="s">
        <v>1369</v>
      </c>
      <c r="P1368" t="s">
        <v>1370</v>
      </c>
      <c r="Q1368" t="s">
        <v>5373</v>
      </c>
      <c r="R1368" t="s">
        <v>5374</v>
      </c>
      <c r="S1368" t="s">
        <v>550</v>
      </c>
      <c r="T1368" t="s">
        <v>550</v>
      </c>
      <c r="U1368" t="s">
        <v>550</v>
      </c>
      <c r="V1368" t="s">
        <v>5424</v>
      </c>
      <c r="W1368" t="s">
        <v>869</v>
      </c>
      <c r="X1368" t="s">
        <v>870</v>
      </c>
      <c r="Y1368" t="s">
        <v>847</v>
      </c>
      <c r="Z1368" t="s">
        <v>5422</v>
      </c>
    </row>
    <row r="1369" spans="1:26" x14ac:dyDescent="0.3">
      <c r="A1369" t="s">
        <v>525</v>
      </c>
      <c r="B1369" t="s">
        <v>5425</v>
      </c>
      <c r="C1369" t="s">
        <v>5426</v>
      </c>
      <c r="D1369" t="s">
        <v>5422</v>
      </c>
      <c r="E1369" t="s">
        <v>3239</v>
      </c>
      <c r="F1369" t="s">
        <v>3240</v>
      </c>
      <c r="G1369" s="1">
        <v>43467</v>
      </c>
      <c r="H1369" s="1">
        <v>43830</v>
      </c>
      <c r="I1369" t="s">
        <v>665</v>
      </c>
      <c r="J1369" t="s">
        <v>3241</v>
      </c>
      <c r="K1369" t="s">
        <v>862</v>
      </c>
      <c r="L1369" t="s">
        <v>863</v>
      </c>
      <c r="M1369" t="s">
        <v>1377</v>
      </c>
      <c r="N1369" t="s">
        <v>1378</v>
      </c>
      <c r="O1369" t="s">
        <v>1369</v>
      </c>
      <c r="P1369" t="s">
        <v>1370</v>
      </c>
      <c r="Q1369" t="s">
        <v>5373</v>
      </c>
      <c r="R1369" t="s">
        <v>5374</v>
      </c>
      <c r="S1369" t="s">
        <v>550</v>
      </c>
      <c r="T1369" t="s">
        <v>550</v>
      </c>
      <c r="U1369" t="s">
        <v>550</v>
      </c>
      <c r="V1369" t="s">
        <v>5427</v>
      </c>
      <c r="W1369" t="s">
        <v>869</v>
      </c>
      <c r="X1369" t="s">
        <v>870</v>
      </c>
      <c r="Y1369" t="s">
        <v>847</v>
      </c>
      <c r="Z1369" t="s">
        <v>5425</v>
      </c>
    </row>
    <row r="1370" spans="1:26" x14ac:dyDescent="0.3">
      <c r="A1370" t="s">
        <v>525</v>
      </c>
      <c r="B1370" t="s">
        <v>5428</v>
      </c>
      <c r="C1370" t="s">
        <v>5429</v>
      </c>
      <c r="D1370" t="s">
        <v>5422</v>
      </c>
      <c r="E1370" t="s">
        <v>3239</v>
      </c>
      <c r="F1370" t="s">
        <v>3240</v>
      </c>
      <c r="G1370" s="1">
        <v>43467</v>
      </c>
      <c r="H1370" s="1">
        <v>43830</v>
      </c>
      <c r="I1370" t="s">
        <v>665</v>
      </c>
      <c r="J1370" t="s">
        <v>3241</v>
      </c>
      <c r="K1370" t="s">
        <v>862</v>
      </c>
      <c r="L1370" t="s">
        <v>863</v>
      </c>
      <c r="M1370" t="s">
        <v>1377</v>
      </c>
      <c r="N1370" t="s">
        <v>1378</v>
      </c>
      <c r="O1370" t="s">
        <v>1369</v>
      </c>
      <c r="P1370" t="s">
        <v>1370</v>
      </c>
      <c r="Q1370" t="s">
        <v>5373</v>
      </c>
      <c r="R1370" t="s">
        <v>5374</v>
      </c>
      <c r="S1370" t="s">
        <v>550</v>
      </c>
      <c r="T1370" t="s">
        <v>550</v>
      </c>
      <c r="U1370" t="s">
        <v>550</v>
      </c>
      <c r="V1370" t="s">
        <v>5430</v>
      </c>
      <c r="W1370" t="s">
        <v>869</v>
      </c>
      <c r="X1370" t="s">
        <v>870</v>
      </c>
      <c r="Y1370" t="s">
        <v>847</v>
      </c>
      <c r="Z1370" t="s">
        <v>5428</v>
      </c>
    </row>
    <row r="1371" spans="1:26" x14ac:dyDescent="0.3">
      <c r="A1371" t="s">
        <v>525</v>
      </c>
      <c r="B1371" t="s">
        <v>5431</v>
      </c>
      <c r="C1371" t="s">
        <v>5432</v>
      </c>
      <c r="D1371" t="s">
        <v>550</v>
      </c>
      <c r="E1371" t="s">
        <v>1374</v>
      </c>
      <c r="F1371" t="s">
        <v>1375</v>
      </c>
      <c r="G1371" s="1">
        <v>43467</v>
      </c>
      <c r="H1371" s="1">
        <v>43830</v>
      </c>
      <c r="I1371" t="s">
        <v>665</v>
      </c>
      <c r="J1371" t="s">
        <v>1376</v>
      </c>
      <c r="K1371" t="s">
        <v>862</v>
      </c>
      <c r="L1371" t="s">
        <v>863</v>
      </c>
      <c r="M1371" t="s">
        <v>1377</v>
      </c>
      <c r="N1371" t="s">
        <v>1378</v>
      </c>
      <c r="O1371" t="s">
        <v>1369</v>
      </c>
      <c r="P1371" t="s">
        <v>1370</v>
      </c>
      <c r="Q1371" t="s">
        <v>5373</v>
      </c>
      <c r="R1371" t="s">
        <v>5374</v>
      </c>
      <c r="S1371" t="s">
        <v>550</v>
      </c>
      <c r="T1371" t="s">
        <v>550</v>
      </c>
      <c r="U1371" t="s">
        <v>550</v>
      </c>
      <c r="V1371" t="s">
        <v>5433</v>
      </c>
      <c r="W1371" t="s">
        <v>869</v>
      </c>
      <c r="X1371" t="s">
        <v>870</v>
      </c>
      <c r="Y1371" t="s">
        <v>847</v>
      </c>
      <c r="Z1371" t="s">
        <v>5431</v>
      </c>
    </row>
    <row r="1372" spans="1:26" x14ac:dyDescent="0.3">
      <c r="A1372" t="s">
        <v>525</v>
      </c>
      <c r="B1372" t="s">
        <v>5434</v>
      </c>
      <c r="C1372" t="s">
        <v>5435</v>
      </c>
      <c r="D1372" t="s">
        <v>550</v>
      </c>
      <c r="E1372" t="s">
        <v>1374</v>
      </c>
      <c r="F1372" t="s">
        <v>1375</v>
      </c>
      <c r="G1372" s="1">
        <v>43467</v>
      </c>
      <c r="H1372" s="1">
        <v>43830</v>
      </c>
      <c r="I1372" t="s">
        <v>665</v>
      </c>
      <c r="J1372" t="s">
        <v>1376</v>
      </c>
      <c r="K1372" t="s">
        <v>862</v>
      </c>
      <c r="L1372" t="s">
        <v>863</v>
      </c>
      <c r="M1372" t="s">
        <v>1377</v>
      </c>
      <c r="N1372" t="s">
        <v>1378</v>
      </c>
      <c r="O1372" t="s">
        <v>1369</v>
      </c>
      <c r="P1372" t="s">
        <v>1370</v>
      </c>
      <c r="Q1372" t="s">
        <v>5373</v>
      </c>
      <c r="R1372" t="s">
        <v>5374</v>
      </c>
      <c r="S1372" t="s">
        <v>550</v>
      </c>
      <c r="T1372" t="s">
        <v>550</v>
      </c>
      <c r="U1372" t="s">
        <v>550</v>
      </c>
      <c r="V1372" t="s">
        <v>5436</v>
      </c>
      <c r="W1372" t="s">
        <v>869</v>
      </c>
      <c r="X1372" t="s">
        <v>870</v>
      </c>
      <c r="Y1372" t="s">
        <v>847</v>
      </c>
      <c r="Z1372" t="s">
        <v>5434</v>
      </c>
    </row>
    <row r="1373" spans="1:26" x14ac:dyDescent="0.3">
      <c r="A1373" t="s">
        <v>525</v>
      </c>
      <c r="B1373" t="s">
        <v>5437</v>
      </c>
      <c r="C1373" t="s">
        <v>5438</v>
      </c>
      <c r="D1373" t="s">
        <v>550</v>
      </c>
      <c r="E1373" t="s">
        <v>664</v>
      </c>
      <c r="F1373" t="s">
        <v>27</v>
      </c>
      <c r="G1373" s="1">
        <v>43467</v>
      </c>
      <c r="H1373" s="1">
        <v>43830</v>
      </c>
      <c r="I1373" t="s">
        <v>665</v>
      </c>
      <c r="J1373" t="s">
        <v>666</v>
      </c>
      <c r="K1373" t="s">
        <v>862</v>
      </c>
      <c r="L1373" t="s">
        <v>863</v>
      </c>
      <c r="M1373" t="s">
        <v>971</v>
      </c>
      <c r="N1373" t="s">
        <v>972</v>
      </c>
      <c r="O1373" t="s">
        <v>1369</v>
      </c>
      <c r="P1373" t="s">
        <v>1370</v>
      </c>
      <c r="Q1373" t="s">
        <v>5373</v>
      </c>
      <c r="R1373" t="s">
        <v>5374</v>
      </c>
      <c r="S1373" t="s">
        <v>550</v>
      </c>
      <c r="T1373" t="s">
        <v>550</v>
      </c>
      <c r="U1373" t="s">
        <v>550</v>
      </c>
      <c r="V1373" t="s">
        <v>5439</v>
      </c>
      <c r="W1373" t="s">
        <v>869</v>
      </c>
      <c r="X1373" t="s">
        <v>870</v>
      </c>
      <c r="Y1373" t="s">
        <v>847</v>
      </c>
      <c r="Z1373" t="s">
        <v>5437</v>
      </c>
    </row>
    <row r="1374" spans="1:26" x14ac:dyDescent="0.3">
      <c r="A1374" t="s">
        <v>525</v>
      </c>
      <c r="B1374" t="s">
        <v>5440</v>
      </c>
      <c r="C1374" t="s">
        <v>5441</v>
      </c>
      <c r="D1374" t="s">
        <v>550</v>
      </c>
      <c r="E1374" t="s">
        <v>664</v>
      </c>
      <c r="F1374" t="s">
        <v>27</v>
      </c>
      <c r="G1374" s="1">
        <v>43467</v>
      </c>
      <c r="H1374" s="1">
        <v>43830</v>
      </c>
      <c r="I1374" t="s">
        <v>665</v>
      </c>
      <c r="J1374" t="s">
        <v>666</v>
      </c>
      <c r="K1374" t="s">
        <v>24</v>
      </c>
      <c r="L1374" t="s">
        <v>863</v>
      </c>
      <c r="M1374" t="s">
        <v>1369</v>
      </c>
      <c r="N1374" t="s">
        <v>1370</v>
      </c>
      <c r="O1374" t="s">
        <v>1369</v>
      </c>
      <c r="P1374" t="s">
        <v>1370</v>
      </c>
      <c r="Q1374" t="s">
        <v>5373</v>
      </c>
      <c r="R1374" t="s">
        <v>5374</v>
      </c>
      <c r="S1374" t="s">
        <v>550</v>
      </c>
      <c r="T1374" t="s">
        <v>550</v>
      </c>
      <c r="U1374" t="s">
        <v>550</v>
      </c>
      <c r="V1374" t="s">
        <v>5442</v>
      </c>
      <c r="W1374" t="s">
        <v>869</v>
      </c>
      <c r="X1374" t="s">
        <v>870</v>
      </c>
      <c r="Y1374" t="s">
        <v>847</v>
      </c>
      <c r="Z1374" t="s">
        <v>5440</v>
      </c>
    </row>
    <row r="1375" spans="1:26" x14ac:dyDescent="0.3">
      <c r="A1375" t="s">
        <v>525</v>
      </c>
      <c r="B1375" t="s">
        <v>5443</v>
      </c>
      <c r="C1375" t="s">
        <v>5444</v>
      </c>
      <c r="D1375" t="s">
        <v>550</v>
      </c>
      <c r="E1375" t="s">
        <v>982</v>
      </c>
      <c r="F1375" t="s">
        <v>983</v>
      </c>
      <c r="G1375" s="1">
        <v>43467</v>
      </c>
      <c r="H1375" s="1">
        <v>43830</v>
      </c>
      <c r="I1375" t="s">
        <v>665</v>
      </c>
      <c r="J1375" t="s">
        <v>984</v>
      </c>
      <c r="K1375" t="s">
        <v>900</v>
      </c>
      <c r="L1375" t="s">
        <v>863</v>
      </c>
      <c r="M1375" t="s">
        <v>1369</v>
      </c>
      <c r="N1375" t="s">
        <v>1370</v>
      </c>
      <c r="O1375" t="s">
        <v>1369</v>
      </c>
      <c r="P1375" t="s">
        <v>1370</v>
      </c>
      <c r="Q1375" t="s">
        <v>5373</v>
      </c>
      <c r="R1375" t="s">
        <v>5374</v>
      </c>
      <c r="S1375" t="s">
        <v>550</v>
      </c>
      <c r="T1375" t="s">
        <v>550</v>
      </c>
      <c r="U1375" t="s">
        <v>550</v>
      </c>
      <c r="V1375" t="s">
        <v>5445</v>
      </c>
      <c r="W1375" t="s">
        <v>869</v>
      </c>
      <c r="X1375" t="s">
        <v>870</v>
      </c>
      <c r="Y1375" t="s">
        <v>847</v>
      </c>
      <c r="Z1375" t="s">
        <v>5443</v>
      </c>
    </row>
    <row r="1376" spans="1:26" x14ac:dyDescent="0.3">
      <c r="A1376" t="s">
        <v>525</v>
      </c>
      <c r="B1376" t="s">
        <v>5446</v>
      </c>
      <c r="C1376" t="s">
        <v>5447</v>
      </c>
      <c r="D1376" t="s">
        <v>550</v>
      </c>
      <c r="E1376" t="s">
        <v>664</v>
      </c>
      <c r="F1376" t="s">
        <v>27</v>
      </c>
      <c r="G1376" s="1">
        <v>43467</v>
      </c>
      <c r="H1376" s="1">
        <v>43830</v>
      </c>
      <c r="I1376" t="s">
        <v>665</v>
      </c>
      <c r="J1376" t="s">
        <v>666</v>
      </c>
      <c r="K1376" t="s">
        <v>900</v>
      </c>
      <c r="L1376" t="s">
        <v>863</v>
      </c>
      <c r="M1376" t="s">
        <v>1369</v>
      </c>
      <c r="N1376" t="s">
        <v>1370</v>
      </c>
      <c r="O1376" t="s">
        <v>1369</v>
      </c>
      <c r="P1376" t="s">
        <v>1370</v>
      </c>
      <c r="Q1376" t="s">
        <v>5373</v>
      </c>
      <c r="R1376" t="s">
        <v>5374</v>
      </c>
      <c r="S1376" t="s">
        <v>550</v>
      </c>
      <c r="T1376" t="s">
        <v>550</v>
      </c>
      <c r="U1376" t="s">
        <v>550</v>
      </c>
      <c r="V1376" t="s">
        <v>5448</v>
      </c>
      <c r="W1376" t="s">
        <v>869</v>
      </c>
      <c r="X1376" t="s">
        <v>870</v>
      </c>
      <c r="Y1376" t="s">
        <v>847</v>
      </c>
      <c r="Z1376" t="s">
        <v>5446</v>
      </c>
    </row>
    <row r="1377" spans="1:26" x14ac:dyDescent="0.3">
      <c r="A1377" t="s">
        <v>525</v>
      </c>
      <c r="B1377" t="s">
        <v>5449</v>
      </c>
      <c r="C1377" t="s">
        <v>2946</v>
      </c>
      <c r="D1377" t="s">
        <v>550</v>
      </c>
      <c r="E1377" t="s">
        <v>664</v>
      </c>
      <c r="F1377" t="s">
        <v>27</v>
      </c>
      <c r="G1377" s="1">
        <v>43467</v>
      </c>
      <c r="H1377" s="1">
        <v>43830</v>
      </c>
      <c r="I1377" t="s">
        <v>665</v>
      </c>
      <c r="J1377" t="s">
        <v>666</v>
      </c>
      <c r="K1377" t="s">
        <v>900</v>
      </c>
      <c r="L1377" t="s">
        <v>863</v>
      </c>
      <c r="M1377" t="s">
        <v>1369</v>
      </c>
      <c r="N1377" t="s">
        <v>1370</v>
      </c>
      <c r="O1377" t="s">
        <v>1369</v>
      </c>
      <c r="P1377" t="s">
        <v>1370</v>
      </c>
      <c r="Q1377" t="s">
        <v>5373</v>
      </c>
      <c r="R1377" t="s">
        <v>5374</v>
      </c>
      <c r="S1377" t="s">
        <v>550</v>
      </c>
      <c r="T1377" t="s">
        <v>550</v>
      </c>
      <c r="U1377" t="s">
        <v>550</v>
      </c>
      <c r="V1377" t="s">
        <v>5450</v>
      </c>
      <c r="W1377" t="s">
        <v>869</v>
      </c>
      <c r="X1377" t="s">
        <v>870</v>
      </c>
      <c r="Y1377" t="s">
        <v>847</v>
      </c>
      <c r="Z1377" t="s">
        <v>5449</v>
      </c>
    </row>
    <row r="1378" spans="1:26" x14ac:dyDescent="0.3">
      <c r="A1378" t="s">
        <v>525</v>
      </c>
      <c r="B1378" t="s">
        <v>5451</v>
      </c>
      <c r="C1378" t="s">
        <v>5452</v>
      </c>
      <c r="D1378" t="s">
        <v>550</v>
      </c>
      <c r="E1378" t="s">
        <v>3216</v>
      </c>
      <c r="F1378" t="s">
        <v>3217</v>
      </c>
      <c r="G1378" s="1">
        <v>43467</v>
      </c>
      <c r="H1378" s="1">
        <v>43469</v>
      </c>
      <c r="I1378" t="s">
        <v>665</v>
      </c>
      <c r="J1378" t="s">
        <v>3218</v>
      </c>
      <c r="K1378" t="s">
        <v>808</v>
      </c>
      <c r="L1378" t="s">
        <v>863</v>
      </c>
      <c r="M1378" t="s">
        <v>1369</v>
      </c>
      <c r="N1378" t="s">
        <v>1370</v>
      </c>
      <c r="O1378" t="s">
        <v>1369</v>
      </c>
      <c r="P1378" t="s">
        <v>1370</v>
      </c>
      <c r="Q1378" t="s">
        <v>5373</v>
      </c>
      <c r="R1378" t="s">
        <v>5374</v>
      </c>
      <c r="S1378" t="s">
        <v>550</v>
      </c>
      <c r="T1378" t="s">
        <v>550</v>
      </c>
      <c r="U1378" t="s">
        <v>550</v>
      </c>
      <c r="V1378" t="s">
        <v>5453</v>
      </c>
      <c r="W1378" t="s">
        <v>869</v>
      </c>
      <c r="X1378" t="s">
        <v>870</v>
      </c>
      <c r="Y1378" t="s">
        <v>847</v>
      </c>
      <c r="Z1378" t="s">
        <v>5451</v>
      </c>
    </row>
    <row r="1379" spans="1:26" x14ac:dyDescent="0.3">
      <c r="A1379" t="s">
        <v>525</v>
      </c>
      <c r="B1379" t="s">
        <v>5454</v>
      </c>
      <c r="C1379" t="s">
        <v>5455</v>
      </c>
      <c r="D1379" t="s">
        <v>550</v>
      </c>
      <c r="E1379" t="s">
        <v>1878</v>
      </c>
      <c r="F1379" t="s">
        <v>1879</v>
      </c>
      <c r="G1379" s="1">
        <v>43467</v>
      </c>
      <c r="H1379" s="1">
        <v>43830</v>
      </c>
      <c r="I1379" t="s">
        <v>665</v>
      </c>
      <c r="J1379" t="s">
        <v>1880</v>
      </c>
      <c r="K1379" t="s">
        <v>862</v>
      </c>
      <c r="L1379" t="s">
        <v>863</v>
      </c>
      <c r="M1379" t="s">
        <v>1369</v>
      </c>
      <c r="N1379" t="s">
        <v>1370</v>
      </c>
      <c r="O1379" t="s">
        <v>1369</v>
      </c>
      <c r="P1379" t="s">
        <v>1370</v>
      </c>
      <c r="Q1379" t="s">
        <v>5373</v>
      </c>
      <c r="R1379" t="s">
        <v>5374</v>
      </c>
      <c r="S1379" t="s">
        <v>550</v>
      </c>
      <c r="T1379" t="s">
        <v>550</v>
      </c>
      <c r="U1379" t="s">
        <v>550</v>
      </c>
      <c r="V1379" t="s">
        <v>5456</v>
      </c>
      <c r="W1379" t="s">
        <v>869</v>
      </c>
      <c r="X1379" t="s">
        <v>870</v>
      </c>
      <c r="Y1379" t="s">
        <v>847</v>
      </c>
      <c r="Z1379" t="s">
        <v>5454</v>
      </c>
    </row>
    <row r="1380" spans="1:26" x14ac:dyDescent="0.3">
      <c r="A1380" t="s">
        <v>525</v>
      </c>
      <c r="B1380" t="s">
        <v>5457</v>
      </c>
      <c r="C1380" t="s">
        <v>5458</v>
      </c>
      <c r="D1380" t="s">
        <v>2126</v>
      </c>
      <c r="E1380" t="s">
        <v>2128</v>
      </c>
      <c r="F1380" t="s">
        <v>2129</v>
      </c>
      <c r="G1380" s="1">
        <v>43467</v>
      </c>
      <c r="H1380" s="1">
        <v>43830</v>
      </c>
      <c r="I1380" t="s">
        <v>665</v>
      </c>
      <c r="J1380" t="s">
        <v>2130</v>
      </c>
      <c r="K1380" t="s">
        <v>808</v>
      </c>
      <c r="L1380" t="s">
        <v>863</v>
      </c>
      <c r="M1380" t="s">
        <v>1369</v>
      </c>
      <c r="N1380" t="s">
        <v>1370</v>
      </c>
      <c r="O1380" t="s">
        <v>1369</v>
      </c>
      <c r="P1380" t="s">
        <v>1370</v>
      </c>
      <c r="Q1380" t="s">
        <v>5373</v>
      </c>
      <c r="R1380" t="s">
        <v>5374</v>
      </c>
      <c r="S1380" t="s">
        <v>550</v>
      </c>
      <c r="T1380" t="s">
        <v>550</v>
      </c>
      <c r="U1380" t="s">
        <v>550</v>
      </c>
      <c r="V1380" t="s">
        <v>5459</v>
      </c>
      <c r="W1380" t="s">
        <v>869</v>
      </c>
      <c r="X1380" t="s">
        <v>870</v>
      </c>
      <c r="Y1380" t="s">
        <v>847</v>
      </c>
      <c r="Z1380" t="s">
        <v>5457</v>
      </c>
    </row>
    <row r="1381" spans="1:26" x14ac:dyDescent="0.3">
      <c r="A1381" t="s">
        <v>525</v>
      </c>
      <c r="B1381" t="s">
        <v>5460</v>
      </c>
      <c r="C1381" t="s">
        <v>5461</v>
      </c>
      <c r="D1381" t="s">
        <v>550</v>
      </c>
      <c r="E1381" t="s">
        <v>2050</v>
      </c>
      <c r="F1381" t="s">
        <v>2051</v>
      </c>
      <c r="G1381" s="1">
        <v>43467</v>
      </c>
      <c r="H1381" s="1">
        <v>43830</v>
      </c>
      <c r="I1381" t="s">
        <v>665</v>
      </c>
      <c r="J1381" t="s">
        <v>2052</v>
      </c>
      <c r="K1381" t="s">
        <v>808</v>
      </c>
      <c r="L1381" t="s">
        <v>863</v>
      </c>
      <c r="M1381" t="s">
        <v>1369</v>
      </c>
      <c r="N1381" t="s">
        <v>1370</v>
      </c>
      <c r="O1381" t="s">
        <v>1369</v>
      </c>
      <c r="P1381" t="s">
        <v>1370</v>
      </c>
      <c r="Q1381" t="s">
        <v>5373</v>
      </c>
      <c r="R1381" t="s">
        <v>5374</v>
      </c>
      <c r="S1381" t="s">
        <v>550</v>
      </c>
      <c r="T1381" t="s">
        <v>550</v>
      </c>
      <c r="U1381" t="s">
        <v>550</v>
      </c>
      <c r="V1381" t="s">
        <v>5462</v>
      </c>
      <c r="W1381" t="s">
        <v>869</v>
      </c>
      <c r="X1381" t="s">
        <v>870</v>
      </c>
      <c r="Y1381" t="s">
        <v>847</v>
      </c>
      <c r="Z1381" t="s">
        <v>5460</v>
      </c>
    </row>
    <row r="1382" spans="1:26" x14ac:dyDescent="0.3">
      <c r="A1382" t="s">
        <v>525</v>
      </c>
      <c r="B1382" t="s">
        <v>5463</v>
      </c>
      <c r="C1382" t="s">
        <v>5464</v>
      </c>
      <c r="D1382" t="s">
        <v>550</v>
      </c>
      <c r="E1382" t="s">
        <v>2863</v>
      </c>
      <c r="F1382" t="s">
        <v>2864</v>
      </c>
      <c r="G1382" s="1">
        <v>43467</v>
      </c>
      <c r="H1382" s="1">
        <v>43830</v>
      </c>
      <c r="I1382" t="s">
        <v>665</v>
      </c>
      <c r="J1382" t="s">
        <v>2865</v>
      </c>
      <c r="K1382" t="s">
        <v>958</v>
      </c>
      <c r="L1382" t="s">
        <v>863</v>
      </c>
      <c r="M1382" t="s">
        <v>1369</v>
      </c>
      <c r="N1382" t="s">
        <v>1370</v>
      </c>
      <c r="O1382" t="s">
        <v>1369</v>
      </c>
      <c r="P1382" t="s">
        <v>1370</v>
      </c>
      <c r="Q1382" t="s">
        <v>5373</v>
      </c>
      <c r="R1382" t="s">
        <v>5374</v>
      </c>
      <c r="S1382" t="s">
        <v>550</v>
      </c>
      <c r="T1382" t="s">
        <v>550</v>
      </c>
      <c r="U1382" t="s">
        <v>550</v>
      </c>
      <c r="V1382" t="s">
        <v>5465</v>
      </c>
      <c r="W1382" t="s">
        <v>1014</v>
      </c>
      <c r="X1382" t="s">
        <v>870</v>
      </c>
      <c r="Y1382" t="s">
        <v>1281</v>
      </c>
      <c r="Z1382" t="s">
        <v>5463</v>
      </c>
    </row>
    <row r="1383" spans="1:26" x14ac:dyDescent="0.3">
      <c r="A1383" t="s">
        <v>525</v>
      </c>
      <c r="B1383" t="s">
        <v>5466</v>
      </c>
      <c r="C1383" t="s">
        <v>5467</v>
      </c>
      <c r="D1383" t="s">
        <v>550</v>
      </c>
      <c r="E1383" t="s">
        <v>2872</v>
      </c>
      <c r="F1383" t="s">
        <v>2873</v>
      </c>
      <c r="G1383" s="1">
        <v>43467</v>
      </c>
      <c r="H1383" s="1">
        <v>43830</v>
      </c>
      <c r="I1383" t="s">
        <v>665</v>
      </c>
      <c r="J1383" t="s">
        <v>2874</v>
      </c>
      <c r="K1383" t="s">
        <v>958</v>
      </c>
      <c r="L1383" t="s">
        <v>863</v>
      </c>
      <c r="M1383" t="s">
        <v>1369</v>
      </c>
      <c r="N1383" t="s">
        <v>1370</v>
      </c>
      <c r="O1383" t="s">
        <v>1369</v>
      </c>
      <c r="P1383" t="s">
        <v>1370</v>
      </c>
      <c r="Q1383" t="s">
        <v>5373</v>
      </c>
      <c r="R1383" t="s">
        <v>5374</v>
      </c>
      <c r="S1383" t="s">
        <v>550</v>
      </c>
      <c r="T1383" t="s">
        <v>550</v>
      </c>
      <c r="U1383" t="s">
        <v>550</v>
      </c>
      <c r="V1383" t="s">
        <v>5468</v>
      </c>
      <c r="W1383" t="s">
        <v>1014</v>
      </c>
      <c r="X1383" t="s">
        <v>870</v>
      </c>
      <c r="Y1383" t="s">
        <v>1281</v>
      </c>
      <c r="Z1383" t="s">
        <v>5466</v>
      </c>
    </row>
    <row r="1384" spans="1:26" x14ac:dyDescent="0.3">
      <c r="A1384" t="s">
        <v>525</v>
      </c>
      <c r="B1384" t="s">
        <v>5469</v>
      </c>
      <c r="C1384" t="s">
        <v>5470</v>
      </c>
      <c r="D1384" t="s">
        <v>550</v>
      </c>
      <c r="E1384" t="s">
        <v>2887</v>
      </c>
      <c r="F1384" t="s">
        <v>2888</v>
      </c>
      <c r="G1384" s="1">
        <v>43467</v>
      </c>
      <c r="H1384" s="1">
        <v>43830</v>
      </c>
      <c r="I1384" t="s">
        <v>665</v>
      </c>
      <c r="J1384" t="s">
        <v>2889</v>
      </c>
      <c r="K1384" t="s">
        <v>24</v>
      </c>
      <c r="L1384" t="s">
        <v>863</v>
      </c>
      <c r="M1384" t="s">
        <v>1369</v>
      </c>
      <c r="N1384" t="s">
        <v>1370</v>
      </c>
      <c r="O1384" t="s">
        <v>1369</v>
      </c>
      <c r="P1384" t="s">
        <v>1370</v>
      </c>
      <c r="Q1384" t="s">
        <v>5373</v>
      </c>
      <c r="R1384" t="s">
        <v>5374</v>
      </c>
      <c r="S1384" t="s">
        <v>550</v>
      </c>
      <c r="T1384" t="s">
        <v>550</v>
      </c>
      <c r="U1384" t="s">
        <v>550</v>
      </c>
      <c r="V1384" t="s">
        <v>5471</v>
      </c>
      <c r="W1384" t="s">
        <v>1014</v>
      </c>
      <c r="X1384" t="s">
        <v>870</v>
      </c>
      <c r="Y1384" t="s">
        <v>1281</v>
      </c>
      <c r="Z1384" t="s">
        <v>5469</v>
      </c>
    </row>
    <row r="1385" spans="1:26" x14ac:dyDescent="0.3">
      <c r="A1385" t="s">
        <v>525</v>
      </c>
      <c r="B1385" t="s">
        <v>5472</v>
      </c>
      <c r="C1385" t="s">
        <v>5473</v>
      </c>
      <c r="D1385" t="s">
        <v>550</v>
      </c>
      <c r="E1385" t="s">
        <v>2872</v>
      </c>
      <c r="F1385" t="s">
        <v>2873</v>
      </c>
      <c r="G1385" s="1">
        <v>43467</v>
      </c>
      <c r="H1385" s="1">
        <v>43830</v>
      </c>
      <c r="I1385" t="s">
        <v>665</v>
      </c>
      <c r="J1385" t="s">
        <v>2874</v>
      </c>
      <c r="K1385" t="s">
        <v>958</v>
      </c>
      <c r="L1385" t="s">
        <v>863</v>
      </c>
      <c r="M1385" t="s">
        <v>1369</v>
      </c>
      <c r="N1385" t="s">
        <v>1370</v>
      </c>
      <c r="O1385" t="s">
        <v>1369</v>
      </c>
      <c r="P1385" t="s">
        <v>1370</v>
      </c>
      <c r="Q1385" t="s">
        <v>5373</v>
      </c>
      <c r="R1385" t="s">
        <v>5374</v>
      </c>
      <c r="S1385" t="s">
        <v>550</v>
      </c>
      <c r="T1385" t="s">
        <v>550</v>
      </c>
      <c r="U1385" t="s">
        <v>550</v>
      </c>
      <c r="V1385" t="s">
        <v>5474</v>
      </c>
      <c r="W1385" t="s">
        <v>1014</v>
      </c>
      <c r="X1385" t="s">
        <v>870</v>
      </c>
      <c r="Y1385" t="s">
        <v>1281</v>
      </c>
      <c r="Z1385" t="s">
        <v>5472</v>
      </c>
    </row>
    <row r="1386" spans="1:26" x14ac:dyDescent="0.3">
      <c r="A1386" t="s">
        <v>525</v>
      </c>
      <c r="B1386" t="s">
        <v>5475</v>
      </c>
      <c r="C1386" t="s">
        <v>5476</v>
      </c>
      <c r="D1386" t="s">
        <v>550</v>
      </c>
      <c r="E1386" t="s">
        <v>5477</v>
      </c>
      <c r="F1386" t="s">
        <v>5478</v>
      </c>
      <c r="G1386" s="1">
        <v>43586</v>
      </c>
      <c r="H1386" s="1">
        <v>43613</v>
      </c>
      <c r="I1386" t="s">
        <v>665</v>
      </c>
      <c r="J1386" t="s">
        <v>5479</v>
      </c>
      <c r="K1386" t="s">
        <v>862</v>
      </c>
      <c r="L1386" t="s">
        <v>863</v>
      </c>
      <c r="M1386" t="s">
        <v>864</v>
      </c>
      <c r="N1386" t="s">
        <v>865</v>
      </c>
      <c r="O1386" t="s">
        <v>1369</v>
      </c>
      <c r="P1386" t="s">
        <v>1370</v>
      </c>
      <c r="Q1386" t="s">
        <v>5373</v>
      </c>
      <c r="R1386" t="s">
        <v>5374</v>
      </c>
      <c r="S1386" t="s">
        <v>550</v>
      </c>
      <c r="T1386" t="s">
        <v>550</v>
      </c>
      <c r="U1386" t="s">
        <v>550</v>
      </c>
      <c r="V1386" t="s">
        <v>5480</v>
      </c>
      <c r="W1386" t="s">
        <v>869</v>
      </c>
      <c r="X1386" t="s">
        <v>870</v>
      </c>
      <c r="Y1386" t="s">
        <v>847</v>
      </c>
      <c r="Z1386" t="s">
        <v>5475</v>
      </c>
    </row>
    <row r="1387" spans="1:26" x14ac:dyDescent="0.3">
      <c r="A1387" t="s">
        <v>525</v>
      </c>
      <c r="B1387" t="s">
        <v>5481</v>
      </c>
      <c r="C1387" t="s">
        <v>5482</v>
      </c>
      <c r="D1387" t="s">
        <v>550</v>
      </c>
      <c r="E1387" t="s">
        <v>1921</v>
      </c>
      <c r="F1387" t="s">
        <v>1922</v>
      </c>
      <c r="G1387" s="1">
        <v>43647</v>
      </c>
      <c r="H1387" s="1">
        <v>43675</v>
      </c>
      <c r="I1387" t="s">
        <v>665</v>
      </c>
      <c r="J1387" t="s">
        <v>1923</v>
      </c>
      <c r="K1387" t="s">
        <v>862</v>
      </c>
      <c r="L1387" t="s">
        <v>863</v>
      </c>
      <c r="M1387" t="s">
        <v>1377</v>
      </c>
      <c r="N1387" t="s">
        <v>1378</v>
      </c>
      <c r="O1387" t="s">
        <v>1369</v>
      </c>
      <c r="P1387" t="s">
        <v>1370</v>
      </c>
      <c r="Q1387" t="s">
        <v>5373</v>
      </c>
      <c r="R1387" t="s">
        <v>5374</v>
      </c>
      <c r="S1387" t="s">
        <v>550</v>
      </c>
      <c r="T1387" t="s">
        <v>550</v>
      </c>
      <c r="U1387" t="s">
        <v>550</v>
      </c>
      <c r="V1387" t="s">
        <v>5483</v>
      </c>
      <c r="W1387" t="s">
        <v>869</v>
      </c>
      <c r="X1387" t="s">
        <v>870</v>
      </c>
      <c r="Y1387" t="s">
        <v>847</v>
      </c>
      <c r="Z1387" t="s">
        <v>5481</v>
      </c>
    </row>
    <row r="1388" spans="1:26" x14ac:dyDescent="0.3">
      <c r="A1388" t="s">
        <v>525</v>
      </c>
      <c r="B1388" t="s">
        <v>5484</v>
      </c>
      <c r="C1388" t="s">
        <v>5485</v>
      </c>
      <c r="D1388" t="s">
        <v>550</v>
      </c>
      <c r="E1388" t="s">
        <v>1930</v>
      </c>
      <c r="F1388" t="s">
        <v>1931</v>
      </c>
      <c r="G1388" s="1">
        <v>43467</v>
      </c>
      <c r="H1388" s="1">
        <v>43830</v>
      </c>
      <c r="I1388" t="s">
        <v>665</v>
      </c>
      <c r="J1388" t="s">
        <v>1932</v>
      </c>
      <c r="K1388" t="s">
        <v>862</v>
      </c>
      <c r="L1388" t="s">
        <v>863</v>
      </c>
      <c r="M1388" t="s">
        <v>1988</v>
      </c>
      <c r="N1388" t="s">
        <v>1989</v>
      </c>
      <c r="O1388" t="s">
        <v>1369</v>
      </c>
      <c r="P1388" t="s">
        <v>1370</v>
      </c>
      <c r="Q1388" t="s">
        <v>5373</v>
      </c>
      <c r="R1388" t="s">
        <v>5374</v>
      </c>
      <c r="S1388" t="s">
        <v>550</v>
      </c>
      <c r="T1388" t="s">
        <v>550</v>
      </c>
      <c r="U1388" t="s">
        <v>550</v>
      </c>
      <c r="V1388" t="s">
        <v>5486</v>
      </c>
      <c r="W1388" t="s">
        <v>869</v>
      </c>
      <c r="X1388" t="s">
        <v>870</v>
      </c>
      <c r="Y1388" t="s">
        <v>847</v>
      </c>
      <c r="Z1388" t="s">
        <v>5484</v>
      </c>
    </row>
    <row r="1389" spans="1:26" x14ac:dyDescent="0.3">
      <c r="A1389" t="s">
        <v>525</v>
      </c>
      <c r="B1389" t="s">
        <v>5487</v>
      </c>
      <c r="C1389" t="s">
        <v>5488</v>
      </c>
      <c r="D1389" t="s">
        <v>1290</v>
      </c>
      <c r="E1389" t="s">
        <v>1291</v>
      </c>
      <c r="F1389" t="s">
        <v>1292</v>
      </c>
      <c r="G1389" s="1">
        <v>43831</v>
      </c>
      <c r="H1389" s="1">
        <v>43882</v>
      </c>
      <c r="I1389" t="s">
        <v>665</v>
      </c>
      <c r="J1389" t="s">
        <v>1041</v>
      </c>
      <c r="K1389" t="s">
        <v>24</v>
      </c>
      <c r="L1389" t="s">
        <v>216</v>
      </c>
      <c r="M1389" t="s">
        <v>1293</v>
      </c>
      <c r="N1389" t="s">
        <v>256</v>
      </c>
      <c r="O1389" t="s">
        <v>1301</v>
      </c>
      <c r="P1389" t="s">
        <v>1302</v>
      </c>
      <c r="Q1389" t="s">
        <v>5373</v>
      </c>
      <c r="R1389" t="s">
        <v>5374</v>
      </c>
      <c r="S1389" t="s">
        <v>550</v>
      </c>
      <c r="T1389" t="s">
        <v>550</v>
      </c>
      <c r="U1389" t="s">
        <v>550</v>
      </c>
      <c r="V1389" t="s">
        <v>5489</v>
      </c>
      <c r="W1389" t="s">
        <v>613</v>
      </c>
      <c r="X1389" t="s">
        <v>74</v>
      </c>
      <c r="Y1389" t="s">
        <v>1281</v>
      </c>
      <c r="Z1389" t="s">
        <v>5487</v>
      </c>
    </row>
    <row r="1390" spans="1:26" x14ac:dyDescent="0.3">
      <c r="A1390" t="s">
        <v>525</v>
      </c>
      <c r="B1390" t="s">
        <v>5490</v>
      </c>
      <c r="C1390" t="s">
        <v>5491</v>
      </c>
      <c r="D1390" t="s">
        <v>1274</v>
      </c>
      <c r="E1390" t="s">
        <v>1275</v>
      </c>
      <c r="F1390" t="s">
        <v>1276</v>
      </c>
      <c r="G1390" s="1">
        <v>43831</v>
      </c>
      <c r="H1390" s="1">
        <v>43882</v>
      </c>
      <c r="I1390" t="s">
        <v>665</v>
      </c>
      <c r="J1390" t="s">
        <v>1277</v>
      </c>
      <c r="K1390" t="s">
        <v>24</v>
      </c>
      <c r="L1390" t="s">
        <v>1045</v>
      </c>
      <c r="M1390" t="s">
        <v>1030</v>
      </c>
      <c r="N1390" t="s">
        <v>255</v>
      </c>
      <c r="O1390" t="s">
        <v>1278</v>
      </c>
      <c r="P1390" t="s">
        <v>1279</v>
      </c>
      <c r="Q1390" t="s">
        <v>5373</v>
      </c>
      <c r="R1390" t="s">
        <v>5374</v>
      </c>
      <c r="S1390" t="s">
        <v>550</v>
      </c>
      <c r="T1390" t="s">
        <v>550</v>
      </c>
      <c r="U1390" t="s">
        <v>550</v>
      </c>
      <c r="V1390" t="s">
        <v>5492</v>
      </c>
      <c r="W1390" t="s">
        <v>613</v>
      </c>
      <c r="X1390" t="s">
        <v>74</v>
      </c>
      <c r="Y1390" t="s">
        <v>1281</v>
      </c>
      <c r="Z1390" t="s">
        <v>5490</v>
      </c>
    </row>
    <row r="1391" spans="1:26" x14ac:dyDescent="0.3">
      <c r="A1391" t="s">
        <v>525</v>
      </c>
      <c r="B1391" t="s">
        <v>5493</v>
      </c>
      <c r="C1391" t="s">
        <v>5494</v>
      </c>
      <c r="D1391" t="s">
        <v>550</v>
      </c>
      <c r="E1391" t="s">
        <v>664</v>
      </c>
      <c r="F1391" t="s">
        <v>27</v>
      </c>
      <c r="G1391" s="1">
        <v>43467</v>
      </c>
      <c r="H1391" s="1">
        <v>43830</v>
      </c>
      <c r="I1391" t="s">
        <v>665</v>
      </c>
      <c r="J1391" t="s">
        <v>666</v>
      </c>
      <c r="K1391" t="s">
        <v>24</v>
      </c>
      <c r="L1391" t="s">
        <v>667</v>
      </c>
      <c r="M1391" t="s">
        <v>797</v>
      </c>
      <c r="N1391" t="s">
        <v>313</v>
      </c>
      <c r="O1391" t="s">
        <v>1168</v>
      </c>
      <c r="P1391" t="s">
        <v>1169</v>
      </c>
      <c r="Q1391" t="s">
        <v>5373</v>
      </c>
      <c r="R1391" t="s">
        <v>5374</v>
      </c>
      <c r="S1391" t="s">
        <v>550</v>
      </c>
      <c r="T1391" t="s">
        <v>550</v>
      </c>
      <c r="U1391" t="s">
        <v>550</v>
      </c>
      <c r="V1391" t="s">
        <v>5495</v>
      </c>
      <c r="W1391" t="s">
        <v>554</v>
      </c>
      <c r="X1391" t="s">
        <v>669</v>
      </c>
      <c r="Y1391" t="s">
        <v>799</v>
      </c>
      <c r="Z1391" t="s">
        <v>5493</v>
      </c>
    </row>
    <row r="1392" spans="1:26" x14ac:dyDescent="0.3">
      <c r="A1392" t="s">
        <v>525</v>
      </c>
      <c r="B1392" t="s">
        <v>5496</v>
      </c>
      <c r="C1392" t="s">
        <v>5497</v>
      </c>
      <c r="D1392" t="s">
        <v>550</v>
      </c>
      <c r="E1392" t="s">
        <v>664</v>
      </c>
      <c r="F1392" t="s">
        <v>27</v>
      </c>
      <c r="G1392" s="1">
        <v>43467</v>
      </c>
      <c r="H1392" s="1">
        <v>43830</v>
      </c>
      <c r="I1392" t="s">
        <v>665</v>
      </c>
      <c r="J1392" t="s">
        <v>666</v>
      </c>
      <c r="K1392" t="s">
        <v>24</v>
      </c>
      <c r="L1392" t="s">
        <v>216</v>
      </c>
      <c r="M1392" t="s">
        <v>797</v>
      </c>
      <c r="N1392" t="s">
        <v>313</v>
      </c>
      <c r="O1392" t="s">
        <v>1168</v>
      </c>
      <c r="P1392" t="s">
        <v>1169</v>
      </c>
      <c r="Q1392" t="s">
        <v>5373</v>
      </c>
      <c r="R1392" t="s">
        <v>5374</v>
      </c>
      <c r="S1392" t="s">
        <v>550</v>
      </c>
      <c r="T1392" t="s">
        <v>550</v>
      </c>
      <c r="U1392" t="s">
        <v>550</v>
      </c>
      <c r="V1392" t="s">
        <v>5498</v>
      </c>
      <c r="W1392" t="s">
        <v>554</v>
      </c>
      <c r="X1392" t="s">
        <v>669</v>
      </c>
      <c r="Y1392" t="s">
        <v>799</v>
      </c>
      <c r="Z1392" t="s">
        <v>5496</v>
      </c>
    </row>
    <row r="1393" spans="1:26" x14ac:dyDescent="0.3">
      <c r="A1393" t="s">
        <v>525</v>
      </c>
      <c r="B1393" t="s">
        <v>5499</v>
      </c>
      <c r="C1393" t="s">
        <v>5500</v>
      </c>
      <c r="D1393" t="s">
        <v>550</v>
      </c>
      <c r="E1393" t="s">
        <v>664</v>
      </c>
      <c r="F1393" t="s">
        <v>27</v>
      </c>
      <c r="G1393" s="1">
        <v>43467</v>
      </c>
      <c r="H1393" s="1">
        <v>43830</v>
      </c>
      <c r="I1393" t="s">
        <v>665</v>
      </c>
      <c r="J1393" t="s">
        <v>666</v>
      </c>
      <c r="K1393" t="s">
        <v>24</v>
      </c>
      <c r="L1393" t="s">
        <v>667</v>
      </c>
      <c r="M1393" t="s">
        <v>797</v>
      </c>
      <c r="N1393" t="s">
        <v>313</v>
      </c>
      <c r="O1393" t="s">
        <v>1168</v>
      </c>
      <c r="P1393" t="s">
        <v>1169</v>
      </c>
      <c r="Q1393" t="s">
        <v>5373</v>
      </c>
      <c r="R1393" t="s">
        <v>5374</v>
      </c>
      <c r="S1393" t="s">
        <v>550</v>
      </c>
      <c r="T1393" t="s">
        <v>550</v>
      </c>
      <c r="U1393" t="s">
        <v>550</v>
      </c>
      <c r="V1393" t="s">
        <v>5501</v>
      </c>
      <c r="W1393" t="s">
        <v>554</v>
      </c>
      <c r="X1393" t="s">
        <v>669</v>
      </c>
      <c r="Y1393" t="s">
        <v>799</v>
      </c>
      <c r="Z1393" t="s">
        <v>5499</v>
      </c>
    </row>
    <row r="1394" spans="1:26" x14ac:dyDescent="0.3">
      <c r="A1394" t="s">
        <v>525</v>
      </c>
      <c r="B1394" t="s">
        <v>5502</v>
      </c>
      <c r="C1394" t="s">
        <v>5503</v>
      </c>
      <c r="D1394" t="s">
        <v>550</v>
      </c>
      <c r="E1394" t="s">
        <v>664</v>
      </c>
      <c r="F1394" t="s">
        <v>27</v>
      </c>
      <c r="G1394" s="1">
        <v>43467</v>
      </c>
      <c r="H1394" s="1">
        <v>43830</v>
      </c>
      <c r="I1394" t="s">
        <v>665</v>
      </c>
      <c r="J1394" t="s">
        <v>666</v>
      </c>
      <c r="K1394" t="s">
        <v>24</v>
      </c>
      <c r="L1394" t="s">
        <v>1010</v>
      </c>
      <c r="M1394" t="s">
        <v>797</v>
      </c>
      <c r="N1394" t="s">
        <v>313</v>
      </c>
      <c r="O1394" t="s">
        <v>1168</v>
      </c>
      <c r="P1394" t="s">
        <v>1169</v>
      </c>
      <c r="Q1394" t="s">
        <v>5373</v>
      </c>
      <c r="R1394" t="s">
        <v>5374</v>
      </c>
      <c r="S1394" t="s">
        <v>550</v>
      </c>
      <c r="T1394" t="s">
        <v>550</v>
      </c>
      <c r="U1394" t="s">
        <v>550</v>
      </c>
      <c r="V1394" t="s">
        <v>5504</v>
      </c>
      <c r="W1394" t="s">
        <v>554</v>
      </c>
      <c r="X1394" t="s">
        <v>669</v>
      </c>
      <c r="Y1394" t="s">
        <v>799</v>
      </c>
      <c r="Z1394" t="s">
        <v>5502</v>
      </c>
    </row>
    <row r="1395" spans="1:26" x14ac:dyDescent="0.3">
      <c r="A1395" t="s">
        <v>525</v>
      </c>
      <c r="B1395" t="s">
        <v>5505</v>
      </c>
      <c r="C1395" t="s">
        <v>5506</v>
      </c>
      <c r="D1395" t="s">
        <v>550</v>
      </c>
      <c r="E1395" t="s">
        <v>664</v>
      </c>
      <c r="F1395" t="s">
        <v>27</v>
      </c>
      <c r="G1395" s="1">
        <v>43467</v>
      </c>
      <c r="H1395" s="1">
        <v>43830</v>
      </c>
      <c r="I1395" t="s">
        <v>665</v>
      </c>
      <c r="J1395" t="s">
        <v>666</v>
      </c>
      <c r="K1395" t="s">
        <v>24</v>
      </c>
      <c r="L1395" t="s">
        <v>667</v>
      </c>
      <c r="M1395" t="s">
        <v>797</v>
      </c>
      <c r="N1395" t="s">
        <v>313</v>
      </c>
      <c r="O1395" t="s">
        <v>1168</v>
      </c>
      <c r="P1395" t="s">
        <v>1169</v>
      </c>
      <c r="Q1395" t="s">
        <v>5373</v>
      </c>
      <c r="R1395" t="s">
        <v>5374</v>
      </c>
      <c r="S1395" t="s">
        <v>550</v>
      </c>
      <c r="T1395" t="s">
        <v>550</v>
      </c>
      <c r="U1395" t="s">
        <v>550</v>
      </c>
      <c r="V1395" t="s">
        <v>5507</v>
      </c>
      <c r="W1395" t="s">
        <v>554</v>
      </c>
      <c r="X1395" t="s">
        <v>669</v>
      </c>
      <c r="Y1395" t="s">
        <v>799</v>
      </c>
      <c r="Z1395" t="s">
        <v>5505</v>
      </c>
    </row>
    <row r="1396" spans="1:26" x14ac:dyDescent="0.3">
      <c r="A1396" t="s">
        <v>525</v>
      </c>
      <c r="B1396" t="s">
        <v>5508</v>
      </c>
      <c r="C1396" t="s">
        <v>5509</v>
      </c>
      <c r="D1396" t="s">
        <v>550</v>
      </c>
      <c r="E1396" t="s">
        <v>5510</v>
      </c>
      <c r="F1396" t="s">
        <v>5511</v>
      </c>
      <c r="G1396" s="1">
        <v>43467</v>
      </c>
      <c r="H1396" s="1">
        <v>43830</v>
      </c>
      <c r="I1396" t="s">
        <v>665</v>
      </c>
      <c r="J1396" t="s">
        <v>5512</v>
      </c>
      <c r="K1396" t="s">
        <v>24</v>
      </c>
      <c r="L1396" t="s">
        <v>216</v>
      </c>
      <c r="M1396" t="s">
        <v>797</v>
      </c>
      <c r="N1396" t="s">
        <v>313</v>
      </c>
      <c r="O1396" t="s">
        <v>1168</v>
      </c>
      <c r="P1396" t="s">
        <v>1169</v>
      </c>
      <c r="Q1396" t="s">
        <v>5373</v>
      </c>
      <c r="R1396" t="s">
        <v>5374</v>
      </c>
      <c r="S1396" t="s">
        <v>550</v>
      </c>
      <c r="T1396" t="s">
        <v>550</v>
      </c>
      <c r="U1396" t="s">
        <v>550</v>
      </c>
      <c r="V1396" t="s">
        <v>5513</v>
      </c>
      <c r="W1396" t="s">
        <v>554</v>
      </c>
      <c r="X1396" t="s">
        <v>669</v>
      </c>
      <c r="Y1396" t="s">
        <v>799</v>
      </c>
      <c r="Z1396" t="s">
        <v>5508</v>
      </c>
    </row>
    <row r="1397" spans="1:26" x14ac:dyDescent="0.3">
      <c r="A1397" t="s">
        <v>525</v>
      </c>
      <c r="B1397" t="s">
        <v>5514</v>
      </c>
      <c r="C1397" t="s">
        <v>5515</v>
      </c>
      <c r="D1397" t="s">
        <v>550</v>
      </c>
      <c r="E1397" t="s">
        <v>664</v>
      </c>
      <c r="F1397" t="s">
        <v>27</v>
      </c>
      <c r="G1397" s="1">
        <v>43467</v>
      </c>
      <c r="H1397" s="1">
        <v>43830</v>
      </c>
      <c r="I1397" t="s">
        <v>665</v>
      </c>
      <c r="J1397" t="s">
        <v>666</v>
      </c>
      <c r="K1397" t="s">
        <v>24</v>
      </c>
      <c r="L1397" t="s">
        <v>216</v>
      </c>
      <c r="M1397" t="s">
        <v>797</v>
      </c>
      <c r="N1397" t="s">
        <v>313</v>
      </c>
      <c r="O1397" t="s">
        <v>1168</v>
      </c>
      <c r="P1397" t="s">
        <v>1169</v>
      </c>
      <c r="Q1397" t="s">
        <v>5373</v>
      </c>
      <c r="R1397" t="s">
        <v>5374</v>
      </c>
      <c r="S1397" t="s">
        <v>550</v>
      </c>
      <c r="T1397" t="s">
        <v>550</v>
      </c>
      <c r="U1397" t="s">
        <v>550</v>
      </c>
      <c r="V1397" t="s">
        <v>5516</v>
      </c>
      <c r="W1397" t="s">
        <v>554</v>
      </c>
      <c r="X1397" t="s">
        <v>669</v>
      </c>
      <c r="Y1397" t="s">
        <v>799</v>
      </c>
      <c r="Z1397" t="s">
        <v>5514</v>
      </c>
    </row>
    <row r="1398" spans="1:26" x14ac:dyDescent="0.3">
      <c r="A1398" t="s">
        <v>525</v>
      </c>
      <c r="B1398" t="s">
        <v>5517</v>
      </c>
      <c r="C1398" t="s">
        <v>5518</v>
      </c>
      <c r="D1398" t="s">
        <v>550</v>
      </c>
      <c r="E1398" t="s">
        <v>664</v>
      </c>
      <c r="F1398" t="s">
        <v>27</v>
      </c>
      <c r="G1398" s="1">
        <v>43467</v>
      </c>
      <c r="H1398" s="1">
        <v>43830</v>
      </c>
      <c r="I1398" t="s">
        <v>665</v>
      </c>
      <c r="J1398" t="s">
        <v>666</v>
      </c>
      <c r="K1398" t="s">
        <v>24</v>
      </c>
      <c r="L1398" t="s">
        <v>216</v>
      </c>
      <c r="M1398" t="s">
        <v>797</v>
      </c>
      <c r="N1398" t="s">
        <v>313</v>
      </c>
      <c r="O1398" t="s">
        <v>1168</v>
      </c>
      <c r="P1398" t="s">
        <v>1169</v>
      </c>
      <c r="Q1398" t="s">
        <v>5373</v>
      </c>
      <c r="R1398" t="s">
        <v>5374</v>
      </c>
      <c r="S1398" t="s">
        <v>550</v>
      </c>
      <c r="T1398" t="s">
        <v>550</v>
      </c>
      <c r="U1398" t="s">
        <v>550</v>
      </c>
      <c r="V1398" t="s">
        <v>5519</v>
      </c>
      <c r="W1398" t="s">
        <v>554</v>
      </c>
      <c r="X1398" t="s">
        <v>669</v>
      </c>
      <c r="Y1398" t="s">
        <v>799</v>
      </c>
      <c r="Z1398" t="s">
        <v>5517</v>
      </c>
    </row>
    <row r="1399" spans="1:26" x14ac:dyDescent="0.3">
      <c r="A1399" t="s">
        <v>525</v>
      </c>
      <c r="B1399" t="s">
        <v>5520</v>
      </c>
      <c r="C1399" t="s">
        <v>5521</v>
      </c>
      <c r="D1399" t="s">
        <v>550</v>
      </c>
      <c r="E1399" t="s">
        <v>664</v>
      </c>
      <c r="F1399" t="s">
        <v>27</v>
      </c>
      <c r="G1399" s="1">
        <v>43467</v>
      </c>
      <c r="H1399" s="1">
        <v>43830</v>
      </c>
      <c r="I1399" t="s">
        <v>665</v>
      </c>
      <c r="J1399" t="s">
        <v>666</v>
      </c>
      <c r="K1399" t="s">
        <v>24</v>
      </c>
      <c r="L1399" t="s">
        <v>667</v>
      </c>
      <c r="M1399" t="s">
        <v>797</v>
      </c>
      <c r="N1399" t="s">
        <v>313</v>
      </c>
      <c r="O1399" t="s">
        <v>1168</v>
      </c>
      <c r="P1399" t="s">
        <v>1169</v>
      </c>
      <c r="Q1399" t="s">
        <v>5373</v>
      </c>
      <c r="R1399" t="s">
        <v>5374</v>
      </c>
      <c r="S1399" t="s">
        <v>550</v>
      </c>
      <c r="T1399" t="s">
        <v>550</v>
      </c>
      <c r="U1399" t="s">
        <v>550</v>
      </c>
      <c r="V1399" t="s">
        <v>5522</v>
      </c>
      <c r="W1399" t="s">
        <v>554</v>
      </c>
      <c r="X1399" t="s">
        <v>669</v>
      </c>
      <c r="Y1399" t="s">
        <v>799</v>
      </c>
      <c r="Z1399" t="s">
        <v>5520</v>
      </c>
    </row>
    <row r="1400" spans="1:26" x14ac:dyDescent="0.3">
      <c r="A1400" t="s">
        <v>525</v>
      </c>
      <c r="B1400" t="s">
        <v>5523</v>
      </c>
      <c r="C1400" t="s">
        <v>5524</v>
      </c>
      <c r="D1400" t="s">
        <v>550</v>
      </c>
      <c r="E1400" t="s">
        <v>664</v>
      </c>
      <c r="F1400" t="s">
        <v>27</v>
      </c>
      <c r="G1400" s="1">
        <v>43467</v>
      </c>
      <c r="H1400" s="1">
        <v>43830</v>
      </c>
      <c r="I1400" t="s">
        <v>665</v>
      </c>
      <c r="J1400" t="s">
        <v>666</v>
      </c>
      <c r="K1400" t="s">
        <v>24</v>
      </c>
      <c r="L1400" t="s">
        <v>667</v>
      </c>
      <c r="M1400" t="s">
        <v>797</v>
      </c>
      <c r="N1400" t="s">
        <v>313</v>
      </c>
      <c r="O1400" t="s">
        <v>1168</v>
      </c>
      <c r="P1400" t="s">
        <v>1169</v>
      </c>
      <c r="Q1400" t="s">
        <v>5373</v>
      </c>
      <c r="R1400" t="s">
        <v>5374</v>
      </c>
      <c r="S1400" t="s">
        <v>550</v>
      </c>
      <c r="T1400" t="s">
        <v>550</v>
      </c>
      <c r="U1400" t="s">
        <v>550</v>
      </c>
      <c r="V1400" t="s">
        <v>5525</v>
      </c>
      <c r="W1400" t="s">
        <v>554</v>
      </c>
      <c r="X1400" t="s">
        <v>669</v>
      </c>
      <c r="Y1400" t="s">
        <v>799</v>
      </c>
      <c r="Z1400" t="s">
        <v>5523</v>
      </c>
    </row>
    <row r="1401" spans="1:26" x14ac:dyDescent="0.3">
      <c r="A1401" t="s">
        <v>525</v>
      </c>
      <c r="B1401" t="s">
        <v>5526</v>
      </c>
      <c r="C1401" t="s">
        <v>5527</v>
      </c>
      <c r="D1401" t="s">
        <v>550</v>
      </c>
      <c r="E1401" t="s">
        <v>664</v>
      </c>
      <c r="F1401" t="s">
        <v>27</v>
      </c>
      <c r="G1401" s="1">
        <v>43467</v>
      </c>
      <c r="H1401" s="1">
        <v>43830</v>
      </c>
      <c r="I1401" t="s">
        <v>665</v>
      </c>
      <c r="J1401" t="s">
        <v>666</v>
      </c>
      <c r="K1401" t="s">
        <v>24</v>
      </c>
      <c r="L1401" t="s">
        <v>667</v>
      </c>
      <c r="M1401" t="s">
        <v>797</v>
      </c>
      <c r="N1401" t="s">
        <v>313</v>
      </c>
      <c r="O1401" t="s">
        <v>1168</v>
      </c>
      <c r="P1401" t="s">
        <v>1169</v>
      </c>
      <c r="Q1401" t="s">
        <v>5373</v>
      </c>
      <c r="R1401" t="s">
        <v>5374</v>
      </c>
      <c r="S1401" t="s">
        <v>550</v>
      </c>
      <c r="T1401" t="s">
        <v>550</v>
      </c>
      <c r="U1401" t="s">
        <v>550</v>
      </c>
      <c r="V1401" t="s">
        <v>5528</v>
      </c>
      <c r="W1401" t="s">
        <v>554</v>
      </c>
      <c r="X1401" t="s">
        <v>669</v>
      </c>
      <c r="Y1401" t="s">
        <v>799</v>
      </c>
      <c r="Z1401" t="s">
        <v>5526</v>
      </c>
    </row>
    <row r="1402" spans="1:26" x14ac:dyDescent="0.3">
      <c r="A1402" t="s">
        <v>525</v>
      </c>
      <c r="B1402" t="s">
        <v>5529</v>
      </c>
      <c r="C1402" t="s">
        <v>5530</v>
      </c>
      <c r="D1402" t="s">
        <v>550</v>
      </c>
      <c r="E1402" t="s">
        <v>664</v>
      </c>
      <c r="F1402" t="s">
        <v>27</v>
      </c>
      <c r="G1402" s="1">
        <v>43497</v>
      </c>
      <c r="H1402" s="1">
        <v>43517</v>
      </c>
      <c r="I1402" t="s">
        <v>665</v>
      </c>
      <c r="J1402" t="s">
        <v>666</v>
      </c>
      <c r="K1402" t="s">
        <v>24</v>
      </c>
      <c r="L1402" t="s">
        <v>667</v>
      </c>
      <c r="M1402" t="s">
        <v>1230</v>
      </c>
      <c r="N1402" t="s">
        <v>1231</v>
      </c>
      <c r="O1402" t="s">
        <v>1168</v>
      </c>
      <c r="P1402" t="s">
        <v>1169</v>
      </c>
      <c r="Q1402" t="s">
        <v>5373</v>
      </c>
      <c r="R1402" t="s">
        <v>5374</v>
      </c>
      <c r="S1402" t="s">
        <v>550</v>
      </c>
      <c r="T1402" t="s">
        <v>550</v>
      </c>
      <c r="U1402" t="s">
        <v>550</v>
      </c>
      <c r="V1402" t="s">
        <v>5531</v>
      </c>
      <c r="W1402" t="s">
        <v>554</v>
      </c>
      <c r="X1402" t="s">
        <v>669</v>
      </c>
      <c r="Y1402" t="s">
        <v>799</v>
      </c>
      <c r="Z1402" t="s">
        <v>5529</v>
      </c>
    </row>
    <row r="1403" spans="1:26" x14ac:dyDescent="0.3">
      <c r="A1403" t="s">
        <v>525</v>
      </c>
      <c r="B1403" t="s">
        <v>5532</v>
      </c>
      <c r="C1403" t="s">
        <v>5533</v>
      </c>
      <c r="D1403" t="s">
        <v>550</v>
      </c>
      <c r="E1403" t="s">
        <v>664</v>
      </c>
      <c r="F1403" t="s">
        <v>27</v>
      </c>
      <c r="G1403" s="1">
        <v>43467</v>
      </c>
      <c r="H1403" s="1">
        <v>43830</v>
      </c>
      <c r="I1403" t="s">
        <v>665</v>
      </c>
      <c r="J1403" t="s">
        <v>666</v>
      </c>
      <c r="K1403" t="s">
        <v>24</v>
      </c>
      <c r="L1403" t="s">
        <v>667</v>
      </c>
      <c r="M1403" t="s">
        <v>5534</v>
      </c>
      <c r="N1403" t="s">
        <v>5535</v>
      </c>
      <c r="O1403" t="s">
        <v>1168</v>
      </c>
      <c r="P1403" t="s">
        <v>1169</v>
      </c>
      <c r="Q1403" t="s">
        <v>5373</v>
      </c>
      <c r="R1403" t="s">
        <v>5374</v>
      </c>
      <c r="S1403" t="s">
        <v>550</v>
      </c>
      <c r="T1403" t="s">
        <v>550</v>
      </c>
      <c r="U1403" t="s">
        <v>550</v>
      </c>
      <c r="V1403" t="s">
        <v>5536</v>
      </c>
      <c r="W1403" t="s">
        <v>554</v>
      </c>
      <c r="X1403" t="s">
        <v>669</v>
      </c>
      <c r="Y1403" t="s">
        <v>799</v>
      </c>
      <c r="Z1403" t="s">
        <v>5532</v>
      </c>
    </row>
    <row r="1404" spans="1:26" x14ac:dyDescent="0.3">
      <c r="A1404" t="s">
        <v>525</v>
      </c>
      <c r="B1404" t="s">
        <v>5537</v>
      </c>
      <c r="C1404" t="s">
        <v>5538</v>
      </c>
      <c r="D1404" t="s">
        <v>550</v>
      </c>
      <c r="E1404" t="s">
        <v>664</v>
      </c>
      <c r="F1404" t="s">
        <v>27</v>
      </c>
      <c r="G1404" s="1">
        <v>43467</v>
      </c>
      <c r="H1404" s="1">
        <v>43830</v>
      </c>
      <c r="I1404" t="s">
        <v>665</v>
      </c>
      <c r="J1404" t="s">
        <v>666</v>
      </c>
      <c r="K1404" t="s">
        <v>24</v>
      </c>
      <c r="L1404" t="s">
        <v>667</v>
      </c>
      <c r="M1404" t="s">
        <v>5534</v>
      </c>
      <c r="N1404" t="s">
        <v>5535</v>
      </c>
      <c r="O1404" t="s">
        <v>1168</v>
      </c>
      <c r="P1404" t="s">
        <v>1169</v>
      </c>
      <c r="Q1404" t="s">
        <v>5373</v>
      </c>
      <c r="R1404" t="s">
        <v>5374</v>
      </c>
      <c r="S1404" t="s">
        <v>550</v>
      </c>
      <c r="T1404" t="s">
        <v>550</v>
      </c>
      <c r="U1404" t="s">
        <v>550</v>
      </c>
      <c r="V1404" t="s">
        <v>5539</v>
      </c>
      <c r="W1404" t="s">
        <v>554</v>
      </c>
      <c r="X1404" t="s">
        <v>669</v>
      </c>
      <c r="Y1404" t="s">
        <v>799</v>
      </c>
      <c r="Z1404" t="s">
        <v>5537</v>
      </c>
    </row>
    <row r="1405" spans="1:26" x14ac:dyDescent="0.3">
      <c r="A1405" t="s">
        <v>525</v>
      </c>
      <c r="B1405" t="s">
        <v>5540</v>
      </c>
      <c r="C1405" t="s">
        <v>5541</v>
      </c>
      <c r="D1405" t="s">
        <v>550</v>
      </c>
      <c r="E1405" t="s">
        <v>664</v>
      </c>
      <c r="F1405" t="s">
        <v>27</v>
      </c>
      <c r="G1405" s="1">
        <v>43467</v>
      </c>
      <c r="H1405" s="1">
        <v>43830</v>
      </c>
      <c r="I1405" t="s">
        <v>665</v>
      </c>
      <c r="J1405" t="s">
        <v>666</v>
      </c>
      <c r="K1405" t="s">
        <v>24</v>
      </c>
      <c r="L1405" t="s">
        <v>667</v>
      </c>
      <c r="M1405" t="s">
        <v>1230</v>
      </c>
      <c r="N1405" t="s">
        <v>1231</v>
      </c>
      <c r="O1405" t="s">
        <v>1168</v>
      </c>
      <c r="P1405" t="s">
        <v>1169</v>
      </c>
      <c r="Q1405" t="s">
        <v>5373</v>
      </c>
      <c r="R1405" t="s">
        <v>5374</v>
      </c>
      <c r="S1405" t="s">
        <v>550</v>
      </c>
      <c r="T1405" t="s">
        <v>550</v>
      </c>
      <c r="U1405" t="s">
        <v>550</v>
      </c>
      <c r="V1405" t="s">
        <v>5542</v>
      </c>
      <c r="W1405" t="s">
        <v>554</v>
      </c>
      <c r="X1405" t="s">
        <v>669</v>
      </c>
      <c r="Y1405" t="s">
        <v>799</v>
      </c>
      <c r="Z1405" t="s">
        <v>5540</v>
      </c>
    </row>
    <row r="1406" spans="1:26" x14ac:dyDescent="0.3">
      <c r="A1406" t="s">
        <v>525</v>
      </c>
      <c r="B1406" t="s">
        <v>5543</v>
      </c>
      <c r="C1406" t="s">
        <v>5544</v>
      </c>
      <c r="D1406" t="s">
        <v>550</v>
      </c>
      <c r="E1406" t="s">
        <v>664</v>
      </c>
      <c r="F1406" t="s">
        <v>27</v>
      </c>
      <c r="G1406" s="1">
        <v>43467</v>
      </c>
      <c r="H1406" s="1">
        <v>43830</v>
      </c>
      <c r="I1406" t="s">
        <v>665</v>
      </c>
      <c r="J1406" t="s">
        <v>666</v>
      </c>
      <c r="K1406" t="s">
        <v>24</v>
      </c>
      <c r="L1406" t="s">
        <v>667</v>
      </c>
      <c r="M1406" t="s">
        <v>1230</v>
      </c>
      <c r="N1406" t="s">
        <v>1231</v>
      </c>
      <c r="O1406" t="s">
        <v>1168</v>
      </c>
      <c r="P1406" t="s">
        <v>1169</v>
      </c>
      <c r="Q1406" t="s">
        <v>5373</v>
      </c>
      <c r="R1406" t="s">
        <v>5374</v>
      </c>
      <c r="S1406" t="s">
        <v>550</v>
      </c>
      <c r="T1406" t="s">
        <v>550</v>
      </c>
      <c r="U1406" t="s">
        <v>550</v>
      </c>
      <c r="V1406" t="s">
        <v>5545</v>
      </c>
      <c r="W1406" t="s">
        <v>554</v>
      </c>
      <c r="X1406" t="s">
        <v>669</v>
      </c>
      <c r="Y1406" t="s">
        <v>799</v>
      </c>
      <c r="Z1406" t="s">
        <v>5543</v>
      </c>
    </row>
    <row r="1407" spans="1:26" x14ac:dyDescent="0.3">
      <c r="A1407" t="s">
        <v>525</v>
      </c>
      <c r="B1407" t="s">
        <v>5546</v>
      </c>
      <c r="C1407" t="s">
        <v>5547</v>
      </c>
      <c r="D1407" t="s">
        <v>550</v>
      </c>
      <c r="E1407" t="s">
        <v>664</v>
      </c>
      <c r="F1407" t="s">
        <v>27</v>
      </c>
      <c r="G1407" s="1">
        <v>43467</v>
      </c>
      <c r="H1407" s="1">
        <v>43830</v>
      </c>
      <c r="I1407" t="s">
        <v>665</v>
      </c>
      <c r="J1407" t="s">
        <v>666</v>
      </c>
      <c r="K1407" t="s">
        <v>24</v>
      </c>
      <c r="L1407" t="s">
        <v>667</v>
      </c>
      <c r="M1407" t="s">
        <v>1230</v>
      </c>
      <c r="N1407" t="s">
        <v>1231</v>
      </c>
      <c r="O1407" t="s">
        <v>1168</v>
      </c>
      <c r="P1407" t="s">
        <v>1169</v>
      </c>
      <c r="Q1407" t="s">
        <v>5373</v>
      </c>
      <c r="R1407" t="s">
        <v>5374</v>
      </c>
      <c r="S1407" t="s">
        <v>550</v>
      </c>
      <c r="T1407" t="s">
        <v>550</v>
      </c>
      <c r="U1407" t="s">
        <v>550</v>
      </c>
      <c r="V1407" t="s">
        <v>5548</v>
      </c>
      <c r="W1407" t="s">
        <v>554</v>
      </c>
      <c r="X1407" t="s">
        <v>669</v>
      </c>
      <c r="Y1407" t="s">
        <v>799</v>
      </c>
      <c r="Z1407" t="s">
        <v>5546</v>
      </c>
    </row>
    <row r="1408" spans="1:26" x14ac:dyDescent="0.3">
      <c r="A1408" t="s">
        <v>525</v>
      </c>
      <c r="B1408" t="s">
        <v>5549</v>
      </c>
      <c r="C1408" t="s">
        <v>5550</v>
      </c>
      <c r="D1408" t="s">
        <v>550</v>
      </c>
      <c r="E1408" t="s">
        <v>664</v>
      </c>
      <c r="F1408" t="s">
        <v>27</v>
      </c>
      <c r="G1408" s="1">
        <v>43467</v>
      </c>
      <c r="H1408" s="1">
        <v>43830</v>
      </c>
      <c r="I1408" t="s">
        <v>665</v>
      </c>
      <c r="J1408" t="s">
        <v>666</v>
      </c>
      <c r="K1408" t="s">
        <v>24</v>
      </c>
      <c r="L1408" t="s">
        <v>667</v>
      </c>
      <c r="M1408" t="s">
        <v>1230</v>
      </c>
      <c r="N1408" t="s">
        <v>1231</v>
      </c>
      <c r="O1408" t="s">
        <v>1168</v>
      </c>
      <c r="P1408" t="s">
        <v>1169</v>
      </c>
      <c r="Q1408" t="s">
        <v>5373</v>
      </c>
      <c r="R1408" t="s">
        <v>5374</v>
      </c>
      <c r="S1408" t="s">
        <v>550</v>
      </c>
      <c r="T1408" t="s">
        <v>550</v>
      </c>
      <c r="U1408" t="s">
        <v>550</v>
      </c>
      <c r="V1408" t="s">
        <v>5551</v>
      </c>
      <c r="W1408" t="s">
        <v>554</v>
      </c>
      <c r="X1408" t="s">
        <v>669</v>
      </c>
      <c r="Y1408" t="s">
        <v>799</v>
      </c>
      <c r="Z1408" t="s">
        <v>5549</v>
      </c>
    </row>
    <row r="1409" spans="1:26" x14ac:dyDescent="0.3">
      <c r="A1409" t="s">
        <v>525</v>
      </c>
      <c r="B1409" t="s">
        <v>5552</v>
      </c>
      <c r="C1409" t="s">
        <v>5553</v>
      </c>
      <c r="D1409" t="s">
        <v>550</v>
      </c>
      <c r="E1409" t="s">
        <v>664</v>
      </c>
      <c r="F1409" t="s">
        <v>27</v>
      </c>
      <c r="G1409" s="1">
        <v>43467</v>
      </c>
      <c r="H1409" s="1">
        <v>43830</v>
      </c>
      <c r="I1409" t="s">
        <v>665</v>
      </c>
      <c r="J1409" t="s">
        <v>666</v>
      </c>
      <c r="K1409" t="s">
        <v>24</v>
      </c>
      <c r="L1409" t="s">
        <v>667</v>
      </c>
      <c r="M1409" t="s">
        <v>1230</v>
      </c>
      <c r="N1409" t="s">
        <v>1231</v>
      </c>
      <c r="O1409" t="s">
        <v>1168</v>
      </c>
      <c r="P1409" t="s">
        <v>1169</v>
      </c>
      <c r="Q1409" t="s">
        <v>5373</v>
      </c>
      <c r="R1409" t="s">
        <v>5374</v>
      </c>
      <c r="S1409" t="s">
        <v>550</v>
      </c>
      <c r="T1409" t="s">
        <v>550</v>
      </c>
      <c r="U1409" t="s">
        <v>550</v>
      </c>
      <c r="V1409" t="s">
        <v>5554</v>
      </c>
      <c r="W1409" t="s">
        <v>554</v>
      </c>
      <c r="X1409" t="s">
        <v>669</v>
      </c>
      <c r="Y1409" t="s">
        <v>799</v>
      </c>
      <c r="Z1409" t="s">
        <v>5552</v>
      </c>
    </row>
    <row r="1410" spans="1:26" x14ac:dyDescent="0.3">
      <c r="A1410" t="s">
        <v>525</v>
      </c>
      <c r="B1410" t="s">
        <v>5555</v>
      </c>
      <c r="C1410" t="s">
        <v>5556</v>
      </c>
      <c r="D1410" t="s">
        <v>550</v>
      </c>
      <c r="E1410" t="s">
        <v>664</v>
      </c>
      <c r="F1410" t="s">
        <v>27</v>
      </c>
      <c r="G1410" s="1">
        <v>43467</v>
      </c>
      <c r="H1410" s="1">
        <v>43830</v>
      </c>
      <c r="I1410" t="s">
        <v>665</v>
      </c>
      <c r="J1410" t="s">
        <v>666</v>
      </c>
      <c r="K1410" t="s">
        <v>24</v>
      </c>
      <c r="L1410" t="s">
        <v>667</v>
      </c>
      <c r="M1410" t="s">
        <v>1230</v>
      </c>
      <c r="N1410" t="s">
        <v>1231</v>
      </c>
      <c r="O1410" t="s">
        <v>1168</v>
      </c>
      <c r="P1410" t="s">
        <v>1169</v>
      </c>
      <c r="Q1410" t="s">
        <v>5373</v>
      </c>
      <c r="R1410" t="s">
        <v>5374</v>
      </c>
      <c r="S1410" t="s">
        <v>550</v>
      </c>
      <c r="T1410" t="s">
        <v>550</v>
      </c>
      <c r="U1410" t="s">
        <v>550</v>
      </c>
      <c r="V1410" t="s">
        <v>5557</v>
      </c>
      <c r="W1410" t="s">
        <v>554</v>
      </c>
      <c r="X1410" t="s">
        <v>669</v>
      </c>
      <c r="Y1410" t="s">
        <v>799</v>
      </c>
      <c r="Z1410" t="s">
        <v>5555</v>
      </c>
    </row>
    <row r="1411" spans="1:26" x14ac:dyDescent="0.3">
      <c r="A1411" t="s">
        <v>525</v>
      </c>
      <c r="B1411" t="s">
        <v>5558</v>
      </c>
      <c r="C1411" t="s">
        <v>5559</v>
      </c>
      <c r="D1411" t="s">
        <v>550</v>
      </c>
      <c r="E1411" t="s">
        <v>664</v>
      </c>
      <c r="F1411" t="s">
        <v>27</v>
      </c>
      <c r="G1411" s="1">
        <v>43467</v>
      </c>
      <c r="H1411" s="1">
        <v>43830</v>
      </c>
      <c r="I1411" t="s">
        <v>665</v>
      </c>
      <c r="J1411" t="s">
        <v>666</v>
      </c>
      <c r="K1411" t="s">
        <v>24</v>
      </c>
      <c r="L1411" t="s">
        <v>667</v>
      </c>
      <c r="M1411" t="s">
        <v>1230</v>
      </c>
      <c r="N1411" t="s">
        <v>1231</v>
      </c>
      <c r="O1411" t="s">
        <v>1168</v>
      </c>
      <c r="P1411" t="s">
        <v>1169</v>
      </c>
      <c r="Q1411" t="s">
        <v>5373</v>
      </c>
      <c r="R1411" t="s">
        <v>5374</v>
      </c>
      <c r="S1411" t="s">
        <v>550</v>
      </c>
      <c r="T1411" t="s">
        <v>550</v>
      </c>
      <c r="U1411" t="s">
        <v>550</v>
      </c>
      <c r="V1411" t="s">
        <v>5560</v>
      </c>
      <c r="W1411" t="s">
        <v>554</v>
      </c>
      <c r="X1411" t="s">
        <v>669</v>
      </c>
      <c r="Y1411" t="s">
        <v>799</v>
      </c>
      <c r="Z1411" t="s">
        <v>5558</v>
      </c>
    </row>
    <row r="1412" spans="1:26" x14ac:dyDescent="0.3">
      <c r="A1412" t="s">
        <v>525</v>
      </c>
      <c r="B1412" t="s">
        <v>5561</v>
      </c>
      <c r="C1412" t="s">
        <v>5562</v>
      </c>
      <c r="D1412" t="s">
        <v>550</v>
      </c>
      <c r="E1412" t="s">
        <v>664</v>
      </c>
      <c r="F1412" t="s">
        <v>27</v>
      </c>
      <c r="G1412" s="1">
        <v>43467</v>
      </c>
      <c r="H1412" s="1">
        <v>43830</v>
      </c>
      <c r="I1412" t="s">
        <v>665</v>
      </c>
      <c r="J1412" t="s">
        <v>666</v>
      </c>
      <c r="K1412" t="s">
        <v>24</v>
      </c>
      <c r="L1412" t="s">
        <v>667</v>
      </c>
      <c r="M1412" t="s">
        <v>1230</v>
      </c>
      <c r="N1412" t="s">
        <v>1231</v>
      </c>
      <c r="O1412" t="s">
        <v>1168</v>
      </c>
      <c r="P1412" t="s">
        <v>1169</v>
      </c>
      <c r="Q1412" t="s">
        <v>5373</v>
      </c>
      <c r="R1412" t="s">
        <v>5374</v>
      </c>
      <c r="S1412" t="s">
        <v>550</v>
      </c>
      <c r="T1412" t="s">
        <v>550</v>
      </c>
      <c r="U1412" t="s">
        <v>550</v>
      </c>
      <c r="V1412" t="s">
        <v>5563</v>
      </c>
      <c r="W1412" t="s">
        <v>554</v>
      </c>
      <c r="X1412" t="s">
        <v>669</v>
      </c>
      <c r="Y1412" t="s">
        <v>799</v>
      </c>
      <c r="Z1412" t="s">
        <v>5561</v>
      </c>
    </row>
    <row r="1413" spans="1:26" x14ac:dyDescent="0.3">
      <c r="A1413" t="s">
        <v>525</v>
      </c>
      <c r="B1413" t="s">
        <v>5564</v>
      </c>
      <c r="C1413" t="s">
        <v>1064</v>
      </c>
      <c r="D1413" t="s">
        <v>550</v>
      </c>
      <c r="E1413" t="s">
        <v>1065</v>
      </c>
      <c r="F1413" t="s">
        <v>1066</v>
      </c>
      <c r="G1413" s="1">
        <v>43467</v>
      </c>
      <c r="H1413" s="1">
        <v>43518</v>
      </c>
      <c r="I1413" t="s">
        <v>665</v>
      </c>
      <c r="J1413" t="s">
        <v>1067</v>
      </c>
      <c r="K1413" t="s">
        <v>24</v>
      </c>
      <c r="L1413" t="s">
        <v>667</v>
      </c>
      <c r="M1413" t="s">
        <v>2790</v>
      </c>
      <c r="N1413" t="s">
        <v>2791</v>
      </c>
      <c r="O1413" t="s">
        <v>1031</v>
      </c>
      <c r="P1413" t="s">
        <v>239</v>
      </c>
      <c r="Q1413" t="s">
        <v>5373</v>
      </c>
      <c r="R1413" t="s">
        <v>5374</v>
      </c>
      <c r="S1413" t="s">
        <v>550</v>
      </c>
      <c r="T1413" t="s">
        <v>550</v>
      </c>
      <c r="U1413" t="s">
        <v>550</v>
      </c>
      <c r="V1413" t="s">
        <v>5565</v>
      </c>
      <c r="W1413" t="s">
        <v>613</v>
      </c>
      <c r="X1413" t="s">
        <v>74</v>
      </c>
      <c r="Y1413" t="s">
        <v>786</v>
      </c>
      <c r="Z1413" t="s">
        <v>5564</v>
      </c>
    </row>
    <row r="1414" spans="1:26" x14ac:dyDescent="0.3">
      <c r="A1414" t="s">
        <v>525</v>
      </c>
      <c r="B1414" t="s">
        <v>1297</v>
      </c>
      <c r="C1414" t="s">
        <v>5566</v>
      </c>
      <c r="D1414" t="s">
        <v>550</v>
      </c>
      <c r="E1414" t="s">
        <v>1298</v>
      </c>
      <c r="F1414" t="s">
        <v>1299</v>
      </c>
      <c r="G1414" s="1">
        <v>43467</v>
      </c>
      <c r="H1414" s="1">
        <v>43830</v>
      </c>
      <c r="I1414" t="s">
        <v>665</v>
      </c>
      <c r="J1414" t="s">
        <v>1300</v>
      </c>
      <c r="K1414" t="s">
        <v>958</v>
      </c>
      <c r="L1414" t="s">
        <v>216</v>
      </c>
      <c r="M1414" t="s">
        <v>1030</v>
      </c>
      <c r="N1414" t="s">
        <v>255</v>
      </c>
      <c r="O1414" t="s">
        <v>1031</v>
      </c>
      <c r="P1414" t="s">
        <v>239</v>
      </c>
      <c r="Q1414" t="s">
        <v>5373</v>
      </c>
      <c r="R1414" t="s">
        <v>5374</v>
      </c>
      <c r="S1414" t="s">
        <v>550</v>
      </c>
      <c r="T1414" t="s">
        <v>550</v>
      </c>
      <c r="U1414" t="s">
        <v>550</v>
      </c>
      <c r="V1414" t="s">
        <v>5567</v>
      </c>
      <c r="W1414" t="s">
        <v>613</v>
      </c>
      <c r="X1414" t="s">
        <v>74</v>
      </c>
      <c r="Y1414" t="s">
        <v>803</v>
      </c>
      <c r="Z1414" t="s">
        <v>1297</v>
      </c>
    </row>
    <row r="1415" spans="1:26" x14ac:dyDescent="0.3">
      <c r="A1415" t="s">
        <v>525</v>
      </c>
      <c r="B1415" t="s">
        <v>1290</v>
      </c>
      <c r="C1415" t="s">
        <v>5568</v>
      </c>
      <c r="D1415" t="s">
        <v>550</v>
      </c>
      <c r="E1415" t="s">
        <v>1291</v>
      </c>
      <c r="F1415" t="s">
        <v>1292</v>
      </c>
      <c r="G1415" s="1">
        <v>43467</v>
      </c>
      <c r="H1415" s="1">
        <v>43830</v>
      </c>
      <c r="I1415" t="s">
        <v>780</v>
      </c>
      <c r="J1415" t="s">
        <v>1041</v>
      </c>
      <c r="K1415" t="s">
        <v>24</v>
      </c>
      <c r="L1415" t="s">
        <v>216</v>
      </c>
      <c r="M1415" t="s">
        <v>1293</v>
      </c>
      <c r="N1415" t="s">
        <v>256</v>
      </c>
      <c r="O1415" t="s">
        <v>1031</v>
      </c>
      <c r="P1415" t="s">
        <v>239</v>
      </c>
      <c r="Q1415" t="s">
        <v>5373</v>
      </c>
      <c r="R1415" t="s">
        <v>5374</v>
      </c>
      <c r="S1415" t="s">
        <v>550</v>
      </c>
      <c r="T1415" t="s">
        <v>550</v>
      </c>
      <c r="U1415" t="s">
        <v>550</v>
      </c>
      <c r="V1415" t="s">
        <v>5569</v>
      </c>
      <c r="W1415" t="s">
        <v>613</v>
      </c>
      <c r="X1415" t="s">
        <v>74</v>
      </c>
      <c r="Y1415" t="s">
        <v>1281</v>
      </c>
      <c r="Z1415" t="s">
        <v>1290</v>
      </c>
    </row>
    <row r="1416" spans="1:26" x14ac:dyDescent="0.3">
      <c r="A1416" t="s">
        <v>525</v>
      </c>
      <c r="B1416" t="s">
        <v>1274</v>
      </c>
      <c r="C1416" t="s">
        <v>5570</v>
      </c>
      <c r="D1416" t="s">
        <v>550</v>
      </c>
      <c r="E1416" t="s">
        <v>1275</v>
      </c>
      <c r="F1416" t="s">
        <v>1276</v>
      </c>
      <c r="G1416" s="1">
        <v>43467</v>
      </c>
      <c r="H1416" s="1">
        <v>43830</v>
      </c>
      <c r="I1416" t="s">
        <v>780</v>
      </c>
      <c r="J1416" t="s">
        <v>1277</v>
      </c>
      <c r="K1416" t="s">
        <v>24</v>
      </c>
      <c r="L1416" t="s">
        <v>1045</v>
      </c>
      <c r="M1416" t="s">
        <v>1293</v>
      </c>
      <c r="N1416" t="s">
        <v>256</v>
      </c>
      <c r="O1416" t="s">
        <v>1031</v>
      </c>
      <c r="P1416" t="s">
        <v>239</v>
      </c>
      <c r="Q1416" t="s">
        <v>5373</v>
      </c>
      <c r="R1416" t="s">
        <v>5374</v>
      </c>
      <c r="S1416" t="s">
        <v>550</v>
      </c>
      <c r="T1416" t="s">
        <v>550</v>
      </c>
      <c r="U1416" t="s">
        <v>550</v>
      </c>
      <c r="V1416" t="s">
        <v>5571</v>
      </c>
      <c r="W1416" t="s">
        <v>613</v>
      </c>
      <c r="X1416" t="s">
        <v>74</v>
      </c>
      <c r="Y1416" t="s">
        <v>1281</v>
      </c>
      <c r="Z1416" t="s">
        <v>1274</v>
      </c>
    </row>
    <row r="1417" spans="1:26" x14ac:dyDescent="0.3">
      <c r="A1417" t="s">
        <v>525</v>
      </c>
      <c r="B1417" t="s">
        <v>5572</v>
      </c>
      <c r="C1417" t="s">
        <v>1019</v>
      </c>
      <c r="D1417" t="s">
        <v>550</v>
      </c>
      <c r="E1417" t="s">
        <v>664</v>
      </c>
      <c r="F1417" t="s">
        <v>27</v>
      </c>
      <c r="G1417" s="1">
        <v>43467</v>
      </c>
      <c r="H1417" s="1">
        <v>43830</v>
      </c>
      <c r="I1417" t="s">
        <v>665</v>
      </c>
      <c r="J1417" t="s">
        <v>666</v>
      </c>
      <c r="K1417" t="s">
        <v>24</v>
      </c>
      <c r="L1417" t="s">
        <v>1010</v>
      </c>
      <c r="M1417" t="s">
        <v>1011</v>
      </c>
      <c r="N1417" t="s">
        <v>1012</v>
      </c>
      <c r="O1417" t="s">
        <v>1031</v>
      </c>
      <c r="P1417" t="s">
        <v>239</v>
      </c>
      <c r="Q1417" t="s">
        <v>5373</v>
      </c>
      <c r="R1417" t="s">
        <v>5374</v>
      </c>
      <c r="S1417" t="s">
        <v>550</v>
      </c>
      <c r="T1417" t="s">
        <v>550</v>
      </c>
      <c r="U1417" t="s">
        <v>550</v>
      </c>
      <c r="V1417" t="s">
        <v>5573</v>
      </c>
      <c r="W1417" t="s">
        <v>1021</v>
      </c>
      <c r="X1417" t="s">
        <v>74</v>
      </c>
      <c r="Y1417" t="s">
        <v>803</v>
      </c>
      <c r="Z1417" t="s">
        <v>5572</v>
      </c>
    </row>
    <row r="1418" spans="1:26" x14ac:dyDescent="0.3">
      <c r="A1418" t="s">
        <v>525</v>
      </c>
      <c r="B1418" t="s">
        <v>5574</v>
      </c>
      <c r="C1418" t="s">
        <v>5575</v>
      </c>
      <c r="D1418" t="s">
        <v>550</v>
      </c>
      <c r="E1418" t="s">
        <v>664</v>
      </c>
      <c r="F1418" t="s">
        <v>27</v>
      </c>
      <c r="G1418" s="1">
        <v>43467</v>
      </c>
      <c r="H1418" s="1">
        <v>43830</v>
      </c>
      <c r="I1418" t="s">
        <v>665</v>
      </c>
      <c r="J1418" t="s">
        <v>666</v>
      </c>
      <c r="K1418" t="s">
        <v>958</v>
      </c>
      <c r="L1418" t="s">
        <v>863</v>
      </c>
      <c r="M1418" t="s">
        <v>1369</v>
      </c>
      <c r="N1418" t="s">
        <v>1370</v>
      </c>
      <c r="O1418" t="s">
        <v>1369</v>
      </c>
      <c r="P1418" t="s">
        <v>1370</v>
      </c>
      <c r="Q1418" t="s">
        <v>5373</v>
      </c>
      <c r="R1418" t="s">
        <v>5374</v>
      </c>
      <c r="S1418" t="s">
        <v>550</v>
      </c>
      <c r="T1418" t="s">
        <v>550</v>
      </c>
      <c r="U1418" t="s">
        <v>550</v>
      </c>
      <c r="V1418" t="s">
        <v>5576</v>
      </c>
      <c r="W1418" t="s">
        <v>1014</v>
      </c>
      <c r="X1418" t="s">
        <v>870</v>
      </c>
      <c r="Y1418" t="s">
        <v>856</v>
      </c>
      <c r="Z1418" t="s">
        <v>5574</v>
      </c>
    </row>
    <row r="1419" spans="1:26" x14ac:dyDescent="0.3">
      <c r="A1419" t="s">
        <v>525</v>
      </c>
      <c r="B1419" t="s">
        <v>5577</v>
      </c>
      <c r="C1419" t="s">
        <v>5578</v>
      </c>
      <c r="D1419" t="s">
        <v>550</v>
      </c>
      <c r="E1419" t="s">
        <v>664</v>
      </c>
      <c r="F1419" t="s">
        <v>27</v>
      </c>
      <c r="G1419" s="1">
        <v>43467</v>
      </c>
      <c r="H1419" s="1">
        <v>43529</v>
      </c>
      <c r="I1419" t="s">
        <v>665</v>
      </c>
      <c r="J1419" t="s">
        <v>666</v>
      </c>
      <c r="K1419" t="s">
        <v>24</v>
      </c>
      <c r="L1419" t="s">
        <v>863</v>
      </c>
      <c r="M1419" t="s">
        <v>1369</v>
      </c>
      <c r="N1419" t="s">
        <v>1370</v>
      </c>
      <c r="O1419" t="s">
        <v>1369</v>
      </c>
      <c r="P1419" t="s">
        <v>1370</v>
      </c>
      <c r="Q1419" t="s">
        <v>5373</v>
      </c>
      <c r="R1419" t="s">
        <v>5374</v>
      </c>
      <c r="S1419" t="s">
        <v>550</v>
      </c>
      <c r="T1419" t="s">
        <v>550</v>
      </c>
      <c r="U1419" t="s">
        <v>550</v>
      </c>
      <c r="V1419" t="s">
        <v>5579</v>
      </c>
      <c r="W1419" t="s">
        <v>1014</v>
      </c>
      <c r="X1419" t="s">
        <v>870</v>
      </c>
      <c r="Y1419" t="s">
        <v>856</v>
      </c>
      <c r="Z1419" t="s">
        <v>5577</v>
      </c>
    </row>
    <row r="1420" spans="1:26" x14ac:dyDescent="0.3">
      <c r="A1420" t="s">
        <v>525</v>
      </c>
      <c r="B1420" t="s">
        <v>5580</v>
      </c>
      <c r="C1420" t="s">
        <v>5581</v>
      </c>
      <c r="D1420" t="s">
        <v>550</v>
      </c>
      <c r="E1420" t="s">
        <v>664</v>
      </c>
      <c r="F1420" t="s">
        <v>27</v>
      </c>
      <c r="G1420" s="1">
        <v>43467</v>
      </c>
      <c r="H1420" s="1">
        <v>43830</v>
      </c>
      <c r="I1420" t="s">
        <v>665</v>
      </c>
      <c r="J1420" t="s">
        <v>666</v>
      </c>
      <c r="K1420" t="s">
        <v>24</v>
      </c>
      <c r="L1420" t="s">
        <v>1010</v>
      </c>
      <c r="M1420" t="s">
        <v>1369</v>
      </c>
      <c r="N1420" t="s">
        <v>1370</v>
      </c>
      <c r="O1420" t="s">
        <v>1369</v>
      </c>
      <c r="P1420" t="s">
        <v>1370</v>
      </c>
      <c r="Q1420" t="s">
        <v>5373</v>
      </c>
      <c r="R1420" t="s">
        <v>5374</v>
      </c>
      <c r="S1420" t="s">
        <v>550</v>
      </c>
      <c r="T1420" t="s">
        <v>550</v>
      </c>
      <c r="U1420" t="s">
        <v>550</v>
      </c>
      <c r="V1420" t="s">
        <v>5582</v>
      </c>
      <c r="W1420" t="s">
        <v>1014</v>
      </c>
      <c r="X1420" t="s">
        <v>870</v>
      </c>
      <c r="Y1420" t="s">
        <v>803</v>
      </c>
      <c r="Z1420" t="s">
        <v>5580</v>
      </c>
    </row>
    <row r="1421" spans="1:26" x14ac:dyDescent="0.3">
      <c r="A1421" t="s">
        <v>525</v>
      </c>
      <c r="B1421" t="s">
        <v>5583</v>
      </c>
      <c r="C1421" t="s">
        <v>5584</v>
      </c>
      <c r="D1421" t="s">
        <v>550</v>
      </c>
      <c r="E1421" t="s">
        <v>5585</v>
      </c>
      <c r="F1421" t="s">
        <v>5586</v>
      </c>
      <c r="G1421" s="1">
        <v>43497</v>
      </c>
      <c r="H1421" s="1">
        <v>43524</v>
      </c>
      <c r="I1421" t="s">
        <v>665</v>
      </c>
      <c r="J1421" t="s">
        <v>5587</v>
      </c>
      <c r="K1421" t="s">
        <v>862</v>
      </c>
      <c r="L1421" t="s">
        <v>863</v>
      </c>
      <c r="M1421" t="s">
        <v>1946</v>
      </c>
      <c r="N1421" t="s">
        <v>1947</v>
      </c>
      <c r="O1421" t="s">
        <v>1369</v>
      </c>
      <c r="P1421" t="s">
        <v>1370</v>
      </c>
      <c r="Q1421" t="s">
        <v>5373</v>
      </c>
      <c r="R1421" t="s">
        <v>5374</v>
      </c>
      <c r="S1421" t="s">
        <v>550</v>
      </c>
      <c r="T1421" t="s">
        <v>550</v>
      </c>
      <c r="U1421" t="s">
        <v>550</v>
      </c>
      <c r="V1421" t="s">
        <v>5588</v>
      </c>
      <c r="W1421" t="s">
        <v>869</v>
      </c>
      <c r="X1421" t="s">
        <v>870</v>
      </c>
      <c r="Y1421" t="s">
        <v>847</v>
      </c>
      <c r="Z1421" t="s">
        <v>5583</v>
      </c>
    </row>
    <row r="1422" spans="1:26" x14ac:dyDescent="0.3">
      <c r="A1422" t="s">
        <v>525</v>
      </c>
      <c r="B1422" t="s">
        <v>5589</v>
      </c>
      <c r="C1422" t="s">
        <v>5590</v>
      </c>
      <c r="D1422" t="s">
        <v>550</v>
      </c>
      <c r="E1422" t="s">
        <v>664</v>
      </c>
      <c r="F1422" t="s">
        <v>27</v>
      </c>
      <c r="G1422" s="1">
        <v>43467</v>
      </c>
      <c r="H1422" s="1">
        <v>43830</v>
      </c>
      <c r="I1422" t="s">
        <v>665</v>
      </c>
      <c r="J1422" t="s">
        <v>666</v>
      </c>
      <c r="K1422" t="s">
        <v>958</v>
      </c>
      <c r="L1422" t="s">
        <v>863</v>
      </c>
      <c r="M1422" t="s">
        <v>1369</v>
      </c>
      <c r="N1422" t="s">
        <v>1370</v>
      </c>
      <c r="O1422" t="s">
        <v>1369</v>
      </c>
      <c r="P1422" t="s">
        <v>1370</v>
      </c>
      <c r="Q1422" t="s">
        <v>5373</v>
      </c>
      <c r="R1422" t="s">
        <v>5374</v>
      </c>
      <c r="S1422" t="s">
        <v>550</v>
      </c>
      <c r="T1422" t="s">
        <v>550</v>
      </c>
      <c r="U1422" t="s">
        <v>550</v>
      </c>
      <c r="V1422" t="s">
        <v>5591</v>
      </c>
      <c r="W1422" t="s">
        <v>1014</v>
      </c>
      <c r="X1422" t="s">
        <v>870</v>
      </c>
      <c r="Y1422" t="s">
        <v>1462</v>
      </c>
      <c r="Z1422" t="s">
        <v>5589</v>
      </c>
    </row>
    <row r="1423" spans="1:26" x14ac:dyDescent="0.3">
      <c r="A1423" t="s">
        <v>525</v>
      </c>
      <c r="B1423" t="s">
        <v>5592</v>
      </c>
      <c r="C1423" t="s">
        <v>5593</v>
      </c>
      <c r="D1423" t="s">
        <v>550</v>
      </c>
      <c r="E1423" t="s">
        <v>664</v>
      </c>
      <c r="F1423" t="s">
        <v>27</v>
      </c>
      <c r="G1423" s="1">
        <v>43467</v>
      </c>
      <c r="H1423" s="1">
        <v>43830</v>
      </c>
      <c r="I1423" t="s">
        <v>665</v>
      </c>
      <c r="J1423" t="s">
        <v>666</v>
      </c>
      <c r="K1423" t="s">
        <v>24</v>
      </c>
      <c r="L1423" t="s">
        <v>863</v>
      </c>
      <c r="M1423" t="s">
        <v>1369</v>
      </c>
      <c r="N1423" t="s">
        <v>1370</v>
      </c>
      <c r="O1423" t="s">
        <v>1369</v>
      </c>
      <c r="P1423" t="s">
        <v>1370</v>
      </c>
      <c r="Q1423" t="s">
        <v>5373</v>
      </c>
      <c r="R1423" t="s">
        <v>5374</v>
      </c>
      <c r="S1423" t="s">
        <v>550</v>
      </c>
      <c r="T1423" t="s">
        <v>550</v>
      </c>
      <c r="U1423" t="s">
        <v>550</v>
      </c>
      <c r="V1423" t="s">
        <v>5594</v>
      </c>
      <c r="W1423" t="s">
        <v>1014</v>
      </c>
      <c r="X1423" t="s">
        <v>870</v>
      </c>
      <c r="Y1423" t="s">
        <v>1462</v>
      </c>
      <c r="Z1423" t="s">
        <v>5592</v>
      </c>
    </row>
    <row r="1424" spans="1:26" x14ac:dyDescent="0.3">
      <c r="A1424" t="s">
        <v>525</v>
      </c>
      <c r="B1424" t="s">
        <v>5595</v>
      </c>
      <c r="C1424" t="s">
        <v>5596</v>
      </c>
      <c r="D1424" t="s">
        <v>550</v>
      </c>
      <c r="E1424" t="s">
        <v>664</v>
      </c>
      <c r="F1424" t="s">
        <v>27</v>
      </c>
      <c r="G1424" s="1">
        <v>43467</v>
      </c>
      <c r="H1424" s="1">
        <v>43830</v>
      </c>
      <c r="I1424" t="s">
        <v>665</v>
      </c>
      <c r="J1424" t="s">
        <v>666</v>
      </c>
      <c r="K1424" t="s">
        <v>958</v>
      </c>
      <c r="L1424" t="s">
        <v>863</v>
      </c>
      <c r="M1424" t="s">
        <v>1369</v>
      </c>
      <c r="N1424" t="s">
        <v>1370</v>
      </c>
      <c r="O1424" t="s">
        <v>1369</v>
      </c>
      <c r="P1424" t="s">
        <v>1370</v>
      </c>
      <c r="Q1424" t="s">
        <v>5373</v>
      </c>
      <c r="R1424" t="s">
        <v>5374</v>
      </c>
      <c r="S1424" t="s">
        <v>550</v>
      </c>
      <c r="T1424" t="s">
        <v>550</v>
      </c>
      <c r="U1424" t="s">
        <v>550</v>
      </c>
      <c r="V1424" t="s">
        <v>5597</v>
      </c>
      <c r="W1424" t="s">
        <v>1014</v>
      </c>
      <c r="X1424" t="s">
        <v>870</v>
      </c>
      <c r="Y1424" t="s">
        <v>1462</v>
      </c>
      <c r="Z1424" t="s">
        <v>5595</v>
      </c>
    </row>
    <row r="1425" spans="1:26" x14ac:dyDescent="0.3">
      <c r="A1425" t="s">
        <v>525</v>
      </c>
      <c r="B1425" t="s">
        <v>5598</v>
      </c>
      <c r="C1425" t="s">
        <v>5599</v>
      </c>
      <c r="D1425" t="s">
        <v>550</v>
      </c>
      <c r="E1425" t="s">
        <v>664</v>
      </c>
      <c r="F1425" t="s">
        <v>27</v>
      </c>
      <c r="G1425" s="1">
        <v>43467</v>
      </c>
      <c r="H1425" s="1">
        <v>43830</v>
      </c>
      <c r="I1425" t="s">
        <v>665</v>
      </c>
      <c r="J1425" t="s">
        <v>666</v>
      </c>
      <c r="K1425" t="s">
        <v>24</v>
      </c>
      <c r="L1425" t="s">
        <v>863</v>
      </c>
      <c r="M1425" t="s">
        <v>1369</v>
      </c>
      <c r="N1425" t="s">
        <v>1370</v>
      </c>
      <c r="O1425" t="s">
        <v>1369</v>
      </c>
      <c r="P1425" t="s">
        <v>1370</v>
      </c>
      <c r="Q1425" t="s">
        <v>5373</v>
      </c>
      <c r="R1425" t="s">
        <v>5374</v>
      </c>
      <c r="S1425" t="s">
        <v>550</v>
      </c>
      <c r="T1425" t="s">
        <v>550</v>
      </c>
      <c r="U1425" t="s">
        <v>550</v>
      </c>
      <c r="V1425" t="s">
        <v>5600</v>
      </c>
      <c r="W1425" t="s">
        <v>1014</v>
      </c>
      <c r="X1425" t="s">
        <v>870</v>
      </c>
      <c r="Y1425" t="s">
        <v>1462</v>
      </c>
      <c r="Z1425" t="s">
        <v>5598</v>
      </c>
    </row>
    <row r="1426" spans="1:26" x14ac:dyDescent="0.3">
      <c r="A1426" t="s">
        <v>525</v>
      </c>
      <c r="B1426" t="s">
        <v>5601</v>
      </c>
      <c r="C1426" t="s">
        <v>5602</v>
      </c>
      <c r="D1426" t="s">
        <v>550</v>
      </c>
      <c r="E1426" t="s">
        <v>664</v>
      </c>
      <c r="F1426" t="s">
        <v>27</v>
      </c>
      <c r="G1426" s="1">
        <v>43467</v>
      </c>
      <c r="H1426" s="1">
        <v>43830</v>
      </c>
      <c r="I1426" t="s">
        <v>665</v>
      </c>
      <c r="J1426" t="s">
        <v>666</v>
      </c>
      <c r="K1426" t="s">
        <v>958</v>
      </c>
      <c r="L1426" t="s">
        <v>863</v>
      </c>
      <c r="M1426" t="s">
        <v>1369</v>
      </c>
      <c r="N1426" t="s">
        <v>1370</v>
      </c>
      <c r="O1426" t="s">
        <v>1369</v>
      </c>
      <c r="P1426" t="s">
        <v>1370</v>
      </c>
      <c r="Q1426" t="s">
        <v>5373</v>
      </c>
      <c r="R1426" t="s">
        <v>5374</v>
      </c>
      <c r="S1426" t="s">
        <v>550</v>
      </c>
      <c r="T1426" t="s">
        <v>550</v>
      </c>
      <c r="U1426" t="s">
        <v>550</v>
      </c>
      <c r="V1426" t="s">
        <v>5603</v>
      </c>
      <c r="W1426" t="s">
        <v>1014</v>
      </c>
      <c r="X1426" t="s">
        <v>870</v>
      </c>
      <c r="Y1426" t="s">
        <v>1462</v>
      </c>
      <c r="Z1426" t="s">
        <v>5601</v>
      </c>
    </row>
    <row r="1427" spans="1:26" x14ac:dyDescent="0.3">
      <c r="A1427" t="s">
        <v>525</v>
      </c>
      <c r="B1427" t="s">
        <v>5604</v>
      </c>
      <c r="C1427" t="s">
        <v>5605</v>
      </c>
      <c r="D1427" t="s">
        <v>550</v>
      </c>
      <c r="E1427" t="s">
        <v>982</v>
      </c>
      <c r="F1427" t="s">
        <v>983</v>
      </c>
      <c r="G1427" s="1">
        <v>43466</v>
      </c>
      <c r="H1427" s="1">
        <v>43466</v>
      </c>
      <c r="I1427" t="s">
        <v>665</v>
      </c>
      <c r="J1427" t="s">
        <v>984</v>
      </c>
      <c r="K1427" t="s">
        <v>900</v>
      </c>
      <c r="L1427" t="s">
        <v>901</v>
      </c>
      <c r="M1427" t="s">
        <v>2223</v>
      </c>
      <c r="N1427" t="s">
        <v>310</v>
      </c>
      <c r="O1427" t="s">
        <v>985</v>
      </c>
      <c r="P1427" t="s">
        <v>986</v>
      </c>
      <c r="Q1427" t="s">
        <v>5373</v>
      </c>
      <c r="R1427" t="s">
        <v>5374</v>
      </c>
      <c r="S1427" t="s">
        <v>550</v>
      </c>
      <c r="T1427" t="s">
        <v>550</v>
      </c>
      <c r="U1427" t="s">
        <v>550</v>
      </c>
      <c r="V1427" t="s">
        <v>5606</v>
      </c>
      <c r="W1427" t="s">
        <v>988</v>
      </c>
      <c r="X1427" t="s">
        <v>979</v>
      </c>
      <c r="Y1427" t="s">
        <v>803</v>
      </c>
      <c r="Z1427" t="s">
        <v>5604</v>
      </c>
    </row>
    <row r="1428" spans="1:26" x14ac:dyDescent="0.3">
      <c r="A1428" t="s">
        <v>525</v>
      </c>
      <c r="B1428" t="s">
        <v>5607</v>
      </c>
      <c r="C1428" t="s">
        <v>5608</v>
      </c>
      <c r="D1428" t="s">
        <v>550</v>
      </c>
      <c r="E1428" t="s">
        <v>982</v>
      </c>
      <c r="F1428" t="s">
        <v>983</v>
      </c>
      <c r="G1428" s="1">
        <v>43466</v>
      </c>
      <c r="H1428" s="1">
        <v>43466</v>
      </c>
      <c r="I1428" t="s">
        <v>665</v>
      </c>
      <c r="J1428" t="s">
        <v>984</v>
      </c>
      <c r="K1428" t="s">
        <v>24</v>
      </c>
      <c r="L1428" t="s">
        <v>901</v>
      </c>
      <c r="M1428" t="s">
        <v>3841</v>
      </c>
      <c r="N1428" t="s">
        <v>3842</v>
      </c>
      <c r="O1428" t="s">
        <v>985</v>
      </c>
      <c r="P1428" t="s">
        <v>986</v>
      </c>
      <c r="Q1428" t="s">
        <v>5373</v>
      </c>
      <c r="R1428" t="s">
        <v>5374</v>
      </c>
      <c r="S1428" t="s">
        <v>550</v>
      </c>
      <c r="T1428" t="s">
        <v>550</v>
      </c>
      <c r="U1428" t="s">
        <v>550</v>
      </c>
      <c r="V1428" t="s">
        <v>5609</v>
      </c>
      <c r="W1428" t="s">
        <v>988</v>
      </c>
      <c r="X1428" t="s">
        <v>979</v>
      </c>
      <c r="Y1428" t="s">
        <v>803</v>
      </c>
      <c r="Z1428" t="s">
        <v>5607</v>
      </c>
    </row>
    <row r="1429" spans="1:26" x14ac:dyDescent="0.3">
      <c r="A1429" t="s">
        <v>525</v>
      </c>
      <c r="B1429" t="s">
        <v>5610</v>
      </c>
      <c r="C1429" t="s">
        <v>5611</v>
      </c>
      <c r="D1429" t="s">
        <v>550</v>
      </c>
      <c r="E1429" t="s">
        <v>982</v>
      </c>
      <c r="F1429" t="s">
        <v>983</v>
      </c>
      <c r="G1429" s="1">
        <v>43467</v>
      </c>
      <c r="H1429" s="1">
        <v>43467</v>
      </c>
      <c r="I1429" t="s">
        <v>665</v>
      </c>
      <c r="J1429" t="s">
        <v>984</v>
      </c>
      <c r="K1429" t="s">
        <v>24</v>
      </c>
      <c r="L1429" t="s">
        <v>901</v>
      </c>
      <c r="M1429" t="s">
        <v>3841</v>
      </c>
      <c r="N1429" t="s">
        <v>3842</v>
      </c>
      <c r="O1429" t="s">
        <v>985</v>
      </c>
      <c r="P1429" t="s">
        <v>986</v>
      </c>
      <c r="Q1429" t="s">
        <v>5373</v>
      </c>
      <c r="R1429" t="s">
        <v>5374</v>
      </c>
      <c r="S1429" t="s">
        <v>550</v>
      </c>
      <c r="T1429" t="s">
        <v>550</v>
      </c>
      <c r="U1429" t="s">
        <v>550</v>
      </c>
      <c r="V1429" t="s">
        <v>5612</v>
      </c>
      <c r="W1429" t="s">
        <v>988</v>
      </c>
      <c r="X1429" t="s">
        <v>979</v>
      </c>
      <c r="Y1429" t="s">
        <v>803</v>
      </c>
      <c r="Z1429" t="s">
        <v>5610</v>
      </c>
    </row>
    <row r="1430" spans="1:26" x14ac:dyDescent="0.3">
      <c r="A1430" t="s">
        <v>525</v>
      </c>
      <c r="B1430" t="s">
        <v>5613</v>
      </c>
      <c r="C1430" t="s">
        <v>5614</v>
      </c>
      <c r="D1430" t="s">
        <v>550</v>
      </c>
      <c r="E1430" t="s">
        <v>982</v>
      </c>
      <c r="F1430" t="s">
        <v>983</v>
      </c>
      <c r="G1430" s="1">
        <v>43466</v>
      </c>
      <c r="H1430" s="1">
        <v>43466</v>
      </c>
      <c r="I1430" t="s">
        <v>665</v>
      </c>
      <c r="J1430" t="s">
        <v>984</v>
      </c>
      <c r="K1430" t="s">
        <v>900</v>
      </c>
      <c r="L1430" t="s">
        <v>901</v>
      </c>
      <c r="M1430" t="s">
        <v>2266</v>
      </c>
      <c r="N1430" t="s">
        <v>307</v>
      </c>
      <c r="O1430" t="s">
        <v>985</v>
      </c>
      <c r="P1430" t="s">
        <v>986</v>
      </c>
      <c r="Q1430" t="s">
        <v>5373</v>
      </c>
      <c r="R1430" t="s">
        <v>5374</v>
      </c>
      <c r="S1430" t="s">
        <v>550</v>
      </c>
      <c r="T1430" t="s">
        <v>550</v>
      </c>
      <c r="U1430" t="s">
        <v>550</v>
      </c>
      <c r="V1430" t="s">
        <v>5615</v>
      </c>
      <c r="W1430" t="s">
        <v>988</v>
      </c>
      <c r="X1430" t="s">
        <v>979</v>
      </c>
      <c r="Y1430" t="s">
        <v>803</v>
      </c>
      <c r="Z1430" t="s">
        <v>5613</v>
      </c>
    </row>
    <row r="1431" spans="1:26" x14ac:dyDescent="0.3">
      <c r="A1431" t="s">
        <v>525</v>
      </c>
      <c r="B1431" t="s">
        <v>5616</v>
      </c>
      <c r="C1431" t="s">
        <v>3834</v>
      </c>
      <c r="D1431" t="s">
        <v>550</v>
      </c>
      <c r="E1431" t="s">
        <v>982</v>
      </c>
      <c r="F1431" t="s">
        <v>983</v>
      </c>
      <c r="G1431" s="1">
        <v>43466</v>
      </c>
      <c r="H1431" s="1">
        <v>43486</v>
      </c>
      <c r="I1431" t="s">
        <v>665</v>
      </c>
      <c r="J1431" t="s">
        <v>984</v>
      </c>
      <c r="K1431" t="s">
        <v>635</v>
      </c>
      <c r="L1431" t="s">
        <v>901</v>
      </c>
      <c r="M1431" t="s">
        <v>2223</v>
      </c>
      <c r="N1431" t="s">
        <v>310</v>
      </c>
      <c r="O1431" t="s">
        <v>985</v>
      </c>
      <c r="P1431" t="s">
        <v>986</v>
      </c>
      <c r="Q1431" t="s">
        <v>5373</v>
      </c>
      <c r="R1431" t="s">
        <v>5374</v>
      </c>
      <c r="S1431" t="s">
        <v>550</v>
      </c>
      <c r="T1431" t="s">
        <v>550</v>
      </c>
      <c r="U1431" t="s">
        <v>550</v>
      </c>
      <c r="V1431" t="s">
        <v>5617</v>
      </c>
      <c r="W1431" t="s">
        <v>988</v>
      </c>
      <c r="X1431" t="s">
        <v>979</v>
      </c>
      <c r="Y1431" t="s">
        <v>803</v>
      </c>
      <c r="Z1431" t="s">
        <v>5616</v>
      </c>
    </row>
    <row r="1432" spans="1:26" x14ac:dyDescent="0.3">
      <c r="A1432" t="s">
        <v>525</v>
      </c>
      <c r="B1432" t="s">
        <v>5618</v>
      </c>
      <c r="C1432" t="s">
        <v>5619</v>
      </c>
      <c r="D1432" t="s">
        <v>550</v>
      </c>
      <c r="E1432" t="s">
        <v>664</v>
      </c>
      <c r="F1432" t="s">
        <v>27</v>
      </c>
      <c r="G1432" s="1">
        <v>43467</v>
      </c>
      <c r="H1432" s="1">
        <v>43830</v>
      </c>
      <c r="I1432" t="s">
        <v>665</v>
      </c>
      <c r="J1432" t="s">
        <v>666</v>
      </c>
      <c r="K1432" t="s">
        <v>900</v>
      </c>
      <c r="L1432" t="s">
        <v>1010</v>
      </c>
      <c r="M1432" t="s">
        <v>5620</v>
      </c>
      <c r="N1432" t="s">
        <v>5621</v>
      </c>
      <c r="O1432" t="s">
        <v>5622</v>
      </c>
      <c r="P1432" t="s">
        <v>5623</v>
      </c>
      <c r="Q1432" t="s">
        <v>5373</v>
      </c>
      <c r="R1432" t="s">
        <v>5374</v>
      </c>
      <c r="S1432" t="s">
        <v>550</v>
      </c>
      <c r="T1432" t="s">
        <v>550</v>
      </c>
      <c r="U1432" t="s">
        <v>550</v>
      </c>
      <c r="V1432" t="s">
        <v>5624</v>
      </c>
      <c r="W1432" t="s">
        <v>4361</v>
      </c>
      <c r="X1432" t="s">
        <v>669</v>
      </c>
      <c r="Y1432" t="s">
        <v>803</v>
      </c>
      <c r="Z1432" t="s">
        <v>5618</v>
      </c>
    </row>
    <row r="1433" spans="1:26" x14ac:dyDescent="0.3">
      <c r="A1433" t="s">
        <v>525</v>
      </c>
      <c r="B1433" t="s">
        <v>5625</v>
      </c>
      <c r="C1433" t="s">
        <v>5626</v>
      </c>
      <c r="D1433" t="s">
        <v>550</v>
      </c>
      <c r="E1433" t="s">
        <v>982</v>
      </c>
      <c r="F1433" t="s">
        <v>983</v>
      </c>
      <c r="G1433" s="1">
        <v>43466</v>
      </c>
      <c r="H1433" s="1">
        <v>43466</v>
      </c>
      <c r="I1433" t="s">
        <v>665</v>
      </c>
      <c r="J1433" t="s">
        <v>984</v>
      </c>
      <c r="K1433" t="s">
        <v>900</v>
      </c>
      <c r="L1433" t="s">
        <v>901</v>
      </c>
      <c r="M1433" t="s">
        <v>2269</v>
      </c>
      <c r="N1433" t="s">
        <v>2270</v>
      </c>
      <c r="O1433" t="s">
        <v>985</v>
      </c>
      <c r="P1433" t="s">
        <v>986</v>
      </c>
      <c r="Q1433" t="s">
        <v>5373</v>
      </c>
      <c r="R1433" t="s">
        <v>5374</v>
      </c>
      <c r="S1433" t="s">
        <v>550</v>
      </c>
      <c r="T1433" t="s">
        <v>550</v>
      </c>
      <c r="U1433" t="s">
        <v>550</v>
      </c>
      <c r="V1433" t="s">
        <v>5627</v>
      </c>
      <c r="W1433" t="s">
        <v>988</v>
      </c>
      <c r="X1433" t="s">
        <v>979</v>
      </c>
      <c r="Y1433" t="s">
        <v>803</v>
      </c>
      <c r="Z1433" t="s">
        <v>5625</v>
      </c>
    </row>
    <row r="1434" spans="1:26" x14ac:dyDescent="0.3">
      <c r="A1434" t="s">
        <v>525</v>
      </c>
      <c r="B1434" t="s">
        <v>5628</v>
      </c>
      <c r="C1434" t="s">
        <v>1779</v>
      </c>
      <c r="D1434" t="s">
        <v>550</v>
      </c>
      <c r="E1434" t="s">
        <v>664</v>
      </c>
      <c r="F1434" t="s">
        <v>27</v>
      </c>
      <c r="G1434" s="1">
        <v>43467</v>
      </c>
      <c r="H1434" s="1">
        <v>43830</v>
      </c>
      <c r="I1434" t="s">
        <v>665</v>
      </c>
      <c r="J1434" t="s">
        <v>666</v>
      </c>
      <c r="K1434" t="s">
        <v>24</v>
      </c>
      <c r="L1434" t="s">
        <v>1010</v>
      </c>
      <c r="M1434" t="s">
        <v>2408</v>
      </c>
      <c r="N1434" t="s">
        <v>2409</v>
      </c>
      <c r="O1434" t="s">
        <v>2408</v>
      </c>
      <c r="P1434" t="s">
        <v>2409</v>
      </c>
      <c r="Q1434" t="s">
        <v>5373</v>
      </c>
      <c r="R1434" t="s">
        <v>5374</v>
      </c>
      <c r="S1434" t="s">
        <v>550</v>
      </c>
      <c r="T1434" t="s">
        <v>550</v>
      </c>
      <c r="U1434" t="s">
        <v>550</v>
      </c>
      <c r="V1434" t="s">
        <v>5629</v>
      </c>
      <c r="W1434" t="s">
        <v>554</v>
      </c>
      <c r="X1434" t="s">
        <v>669</v>
      </c>
      <c r="Y1434" t="s">
        <v>799</v>
      </c>
      <c r="Z1434" t="s">
        <v>5628</v>
      </c>
    </row>
    <row r="1435" spans="1:26" x14ac:dyDescent="0.3">
      <c r="A1435" t="s">
        <v>525</v>
      </c>
      <c r="B1435" t="s">
        <v>5630</v>
      </c>
      <c r="C1435" t="s">
        <v>5631</v>
      </c>
      <c r="D1435" t="s">
        <v>550</v>
      </c>
      <c r="E1435" t="s">
        <v>1039</v>
      </c>
      <c r="F1435" t="s">
        <v>1040</v>
      </c>
      <c r="G1435" s="1">
        <v>43467</v>
      </c>
      <c r="H1435" s="1">
        <v>43830</v>
      </c>
      <c r="I1435" t="s">
        <v>665</v>
      </c>
      <c r="J1435" t="s">
        <v>1041</v>
      </c>
      <c r="K1435" t="s">
        <v>24</v>
      </c>
      <c r="L1435" t="s">
        <v>1045</v>
      </c>
      <c r="M1435" t="s">
        <v>1030</v>
      </c>
      <c r="N1435" t="s">
        <v>255</v>
      </c>
      <c r="O1435" t="s">
        <v>1839</v>
      </c>
      <c r="P1435" t="s">
        <v>222</v>
      </c>
      <c r="Q1435" t="s">
        <v>5373</v>
      </c>
      <c r="R1435" t="s">
        <v>5374</v>
      </c>
      <c r="S1435" t="s">
        <v>550</v>
      </c>
      <c r="T1435" t="s">
        <v>550</v>
      </c>
      <c r="U1435" t="s">
        <v>550</v>
      </c>
      <c r="V1435" t="s">
        <v>5632</v>
      </c>
      <c r="W1435" t="s">
        <v>613</v>
      </c>
      <c r="X1435" t="s">
        <v>74</v>
      </c>
      <c r="Y1435" t="s">
        <v>786</v>
      </c>
      <c r="Z1435" t="s">
        <v>5630</v>
      </c>
    </row>
    <row r="1436" spans="1:26" x14ac:dyDescent="0.3">
      <c r="A1436" t="s">
        <v>525</v>
      </c>
      <c r="B1436" t="s">
        <v>5633</v>
      </c>
      <c r="C1436" t="s">
        <v>5634</v>
      </c>
      <c r="D1436" t="s">
        <v>550</v>
      </c>
      <c r="E1436" t="s">
        <v>1039</v>
      </c>
      <c r="F1436" t="s">
        <v>1040</v>
      </c>
      <c r="G1436" s="1">
        <v>43467</v>
      </c>
      <c r="H1436" s="1">
        <v>43830</v>
      </c>
      <c r="I1436" t="s">
        <v>665</v>
      </c>
      <c r="J1436" t="s">
        <v>1041</v>
      </c>
      <c r="K1436" t="s">
        <v>24</v>
      </c>
      <c r="L1436" t="s">
        <v>216</v>
      </c>
      <c r="M1436" t="s">
        <v>1030</v>
      </c>
      <c r="N1436" t="s">
        <v>255</v>
      </c>
      <c r="O1436" t="s">
        <v>1839</v>
      </c>
      <c r="P1436" t="s">
        <v>222</v>
      </c>
      <c r="Q1436" t="s">
        <v>5373</v>
      </c>
      <c r="R1436" t="s">
        <v>5374</v>
      </c>
      <c r="S1436" t="s">
        <v>550</v>
      </c>
      <c r="T1436" t="s">
        <v>550</v>
      </c>
      <c r="U1436" t="s">
        <v>550</v>
      </c>
      <c r="V1436" t="s">
        <v>5635</v>
      </c>
      <c r="W1436" t="s">
        <v>613</v>
      </c>
      <c r="X1436" t="s">
        <v>74</v>
      </c>
      <c r="Y1436" t="s">
        <v>786</v>
      </c>
      <c r="Z1436" t="s">
        <v>5633</v>
      </c>
    </row>
    <row r="1437" spans="1:26" x14ac:dyDescent="0.3">
      <c r="A1437" t="s">
        <v>525</v>
      </c>
      <c r="B1437" t="s">
        <v>5636</v>
      </c>
      <c r="C1437" t="s">
        <v>5637</v>
      </c>
      <c r="D1437" t="s">
        <v>550</v>
      </c>
      <c r="E1437" t="s">
        <v>1039</v>
      </c>
      <c r="F1437" t="s">
        <v>1040</v>
      </c>
      <c r="G1437" s="1">
        <v>43467</v>
      </c>
      <c r="H1437" s="1">
        <v>43830</v>
      </c>
      <c r="I1437" t="s">
        <v>665</v>
      </c>
      <c r="J1437" t="s">
        <v>1041</v>
      </c>
      <c r="K1437" t="s">
        <v>24</v>
      </c>
      <c r="L1437" t="s">
        <v>216</v>
      </c>
      <c r="M1437" t="s">
        <v>1030</v>
      </c>
      <c r="N1437" t="s">
        <v>255</v>
      </c>
      <c r="O1437" t="s">
        <v>1839</v>
      </c>
      <c r="P1437" t="s">
        <v>222</v>
      </c>
      <c r="Q1437" t="s">
        <v>5373</v>
      </c>
      <c r="R1437" t="s">
        <v>5374</v>
      </c>
      <c r="S1437" t="s">
        <v>550</v>
      </c>
      <c r="T1437" t="s">
        <v>550</v>
      </c>
      <c r="U1437" t="s">
        <v>550</v>
      </c>
      <c r="V1437" t="s">
        <v>5638</v>
      </c>
      <c r="W1437" t="s">
        <v>613</v>
      </c>
      <c r="X1437" t="s">
        <v>74</v>
      </c>
      <c r="Y1437" t="s">
        <v>786</v>
      </c>
      <c r="Z1437" t="s">
        <v>5636</v>
      </c>
    </row>
    <row r="1438" spans="1:26" x14ac:dyDescent="0.3">
      <c r="A1438" t="s">
        <v>525</v>
      </c>
      <c r="B1438" t="s">
        <v>5639</v>
      </c>
      <c r="C1438" t="s">
        <v>5640</v>
      </c>
      <c r="D1438" t="s">
        <v>550</v>
      </c>
      <c r="E1438" t="s">
        <v>1039</v>
      </c>
      <c r="F1438" t="s">
        <v>1040</v>
      </c>
      <c r="G1438" s="1">
        <v>43467</v>
      </c>
      <c r="H1438" s="1">
        <v>43830</v>
      </c>
      <c r="I1438" t="s">
        <v>665</v>
      </c>
      <c r="J1438" t="s">
        <v>1041</v>
      </c>
      <c r="K1438" t="s">
        <v>24</v>
      </c>
      <c r="L1438" t="s">
        <v>216</v>
      </c>
      <c r="M1438" t="s">
        <v>1030</v>
      </c>
      <c r="N1438" t="s">
        <v>255</v>
      </c>
      <c r="O1438" t="s">
        <v>1839</v>
      </c>
      <c r="P1438" t="s">
        <v>222</v>
      </c>
      <c r="Q1438" t="s">
        <v>5373</v>
      </c>
      <c r="R1438" t="s">
        <v>5374</v>
      </c>
      <c r="S1438" t="s">
        <v>550</v>
      </c>
      <c r="T1438" t="s">
        <v>550</v>
      </c>
      <c r="U1438" t="s">
        <v>550</v>
      </c>
      <c r="V1438" t="s">
        <v>5641</v>
      </c>
      <c r="W1438" t="s">
        <v>613</v>
      </c>
      <c r="X1438" t="s">
        <v>74</v>
      </c>
      <c r="Y1438" t="s">
        <v>786</v>
      </c>
      <c r="Z1438" t="s">
        <v>5639</v>
      </c>
    </row>
    <row r="1439" spans="1:26" x14ac:dyDescent="0.3">
      <c r="A1439" t="s">
        <v>525</v>
      </c>
      <c r="B1439" t="s">
        <v>5642</v>
      </c>
      <c r="C1439" t="s">
        <v>5643</v>
      </c>
      <c r="D1439" t="s">
        <v>550</v>
      </c>
      <c r="E1439" t="s">
        <v>1039</v>
      </c>
      <c r="F1439" t="s">
        <v>1040</v>
      </c>
      <c r="G1439" s="1">
        <v>43467</v>
      </c>
      <c r="H1439" s="1">
        <v>43830</v>
      </c>
      <c r="I1439" t="s">
        <v>665</v>
      </c>
      <c r="J1439" t="s">
        <v>1041</v>
      </c>
      <c r="K1439" t="s">
        <v>24</v>
      </c>
      <c r="L1439" t="s">
        <v>216</v>
      </c>
      <c r="M1439" t="s">
        <v>1030</v>
      </c>
      <c r="N1439" t="s">
        <v>255</v>
      </c>
      <c r="O1439" t="s">
        <v>1839</v>
      </c>
      <c r="P1439" t="s">
        <v>222</v>
      </c>
      <c r="Q1439" t="s">
        <v>5373</v>
      </c>
      <c r="R1439" t="s">
        <v>5374</v>
      </c>
      <c r="S1439" t="s">
        <v>550</v>
      </c>
      <c r="T1439" t="s">
        <v>550</v>
      </c>
      <c r="U1439" t="s">
        <v>550</v>
      </c>
      <c r="V1439" t="s">
        <v>5644</v>
      </c>
      <c r="W1439" t="s">
        <v>613</v>
      </c>
      <c r="X1439" t="s">
        <v>74</v>
      </c>
      <c r="Y1439" t="s">
        <v>786</v>
      </c>
      <c r="Z1439" t="s">
        <v>5642</v>
      </c>
    </row>
    <row r="1440" spans="1:26" x14ac:dyDescent="0.3">
      <c r="A1440" t="s">
        <v>525</v>
      </c>
      <c r="B1440" t="s">
        <v>5645</v>
      </c>
      <c r="C1440" t="s">
        <v>5646</v>
      </c>
      <c r="D1440" t="s">
        <v>550</v>
      </c>
      <c r="E1440" t="s">
        <v>1039</v>
      </c>
      <c r="F1440" t="s">
        <v>1040</v>
      </c>
      <c r="G1440" s="1">
        <v>43467</v>
      </c>
      <c r="H1440" s="1">
        <v>43830</v>
      </c>
      <c r="I1440" t="s">
        <v>665</v>
      </c>
      <c r="J1440" t="s">
        <v>1041</v>
      </c>
      <c r="K1440" t="s">
        <v>24</v>
      </c>
      <c r="L1440" t="s">
        <v>216</v>
      </c>
      <c r="M1440" t="s">
        <v>1030</v>
      </c>
      <c r="N1440" t="s">
        <v>255</v>
      </c>
      <c r="O1440" t="s">
        <v>1839</v>
      </c>
      <c r="P1440" t="s">
        <v>222</v>
      </c>
      <c r="Q1440" t="s">
        <v>5373</v>
      </c>
      <c r="R1440" t="s">
        <v>5374</v>
      </c>
      <c r="S1440" t="s">
        <v>550</v>
      </c>
      <c r="T1440" t="s">
        <v>550</v>
      </c>
      <c r="U1440" t="s">
        <v>550</v>
      </c>
      <c r="V1440" t="s">
        <v>5647</v>
      </c>
      <c r="W1440" t="s">
        <v>613</v>
      </c>
      <c r="X1440" t="s">
        <v>74</v>
      </c>
      <c r="Y1440" t="s">
        <v>786</v>
      </c>
      <c r="Z1440" t="s">
        <v>5645</v>
      </c>
    </row>
    <row r="1441" spans="1:26" x14ac:dyDescent="0.3">
      <c r="A1441" t="s">
        <v>525</v>
      </c>
      <c r="B1441" t="s">
        <v>5648</v>
      </c>
      <c r="C1441" t="s">
        <v>5649</v>
      </c>
      <c r="D1441" t="s">
        <v>550</v>
      </c>
      <c r="E1441" t="s">
        <v>664</v>
      </c>
      <c r="F1441" t="s">
        <v>27</v>
      </c>
      <c r="G1441" s="1">
        <v>43467</v>
      </c>
      <c r="H1441" s="1">
        <v>43830</v>
      </c>
      <c r="I1441" t="s">
        <v>665</v>
      </c>
      <c r="J1441" t="s">
        <v>666</v>
      </c>
      <c r="K1441" t="s">
        <v>24</v>
      </c>
      <c r="L1441" t="s">
        <v>667</v>
      </c>
      <c r="M1441" t="s">
        <v>873</v>
      </c>
      <c r="N1441" t="s">
        <v>244</v>
      </c>
      <c r="O1441" t="s">
        <v>853</v>
      </c>
      <c r="P1441" t="s">
        <v>854</v>
      </c>
      <c r="Q1441" t="s">
        <v>5373</v>
      </c>
      <c r="R1441" t="s">
        <v>5374</v>
      </c>
      <c r="S1441" t="s">
        <v>550</v>
      </c>
      <c r="T1441" t="s">
        <v>550</v>
      </c>
      <c r="U1441" t="s">
        <v>550</v>
      </c>
      <c r="V1441" t="s">
        <v>5650</v>
      </c>
      <c r="W1441" t="s">
        <v>875</v>
      </c>
      <c r="X1441" t="s">
        <v>669</v>
      </c>
      <c r="Y1441" t="s">
        <v>856</v>
      </c>
      <c r="Z1441" t="s">
        <v>5648</v>
      </c>
    </row>
    <row r="1442" spans="1:26" x14ac:dyDescent="0.3">
      <c r="A1442" t="s">
        <v>525</v>
      </c>
      <c r="B1442" t="s">
        <v>5651</v>
      </c>
      <c r="C1442" t="s">
        <v>5652</v>
      </c>
      <c r="D1442" t="s">
        <v>550</v>
      </c>
      <c r="E1442" t="s">
        <v>664</v>
      </c>
      <c r="F1442" t="s">
        <v>27</v>
      </c>
      <c r="G1442" s="1">
        <v>43467</v>
      </c>
      <c r="H1442" s="1">
        <v>43830</v>
      </c>
      <c r="I1442" t="s">
        <v>665</v>
      </c>
      <c r="J1442" t="s">
        <v>666</v>
      </c>
      <c r="K1442" t="s">
        <v>24</v>
      </c>
      <c r="L1442" t="s">
        <v>667</v>
      </c>
      <c r="M1442" t="s">
        <v>873</v>
      </c>
      <c r="N1442" t="s">
        <v>244</v>
      </c>
      <c r="O1442" t="s">
        <v>853</v>
      </c>
      <c r="P1442" t="s">
        <v>854</v>
      </c>
      <c r="Q1442" t="s">
        <v>5373</v>
      </c>
      <c r="R1442" t="s">
        <v>5374</v>
      </c>
      <c r="S1442" t="s">
        <v>550</v>
      </c>
      <c r="T1442" t="s">
        <v>550</v>
      </c>
      <c r="U1442" t="s">
        <v>550</v>
      </c>
      <c r="V1442" t="s">
        <v>5653</v>
      </c>
      <c r="W1442" t="s">
        <v>875</v>
      </c>
      <c r="X1442" t="s">
        <v>669</v>
      </c>
      <c r="Y1442" t="s">
        <v>856</v>
      </c>
      <c r="Z1442" t="s">
        <v>5651</v>
      </c>
    </row>
    <row r="1443" spans="1:26" x14ac:dyDescent="0.3">
      <c r="A1443" t="s">
        <v>525</v>
      </c>
      <c r="B1443" t="s">
        <v>5654</v>
      </c>
      <c r="C1443" t="s">
        <v>5655</v>
      </c>
      <c r="D1443" t="s">
        <v>550</v>
      </c>
      <c r="E1443" t="s">
        <v>664</v>
      </c>
      <c r="F1443" t="s">
        <v>27</v>
      </c>
      <c r="G1443" s="1">
        <v>43467</v>
      </c>
      <c r="H1443" s="1">
        <v>43830</v>
      </c>
      <c r="I1443" t="s">
        <v>665</v>
      </c>
      <c r="J1443" t="s">
        <v>666</v>
      </c>
      <c r="K1443" t="s">
        <v>24</v>
      </c>
      <c r="L1443" t="s">
        <v>667</v>
      </c>
      <c r="M1443" t="s">
        <v>873</v>
      </c>
      <c r="N1443" t="s">
        <v>244</v>
      </c>
      <c r="O1443" t="s">
        <v>853</v>
      </c>
      <c r="P1443" t="s">
        <v>854</v>
      </c>
      <c r="Q1443" t="s">
        <v>5373</v>
      </c>
      <c r="R1443" t="s">
        <v>5374</v>
      </c>
      <c r="S1443" t="s">
        <v>550</v>
      </c>
      <c r="T1443" t="s">
        <v>550</v>
      </c>
      <c r="U1443" t="s">
        <v>550</v>
      </c>
      <c r="V1443" t="s">
        <v>5656</v>
      </c>
      <c r="W1443" t="s">
        <v>875</v>
      </c>
      <c r="X1443" t="s">
        <v>669</v>
      </c>
      <c r="Y1443" t="s">
        <v>856</v>
      </c>
      <c r="Z1443" t="s">
        <v>5654</v>
      </c>
    </row>
    <row r="1444" spans="1:26" x14ac:dyDescent="0.3">
      <c r="A1444" t="s">
        <v>525</v>
      </c>
      <c r="B1444" t="s">
        <v>5657</v>
      </c>
      <c r="C1444" t="s">
        <v>5658</v>
      </c>
      <c r="D1444" t="s">
        <v>550</v>
      </c>
      <c r="E1444" t="s">
        <v>664</v>
      </c>
      <c r="F1444" t="s">
        <v>27</v>
      </c>
      <c r="G1444" s="1">
        <v>43467</v>
      </c>
      <c r="H1444" s="1">
        <v>43830</v>
      </c>
      <c r="I1444" t="s">
        <v>665</v>
      </c>
      <c r="J1444" t="s">
        <v>666</v>
      </c>
      <c r="K1444" t="s">
        <v>24</v>
      </c>
      <c r="L1444" t="s">
        <v>667</v>
      </c>
      <c r="M1444" t="s">
        <v>873</v>
      </c>
      <c r="N1444" t="s">
        <v>244</v>
      </c>
      <c r="O1444" t="s">
        <v>853</v>
      </c>
      <c r="P1444" t="s">
        <v>854</v>
      </c>
      <c r="Q1444" t="s">
        <v>5373</v>
      </c>
      <c r="R1444" t="s">
        <v>5374</v>
      </c>
      <c r="S1444" t="s">
        <v>550</v>
      </c>
      <c r="T1444" t="s">
        <v>550</v>
      </c>
      <c r="U1444" t="s">
        <v>550</v>
      </c>
      <c r="V1444" t="s">
        <v>5659</v>
      </c>
      <c r="W1444" t="s">
        <v>875</v>
      </c>
      <c r="X1444" t="s">
        <v>669</v>
      </c>
      <c r="Y1444" t="s">
        <v>856</v>
      </c>
      <c r="Z1444" t="s">
        <v>5657</v>
      </c>
    </row>
    <row r="1445" spans="1:26" x14ac:dyDescent="0.3">
      <c r="A1445" t="s">
        <v>525</v>
      </c>
      <c r="B1445" t="s">
        <v>5660</v>
      </c>
      <c r="C1445" t="s">
        <v>5661</v>
      </c>
      <c r="D1445" t="s">
        <v>550</v>
      </c>
      <c r="E1445" t="s">
        <v>664</v>
      </c>
      <c r="F1445" t="s">
        <v>27</v>
      </c>
      <c r="G1445" s="1">
        <v>43467</v>
      </c>
      <c r="H1445" s="1">
        <v>43830</v>
      </c>
      <c r="I1445" t="s">
        <v>665</v>
      </c>
      <c r="J1445" t="s">
        <v>666</v>
      </c>
      <c r="K1445" t="s">
        <v>24</v>
      </c>
      <c r="L1445" t="s">
        <v>667</v>
      </c>
      <c r="M1445" t="s">
        <v>873</v>
      </c>
      <c r="N1445" t="s">
        <v>244</v>
      </c>
      <c r="O1445" t="s">
        <v>853</v>
      </c>
      <c r="P1445" t="s">
        <v>854</v>
      </c>
      <c r="Q1445" t="s">
        <v>5373</v>
      </c>
      <c r="R1445" t="s">
        <v>5374</v>
      </c>
      <c r="S1445" t="s">
        <v>550</v>
      </c>
      <c r="T1445" t="s">
        <v>550</v>
      </c>
      <c r="U1445" t="s">
        <v>550</v>
      </c>
      <c r="V1445" t="s">
        <v>5662</v>
      </c>
      <c r="W1445" t="s">
        <v>875</v>
      </c>
      <c r="X1445" t="s">
        <v>669</v>
      </c>
      <c r="Y1445" t="s">
        <v>856</v>
      </c>
      <c r="Z1445" t="s">
        <v>5660</v>
      </c>
    </row>
    <row r="1446" spans="1:26" x14ac:dyDescent="0.3">
      <c r="A1446" t="s">
        <v>525</v>
      </c>
      <c r="B1446" t="s">
        <v>5663</v>
      </c>
      <c r="C1446" t="s">
        <v>5664</v>
      </c>
      <c r="D1446" t="s">
        <v>550</v>
      </c>
      <c r="E1446" t="s">
        <v>664</v>
      </c>
      <c r="F1446" t="s">
        <v>27</v>
      </c>
      <c r="G1446" s="1">
        <v>43467</v>
      </c>
      <c r="H1446" s="1">
        <v>43830</v>
      </c>
      <c r="I1446" t="s">
        <v>665</v>
      </c>
      <c r="J1446" t="s">
        <v>666</v>
      </c>
      <c r="K1446" t="s">
        <v>24</v>
      </c>
      <c r="L1446" t="s">
        <v>667</v>
      </c>
      <c r="M1446" t="s">
        <v>873</v>
      </c>
      <c r="N1446" t="s">
        <v>244</v>
      </c>
      <c r="O1446" t="s">
        <v>853</v>
      </c>
      <c r="P1446" t="s">
        <v>854</v>
      </c>
      <c r="Q1446" t="s">
        <v>5373</v>
      </c>
      <c r="R1446" t="s">
        <v>5374</v>
      </c>
      <c r="S1446" t="s">
        <v>550</v>
      </c>
      <c r="T1446" t="s">
        <v>550</v>
      </c>
      <c r="U1446" t="s">
        <v>550</v>
      </c>
      <c r="V1446" t="s">
        <v>5665</v>
      </c>
      <c r="W1446" t="s">
        <v>875</v>
      </c>
      <c r="X1446" t="s">
        <v>669</v>
      </c>
      <c r="Y1446" t="s">
        <v>856</v>
      </c>
      <c r="Z1446" t="s">
        <v>5663</v>
      </c>
    </row>
    <row r="1447" spans="1:26" x14ac:dyDescent="0.3">
      <c r="A1447" t="s">
        <v>525</v>
      </c>
      <c r="B1447" t="s">
        <v>5666</v>
      </c>
      <c r="C1447" t="s">
        <v>5667</v>
      </c>
      <c r="D1447" t="s">
        <v>550</v>
      </c>
      <c r="E1447" t="s">
        <v>664</v>
      </c>
      <c r="F1447" t="s">
        <v>27</v>
      </c>
      <c r="G1447" s="1">
        <v>43467</v>
      </c>
      <c r="H1447" s="1">
        <v>43641</v>
      </c>
      <c r="I1447" t="s">
        <v>665</v>
      </c>
      <c r="J1447" t="s">
        <v>666</v>
      </c>
      <c r="K1447" t="s">
        <v>24</v>
      </c>
      <c r="L1447" t="s">
        <v>667</v>
      </c>
      <c r="M1447" t="s">
        <v>873</v>
      </c>
      <c r="N1447" t="s">
        <v>244</v>
      </c>
      <c r="O1447" t="s">
        <v>853</v>
      </c>
      <c r="P1447" t="s">
        <v>854</v>
      </c>
      <c r="Q1447" t="s">
        <v>5373</v>
      </c>
      <c r="R1447" t="s">
        <v>5374</v>
      </c>
      <c r="S1447" t="s">
        <v>550</v>
      </c>
      <c r="T1447" t="s">
        <v>550</v>
      </c>
      <c r="U1447" t="s">
        <v>550</v>
      </c>
      <c r="V1447" t="s">
        <v>5668</v>
      </c>
      <c r="W1447" t="s">
        <v>875</v>
      </c>
      <c r="X1447" t="s">
        <v>669</v>
      </c>
      <c r="Y1447" t="s">
        <v>856</v>
      </c>
      <c r="Z1447" t="s">
        <v>5666</v>
      </c>
    </row>
    <row r="1448" spans="1:26" x14ac:dyDescent="0.3">
      <c r="A1448" t="s">
        <v>525</v>
      </c>
      <c r="B1448" t="s">
        <v>5669</v>
      </c>
      <c r="C1448" t="s">
        <v>5670</v>
      </c>
      <c r="D1448" t="s">
        <v>550</v>
      </c>
      <c r="E1448" t="s">
        <v>982</v>
      </c>
      <c r="F1448" t="s">
        <v>983</v>
      </c>
      <c r="G1448" s="1">
        <v>43497</v>
      </c>
      <c r="H1448" s="1">
        <v>43580</v>
      </c>
      <c r="I1448" t="s">
        <v>665</v>
      </c>
      <c r="J1448" t="s">
        <v>666</v>
      </c>
      <c r="K1448" t="s">
        <v>635</v>
      </c>
      <c r="L1448" t="s">
        <v>901</v>
      </c>
      <c r="M1448" t="s">
        <v>1369</v>
      </c>
      <c r="N1448" t="s">
        <v>1370</v>
      </c>
      <c r="O1448" t="s">
        <v>971</v>
      </c>
      <c r="P1448" t="s">
        <v>972</v>
      </c>
      <c r="Q1448" t="s">
        <v>5373</v>
      </c>
      <c r="R1448" t="s">
        <v>5374</v>
      </c>
      <c r="S1448" t="s">
        <v>550</v>
      </c>
      <c r="T1448" t="s">
        <v>550</v>
      </c>
      <c r="U1448" t="s">
        <v>550</v>
      </c>
      <c r="V1448" t="s">
        <v>5671</v>
      </c>
      <c r="W1448" t="s">
        <v>869</v>
      </c>
      <c r="X1448" t="s">
        <v>870</v>
      </c>
      <c r="Y1448" t="s">
        <v>847</v>
      </c>
      <c r="Z1448" t="s">
        <v>5669</v>
      </c>
    </row>
    <row r="1449" spans="1:26" x14ac:dyDescent="0.3">
      <c r="A1449" t="s">
        <v>525</v>
      </c>
      <c r="B1449" t="s">
        <v>5672</v>
      </c>
      <c r="C1449" t="s">
        <v>5670</v>
      </c>
      <c r="D1449" t="s">
        <v>550</v>
      </c>
      <c r="E1449" t="s">
        <v>982</v>
      </c>
      <c r="F1449" t="s">
        <v>983</v>
      </c>
      <c r="G1449" s="1">
        <v>43467</v>
      </c>
      <c r="H1449" s="1">
        <v>43550</v>
      </c>
      <c r="I1449" t="s">
        <v>665</v>
      </c>
      <c r="J1449" t="s">
        <v>984</v>
      </c>
      <c r="K1449" t="s">
        <v>635</v>
      </c>
      <c r="L1449" t="s">
        <v>901</v>
      </c>
      <c r="M1449" t="s">
        <v>1369</v>
      </c>
      <c r="N1449" t="s">
        <v>1370</v>
      </c>
      <c r="O1449" t="s">
        <v>971</v>
      </c>
      <c r="P1449" t="s">
        <v>972</v>
      </c>
      <c r="Q1449" t="s">
        <v>5373</v>
      </c>
      <c r="R1449" t="s">
        <v>5374</v>
      </c>
      <c r="S1449" t="s">
        <v>550</v>
      </c>
      <c r="T1449" t="s">
        <v>550</v>
      </c>
      <c r="U1449" t="s">
        <v>550</v>
      </c>
      <c r="V1449" t="s">
        <v>5673</v>
      </c>
      <c r="W1449" t="s">
        <v>869</v>
      </c>
      <c r="X1449" t="s">
        <v>870</v>
      </c>
      <c r="Y1449" t="s">
        <v>847</v>
      </c>
      <c r="Z1449" t="s">
        <v>5672</v>
      </c>
    </row>
    <row r="1450" spans="1:26" x14ac:dyDescent="0.3">
      <c r="A1450" t="s">
        <v>525</v>
      </c>
      <c r="B1450" t="s">
        <v>5674</v>
      </c>
      <c r="C1450" t="s">
        <v>5675</v>
      </c>
      <c r="D1450" t="s">
        <v>550</v>
      </c>
      <c r="E1450" t="s">
        <v>664</v>
      </c>
      <c r="F1450" t="s">
        <v>27</v>
      </c>
      <c r="G1450" s="1">
        <v>43467</v>
      </c>
      <c r="H1450" s="1">
        <v>43830</v>
      </c>
      <c r="I1450" t="s">
        <v>665</v>
      </c>
      <c r="J1450" t="s">
        <v>666</v>
      </c>
      <c r="K1450" t="s">
        <v>24</v>
      </c>
      <c r="L1450" t="s">
        <v>667</v>
      </c>
      <c r="M1450" t="s">
        <v>5676</v>
      </c>
      <c r="N1450" t="s">
        <v>5677</v>
      </c>
      <c r="O1450" t="s">
        <v>853</v>
      </c>
      <c r="P1450" t="s">
        <v>854</v>
      </c>
      <c r="Q1450" t="s">
        <v>5373</v>
      </c>
      <c r="R1450" t="s">
        <v>5374</v>
      </c>
      <c r="S1450" t="s">
        <v>550</v>
      </c>
      <c r="T1450" t="s">
        <v>550</v>
      </c>
      <c r="U1450" t="s">
        <v>550</v>
      </c>
      <c r="V1450" t="s">
        <v>5678</v>
      </c>
      <c r="W1450" t="s">
        <v>565</v>
      </c>
      <c r="X1450" t="s">
        <v>669</v>
      </c>
      <c r="Y1450" t="s">
        <v>856</v>
      </c>
      <c r="Z1450" t="s">
        <v>5674</v>
      </c>
    </row>
    <row r="1451" spans="1:26" x14ac:dyDescent="0.3">
      <c r="A1451" t="s">
        <v>525</v>
      </c>
      <c r="B1451" t="s">
        <v>5679</v>
      </c>
      <c r="C1451" t="s">
        <v>5680</v>
      </c>
      <c r="D1451" t="s">
        <v>550</v>
      </c>
      <c r="E1451" t="s">
        <v>664</v>
      </c>
      <c r="F1451" t="s">
        <v>27</v>
      </c>
      <c r="G1451" s="1">
        <v>43467</v>
      </c>
      <c r="H1451" s="1">
        <v>43830</v>
      </c>
      <c r="I1451" t="s">
        <v>665</v>
      </c>
      <c r="J1451" t="s">
        <v>666</v>
      </c>
      <c r="K1451" t="s">
        <v>24</v>
      </c>
      <c r="L1451" t="s">
        <v>1010</v>
      </c>
      <c r="M1451" t="s">
        <v>5676</v>
      </c>
      <c r="N1451" t="s">
        <v>5677</v>
      </c>
      <c r="O1451" t="s">
        <v>853</v>
      </c>
      <c r="P1451" t="s">
        <v>854</v>
      </c>
      <c r="Q1451" t="s">
        <v>5373</v>
      </c>
      <c r="R1451" t="s">
        <v>5374</v>
      </c>
      <c r="S1451" t="s">
        <v>550</v>
      </c>
      <c r="T1451" t="s">
        <v>550</v>
      </c>
      <c r="U1451" t="s">
        <v>550</v>
      </c>
      <c r="V1451" t="s">
        <v>5681</v>
      </c>
      <c r="W1451" t="s">
        <v>565</v>
      </c>
      <c r="X1451" t="s">
        <v>669</v>
      </c>
      <c r="Y1451" t="s">
        <v>856</v>
      </c>
      <c r="Z1451" t="s">
        <v>5679</v>
      </c>
    </row>
    <row r="1452" spans="1:26" x14ac:dyDescent="0.3">
      <c r="A1452" t="s">
        <v>525</v>
      </c>
      <c r="B1452" t="s">
        <v>5682</v>
      </c>
      <c r="C1452" t="s">
        <v>5683</v>
      </c>
      <c r="D1452" t="s">
        <v>550</v>
      </c>
      <c r="E1452" t="s">
        <v>664</v>
      </c>
      <c r="F1452" t="s">
        <v>27</v>
      </c>
      <c r="G1452" s="1">
        <v>43467</v>
      </c>
      <c r="H1452" s="1">
        <v>43830</v>
      </c>
      <c r="I1452" t="s">
        <v>665</v>
      </c>
      <c r="J1452" t="s">
        <v>666</v>
      </c>
      <c r="K1452" t="s">
        <v>24</v>
      </c>
      <c r="L1452" t="s">
        <v>667</v>
      </c>
      <c r="M1452" t="s">
        <v>851</v>
      </c>
      <c r="N1452" t="s">
        <v>852</v>
      </c>
      <c r="O1452" t="s">
        <v>853</v>
      </c>
      <c r="P1452" t="s">
        <v>854</v>
      </c>
      <c r="Q1452" t="s">
        <v>5373</v>
      </c>
      <c r="R1452" t="s">
        <v>5374</v>
      </c>
      <c r="S1452" t="s">
        <v>550</v>
      </c>
      <c r="T1452" t="s">
        <v>550</v>
      </c>
      <c r="U1452" t="s">
        <v>550</v>
      </c>
      <c r="V1452" t="s">
        <v>5684</v>
      </c>
      <c r="W1452" t="s">
        <v>565</v>
      </c>
      <c r="X1452" t="s">
        <v>669</v>
      </c>
      <c r="Y1452" t="s">
        <v>856</v>
      </c>
      <c r="Z1452" t="s">
        <v>5682</v>
      </c>
    </row>
    <row r="1453" spans="1:26" x14ac:dyDescent="0.3">
      <c r="A1453" t="s">
        <v>525</v>
      </c>
      <c r="B1453" t="s">
        <v>5685</v>
      </c>
      <c r="C1453" t="s">
        <v>5686</v>
      </c>
      <c r="D1453" t="s">
        <v>550</v>
      </c>
      <c r="E1453" t="s">
        <v>664</v>
      </c>
      <c r="F1453" t="s">
        <v>27</v>
      </c>
      <c r="G1453" s="1">
        <v>43467</v>
      </c>
      <c r="H1453" s="1">
        <v>43830</v>
      </c>
      <c r="I1453" t="s">
        <v>665</v>
      </c>
      <c r="J1453" t="s">
        <v>666</v>
      </c>
      <c r="K1453" t="s">
        <v>24</v>
      </c>
      <c r="L1453" t="s">
        <v>667</v>
      </c>
      <c r="M1453" t="s">
        <v>851</v>
      </c>
      <c r="N1453" t="s">
        <v>852</v>
      </c>
      <c r="O1453" t="s">
        <v>853</v>
      </c>
      <c r="P1453" t="s">
        <v>854</v>
      </c>
      <c r="Q1453" t="s">
        <v>5373</v>
      </c>
      <c r="R1453" t="s">
        <v>5374</v>
      </c>
      <c r="S1453" t="s">
        <v>550</v>
      </c>
      <c r="T1453" t="s">
        <v>550</v>
      </c>
      <c r="U1453" t="s">
        <v>550</v>
      </c>
      <c r="V1453" t="s">
        <v>5687</v>
      </c>
      <c r="W1453" t="s">
        <v>565</v>
      </c>
      <c r="X1453" t="s">
        <v>669</v>
      </c>
      <c r="Y1453" t="s">
        <v>856</v>
      </c>
      <c r="Z1453" t="s">
        <v>5685</v>
      </c>
    </row>
    <row r="1454" spans="1:26" x14ac:dyDescent="0.3">
      <c r="A1454" t="s">
        <v>525</v>
      </c>
      <c r="B1454" t="s">
        <v>5688</v>
      </c>
      <c r="C1454" t="s">
        <v>5689</v>
      </c>
      <c r="D1454" t="s">
        <v>550</v>
      </c>
      <c r="E1454" t="s">
        <v>664</v>
      </c>
      <c r="F1454" t="s">
        <v>27</v>
      </c>
      <c r="G1454" s="1">
        <v>43467</v>
      </c>
      <c r="H1454" s="1">
        <v>43830</v>
      </c>
      <c r="I1454" t="s">
        <v>665</v>
      </c>
      <c r="J1454" t="s">
        <v>666</v>
      </c>
      <c r="K1454" t="s">
        <v>24</v>
      </c>
      <c r="L1454" t="s">
        <v>667</v>
      </c>
      <c r="M1454" t="s">
        <v>851</v>
      </c>
      <c r="N1454" t="s">
        <v>852</v>
      </c>
      <c r="O1454" t="s">
        <v>853</v>
      </c>
      <c r="P1454" t="s">
        <v>854</v>
      </c>
      <c r="Q1454" t="s">
        <v>5373</v>
      </c>
      <c r="R1454" t="s">
        <v>5374</v>
      </c>
      <c r="S1454" t="s">
        <v>550</v>
      </c>
      <c r="T1454" t="s">
        <v>550</v>
      </c>
      <c r="U1454" t="s">
        <v>550</v>
      </c>
      <c r="V1454" t="s">
        <v>5690</v>
      </c>
      <c r="W1454" t="s">
        <v>565</v>
      </c>
      <c r="X1454" t="s">
        <v>669</v>
      </c>
      <c r="Y1454" t="s">
        <v>856</v>
      </c>
      <c r="Z1454" t="s">
        <v>5688</v>
      </c>
    </row>
    <row r="1455" spans="1:26" x14ac:dyDescent="0.3">
      <c r="A1455" t="s">
        <v>525</v>
      </c>
      <c r="B1455" t="s">
        <v>5691</v>
      </c>
      <c r="C1455" t="s">
        <v>1391</v>
      </c>
      <c r="D1455" t="s">
        <v>550</v>
      </c>
      <c r="E1455" t="s">
        <v>664</v>
      </c>
      <c r="F1455" t="s">
        <v>27</v>
      </c>
      <c r="G1455" s="1">
        <v>43467</v>
      </c>
      <c r="H1455" s="1">
        <v>43830</v>
      </c>
      <c r="I1455" t="s">
        <v>665</v>
      </c>
      <c r="J1455" t="s">
        <v>666</v>
      </c>
      <c r="K1455" t="s">
        <v>24</v>
      </c>
      <c r="L1455" t="s">
        <v>1045</v>
      </c>
      <c r="M1455" t="s">
        <v>1030</v>
      </c>
      <c r="N1455" t="s">
        <v>255</v>
      </c>
      <c r="O1455" t="s">
        <v>1405</v>
      </c>
      <c r="P1455" t="s">
        <v>1406</v>
      </c>
      <c r="Q1455" t="s">
        <v>5373</v>
      </c>
      <c r="R1455" t="s">
        <v>5374</v>
      </c>
      <c r="S1455" t="s">
        <v>550</v>
      </c>
      <c r="T1455" t="s">
        <v>550</v>
      </c>
      <c r="U1455" t="s">
        <v>550</v>
      </c>
      <c r="V1455" t="s">
        <v>5692</v>
      </c>
      <c r="W1455" t="s">
        <v>1021</v>
      </c>
      <c r="X1455" t="s">
        <v>74</v>
      </c>
      <c r="Y1455" t="s">
        <v>1033</v>
      </c>
      <c r="Z1455" t="s">
        <v>5691</v>
      </c>
    </row>
    <row r="1456" spans="1:26" x14ac:dyDescent="0.3">
      <c r="A1456" t="s">
        <v>525</v>
      </c>
      <c r="B1456" t="s">
        <v>5693</v>
      </c>
      <c r="C1456" t="s">
        <v>5694</v>
      </c>
      <c r="D1456" t="s">
        <v>550</v>
      </c>
      <c r="E1456" t="s">
        <v>664</v>
      </c>
      <c r="F1456" t="s">
        <v>27</v>
      </c>
      <c r="G1456" s="1">
        <v>43467</v>
      </c>
      <c r="H1456" s="1">
        <v>43830</v>
      </c>
      <c r="I1456" t="s">
        <v>665</v>
      </c>
      <c r="J1456" t="s">
        <v>666</v>
      </c>
      <c r="K1456" t="s">
        <v>24</v>
      </c>
      <c r="L1456" t="s">
        <v>1045</v>
      </c>
      <c r="M1456" t="s">
        <v>1030</v>
      </c>
      <c r="N1456" t="s">
        <v>255</v>
      </c>
      <c r="O1456" t="s">
        <v>1405</v>
      </c>
      <c r="P1456" t="s">
        <v>1406</v>
      </c>
      <c r="Q1456" t="s">
        <v>5373</v>
      </c>
      <c r="R1456" t="s">
        <v>5374</v>
      </c>
      <c r="S1456" t="s">
        <v>550</v>
      </c>
      <c r="T1456" t="s">
        <v>550</v>
      </c>
      <c r="U1456" t="s">
        <v>550</v>
      </c>
      <c r="V1456" t="s">
        <v>5695</v>
      </c>
      <c r="W1456" t="s">
        <v>1021</v>
      </c>
      <c r="X1456" t="s">
        <v>74</v>
      </c>
      <c r="Y1456" t="s">
        <v>1033</v>
      </c>
      <c r="Z1456" t="s">
        <v>5693</v>
      </c>
    </row>
    <row r="1457" spans="1:26" x14ac:dyDescent="0.3">
      <c r="A1457" t="s">
        <v>525</v>
      </c>
      <c r="B1457" t="s">
        <v>5696</v>
      </c>
      <c r="C1457" t="s">
        <v>5697</v>
      </c>
      <c r="D1457" t="s">
        <v>550</v>
      </c>
      <c r="E1457" t="s">
        <v>664</v>
      </c>
      <c r="F1457" t="s">
        <v>27</v>
      </c>
      <c r="G1457" s="1">
        <v>43467</v>
      </c>
      <c r="H1457" s="1">
        <v>43830</v>
      </c>
      <c r="I1457" t="s">
        <v>665</v>
      </c>
      <c r="J1457" t="s">
        <v>666</v>
      </c>
      <c r="K1457" t="s">
        <v>24</v>
      </c>
      <c r="L1457" t="s">
        <v>1045</v>
      </c>
      <c r="M1457" t="s">
        <v>1030</v>
      </c>
      <c r="N1457" t="s">
        <v>255</v>
      </c>
      <c r="O1457" t="s">
        <v>1405</v>
      </c>
      <c r="P1457" t="s">
        <v>1406</v>
      </c>
      <c r="Q1457" t="s">
        <v>5373</v>
      </c>
      <c r="R1457" t="s">
        <v>5374</v>
      </c>
      <c r="S1457" t="s">
        <v>550</v>
      </c>
      <c r="T1457" t="s">
        <v>550</v>
      </c>
      <c r="U1457" t="s">
        <v>550</v>
      </c>
      <c r="V1457" t="s">
        <v>5698</v>
      </c>
      <c r="W1457" t="s">
        <v>1021</v>
      </c>
      <c r="X1457" t="s">
        <v>74</v>
      </c>
      <c r="Y1457" t="s">
        <v>1033</v>
      </c>
      <c r="Z1457" t="s">
        <v>5696</v>
      </c>
    </row>
    <row r="1458" spans="1:26" x14ac:dyDescent="0.3">
      <c r="A1458" t="s">
        <v>525</v>
      </c>
      <c r="B1458" t="s">
        <v>5699</v>
      </c>
      <c r="C1458" t="s">
        <v>5700</v>
      </c>
      <c r="D1458" t="s">
        <v>550</v>
      </c>
      <c r="E1458" t="s">
        <v>3591</v>
      </c>
      <c r="F1458" t="s">
        <v>3592</v>
      </c>
      <c r="G1458" s="1">
        <v>43467</v>
      </c>
      <c r="H1458" s="1">
        <v>43830</v>
      </c>
      <c r="I1458" t="s">
        <v>665</v>
      </c>
      <c r="J1458" t="s">
        <v>3593</v>
      </c>
      <c r="K1458" t="s">
        <v>24</v>
      </c>
      <c r="L1458" t="s">
        <v>1045</v>
      </c>
      <c r="M1458" t="s">
        <v>1030</v>
      </c>
      <c r="N1458" t="s">
        <v>255</v>
      </c>
      <c r="O1458" t="s">
        <v>1405</v>
      </c>
      <c r="P1458" t="s">
        <v>1406</v>
      </c>
      <c r="Q1458" t="s">
        <v>5373</v>
      </c>
      <c r="R1458" t="s">
        <v>5374</v>
      </c>
      <c r="S1458" t="s">
        <v>550</v>
      </c>
      <c r="T1458" t="s">
        <v>550</v>
      </c>
      <c r="U1458" t="s">
        <v>550</v>
      </c>
      <c r="V1458" t="s">
        <v>5701</v>
      </c>
      <c r="W1458" t="s">
        <v>1021</v>
      </c>
      <c r="X1458" t="s">
        <v>74</v>
      </c>
      <c r="Y1458" t="s">
        <v>1059</v>
      </c>
      <c r="Z1458" t="s">
        <v>5699</v>
      </c>
    </row>
    <row r="1459" spans="1:26" x14ac:dyDescent="0.3">
      <c r="A1459" t="s">
        <v>525</v>
      </c>
      <c r="B1459" t="s">
        <v>5702</v>
      </c>
      <c r="C1459" t="s">
        <v>5703</v>
      </c>
      <c r="D1459" t="s">
        <v>550</v>
      </c>
      <c r="E1459" t="s">
        <v>664</v>
      </c>
      <c r="F1459" t="s">
        <v>27</v>
      </c>
      <c r="G1459" s="1">
        <v>43467</v>
      </c>
      <c r="H1459" s="1">
        <v>43830</v>
      </c>
      <c r="I1459" t="s">
        <v>665</v>
      </c>
      <c r="J1459" t="s">
        <v>666</v>
      </c>
      <c r="K1459" t="s">
        <v>24</v>
      </c>
      <c r="L1459" t="s">
        <v>1045</v>
      </c>
      <c r="M1459" t="s">
        <v>1030</v>
      </c>
      <c r="N1459" t="s">
        <v>255</v>
      </c>
      <c r="O1459" t="s">
        <v>1405</v>
      </c>
      <c r="P1459" t="s">
        <v>1406</v>
      </c>
      <c r="Q1459" t="s">
        <v>5373</v>
      </c>
      <c r="R1459" t="s">
        <v>5374</v>
      </c>
      <c r="S1459" t="s">
        <v>550</v>
      </c>
      <c r="T1459" t="s">
        <v>550</v>
      </c>
      <c r="U1459" t="s">
        <v>550</v>
      </c>
      <c r="V1459" t="s">
        <v>5704</v>
      </c>
      <c r="W1459" t="s">
        <v>1021</v>
      </c>
      <c r="X1459" t="s">
        <v>74</v>
      </c>
      <c r="Y1459" t="s">
        <v>1059</v>
      </c>
      <c r="Z1459" t="s">
        <v>5702</v>
      </c>
    </row>
    <row r="1460" spans="1:26" x14ac:dyDescent="0.3">
      <c r="A1460" t="s">
        <v>525</v>
      </c>
      <c r="B1460" t="s">
        <v>5705</v>
      </c>
      <c r="C1460" t="s">
        <v>5706</v>
      </c>
      <c r="D1460" t="s">
        <v>1297</v>
      </c>
      <c r="E1460" t="s">
        <v>1298</v>
      </c>
      <c r="F1460" t="s">
        <v>1299</v>
      </c>
      <c r="G1460" s="1">
        <v>43467</v>
      </c>
      <c r="H1460" s="1">
        <v>43830</v>
      </c>
      <c r="I1460" t="s">
        <v>665</v>
      </c>
      <c r="J1460" t="s">
        <v>1300</v>
      </c>
      <c r="K1460" t="s">
        <v>958</v>
      </c>
      <c r="L1460" t="s">
        <v>216</v>
      </c>
      <c r="M1460" t="s">
        <v>1030</v>
      </c>
      <c r="N1460" t="s">
        <v>255</v>
      </c>
      <c r="O1460" t="s">
        <v>1405</v>
      </c>
      <c r="P1460" t="s">
        <v>1406</v>
      </c>
      <c r="Q1460" t="s">
        <v>5373</v>
      </c>
      <c r="R1460" t="s">
        <v>5374</v>
      </c>
      <c r="S1460" t="s">
        <v>550</v>
      </c>
      <c r="T1460" t="s">
        <v>550</v>
      </c>
      <c r="U1460" t="s">
        <v>550</v>
      </c>
      <c r="V1460" t="s">
        <v>5707</v>
      </c>
      <c r="W1460" t="s">
        <v>613</v>
      </c>
      <c r="X1460" t="s">
        <v>74</v>
      </c>
      <c r="Y1460" t="s">
        <v>803</v>
      </c>
      <c r="Z1460" t="s">
        <v>5705</v>
      </c>
    </row>
    <row r="1461" spans="1:26" x14ac:dyDescent="0.3">
      <c r="A1461" t="s">
        <v>525</v>
      </c>
      <c r="B1461" t="s">
        <v>5708</v>
      </c>
      <c r="C1461" t="s">
        <v>5709</v>
      </c>
      <c r="D1461" t="s">
        <v>550</v>
      </c>
      <c r="E1461" t="s">
        <v>664</v>
      </c>
      <c r="F1461" t="s">
        <v>27</v>
      </c>
      <c r="G1461" s="1">
        <v>43467</v>
      </c>
      <c r="H1461" s="1">
        <v>43830</v>
      </c>
      <c r="I1461" t="s">
        <v>665</v>
      </c>
      <c r="J1461" t="s">
        <v>666</v>
      </c>
      <c r="K1461" t="s">
        <v>24</v>
      </c>
      <c r="L1461" t="s">
        <v>216</v>
      </c>
      <c r="M1461" t="s">
        <v>1030</v>
      </c>
      <c r="N1461" t="s">
        <v>255</v>
      </c>
      <c r="O1461" t="s">
        <v>1405</v>
      </c>
      <c r="P1461" t="s">
        <v>1406</v>
      </c>
      <c r="Q1461" t="s">
        <v>5373</v>
      </c>
      <c r="R1461" t="s">
        <v>5374</v>
      </c>
      <c r="S1461" t="s">
        <v>550</v>
      </c>
      <c r="T1461" t="s">
        <v>550</v>
      </c>
      <c r="U1461" t="s">
        <v>550</v>
      </c>
      <c r="V1461" t="s">
        <v>5710</v>
      </c>
      <c r="W1461" t="s">
        <v>1021</v>
      </c>
      <c r="X1461" t="s">
        <v>74</v>
      </c>
      <c r="Y1461" t="s">
        <v>786</v>
      </c>
      <c r="Z1461" t="s">
        <v>5708</v>
      </c>
    </row>
    <row r="1462" spans="1:26" x14ac:dyDescent="0.3">
      <c r="A1462" t="s">
        <v>525</v>
      </c>
      <c r="B1462" t="s">
        <v>5711</v>
      </c>
      <c r="C1462" t="s">
        <v>5712</v>
      </c>
      <c r="D1462" t="s">
        <v>550</v>
      </c>
      <c r="E1462" t="s">
        <v>664</v>
      </c>
      <c r="F1462" t="s">
        <v>27</v>
      </c>
      <c r="G1462" s="1">
        <v>43467</v>
      </c>
      <c r="H1462" s="1">
        <v>43830</v>
      </c>
      <c r="I1462" t="s">
        <v>665</v>
      </c>
      <c r="J1462" t="s">
        <v>666</v>
      </c>
      <c r="K1462" t="s">
        <v>24</v>
      </c>
      <c r="L1462" t="s">
        <v>1045</v>
      </c>
      <c r="M1462" t="s">
        <v>1030</v>
      </c>
      <c r="N1462" t="s">
        <v>255</v>
      </c>
      <c r="O1462" t="s">
        <v>1405</v>
      </c>
      <c r="P1462" t="s">
        <v>1406</v>
      </c>
      <c r="Q1462" t="s">
        <v>5373</v>
      </c>
      <c r="R1462" t="s">
        <v>5374</v>
      </c>
      <c r="S1462" t="s">
        <v>550</v>
      </c>
      <c r="T1462" t="s">
        <v>550</v>
      </c>
      <c r="U1462" t="s">
        <v>550</v>
      </c>
      <c r="V1462" t="s">
        <v>5713</v>
      </c>
      <c r="W1462" t="s">
        <v>1021</v>
      </c>
      <c r="X1462" t="s">
        <v>74</v>
      </c>
      <c r="Y1462" t="s">
        <v>786</v>
      </c>
      <c r="Z1462" t="s">
        <v>5711</v>
      </c>
    </row>
    <row r="1463" spans="1:26" x14ac:dyDescent="0.3">
      <c r="A1463" t="s">
        <v>525</v>
      </c>
      <c r="B1463" t="s">
        <v>5714</v>
      </c>
      <c r="C1463" t="s">
        <v>5715</v>
      </c>
      <c r="D1463" t="s">
        <v>550</v>
      </c>
      <c r="E1463" t="s">
        <v>664</v>
      </c>
      <c r="F1463" t="s">
        <v>27</v>
      </c>
      <c r="G1463" s="1">
        <v>43467</v>
      </c>
      <c r="H1463" s="1">
        <v>43830</v>
      </c>
      <c r="I1463" t="s">
        <v>665</v>
      </c>
      <c r="J1463" t="s">
        <v>666</v>
      </c>
      <c r="K1463" t="s">
        <v>24</v>
      </c>
      <c r="L1463" t="s">
        <v>667</v>
      </c>
      <c r="M1463" t="s">
        <v>851</v>
      </c>
      <c r="N1463" t="s">
        <v>852</v>
      </c>
      <c r="O1463" t="s">
        <v>1405</v>
      </c>
      <c r="P1463" t="s">
        <v>1406</v>
      </c>
      <c r="Q1463" t="s">
        <v>5373</v>
      </c>
      <c r="R1463" t="s">
        <v>5374</v>
      </c>
      <c r="S1463" t="s">
        <v>550</v>
      </c>
      <c r="T1463" t="s">
        <v>550</v>
      </c>
      <c r="U1463" t="s">
        <v>550</v>
      </c>
      <c r="V1463" t="s">
        <v>5716</v>
      </c>
      <c r="W1463" t="s">
        <v>613</v>
      </c>
      <c r="X1463" t="s">
        <v>74</v>
      </c>
      <c r="Y1463" t="s">
        <v>786</v>
      </c>
      <c r="Z1463" t="s">
        <v>5714</v>
      </c>
    </row>
    <row r="1464" spans="1:26" x14ac:dyDescent="0.3">
      <c r="A1464" t="s">
        <v>525</v>
      </c>
      <c r="B1464" t="s">
        <v>5717</v>
      </c>
      <c r="C1464" t="s">
        <v>5718</v>
      </c>
      <c r="D1464" t="s">
        <v>550</v>
      </c>
      <c r="E1464" t="s">
        <v>664</v>
      </c>
      <c r="F1464" t="s">
        <v>27</v>
      </c>
      <c r="G1464" s="1">
        <v>43467</v>
      </c>
      <c r="H1464" s="1">
        <v>43830</v>
      </c>
      <c r="I1464" t="s">
        <v>665</v>
      </c>
      <c r="J1464" t="s">
        <v>666</v>
      </c>
      <c r="K1464" t="s">
        <v>24</v>
      </c>
      <c r="L1464" t="s">
        <v>667</v>
      </c>
      <c r="M1464" t="s">
        <v>851</v>
      </c>
      <c r="N1464" t="s">
        <v>852</v>
      </c>
      <c r="O1464" t="s">
        <v>1405</v>
      </c>
      <c r="P1464" t="s">
        <v>1406</v>
      </c>
      <c r="Q1464" t="s">
        <v>5373</v>
      </c>
      <c r="R1464" t="s">
        <v>5374</v>
      </c>
      <c r="S1464" t="s">
        <v>550</v>
      </c>
      <c r="T1464" t="s">
        <v>550</v>
      </c>
      <c r="U1464" t="s">
        <v>550</v>
      </c>
      <c r="V1464" t="s">
        <v>5719</v>
      </c>
      <c r="W1464" t="s">
        <v>613</v>
      </c>
      <c r="X1464" t="s">
        <v>74</v>
      </c>
      <c r="Y1464" t="s">
        <v>803</v>
      </c>
      <c r="Z1464" t="s">
        <v>5717</v>
      </c>
    </row>
    <row r="1465" spans="1:26" x14ac:dyDescent="0.3">
      <c r="A1465" t="s">
        <v>525</v>
      </c>
      <c r="B1465" t="s">
        <v>5720</v>
      </c>
      <c r="C1465" t="s">
        <v>5721</v>
      </c>
      <c r="D1465" t="s">
        <v>550</v>
      </c>
      <c r="E1465" t="s">
        <v>664</v>
      </c>
      <c r="F1465" t="s">
        <v>27</v>
      </c>
      <c r="G1465" s="1">
        <v>43467</v>
      </c>
      <c r="H1465" s="1">
        <v>43830</v>
      </c>
      <c r="I1465" t="s">
        <v>665</v>
      </c>
      <c r="J1465" t="s">
        <v>666</v>
      </c>
      <c r="K1465" t="s">
        <v>24</v>
      </c>
      <c r="L1465" t="s">
        <v>216</v>
      </c>
      <c r="M1465" t="s">
        <v>1030</v>
      </c>
      <c r="N1465" t="s">
        <v>255</v>
      </c>
      <c r="O1465" t="s">
        <v>1405</v>
      </c>
      <c r="P1465" t="s">
        <v>1406</v>
      </c>
      <c r="Q1465" t="s">
        <v>5373</v>
      </c>
      <c r="R1465" t="s">
        <v>5374</v>
      </c>
      <c r="S1465" t="s">
        <v>550</v>
      </c>
      <c r="T1465" t="s">
        <v>550</v>
      </c>
      <c r="U1465" t="s">
        <v>550</v>
      </c>
      <c r="V1465" t="s">
        <v>5722</v>
      </c>
      <c r="W1465" t="s">
        <v>613</v>
      </c>
      <c r="X1465" t="s">
        <v>74</v>
      </c>
      <c r="Y1465" t="s">
        <v>786</v>
      </c>
      <c r="Z1465" t="s">
        <v>5720</v>
      </c>
    </row>
    <row r="1466" spans="1:26" x14ac:dyDescent="0.3">
      <c r="A1466" t="s">
        <v>525</v>
      </c>
      <c r="B1466" t="s">
        <v>5723</v>
      </c>
      <c r="C1466" t="s">
        <v>3511</v>
      </c>
      <c r="D1466" t="s">
        <v>550</v>
      </c>
      <c r="E1466" t="s">
        <v>664</v>
      </c>
      <c r="F1466" t="s">
        <v>27</v>
      </c>
      <c r="G1466" s="1">
        <v>43467</v>
      </c>
      <c r="H1466" s="1">
        <v>43830</v>
      </c>
      <c r="I1466" t="s">
        <v>665</v>
      </c>
      <c r="J1466" t="s">
        <v>666</v>
      </c>
      <c r="K1466" t="s">
        <v>24</v>
      </c>
      <c r="L1466" t="s">
        <v>667</v>
      </c>
      <c r="M1466" t="s">
        <v>1030</v>
      </c>
      <c r="N1466" t="s">
        <v>255</v>
      </c>
      <c r="O1466" t="s">
        <v>1405</v>
      </c>
      <c r="P1466" t="s">
        <v>1406</v>
      </c>
      <c r="Q1466" t="s">
        <v>5373</v>
      </c>
      <c r="R1466" t="s">
        <v>5374</v>
      </c>
      <c r="S1466" t="s">
        <v>550</v>
      </c>
      <c r="T1466" t="s">
        <v>550</v>
      </c>
      <c r="U1466" t="s">
        <v>550</v>
      </c>
      <c r="V1466" t="s">
        <v>5724</v>
      </c>
      <c r="W1466" t="s">
        <v>613</v>
      </c>
      <c r="X1466" t="s">
        <v>74</v>
      </c>
      <c r="Y1466" t="s">
        <v>786</v>
      </c>
      <c r="Z1466" t="s">
        <v>5723</v>
      </c>
    </row>
    <row r="1467" spans="1:26" x14ac:dyDescent="0.3">
      <c r="A1467" t="s">
        <v>525</v>
      </c>
      <c r="B1467" t="s">
        <v>5725</v>
      </c>
      <c r="C1467" t="s">
        <v>5726</v>
      </c>
      <c r="D1467" t="s">
        <v>550</v>
      </c>
      <c r="E1467" t="s">
        <v>664</v>
      </c>
      <c r="F1467" t="s">
        <v>27</v>
      </c>
      <c r="G1467" s="1">
        <v>43467</v>
      </c>
      <c r="H1467" s="1">
        <v>43830</v>
      </c>
      <c r="I1467" t="s">
        <v>665</v>
      </c>
      <c r="J1467" t="s">
        <v>666</v>
      </c>
      <c r="K1467" t="s">
        <v>24</v>
      </c>
      <c r="L1467" t="s">
        <v>667</v>
      </c>
      <c r="M1467" t="s">
        <v>2217</v>
      </c>
      <c r="N1467" t="s">
        <v>2218</v>
      </c>
      <c r="O1467" t="s">
        <v>891</v>
      </c>
      <c r="P1467" t="s">
        <v>892</v>
      </c>
      <c r="Q1467" t="s">
        <v>5373</v>
      </c>
      <c r="R1467" t="s">
        <v>5374</v>
      </c>
      <c r="S1467" t="s">
        <v>550</v>
      </c>
      <c r="T1467" t="s">
        <v>550</v>
      </c>
      <c r="U1467" t="s">
        <v>550</v>
      </c>
      <c r="V1467" t="s">
        <v>5727</v>
      </c>
      <c r="W1467" t="s">
        <v>565</v>
      </c>
      <c r="X1467" t="s">
        <v>979</v>
      </c>
      <c r="Y1467" t="s">
        <v>803</v>
      </c>
      <c r="Z1467" t="s">
        <v>5725</v>
      </c>
    </row>
    <row r="1468" spans="1:26" x14ac:dyDescent="0.3">
      <c r="A1468" t="s">
        <v>525</v>
      </c>
      <c r="B1468" t="s">
        <v>5728</v>
      </c>
      <c r="C1468" t="s">
        <v>5729</v>
      </c>
      <c r="D1468" t="s">
        <v>550</v>
      </c>
      <c r="E1468" t="s">
        <v>664</v>
      </c>
      <c r="F1468" t="s">
        <v>27</v>
      </c>
      <c r="G1468" s="1">
        <v>43467</v>
      </c>
      <c r="H1468" s="1">
        <v>43830</v>
      </c>
      <c r="I1468" t="s">
        <v>665</v>
      </c>
      <c r="J1468" t="s">
        <v>666</v>
      </c>
      <c r="K1468" t="s">
        <v>24</v>
      </c>
      <c r="L1468" t="s">
        <v>667</v>
      </c>
      <c r="M1468" t="s">
        <v>2217</v>
      </c>
      <c r="N1468" t="s">
        <v>2218</v>
      </c>
      <c r="O1468" t="s">
        <v>891</v>
      </c>
      <c r="P1468" t="s">
        <v>892</v>
      </c>
      <c r="Q1468" t="s">
        <v>5373</v>
      </c>
      <c r="R1468" t="s">
        <v>5374</v>
      </c>
      <c r="S1468" t="s">
        <v>550</v>
      </c>
      <c r="T1468" t="s">
        <v>550</v>
      </c>
      <c r="U1468" t="s">
        <v>550</v>
      </c>
      <c r="V1468" t="s">
        <v>5730</v>
      </c>
      <c r="W1468" t="s">
        <v>978</v>
      </c>
      <c r="X1468" t="s">
        <v>669</v>
      </c>
      <c r="Y1468" t="s">
        <v>799</v>
      </c>
      <c r="Z1468" t="s">
        <v>5728</v>
      </c>
    </row>
    <row r="1469" spans="1:26" x14ac:dyDescent="0.3">
      <c r="A1469" t="s">
        <v>525</v>
      </c>
      <c r="B1469" t="s">
        <v>5731</v>
      </c>
      <c r="C1469" t="s">
        <v>5732</v>
      </c>
      <c r="D1469" t="s">
        <v>550</v>
      </c>
      <c r="E1469" t="s">
        <v>664</v>
      </c>
      <c r="F1469" t="s">
        <v>27</v>
      </c>
      <c r="G1469" s="1">
        <v>43467</v>
      </c>
      <c r="H1469" s="1">
        <v>43830</v>
      </c>
      <c r="I1469" t="s">
        <v>665</v>
      </c>
      <c r="J1469" t="s">
        <v>666</v>
      </c>
      <c r="K1469" t="s">
        <v>24</v>
      </c>
      <c r="L1469" t="s">
        <v>667</v>
      </c>
      <c r="M1469" t="s">
        <v>2217</v>
      </c>
      <c r="N1469" t="s">
        <v>2218</v>
      </c>
      <c r="O1469" t="s">
        <v>891</v>
      </c>
      <c r="P1469" t="s">
        <v>892</v>
      </c>
      <c r="Q1469" t="s">
        <v>5373</v>
      </c>
      <c r="R1469" t="s">
        <v>5374</v>
      </c>
      <c r="S1469" t="s">
        <v>550</v>
      </c>
      <c r="T1469" t="s">
        <v>550</v>
      </c>
      <c r="U1469" t="s">
        <v>550</v>
      </c>
      <c r="V1469" t="s">
        <v>5733</v>
      </c>
      <c r="W1469" t="s">
        <v>978</v>
      </c>
      <c r="X1469" t="s">
        <v>979</v>
      </c>
      <c r="Y1469" t="s">
        <v>803</v>
      </c>
      <c r="Z1469" t="s">
        <v>5731</v>
      </c>
    </row>
    <row r="1470" spans="1:26" x14ac:dyDescent="0.3">
      <c r="A1470" t="s">
        <v>525</v>
      </c>
      <c r="B1470" t="s">
        <v>5734</v>
      </c>
      <c r="C1470" t="s">
        <v>5735</v>
      </c>
      <c r="D1470" t="s">
        <v>550</v>
      </c>
      <c r="E1470" t="s">
        <v>664</v>
      </c>
      <c r="F1470" t="s">
        <v>27</v>
      </c>
      <c r="G1470" s="1">
        <v>43467</v>
      </c>
      <c r="H1470" s="1">
        <v>43830</v>
      </c>
      <c r="I1470" t="s">
        <v>665</v>
      </c>
      <c r="J1470" t="s">
        <v>666</v>
      </c>
      <c r="K1470" t="s">
        <v>24</v>
      </c>
      <c r="L1470" t="s">
        <v>667</v>
      </c>
      <c r="M1470" t="s">
        <v>2217</v>
      </c>
      <c r="N1470" t="s">
        <v>2218</v>
      </c>
      <c r="O1470" t="s">
        <v>891</v>
      </c>
      <c r="P1470" t="s">
        <v>892</v>
      </c>
      <c r="Q1470" t="s">
        <v>5373</v>
      </c>
      <c r="R1470" t="s">
        <v>5374</v>
      </c>
      <c r="S1470" t="s">
        <v>550</v>
      </c>
      <c r="T1470" t="s">
        <v>550</v>
      </c>
      <c r="U1470" t="s">
        <v>550</v>
      </c>
      <c r="V1470" t="s">
        <v>5736</v>
      </c>
      <c r="W1470" t="s">
        <v>978</v>
      </c>
      <c r="X1470" t="s">
        <v>979</v>
      </c>
      <c r="Y1470" t="s">
        <v>803</v>
      </c>
      <c r="Z1470" t="s">
        <v>5734</v>
      </c>
    </row>
    <row r="1471" spans="1:26" x14ac:dyDescent="0.3">
      <c r="A1471" t="s">
        <v>525</v>
      </c>
      <c r="B1471" t="s">
        <v>5737</v>
      </c>
      <c r="C1471" t="s">
        <v>5738</v>
      </c>
      <c r="D1471" t="s">
        <v>550</v>
      </c>
      <c r="E1471" t="s">
        <v>664</v>
      </c>
      <c r="F1471" t="s">
        <v>27</v>
      </c>
      <c r="G1471" s="1">
        <v>43467</v>
      </c>
      <c r="H1471" s="1">
        <v>43830</v>
      </c>
      <c r="I1471" t="s">
        <v>665</v>
      </c>
      <c r="J1471" t="s">
        <v>666</v>
      </c>
      <c r="K1471" t="s">
        <v>24</v>
      </c>
      <c r="L1471" t="s">
        <v>667</v>
      </c>
      <c r="M1471" t="s">
        <v>2217</v>
      </c>
      <c r="N1471" t="s">
        <v>2218</v>
      </c>
      <c r="O1471" t="s">
        <v>891</v>
      </c>
      <c r="P1471" t="s">
        <v>892</v>
      </c>
      <c r="Q1471" t="s">
        <v>5373</v>
      </c>
      <c r="R1471" t="s">
        <v>5374</v>
      </c>
      <c r="S1471" t="s">
        <v>550</v>
      </c>
      <c r="T1471" t="s">
        <v>550</v>
      </c>
      <c r="U1471" t="s">
        <v>550</v>
      </c>
      <c r="V1471" t="s">
        <v>5739</v>
      </c>
      <c r="W1471" t="s">
        <v>978</v>
      </c>
      <c r="X1471" t="s">
        <v>979</v>
      </c>
      <c r="Y1471" t="s">
        <v>803</v>
      </c>
      <c r="Z1471" t="s">
        <v>5737</v>
      </c>
    </row>
    <row r="1472" spans="1:26" x14ac:dyDescent="0.3">
      <c r="A1472" t="s">
        <v>525</v>
      </c>
      <c r="B1472" t="s">
        <v>5740</v>
      </c>
      <c r="C1472" t="s">
        <v>5741</v>
      </c>
      <c r="D1472" t="s">
        <v>550</v>
      </c>
      <c r="E1472" t="s">
        <v>664</v>
      </c>
      <c r="F1472" t="s">
        <v>27</v>
      </c>
      <c r="G1472" s="1">
        <v>43467</v>
      </c>
      <c r="H1472" s="1">
        <v>43830</v>
      </c>
      <c r="I1472" t="s">
        <v>665</v>
      </c>
      <c r="J1472" t="s">
        <v>666</v>
      </c>
      <c r="K1472" t="s">
        <v>24</v>
      </c>
      <c r="L1472" t="s">
        <v>667</v>
      </c>
      <c r="M1472" t="s">
        <v>2217</v>
      </c>
      <c r="N1472" t="s">
        <v>2218</v>
      </c>
      <c r="O1472" t="s">
        <v>891</v>
      </c>
      <c r="P1472" t="s">
        <v>892</v>
      </c>
      <c r="Q1472" t="s">
        <v>5373</v>
      </c>
      <c r="R1472" t="s">
        <v>5374</v>
      </c>
      <c r="S1472" t="s">
        <v>550</v>
      </c>
      <c r="T1472" t="s">
        <v>550</v>
      </c>
      <c r="U1472" t="s">
        <v>550</v>
      </c>
      <c r="V1472" t="s">
        <v>5742</v>
      </c>
      <c r="W1472" t="s">
        <v>978</v>
      </c>
      <c r="X1472" t="s">
        <v>979</v>
      </c>
      <c r="Y1472" t="s">
        <v>803</v>
      </c>
      <c r="Z1472" t="s">
        <v>5740</v>
      </c>
    </row>
    <row r="1473" spans="1:26" x14ac:dyDescent="0.3">
      <c r="A1473" t="s">
        <v>525</v>
      </c>
      <c r="B1473" t="s">
        <v>5743</v>
      </c>
      <c r="C1473" t="s">
        <v>5744</v>
      </c>
      <c r="D1473" t="s">
        <v>550</v>
      </c>
      <c r="E1473" t="s">
        <v>664</v>
      </c>
      <c r="F1473" t="s">
        <v>27</v>
      </c>
      <c r="G1473" s="1">
        <v>43467</v>
      </c>
      <c r="H1473" s="1">
        <v>43830</v>
      </c>
      <c r="I1473" t="s">
        <v>665</v>
      </c>
      <c r="J1473" t="s">
        <v>666</v>
      </c>
      <c r="K1473" t="s">
        <v>24</v>
      </c>
      <c r="L1473" t="s">
        <v>1045</v>
      </c>
      <c r="M1473" t="s">
        <v>1030</v>
      </c>
      <c r="N1473" t="s">
        <v>255</v>
      </c>
      <c r="O1473" t="s">
        <v>1405</v>
      </c>
      <c r="P1473" t="s">
        <v>1406</v>
      </c>
      <c r="Q1473" t="s">
        <v>5373</v>
      </c>
      <c r="R1473" t="s">
        <v>5374</v>
      </c>
      <c r="S1473" t="s">
        <v>550</v>
      </c>
      <c r="T1473" t="s">
        <v>550</v>
      </c>
      <c r="U1473" t="s">
        <v>550</v>
      </c>
      <c r="V1473" t="s">
        <v>5745</v>
      </c>
      <c r="W1473" t="s">
        <v>1021</v>
      </c>
      <c r="X1473" t="s">
        <v>74</v>
      </c>
      <c r="Y1473" t="s">
        <v>803</v>
      </c>
      <c r="Z1473" t="s">
        <v>5743</v>
      </c>
    </row>
    <row r="1474" spans="1:26" x14ac:dyDescent="0.3">
      <c r="A1474" t="s">
        <v>525</v>
      </c>
      <c r="B1474" t="s">
        <v>5746</v>
      </c>
      <c r="C1474" t="s">
        <v>5747</v>
      </c>
      <c r="D1474" t="s">
        <v>550</v>
      </c>
      <c r="E1474" t="s">
        <v>2811</v>
      </c>
      <c r="F1474" t="s">
        <v>2812</v>
      </c>
      <c r="G1474" s="1">
        <v>43467</v>
      </c>
      <c r="H1474" s="1">
        <v>43488</v>
      </c>
      <c r="I1474" t="s">
        <v>665</v>
      </c>
      <c r="J1474" t="s">
        <v>2813</v>
      </c>
      <c r="K1474" t="s">
        <v>24</v>
      </c>
      <c r="L1474" t="s">
        <v>216</v>
      </c>
      <c r="M1474" t="s">
        <v>1030</v>
      </c>
      <c r="N1474" t="s">
        <v>255</v>
      </c>
      <c r="O1474" t="s">
        <v>1405</v>
      </c>
      <c r="P1474" t="s">
        <v>1406</v>
      </c>
      <c r="Q1474" t="s">
        <v>5373</v>
      </c>
      <c r="R1474" t="s">
        <v>5374</v>
      </c>
      <c r="S1474" t="s">
        <v>550</v>
      </c>
      <c r="T1474" t="s">
        <v>550</v>
      </c>
      <c r="U1474" t="s">
        <v>550</v>
      </c>
      <c r="V1474" t="s">
        <v>5748</v>
      </c>
      <c r="W1474" t="s">
        <v>1021</v>
      </c>
      <c r="X1474" t="s">
        <v>74</v>
      </c>
      <c r="Y1474" t="s">
        <v>803</v>
      </c>
      <c r="Z1474" t="s">
        <v>5746</v>
      </c>
    </row>
    <row r="1475" spans="1:26" x14ac:dyDescent="0.3">
      <c r="A1475" t="s">
        <v>525</v>
      </c>
      <c r="B1475" t="s">
        <v>5749</v>
      </c>
      <c r="C1475" t="s">
        <v>5750</v>
      </c>
      <c r="D1475" t="s">
        <v>550</v>
      </c>
      <c r="E1475" t="s">
        <v>664</v>
      </c>
      <c r="F1475" t="s">
        <v>27</v>
      </c>
      <c r="G1475" s="1">
        <v>43770</v>
      </c>
      <c r="H1475" s="1">
        <v>43776</v>
      </c>
      <c r="I1475" t="s">
        <v>665</v>
      </c>
      <c r="J1475" t="s">
        <v>666</v>
      </c>
      <c r="K1475" t="s">
        <v>24</v>
      </c>
      <c r="L1475" t="s">
        <v>667</v>
      </c>
      <c r="M1475" t="s">
        <v>1030</v>
      </c>
      <c r="N1475" t="s">
        <v>255</v>
      </c>
      <c r="O1475" t="s">
        <v>1405</v>
      </c>
      <c r="P1475" t="s">
        <v>1406</v>
      </c>
      <c r="Q1475" t="s">
        <v>5373</v>
      </c>
      <c r="R1475" t="s">
        <v>5374</v>
      </c>
      <c r="S1475" t="s">
        <v>550</v>
      </c>
      <c r="T1475" t="s">
        <v>550</v>
      </c>
      <c r="U1475" t="s">
        <v>550</v>
      </c>
      <c r="V1475" t="s">
        <v>5751</v>
      </c>
      <c r="W1475" t="s">
        <v>1021</v>
      </c>
      <c r="X1475" t="s">
        <v>74</v>
      </c>
      <c r="Y1475" t="s">
        <v>803</v>
      </c>
      <c r="Z1475" t="s">
        <v>5749</v>
      </c>
    </row>
    <row r="1476" spans="1:26" x14ac:dyDescent="0.3">
      <c r="A1476" t="s">
        <v>525</v>
      </c>
      <c r="B1476" t="s">
        <v>5752</v>
      </c>
      <c r="C1476" t="s">
        <v>2212</v>
      </c>
      <c r="D1476" t="s">
        <v>550</v>
      </c>
      <c r="E1476" t="s">
        <v>664</v>
      </c>
      <c r="F1476" t="s">
        <v>27</v>
      </c>
      <c r="G1476" s="1">
        <v>43467</v>
      </c>
      <c r="H1476" s="1">
        <v>43830</v>
      </c>
      <c r="I1476" t="s">
        <v>665</v>
      </c>
      <c r="J1476" t="s">
        <v>666</v>
      </c>
      <c r="K1476" t="s">
        <v>24</v>
      </c>
      <c r="L1476" t="s">
        <v>667</v>
      </c>
      <c r="M1476" t="s">
        <v>1030</v>
      </c>
      <c r="N1476" t="s">
        <v>255</v>
      </c>
      <c r="O1476" t="s">
        <v>1405</v>
      </c>
      <c r="P1476" t="s">
        <v>1406</v>
      </c>
      <c r="Q1476" t="s">
        <v>5373</v>
      </c>
      <c r="R1476" t="s">
        <v>5374</v>
      </c>
      <c r="S1476" t="s">
        <v>550</v>
      </c>
      <c r="T1476" t="s">
        <v>550</v>
      </c>
      <c r="U1476" t="s">
        <v>550</v>
      </c>
      <c r="V1476" t="s">
        <v>5753</v>
      </c>
      <c r="W1476" t="s">
        <v>613</v>
      </c>
      <c r="X1476" t="s">
        <v>74</v>
      </c>
      <c r="Y1476" t="s">
        <v>786</v>
      </c>
      <c r="Z1476" t="s">
        <v>5752</v>
      </c>
    </row>
    <row r="1477" spans="1:26" x14ac:dyDescent="0.3">
      <c r="A1477" t="s">
        <v>525</v>
      </c>
      <c r="B1477" t="s">
        <v>5754</v>
      </c>
      <c r="C1477" t="s">
        <v>5755</v>
      </c>
      <c r="D1477" t="s">
        <v>550</v>
      </c>
      <c r="E1477" t="s">
        <v>3419</v>
      </c>
      <c r="F1477" t="s">
        <v>3420</v>
      </c>
      <c r="G1477" s="1">
        <v>43525</v>
      </c>
      <c r="H1477" s="1">
        <v>43529</v>
      </c>
      <c r="I1477" t="s">
        <v>665</v>
      </c>
      <c r="J1477" t="s">
        <v>3421</v>
      </c>
      <c r="K1477" t="s">
        <v>24</v>
      </c>
      <c r="L1477" t="s">
        <v>216</v>
      </c>
      <c r="M1477" t="s">
        <v>1030</v>
      </c>
      <c r="N1477" t="s">
        <v>255</v>
      </c>
      <c r="O1477" t="s">
        <v>1405</v>
      </c>
      <c r="P1477" t="s">
        <v>1406</v>
      </c>
      <c r="Q1477" t="s">
        <v>5373</v>
      </c>
      <c r="R1477" t="s">
        <v>5374</v>
      </c>
      <c r="S1477" t="s">
        <v>550</v>
      </c>
      <c r="T1477" t="s">
        <v>550</v>
      </c>
      <c r="U1477" t="s">
        <v>550</v>
      </c>
      <c r="V1477" t="s">
        <v>5756</v>
      </c>
      <c r="W1477" t="s">
        <v>613</v>
      </c>
      <c r="X1477" t="s">
        <v>74</v>
      </c>
      <c r="Y1477" t="s">
        <v>786</v>
      </c>
      <c r="Z1477" t="s">
        <v>5754</v>
      </c>
    </row>
    <row r="1478" spans="1:26" x14ac:dyDescent="0.3">
      <c r="A1478" t="s">
        <v>525</v>
      </c>
      <c r="B1478" t="s">
        <v>5757</v>
      </c>
      <c r="C1478" t="s">
        <v>5758</v>
      </c>
      <c r="D1478" t="s">
        <v>5759</v>
      </c>
      <c r="E1478" t="s">
        <v>3419</v>
      </c>
      <c r="F1478" t="s">
        <v>3420</v>
      </c>
      <c r="G1478" s="1">
        <v>43467</v>
      </c>
      <c r="H1478" s="1">
        <v>43515</v>
      </c>
      <c r="I1478" t="s">
        <v>665</v>
      </c>
      <c r="J1478" t="s">
        <v>3421</v>
      </c>
      <c r="K1478" t="s">
        <v>24</v>
      </c>
      <c r="L1478" t="s">
        <v>216</v>
      </c>
      <c r="M1478" t="s">
        <v>1030</v>
      </c>
      <c r="N1478" t="s">
        <v>255</v>
      </c>
      <c r="O1478" t="s">
        <v>1405</v>
      </c>
      <c r="P1478" t="s">
        <v>1406</v>
      </c>
      <c r="Q1478" t="s">
        <v>5373</v>
      </c>
      <c r="R1478" t="s">
        <v>5374</v>
      </c>
      <c r="S1478" t="s">
        <v>550</v>
      </c>
      <c r="T1478" t="s">
        <v>550</v>
      </c>
      <c r="U1478" t="s">
        <v>550</v>
      </c>
      <c r="V1478" t="s">
        <v>5760</v>
      </c>
      <c r="W1478" t="s">
        <v>613</v>
      </c>
      <c r="X1478" t="s">
        <v>74</v>
      </c>
      <c r="Y1478" t="s">
        <v>786</v>
      </c>
      <c r="Z1478" t="s">
        <v>5757</v>
      </c>
    </row>
    <row r="1479" spans="1:26" x14ac:dyDescent="0.3">
      <c r="A1479" t="s">
        <v>525</v>
      </c>
      <c r="B1479" t="s">
        <v>5761</v>
      </c>
      <c r="C1479" t="s">
        <v>5762</v>
      </c>
      <c r="D1479" t="s">
        <v>5759</v>
      </c>
      <c r="E1479" t="s">
        <v>3419</v>
      </c>
      <c r="F1479" t="s">
        <v>3420</v>
      </c>
      <c r="G1479" s="1">
        <v>43831</v>
      </c>
      <c r="H1479" s="1">
        <v>43869</v>
      </c>
      <c r="I1479" t="s">
        <v>665</v>
      </c>
      <c r="J1479" t="s">
        <v>3421</v>
      </c>
      <c r="K1479" t="s">
        <v>24</v>
      </c>
      <c r="L1479" t="s">
        <v>216</v>
      </c>
      <c r="M1479" t="s">
        <v>1030</v>
      </c>
      <c r="N1479" t="s">
        <v>255</v>
      </c>
      <c r="O1479" t="s">
        <v>1405</v>
      </c>
      <c r="P1479" t="s">
        <v>1406</v>
      </c>
      <c r="Q1479" t="s">
        <v>5373</v>
      </c>
      <c r="R1479" t="s">
        <v>5374</v>
      </c>
      <c r="S1479" t="s">
        <v>550</v>
      </c>
      <c r="T1479" t="s">
        <v>550</v>
      </c>
      <c r="U1479" t="s">
        <v>550</v>
      </c>
      <c r="V1479" t="s">
        <v>5763</v>
      </c>
      <c r="W1479" t="s">
        <v>613</v>
      </c>
      <c r="X1479" t="s">
        <v>74</v>
      </c>
      <c r="Y1479" t="s">
        <v>786</v>
      </c>
      <c r="Z1479" t="s">
        <v>5761</v>
      </c>
    </row>
    <row r="1480" spans="1:26" x14ac:dyDescent="0.3">
      <c r="A1480" t="s">
        <v>525</v>
      </c>
      <c r="B1480" t="s">
        <v>5764</v>
      </c>
      <c r="C1480" t="s">
        <v>5765</v>
      </c>
      <c r="D1480" t="s">
        <v>550</v>
      </c>
      <c r="E1480" t="s">
        <v>1438</v>
      </c>
      <c r="F1480" t="s">
        <v>1439</v>
      </c>
      <c r="G1480" s="1">
        <v>43467</v>
      </c>
      <c r="H1480" s="1">
        <v>43830</v>
      </c>
      <c r="I1480" t="s">
        <v>665</v>
      </c>
      <c r="J1480" t="s">
        <v>1440</v>
      </c>
      <c r="K1480" t="s">
        <v>24</v>
      </c>
      <c r="L1480" t="s">
        <v>1045</v>
      </c>
      <c r="M1480" t="s">
        <v>2790</v>
      </c>
      <c r="N1480" t="s">
        <v>2791</v>
      </c>
      <c r="O1480" t="s">
        <v>1405</v>
      </c>
      <c r="P1480" t="s">
        <v>1406</v>
      </c>
      <c r="Q1480" t="s">
        <v>5373</v>
      </c>
      <c r="R1480" t="s">
        <v>5374</v>
      </c>
      <c r="S1480" t="s">
        <v>550</v>
      </c>
      <c r="T1480" t="s">
        <v>550</v>
      </c>
      <c r="U1480" t="s">
        <v>550</v>
      </c>
      <c r="V1480" t="s">
        <v>5766</v>
      </c>
      <c r="W1480" t="s">
        <v>1021</v>
      </c>
      <c r="X1480" t="s">
        <v>74</v>
      </c>
      <c r="Y1480" t="s">
        <v>1075</v>
      </c>
      <c r="Z1480" t="s">
        <v>5764</v>
      </c>
    </row>
    <row r="1481" spans="1:26" x14ac:dyDescent="0.3">
      <c r="A1481" t="s">
        <v>525</v>
      </c>
      <c r="B1481" t="s">
        <v>5767</v>
      </c>
      <c r="C1481" t="s">
        <v>5768</v>
      </c>
      <c r="D1481" t="s">
        <v>550</v>
      </c>
      <c r="E1481" t="s">
        <v>1092</v>
      </c>
      <c r="F1481" t="s">
        <v>1093</v>
      </c>
      <c r="G1481" s="1">
        <v>43467</v>
      </c>
      <c r="H1481" s="1">
        <v>43830</v>
      </c>
      <c r="I1481" t="s">
        <v>665</v>
      </c>
      <c r="J1481" t="s">
        <v>1094</v>
      </c>
      <c r="K1481" t="s">
        <v>24</v>
      </c>
      <c r="L1481" t="s">
        <v>1045</v>
      </c>
      <c r="M1481" t="s">
        <v>2790</v>
      </c>
      <c r="N1481" t="s">
        <v>2791</v>
      </c>
      <c r="O1481" t="s">
        <v>1405</v>
      </c>
      <c r="P1481" t="s">
        <v>1406</v>
      </c>
      <c r="Q1481" t="s">
        <v>5373</v>
      </c>
      <c r="R1481" t="s">
        <v>5374</v>
      </c>
      <c r="S1481" t="s">
        <v>550</v>
      </c>
      <c r="T1481" t="s">
        <v>550</v>
      </c>
      <c r="U1481" t="s">
        <v>550</v>
      </c>
      <c r="V1481" t="s">
        <v>5769</v>
      </c>
      <c r="W1481" t="s">
        <v>1021</v>
      </c>
      <c r="X1481" t="s">
        <v>74</v>
      </c>
      <c r="Y1481" t="s">
        <v>1075</v>
      </c>
      <c r="Z1481" t="s">
        <v>5767</v>
      </c>
    </row>
    <row r="1482" spans="1:26" x14ac:dyDescent="0.3">
      <c r="A1482" t="s">
        <v>525</v>
      </c>
      <c r="B1482" t="s">
        <v>5770</v>
      </c>
      <c r="C1482" t="s">
        <v>1415</v>
      </c>
      <c r="D1482" t="s">
        <v>550</v>
      </c>
      <c r="E1482" t="s">
        <v>664</v>
      </c>
      <c r="F1482" t="s">
        <v>27</v>
      </c>
      <c r="G1482" s="1">
        <v>43467</v>
      </c>
      <c r="H1482" s="1">
        <v>43830</v>
      </c>
      <c r="I1482" t="s">
        <v>665</v>
      </c>
      <c r="J1482" t="s">
        <v>666</v>
      </c>
      <c r="K1482" t="s">
        <v>24</v>
      </c>
      <c r="L1482" t="s">
        <v>863</v>
      </c>
      <c r="M1482" t="s">
        <v>2790</v>
      </c>
      <c r="N1482" t="s">
        <v>2791</v>
      </c>
      <c r="O1482" t="s">
        <v>1405</v>
      </c>
      <c r="P1482" t="s">
        <v>1406</v>
      </c>
      <c r="Q1482" t="s">
        <v>5373</v>
      </c>
      <c r="R1482" t="s">
        <v>5374</v>
      </c>
      <c r="S1482" t="s">
        <v>550</v>
      </c>
      <c r="T1482" t="s">
        <v>550</v>
      </c>
      <c r="U1482" t="s">
        <v>550</v>
      </c>
      <c r="V1482" t="s">
        <v>5771</v>
      </c>
      <c r="W1482" t="s">
        <v>1021</v>
      </c>
      <c r="X1482" t="s">
        <v>74</v>
      </c>
      <c r="Y1482" t="s">
        <v>1075</v>
      </c>
      <c r="Z1482" t="s">
        <v>5770</v>
      </c>
    </row>
    <row r="1483" spans="1:26" x14ac:dyDescent="0.3">
      <c r="A1483" t="s">
        <v>525</v>
      </c>
      <c r="B1483" t="s">
        <v>5772</v>
      </c>
      <c r="C1483" t="s">
        <v>5773</v>
      </c>
      <c r="D1483" t="s">
        <v>550</v>
      </c>
      <c r="E1483" t="s">
        <v>664</v>
      </c>
      <c r="F1483" t="s">
        <v>27</v>
      </c>
      <c r="G1483" s="1">
        <v>43467</v>
      </c>
      <c r="H1483" s="1">
        <v>43472</v>
      </c>
      <c r="I1483" t="s">
        <v>665</v>
      </c>
      <c r="J1483" t="s">
        <v>666</v>
      </c>
      <c r="K1483" t="s">
        <v>958</v>
      </c>
      <c r="L1483" t="s">
        <v>863</v>
      </c>
      <c r="M1483" t="s">
        <v>2790</v>
      </c>
      <c r="N1483" t="s">
        <v>2791</v>
      </c>
      <c r="O1483" t="s">
        <v>1405</v>
      </c>
      <c r="P1483" t="s">
        <v>1406</v>
      </c>
      <c r="Q1483" t="s">
        <v>5373</v>
      </c>
      <c r="R1483" t="s">
        <v>5374</v>
      </c>
      <c r="S1483" t="s">
        <v>550</v>
      </c>
      <c r="T1483" t="s">
        <v>550</v>
      </c>
      <c r="U1483" t="s">
        <v>550</v>
      </c>
      <c r="V1483" t="s">
        <v>5774</v>
      </c>
      <c r="W1483" t="s">
        <v>1021</v>
      </c>
      <c r="X1483" t="s">
        <v>74</v>
      </c>
      <c r="Y1483" t="s">
        <v>1075</v>
      </c>
      <c r="Z1483" t="s">
        <v>5772</v>
      </c>
    </row>
    <row r="1484" spans="1:26" x14ac:dyDescent="0.3">
      <c r="A1484" t="s">
        <v>525</v>
      </c>
      <c r="B1484" t="s">
        <v>5775</v>
      </c>
      <c r="C1484" t="s">
        <v>5776</v>
      </c>
      <c r="D1484" t="s">
        <v>1812</v>
      </c>
      <c r="E1484" t="s">
        <v>1813</v>
      </c>
      <c r="F1484" t="s">
        <v>1339</v>
      </c>
      <c r="G1484" s="1">
        <v>43467</v>
      </c>
      <c r="H1484" s="1">
        <v>43508</v>
      </c>
      <c r="I1484" t="s">
        <v>665</v>
      </c>
      <c r="J1484" t="s">
        <v>1814</v>
      </c>
      <c r="K1484" t="s">
        <v>958</v>
      </c>
      <c r="L1484" t="s">
        <v>216</v>
      </c>
      <c r="M1484" t="s">
        <v>1293</v>
      </c>
      <c r="N1484" t="s">
        <v>256</v>
      </c>
      <c r="O1484" t="s">
        <v>1405</v>
      </c>
      <c r="P1484" t="s">
        <v>1406</v>
      </c>
      <c r="Q1484" t="s">
        <v>5373</v>
      </c>
      <c r="R1484" t="s">
        <v>5374</v>
      </c>
      <c r="S1484" t="s">
        <v>550</v>
      </c>
      <c r="T1484" t="s">
        <v>550</v>
      </c>
      <c r="U1484" t="s">
        <v>162</v>
      </c>
      <c r="V1484" t="s">
        <v>5777</v>
      </c>
      <c r="W1484" t="s">
        <v>1021</v>
      </c>
      <c r="X1484" t="s">
        <v>74</v>
      </c>
      <c r="Y1484" t="s">
        <v>803</v>
      </c>
      <c r="Z1484" t="s">
        <v>5775</v>
      </c>
    </row>
    <row r="1485" spans="1:26" x14ac:dyDescent="0.3">
      <c r="A1485" t="s">
        <v>525</v>
      </c>
      <c r="B1485" t="s">
        <v>5778</v>
      </c>
      <c r="C1485" t="s">
        <v>5779</v>
      </c>
      <c r="D1485" t="s">
        <v>550</v>
      </c>
      <c r="E1485" t="s">
        <v>5780</v>
      </c>
      <c r="F1485" t="s">
        <v>5781</v>
      </c>
      <c r="G1485" s="1">
        <v>43467</v>
      </c>
      <c r="H1485" s="1">
        <v>43830</v>
      </c>
      <c r="I1485" t="s">
        <v>665</v>
      </c>
      <c r="J1485" t="s">
        <v>5782</v>
      </c>
      <c r="K1485" t="s">
        <v>958</v>
      </c>
      <c r="L1485" t="s">
        <v>216</v>
      </c>
      <c r="M1485" t="s">
        <v>5783</v>
      </c>
      <c r="N1485" t="s">
        <v>5784</v>
      </c>
      <c r="O1485" t="s">
        <v>1405</v>
      </c>
      <c r="P1485" t="s">
        <v>1406</v>
      </c>
      <c r="Q1485" t="s">
        <v>5373</v>
      </c>
      <c r="R1485" t="s">
        <v>5374</v>
      </c>
      <c r="S1485" t="s">
        <v>550</v>
      </c>
      <c r="T1485" t="s">
        <v>550</v>
      </c>
      <c r="U1485" t="s">
        <v>550</v>
      </c>
      <c r="V1485" t="s">
        <v>5785</v>
      </c>
      <c r="W1485" t="s">
        <v>613</v>
      </c>
      <c r="X1485" t="s">
        <v>74</v>
      </c>
      <c r="Y1485" t="s">
        <v>803</v>
      </c>
      <c r="Z1485" t="s">
        <v>5778</v>
      </c>
    </row>
    <row r="1486" spans="1:26" x14ac:dyDescent="0.3">
      <c r="A1486" t="s">
        <v>525</v>
      </c>
      <c r="B1486" t="s">
        <v>5786</v>
      </c>
      <c r="C1486" t="s">
        <v>5787</v>
      </c>
      <c r="D1486" t="s">
        <v>550</v>
      </c>
      <c r="E1486" t="s">
        <v>5788</v>
      </c>
      <c r="F1486" t="s">
        <v>5789</v>
      </c>
      <c r="G1486" s="1">
        <v>43467</v>
      </c>
      <c r="H1486" s="1">
        <v>43830</v>
      </c>
      <c r="I1486" t="s">
        <v>665</v>
      </c>
      <c r="J1486" t="s">
        <v>5790</v>
      </c>
      <c r="K1486" t="s">
        <v>958</v>
      </c>
      <c r="L1486" t="s">
        <v>216</v>
      </c>
      <c r="M1486" t="s">
        <v>5783</v>
      </c>
      <c r="N1486" t="s">
        <v>5784</v>
      </c>
      <c r="O1486" t="s">
        <v>1405</v>
      </c>
      <c r="P1486" t="s">
        <v>1406</v>
      </c>
      <c r="Q1486" t="s">
        <v>5373</v>
      </c>
      <c r="R1486" t="s">
        <v>5374</v>
      </c>
      <c r="S1486" t="s">
        <v>550</v>
      </c>
      <c r="T1486" t="s">
        <v>550</v>
      </c>
      <c r="U1486" t="s">
        <v>550</v>
      </c>
      <c r="V1486" t="s">
        <v>5791</v>
      </c>
      <c r="W1486" t="s">
        <v>613</v>
      </c>
      <c r="X1486" t="s">
        <v>74</v>
      </c>
      <c r="Y1486" t="s">
        <v>803</v>
      </c>
      <c r="Z1486" t="s">
        <v>5786</v>
      </c>
    </row>
    <row r="1487" spans="1:26" x14ac:dyDescent="0.3">
      <c r="A1487" t="s">
        <v>525</v>
      </c>
      <c r="B1487" t="s">
        <v>5792</v>
      </c>
      <c r="C1487" t="s">
        <v>5793</v>
      </c>
      <c r="D1487" t="s">
        <v>5786</v>
      </c>
      <c r="E1487" t="s">
        <v>5788</v>
      </c>
      <c r="F1487" t="s">
        <v>5789</v>
      </c>
      <c r="G1487" s="1">
        <v>43467</v>
      </c>
      <c r="H1487" s="1">
        <v>43830</v>
      </c>
      <c r="I1487" t="s">
        <v>665</v>
      </c>
      <c r="J1487" t="s">
        <v>5790</v>
      </c>
      <c r="K1487" t="s">
        <v>958</v>
      </c>
      <c r="L1487" t="s">
        <v>216</v>
      </c>
      <c r="M1487" t="s">
        <v>5783</v>
      </c>
      <c r="N1487" t="s">
        <v>5784</v>
      </c>
      <c r="O1487" t="s">
        <v>1405</v>
      </c>
      <c r="P1487" t="s">
        <v>1406</v>
      </c>
      <c r="Q1487" t="s">
        <v>5373</v>
      </c>
      <c r="R1487" t="s">
        <v>5374</v>
      </c>
      <c r="S1487" t="s">
        <v>550</v>
      </c>
      <c r="T1487" t="s">
        <v>550</v>
      </c>
      <c r="U1487" t="s">
        <v>550</v>
      </c>
      <c r="V1487" t="s">
        <v>5794</v>
      </c>
      <c r="W1487" t="s">
        <v>613</v>
      </c>
      <c r="X1487" t="s">
        <v>74</v>
      </c>
      <c r="Y1487" t="s">
        <v>803</v>
      </c>
      <c r="Z1487" t="s">
        <v>5792</v>
      </c>
    </row>
    <row r="1488" spans="1:26" x14ac:dyDescent="0.3">
      <c r="A1488" t="s">
        <v>525</v>
      </c>
      <c r="B1488" t="s">
        <v>5795</v>
      </c>
      <c r="C1488" t="s">
        <v>5796</v>
      </c>
      <c r="D1488" t="s">
        <v>5786</v>
      </c>
      <c r="E1488" t="s">
        <v>5788</v>
      </c>
      <c r="F1488" t="s">
        <v>5789</v>
      </c>
      <c r="G1488" s="1">
        <v>43467</v>
      </c>
      <c r="H1488" s="1">
        <v>43467</v>
      </c>
      <c r="I1488" t="s">
        <v>665</v>
      </c>
      <c r="J1488" t="s">
        <v>5790</v>
      </c>
      <c r="K1488" t="s">
        <v>958</v>
      </c>
      <c r="L1488" t="s">
        <v>216</v>
      </c>
      <c r="M1488" t="s">
        <v>5783</v>
      </c>
      <c r="N1488" t="s">
        <v>5784</v>
      </c>
      <c r="O1488" t="s">
        <v>1405</v>
      </c>
      <c r="P1488" t="s">
        <v>1406</v>
      </c>
      <c r="Q1488" t="s">
        <v>5373</v>
      </c>
      <c r="R1488" t="s">
        <v>5374</v>
      </c>
      <c r="S1488" t="s">
        <v>550</v>
      </c>
      <c r="T1488" t="s">
        <v>550</v>
      </c>
      <c r="U1488" t="s">
        <v>550</v>
      </c>
      <c r="V1488" t="s">
        <v>5797</v>
      </c>
      <c r="W1488" t="s">
        <v>613</v>
      </c>
      <c r="X1488" t="s">
        <v>74</v>
      </c>
      <c r="Y1488" t="s">
        <v>803</v>
      </c>
      <c r="Z1488" t="s">
        <v>5795</v>
      </c>
    </row>
    <row r="1489" spans="1:26" x14ac:dyDescent="0.3">
      <c r="A1489" t="s">
        <v>525</v>
      </c>
      <c r="B1489" t="s">
        <v>5798</v>
      </c>
      <c r="C1489" t="s">
        <v>5799</v>
      </c>
      <c r="D1489" t="s">
        <v>1822</v>
      </c>
      <c r="E1489" t="s">
        <v>1813</v>
      </c>
      <c r="F1489" t="s">
        <v>1339</v>
      </c>
      <c r="G1489" s="1">
        <v>43739</v>
      </c>
      <c r="H1489" s="1">
        <v>43747</v>
      </c>
      <c r="I1489" t="s">
        <v>665</v>
      </c>
      <c r="J1489" t="s">
        <v>1814</v>
      </c>
      <c r="K1489" t="s">
        <v>958</v>
      </c>
      <c r="L1489" t="s">
        <v>216</v>
      </c>
      <c r="M1489" t="s">
        <v>1293</v>
      </c>
      <c r="N1489" t="s">
        <v>256</v>
      </c>
      <c r="O1489" t="s">
        <v>1405</v>
      </c>
      <c r="P1489" t="s">
        <v>1406</v>
      </c>
      <c r="Q1489" t="s">
        <v>5373</v>
      </c>
      <c r="R1489" t="s">
        <v>5374</v>
      </c>
      <c r="S1489" t="s">
        <v>550</v>
      </c>
      <c r="T1489" t="s">
        <v>550</v>
      </c>
      <c r="U1489" t="s">
        <v>162</v>
      </c>
      <c r="V1489" t="s">
        <v>2821</v>
      </c>
      <c r="W1489" t="s">
        <v>1021</v>
      </c>
      <c r="X1489" t="s">
        <v>74</v>
      </c>
      <c r="Y1489" t="s">
        <v>803</v>
      </c>
      <c r="Z1489" t="s">
        <v>1822</v>
      </c>
    </row>
    <row r="1490" spans="1:26" x14ac:dyDescent="0.3">
      <c r="A1490" t="s">
        <v>525</v>
      </c>
      <c r="B1490" t="s">
        <v>5800</v>
      </c>
      <c r="C1490" t="s">
        <v>5568</v>
      </c>
      <c r="D1490" t="s">
        <v>1290</v>
      </c>
      <c r="E1490" t="s">
        <v>1291</v>
      </c>
      <c r="F1490" t="s">
        <v>1292</v>
      </c>
      <c r="G1490" s="1">
        <v>43467</v>
      </c>
      <c r="H1490" s="1">
        <v>43830</v>
      </c>
      <c r="I1490" t="s">
        <v>665</v>
      </c>
      <c r="J1490" t="s">
        <v>1041</v>
      </c>
      <c r="K1490" t="s">
        <v>24</v>
      </c>
      <c r="L1490" t="s">
        <v>216</v>
      </c>
      <c r="M1490" t="s">
        <v>1293</v>
      </c>
      <c r="N1490" t="s">
        <v>256</v>
      </c>
      <c r="O1490" t="s">
        <v>1405</v>
      </c>
      <c r="P1490" t="s">
        <v>1406</v>
      </c>
      <c r="Q1490" t="s">
        <v>5373</v>
      </c>
      <c r="R1490" t="s">
        <v>5374</v>
      </c>
      <c r="S1490" t="s">
        <v>550</v>
      </c>
      <c r="T1490" t="s">
        <v>550</v>
      </c>
      <c r="U1490" t="s">
        <v>550</v>
      </c>
      <c r="V1490" t="s">
        <v>5801</v>
      </c>
      <c r="W1490" t="s">
        <v>613</v>
      </c>
      <c r="X1490" t="s">
        <v>74</v>
      </c>
      <c r="Y1490" t="s">
        <v>1281</v>
      </c>
      <c r="Z1490" t="s">
        <v>5800</v>
      </c>
    </row>
    <row r="1491" spans="1:26" x14ac:dyDescent="0.3">
      <c r="A1491" t="s">
        <v>525</v>
      </c>
      <c r="B1491" t="s">
        <v>5802</v>
      </c>
      <c r="C1491" t="s">
        <v>5803</v>
      </c>
      <c r="D1491" t="s">
        <v>550</v>
      </c>
      <c r="E1491" t="s">
        <v>1102</v>
      </c>
      <c r="F1491" t="s">
        <v>1103</v>
      </c>
      <c r="G1491" s="1">
        <v>43467</v>
      </c>
      <c r="H1491" s="1">
        <v>43830</v>
      </c>
      <c r="I1491" t="s">
        <v>665</v>
      </c>
      <c r="J1491" t="s">
        <v>1104</v>
      </c>
      <c r="K1491" t="s">
        <v>24</v>
      </c>
      <c r="L1491" t="s">
        <v>1045</v>
      </c>
      <c r="M1491" t="s">
        <v>2790</v>
      </c>
      <c r="N1491" t="s">
        <v>2791</v>
      </c>
      <c r="O1491" t="s">
        <v>1405</v>
      </c>
      <c r="P1491" t="s">
        <v>1406</v>
      </c>
      <c r="Q1491" t="s">
        <v>5373</v>
      </c>
      <c r="R1491" t="s">
        <v>5374</v>
      </c>
      <c r="S1491" t="s">
        <v>550</v>
      </c>
      <c r="T1491" t="s">
        <v>550</v>
      </c>
      <c r="U1491" t="s">
        <v>550</v>
      </c>
      <c r="V1491" t="s">
        <v>5804</v>
      </c>
      <c r="W1491" t="s">
        <v>1021</v>
      </c>
      <c r="X1491" t="s">
        <v>74</v>
      </c>
      <c r="Y1491" t="s">
        <v>1033</v>
      </c>
      <c r="Z1491" t="s">
        <v>5802</v>
      </c>
    </row>
    <row r="1492" spans="1:26" x14ac:dyDescent="0.3">
      <c r="A1492" t="s">
        <v>525</v>
      </c>
      <c r="B1492" t="s">
        <v>5805</v>
      </c>
      <c r="C1492" t="s">
        <v>5806</v>
      </c>
      <c r="D1492" t="s">
        <v>550</v>
      </c>
      <c r="E1492" t="s">
        <v>1306</v>
      </c>
      <c r="F1492" t="s">
        <v>1307</v>
      </c>
      <c r="G1492" s="1">
        <v>43467</v>
      </c>
      <c r="H1492" s="1">
        <v>43830</v>
      </c>
      <c r="I1492" t="s">
        <v>665</v>
      </c>
      <c r="J1492" t="s">
        <v>1308</v>
      </c>
      <c r="K1492" t="s">
        <v>24</v>
      </c>
      <c r="L1492" t="s">
        <v>1045</v>
      </c>
      <c r="M1492" t="s">
        <v>2790</v>
      </c>
      <c r="N1492" t="s">
        <v>2791</v>
      </c>
      <c r="O1492" t="s">
        <v>1405</v>
      </c>
      <c r="P1492" t="s">
        <v>1406</v>
      </c>
      <c r="Q1492" t="s">
        <v>5373</v>
      </c>
      <c r="R1492" t="s">
        <v>5374</v>
      </c>
      <c r="S1492" t="s">
        <v>550</v>
      </c>
      <c r="T1492" t="s">
        <v>550</v>
      </c>
      <c r="U1492" t="s">
        <v>550</v>
      </c>
      <c r="V1492" t="s">
        <v>5807</v>
      </c>
      <c r="W1492" t="s">
        <v>1021</v>
      </c>
      <c r="X1492" t="s">
        <v>74</v>
      </c>
      <c r="Y1492" t="s">
        <v>1033</v>
      </c>
      <c r="Z1492" t="s">
        <v>5805</v>
      </c>
    </row>
    <row r="1493" spans="1:26" x14ac:dyDescent="0.3">
      <c r="A1493" t="s">
        <v>525</v>
      </c>
      <c r="B1493" t="s">
        <v>5808</v>
      </c>
      <c r="C1493" t="s">
        <v>5809</v>
      </c>
      <c r="D1493" t="s">
        <v>550</v>
      </c>
      <c r="E1493" t="s">
        <v>1306</v>
      </c>
      <c r="F1493" t="s">
        <v>1307</v>
      </c>
      <c r="G1493" s="1">
        <v>43467</v>
      </c>
      <c r="H1493" s="1">
        <v>43830</v>
      </c>
      <c r="I1493" t="s">
        <v>665</v>
      </c>
      <c r="J1493" t="s">
        <v>1308</v>
      </c>
      <c r="K1493" t="s">
        <v>24</v>
      </c>
      <c r="L1493" t="s">
        <v>1045</v>
      </c>
      <c r="M1493" t="s">
        <v>2790</v>
      </c>
      <c r="N1493" t="s">
        <v>2791</v>
      </c>
      <c r="O1493" t="s">
        <v>1405</v>
      </c>
      <c r="P1493" t="s">
        <v>1406</v>
      </c>
      <c r="Q1493" t="s">
        <v>5373</v>
      </c>
      <c r="R1493" t="s">
        <v>5374</v>
      </c>
      <c r="S1493" t="s">
        <v>550</v>
      </c>
      <c r="T1493" t="s">
        <v>550</v>
      </c>
      <c r="U1493" t="s">
        <v>550</v>
      </c>
      <c r="V1493" t="s">
        <v>5810</v>
      </c>
      <c r="W1493" t="s">
        <v>1021</v>
      </c>
      <c r="X1493" t="s">
        <v>74</v>
      </c>
      <c r="Y1493" t="s">
        <v>1033</v>
      </c>
      <c r="Z1493" t="s">
        <v>5808</v>
      </c>
    </row>
    <row r="1494" spans="1:26" x14ac:dyDescent="0.3">
      <c r="A1494" t="s">
        <v>525</v>
      </c>
      <c r="B1494" t="s">
        <v>5811</v>
      </c>
      <c r="C1494" t="s">
        <v>5812</v>
      </c>
      <c r="D1494" t="s">
        <v>550</v>
      </c>
      <c r="E1494" t="s">
        <v>1125</v>
      </c>
      <c r="F1494" t="s">
        <v>1126</v>
      </c>
      <c r="G1494" s="1">
        <v>43466</v>
      </c>
      <c r="H1494" s="1">
        <v>43467</v>
      </c>
      <c r="I1494" t="s">
        <v>665</v>
      </c>
      <c r="J1494" t="s">
        <v>3538</v>
      </c>
      <c r="K1494" t="s">
        <v>24</v>
      </c>
      <c r="L1494" t="s">
        <v>1045</v>
      </c>
      <c r="M1494" t="s">
        <v>2790</v>
      </c>
      <c r="N1494" t="s">
        <v>2791</v>
      </c>
      <c r="O1494" t="s">
        <v>1405</v>
      </c>
      <c r="P1494" t="s">
        <v>1406</v>
      </c>
      <c r="Q1494" t="s">
        <v>5373</v>
      </c>
      <c r="R1494" t="s">
        <v>5374</v>
      </c>
      <c r="S1494" t="s">
        <v>550</v>
      </c>
      <c r="T1494" t="s">
        <v>550</v>
      </c>
      <c r="U1494" t="s">
        <v>550</v>
      </c>
      <c r="V1494" t="s">
        <v>5813</v>
      </c>
      <c r="W1494" t="s">
        <v>1021</v>
      </c>
      <c r="X1494" t="s">
        <v>74</v>
      </c>
      <c r="Y1494" t="s">
        <v>1033</v>
      </c>
      <c r="Z1494" t="s">
        <v>5811</v>
      </c>
    </row>
    <row r="1495" spans="1:26" x14ac:dyDescent="0.3">
      <c r="A1495" t="s">
        <v>525</v>
      </c>
      <c r="B1495" t="s">
        <v>5814</v>
      </c>
      <c r="C1495" t="s">
        <v>5815</v>
      </c>
      <c r="D1495" t="s">
        <v>550</v>
      </c>
      <c r="E1495" t="s">
        <v>1125</v>
      </c>
      <c r="F1495" t="s">
        <v>1126</v>
      </c>
      <c r="G1495" s="1">
        <v>43467</v>
      </c>
      <c r="H1495" s="1">
        <v>43830</v>
      </c>
      <c r="I1495" t="s">
        <v>665</v>
      </c>
      <c r="J1495" t="s">
        <v>3538</v>
      </c>
      <c r="K1495" t="s">
        <v>24</v>
      </c>
      <c r="L1495" t="s">
        <v>216</v>
      </c>
      <c r="M1495" t="s">
        <v>2790</v>
      </c>
      <c r="N1495" t="s">
        <v>2791</v>
      </c>
      <c r="O1495" t="s">
        <v>1405</v>
      </c>
      <c r="P1495" t="s">
        <v>1406</v>
      </c>
      <c r="Q1495" t="s">
        <v>5373</v>
      </c>
      <c r="R1495" t="s">
        <v>5374</v>
      </c>
      <c r="S1495" t="s">
        <v>550</v>
      </c>
      <c r="T1495" t="s">
        <v>550</v>
      </c>
      <c r="U1495" t="s">
        <v>550</v>
      </c>
      <c r="V1495" t="s">
        <v>5816</v>
      </c>
      <c r="W1495" t="s">
        <v>1021</v>
      </c>
      <c r="X1495" t="s">
        <v>74</v>
      </c>
      <c r="Y1495" t="s">
        <v>1033</v>
      </c>
      <c r="Z1495" t="s">
        <v>5814</v>
      </c>
    </row>
    <row r="1496" spans="1:26" x14ac:dyDescent="0.3">
      <c r="A1496" t="s">
        <v>525</v>
      </c>
      <c r="B1496" t="s">
        <v>5817</v>
      </c>
      <c r="C1496" t="s">
        <v>5818</v>
      </c>
      <c r="D1496" t="s">
        <v>550</v>
      </c>
      <c r="E1496" t="s">
        <v>1027</v>
      </c>
      <c r="F1496" t="s">
        <v>1028</v>
      </c>
      <c r="G1496" s="1">
        <v>43467</v>
      </c>
      <c r="H1496" s="1">
        <v>43830</v>
      </c>
      <c r="I1496" t="s">
        <v>665</v>
      </c>
      <c r="J1496" t="s">
        <v>1029</v>
      </c>
      <c r="K1496" t="s">
        <v>24</v>
      </c>
      <c r="L1496" t="s">
        <v>1045</v>
      </c>
      <c r="M1496" t="s">
        <v>2790</v>
      </c>
      <c r="N1496" t="s">
        <v>2791</v>
      </c>
      <c r="O1496" t="s">
        <v>1405</v>
      </c>
      <c r="P1496" t="s">
        <v>1406</v>
      </c>
      <c r="Q1496" t="s">
        <v>5373</v>
      </c>
      <c r="R1496" t="s">
        <v>5374</v>
      </c>
      <c r="S1496" t="s">
        <v>550</v>
      </c>
      <c r="T1496" t="s">
        <v>550</v>
      </c>
      <c r="U1496" t="s">
        <v>550</v>
      </c>
      <c r="V1496" t="s">
        <v>5819</v>
      </c>
      <c r="W1496" t="s">
        <v>1021</v>
      </c>
      <c r="X1496" t="s">
        <v>74</v>
      </c>
      <c r="Y1496" t="s">
        <v>1033</v>
      </c>
      <c r="Z1496" t="s">
        <v>5817</v>
      </c>
    </row>
    <row r="1497" spans="1:26" x14ac:dyDescent="0.3">
      <c r="A1497" t="s">
        <v>525</v>
      </c>
      <c r="B1497" t="s">
        <v>5820</v>
      </c>
      <c r="C1497" t="s">
        <v>5815</v>
      </c>
      <c r="D1497" t="s">
        <v>550</v>
      </c>
      <c r="E1497" t="s">
        <v>1125</v>
      </c>
      <c r="F1497" t="s">
        <v>1126</v>
      </c>
      <c r="G1497" s="1">
        <v>43467</v>
      </c>
      <c r="H1497" s="1">
        <v>43536</v>
      </c>
      <c r="I1497" t="s">
        <v>665</v>
      </c>
      <c r="J1497" t="s">
        <v>3394</v>
      </c>
      <c r="K1497" t="s">
        <v>635</v>
      </c>
      <c r="L1497" t="s">
        <v>216</v>
      </c>
      <c r="M1497" t="s">
        <v>2790</v>
      </c>
      <c r="N1497" t="s">
        <v>2791</v>
      </c>
      <c r="O1497" t="s">
        <v>1405</v>
      </c>
      <c r="P1497" t="s">
        <v>1406</v>
      </c>
      <c r="Q1497" t="s">
        <v>5373</v>
      </c>
      <c r="R1497" t="s">
        <v>5374</v>
      </c>
      <c r="S1497" t="s">
        <v>550</v>
      </c>
      <c r="T1497" t="s">
        <v>550</v>
      </c>
      <c r="U1497" t="s">
        <v>550</v>
      </c>
      <c r="V1497" t="s">
        <v>5821</v>
      </c>
      <c r="W1497" t="s">
        <v>1021</v>
      </c>
      <c r="X1497" t="s">
        <v>74</v>
      </c>
      <c r="Y1497" t="s">
        <v>1033</v>
      </c>
      <c r="Z1497" t="s">
        <v>5820</v>
      </c>
    </row>
    <row r="1498" spans="1:26" x14ac:dyDescent="0.3">
      <c r="A1498" t="s">
        <v>525</v>
      </c>
      <c r="B1498" t="s">
        <v>5822</v>
      </c>
      <c r="C1498" t="s">
        <v>5812</v>
      </c>
      <c r="D1498" t="s">
        <v>550</v>
      </c>
      <c r="E1498" t="s">
        <v>1125</v>
      </c>
      <c r="F1498" t="s">
        <v>1126</v>
      </c>
      <c r="G1498" s="1">
        <v>43467</v>
      </c>
      <c r="H1498" s="1">
        <v>43563</v>
      </c>
      <c r="I1498" t="s">
        <v>665</v>
      </c>
      <c r="J1498" t="s">
        <v>3394</v>
      </c>
      <c r="K1498" t="s">
        <v>24</v>
      </c>
      <c r="L1498" t="s">
        <v>1045</v>
      </c>
      <c r="M1498" t="s">
        <v>2790</v>
      </c>
      <c r="N1498" t="s">
        <v>2791</v>
      </c>
      <c r="O1498" t="s">
        <v>1405</v>
      </c>
      <c r="P1498" t="s">
        <v>1406</v>
      </c>
      <c r="Q1498" t="s">
        <v>5373</v>
      </c>
      <c r="R1498" t="s">
        <v>5374</v>
      </c>
      <c r="S1498" t="s">
        <v>550</v>
      </c>
      <c r="T1498" t="s">
        <v>550</v>
      </c>
      <c r="U1498" t="s">
        <v>550</v>
      </c>
      <c r="V1498" t="s">
        <v>5823</v>
      </c>
      <c r="W1498" t="s">
        <v>1021</v>
      </c>
      <c r="X1498" t="s">
        <v>74</v>
      </c>
      <c r="Y1498" t="s">
        <v>1033</v>
      </c>
      <c r="Z1498" t="s">
        <v>5822</v>
      </c>
    </row>
    <row r="1499" spans="1:26" x14ac:dyDescent="0.3">
      <c r="A1499" t="s">
        <v>525</v>
      </c>
      <c r="B1499" t="s">
        <v>5824</v>
      </c>
      <c r="C1499" t="s">
        <v>5825</v>
      </c>
      <c r="D1499" t="s">
        <v>550</v>
      </c>
      <c r="E1499" t="s">
        <v>1410</v>
      </c>
      <c r="F1499" t="s">
        <v>1411</v>
      </c>
      <c r="G1499" s="1">
        <v>43467</v>
      </c>
      <c r="H1499" s="1">
        <v>43500</v>
      </c>
      <c r="I1499" t="s">
        <v>665</v>
      </c>
      <c r="J1499" t="s">
        <v>1412</v>
      </c>
      <c r="K1499" t="s">
        <v>24</v>
      </c>
      <c r="L1499" t="s">
        <v>216</v>
      </c>
      <c r="M1499" t="s">
        <v>2790</v>
      </c>
      <c r="N1499" t="s">
        <v>2791</v>
      </c>
      <c r="O1499" t="s">
        <v>1405</v>
      </c>
      <c r="P1499" t="s">
        <v>1406</v>
      </c>
      <c r="Q1499" t="s">
        <v>5373</v>
      </c>
      <c r="R1499" t="s">
        <v>5374</v>
      </c>
      <c r="S1499" t="s">
        <v>550</v>
      </c>
      <c r="T1499" t="s">
        <v>550</v>
      </c>
      <c r="U1499" t="s">
        <v>550</v>
      </c>
      <c r="V1499" t="s">
        <v>5826</v>
      </c>
      <c r="W1499" t="s">
        <v>1021</v>
      </c>
      <c r="X1499" t="s">
        <v>74</v>
      </c>
      <c r="Y1499" t="s">
        <v>1033</v>
      </c>
      <c r="Z1499" t="s">
        <v>5824</v>
      </c>
    </row>
    <row r="1500" spans="1:26" x14ac:dyDescent="0.3">
      <c r="A1500" t="s">
        <v>525</v>
      </c>
      <c r="B1500" t="s">
        <v>5827</v>
      </c>
      <c r="C1500" t="s">
        <v>5828</v>
      </c>
      <c r="D1500" t="s">
        <v>550</v>
      </c>
      <c r="E1500" t="s">
        <v>1318</v>
      </c>
      <c r="F1500" t="s">
        <v>1319</v>
      </c>
      <c r="G1500" s="1">
        <v>43770</v>
      </c>
      <c r="H1500" s="1">
        <v>43770</v>
      </c>
      <c r="I1500" t="s">
        <v>665</v>
      </c>
      <c r="J1500" t="s">
        <v>1320</v>
      </c>
      <c r="K1500" t="s">
        <v>958</v>
      </c>
      <c r="L1500" t="s">
        <v>216</v>
      </c>
      <c r="M1500" t="s">
        <v>2790</v>
      </c>
      <c r="N1500" t="s">
        <v>2791</v>
      </c>
      <c r="O1500" t="s">
        <v>1405</v>
      </c>
      <c r="P1500" t="s">
        <v>1406</v>
      </c>
      <c r="Q1500" t="s">
        <v>5373</v>
      </c>
      <c r="R1500" t="s">
        <v>5374</v>
      </c>
      <c r="S1500" t="s">
        <v>550</v>
      </c>
      <c r="T1500" t="s">
        <v>550</v>
      </c>
      <c r="U1500" t="s">
        <v>550</v>
      </c>
      <c r="V1500" t="s">
        <v>5829</v>
      </c>
      <c r="W1500" t="s">
        <v>613</v>
      </c>
      <c r="X1500" t="s">
        <v>74</v>
      </c>
      <c r="Y1500" t="s">
        <v>786</v>
      </c>
      <c r="Z1500" t="s">
        <v>5827</v>
      </c>
    </row>
    <row r="1501" spans="1:26" x14ac:dyDescent="0.3">
      <c r="A1501" t="s">
        <v>525</v>
      </c>
      <c r="B1501" t="s">
        <v>5830</v>
      </c>
      <c r="C1501" t="s">
        <v>5831</v>
      </c>
      <c r="D1501" t="s">
        <v>5827</v>
      </c>
      <c r="E1501" t="s">
        <v>1318</v>
      </c>
      <c r="F1501" t="s">
        <v>1319</v>
      </c>
      <c r="G1501" s="1">
        <v>43770</v>
      </c>
      <c r="H1501" s="1">
        <v>43804</v>
      </c>
      <c r="I1501" t="s">
        <v>665</v>
      </c>
      <c r="J1501" t="s">
        <v>1320</v>
      </c>
      <c r="K1501" t="s">
        <v>958</v>
      </c>
      <c r="L1501" t="s">
        <v>216</v>
      </c>
      <c r="M1501" t="s">
        <v>2790</v>
      </c>
      <c r="N1501" t="s">
        <v>2791</v>
      </c>
      <c r="O1501" t="s">
        <v>1405</v>
      </c>
      <c r="P1501" t="s">
        <v>1406</v>
      </c>
      <c r="Q1501" t="s">
        <v>5373</v>
      </c>
      <c r="R1501" t="s">
        <v>5374</v>
      </c>
      <c r="S1501" t="s">
        <v>550</v>
      </c>
      <c r="T1501" t="s">
        <v>550</v>
      </c>
      <c r="U1501" t="s">
        <v>550</v>
      </c>
      <c r="V1501" t="s">
        <v>5832</v>
      </c>
      <c r="W1501" t="s">
        <v>613</v>
      </c>
      <c r="X1501" t="s">
        <v>74</v>
      </c>
      <c r="Y1501" t="s">
        <v>786</v>
      </c>
      <c r="Z1501" t="s">
        <v>5830</v>
      </c>
    </row>
    <row r="1502" spans="1:26" x14ac:dyDescent="0.3">
      <c r="A1502" t="s">
        <v>525</v>
      </c>
      <c r="B1502" t="s">
        <v>5833</v>
      </c>
      <c r="C1502" t="s">
        <v>5834</v>
      </c>
      <c r="D1502" t="s">
        <v>550</v>
      </c>
      <c r="E1502" t="s">
        <v>664</v>
      </c>
      <c r="F1502" t="s">
        <v>27</v>
      </c>
      <c r="G1502" s="1">
        <v>43467</v>
      </c>
      <c r="H1502" s="1">
        <v>43830</v>
      </c>
      <c r="I1502" t="s">
        <v>665</v>
      </c>
      <c r="J1502" t="s">
        <v>666</v>
      </c>
      <c r="K1502" t="s">
        <v>24</v>
      </c>
      <c r="L1502" t="s">
        <v>667</v>
      </c>
      <c r="M1502" t="s">
        <v>2217</v>
      </c>
      <c r="N1502" t="s">
        <v>2218</v>
      </c>
      <c r="O1502" t="s">
        <v>1168</v>
      </c>
      <c r="P1502" t="s">
        <v>1169</v>
      </c>
      <c r="Q1502" t="s">
        <v>5373</v>
      </c>
      <c r="R1502" t="s">
        <v>5374</v>
      </c>
      <c r="S1502" t="s">
        <v>550</v>
      </c>
      <c r="T1502" t="s">
        <v>550</v>
      </c>
      <c r="U1502" t="s">
        <v>550</v>
      </c>
      <c r="V1502" t="s">
        <v>5835</v>
      </c>
      <c r="W1502" t="s">
        <v>554</v>
      </c>
      <c r="X1502" t="s">
        <v>669</v>
      </c>
      <c r="Y1502" t="s">
        <v>799</v>
      </c>
      <c r="Z1502" t="s">
        <v>5833</v>
      </c>
    </row>
    <row r="1503" spans="1:26" x14ac:dyDescent="0.3">
      <c r="A1503" t="s">
        <v>525</v>
      </c>
      <c r="B1503" t="s">
        <v>5836</v>
      </c>
      <c r="C1503" t="s">
        <v>5837</v>
      </c>
      <c r="D1503" t="s">
        <v>550</v>
      </c>
      <c r="E1503" t="s">
        <v>664</v>
      </c>
      <c r="F1503" t="s">
        <v>27</v>
      </c>
      <c r="G1503" s="1">
        <v>43467</v>
      </c>
      <c r="H1503" s="1">
        <v>43830</v>
      </c>
      <c r="I1503" t="s">
        <v>665</v>
      </c>
      <c r="J1503" t="s">
        <v>666</v>
      </c>
      <c r="K1503" t="s">
        <v>24</v>
      </c>
      <c r="L1503" t="s">
        <v>667</v>
      </c>
      <c r="M1503" t="s">
        <v>2217</v>
      </c>
      <c r="N1503" t="s">
        <v>2218</v>
      </c>
      <c r="O1503" t="s">
        <v>1168</v>
      </c>
      <c r="P1503" t="s">
        <v>1169</v>
      </c>
      <c r="Q1503" t="s">
        <v>5373</v>
      </c>
      <c r="R1503" t="s">
        <v>5374</v>
      </c>
      <c r="S1503" t="s">
        <v>550</v>
      </c>
      <c r="T1503" t="s">
        <v>550</v>
      </c>
      <c r="U1503" t="s">
        <v>550</v>
      </c>
      <c r="V1503" t="s">
        <v>5838</v>
      </c>
      <c r="W1503" t="s">
        <v>554</v>
      </c>
      <c r="X1503" t="s">
        <v>669</v>
      </c>
      <c r="Y1503" t="s">
        <v>799</v>
      </c>
      <c r="Z1503" t="s">
        <v>5836</v>
      </c>
    </row>
    <row r="1504" spans="1:26" x14ac:dyDescent="0.3">
      <c r="A1504" t="s">
        <v>525</v>
      </c>
      <c r="B1504" t="s">
        <v>5839</v>
      </c>
      <c r="C1504" t="s">
        <v>5840</v>
      </c>
      <c r="D1504" t="s">
        <v>550</v>
      </c>
      <c r="E1504" t="s">
        <v>664</v>
      </c>
      <c r="F1504" t="s">
        <v>27</v>
      </c>
      <c r="G1504" s="1">
        <v>43467</v>
      </c>
      <c r="H1504" s="1">
        <v>43830</v>
      </c>
      <c r="I1504" t="s">
        <v>665</v>
      </c>
      <c r="J1504" t="s">
        <v>666</v>
      </c>
      <c r="K1504" t="s">
        <v>24</v>
      </c>
      <c r="L1504" t="s">
        <v>667</v>
      </c>
      <c r="M1504" t="s">
        <v>2217</v>
      </c>
      <c r="N1504" t="s">
        <v>2218</v>
      </c>
      <c r="O1504" t="s">
        <v>1168</v>
      </c>
      <c r="P1504" t="s">
        <v>1169</v>
      </c>
      <c r="Q1504" t="s">
        <v>5373</v>
      </c>
      <c r="R1504" t="s">
        <v>5374</v>
      </c>
      <c r="S1504" t="s">
        <v>550</v>
      </c>
      <c r="T1504" t="s">
        <v>550</v>
      </c>
      <c r="U1504" t="s">
        <v>550</v>
      </c>
      <c r="V1504" t="s">
        <v>5841</v>
      </c>
      <c r="W1504" t="s">
        <v>554</v>
      </c>
      <c r="X1504" t="s">
        <v>669</v>
      </c>
      <c r="Y1504" t="s">
        <v>799</v>
      </c>
      <c r="Z1504" t="s">
        <v>5839</v>
      </c>
    </row>
    <row r="1505" spans="1:26" x14ac:dyDescent="0.3">
      <c r="A1505" t="s">
        <v>525</v>
      </c>
      <c r="B1505" t="s">
        <v>5842</v>
      </c>
      <c r="C1505" t="s">
        <v>5843</v>
      </c>
      <c r="D1505" t="s">
        <v>550</v>
      </c>
      <c r="E1505" t="s">
        <v>664</v>
      </c>
      <c r="F1505" t="s">
        <v>27</v>
      </c>
      <c r="G1505" s="1">
        <v>43467</v>
      </c>
      <c r="H1505" s="1">
        <v>43830</v>
      </c>
      <c r="I1505" t="s">
        <v>665</v>
      </c>
      <c r="J1505" t="s">
        <v>666</v>
      </c>
      <c r="K1505" t="s">
        <v>24</v>
      </c>
      <c r="L1505" t="s">
        <v>667</v>
      </c>
      <c r="M1505" t="s">
        <v>2217</v>
      </c>
      <c r="N1505" t="s">
        <v>2218</v>
      </c>
      <c r="O1505" t="s">
        <v>1168</v>
      </c>
      <c r="P1505" t="s">
        <v>1169</v>
      </c>
      <c r="Q1505" t="s">
        <v>5373</v>
      </c>
      <c r="R1505" t="s">
        <v>5374</v>
      </c>
      <c r="S1505" t="s">
        <v>550</v>
      </c>
      <c r="T1505" t="s">
        <v>550</v>
      </c>
      <c r="U1505" t="s">
        <v>550</v>
      </c>
      <c r="V1505" t="s">
        <v>5844</v>
      </c>
      <c r="W1505" t="s">
        <v>554</v>
      </c>
      <c r="X1505" t="s">
        <v>669</v>
      </c>
      <c r="Y1505" t="s">
        <v>799</v>
      </c>
      <c r="Z1505" t="s">
        <v>5842</v>
      </c>
    </row>
    <row r="1506" spans="1:26" x14ac:dyDescent="0.3">
      <c r="A1506" t="s">
        <v>525</v>
      </c>
      <c r="B1506" t="s">
        <v>5845</v>
      </c>
      <c r="C1506" t="s">
        <v>5846</v>
      </c>
      <c r="D1506" t="s">
        <v>550</v>
      </c>
      <c r="E1506" t="s">
        <v>664</v>
      </c>
      <c r="F1506" t="s">
        <v>27</v>
      </c>
      <c r="G1506" s="1">
        <v>43467</v>
      </c>
      <c r="H1506" s="1">
        <v>43830</v>
      </c>
      <c r="I1506" t="s">
        <v>665</v>
      </c>
      <c r="J1506" t="s">
        <v>666</v>
      </c>
      <c r="K1506" t="s">
        <v>24</v>
      </c>
      <c r="L1506" t="s">
        <v>667</v>
      </c>
      <c r="M1506" t="s">
        <v>2217</v>
      </c>
      <c r="N1506" t="s">
        <v>2218</v>
      </c>
      <c r="O1506" t="s">
        <v>1168</v>
      </c>
      <c r="P1506" t="s">
        <v>1169</v>
      </c>
      <c r="Q1506" t="s">
        <v>5373</v>
      </c>
      <c r="R1506" t="s">
        <v>5374</v>
      </c>
      <c r="S1506" t="s">
        <v>550</v>
      </c>
      <c r="T1506" t="s">
        <v>550</v>
      </c>
      <c r="U1506" t="s">
        <v>550</v>
      </c>
      <c r="V1506" t="s">
        <v>5847</v>
      </c>
      <c r="W1506" t="s">
        <v>554</v>
      </c>
      <c r="X1506" t="s">
        <v>669</v>
      </c>
      <c r="Y1506" t="s">
        <v>799</v>
      </c>
      <c r="Z1506" t="s">
        <v>5845</v>
      </c>
    </row>
    <row r="1507" spans="1:26" x14ac:dyDescent="0.3">
      <c r="A1507" t="s">
        <v>525</v>
      </c>
      <c r="B1507" t="s">
        <v>5848</v>
      </c>
      <c r="C1507" t="s">
        <v>5849</v>
      </c>
      <c r="D1507" t="s">
        <v>550</v>
      </c>
      <c r="E1507" t="s">
        <v>664</v>
      </c>
      <c r="F1507" t="s">
        <v>27</v>
      </c>
      <c r="G1507" s="1">
        <v>43467</v>
      </c>
      <c r="H1507" s="1">
        <v>43830</v>
      </c>
      <c r="I1507" t="s">
        <v>665</v>
      </c>
      <c r="J1507" t="s">
        <v>666</v>
      </c>
      <c r="K1507" t="s">
        <v>24</v>
      </c>
      <c r="L1507" t="s">
        <v>667</v>
      </c>
      <c r="M1507" t="s">
        <v>2217</v>
      </c>
      <c r="N1507" t="s">
        <v>2218</v>
      </c>
      <c r="O1507" t="s">
        <v>1168</v>
      </c>
      <c r="P1507" t="s">
        <v>1169</v>
      </c>
      <c r="Q1507" t="s">
        <v>5373</v>
      </c>
      <c r="R1507" t="s">
        <v>5374</v>
      </c>
      <c r="S1507" t="s">
        <v>550</v>
      </c>
      <c r="T1507" t="s">
        <v>550</v>
      </c>
      <c r="U1507" t="s">
        <v>550</v>
      </c>
      <c r="V1507" t="s">
        <v>5850</v>
      </c>
      <c r="W1507" t="s">
        <v>554</v>
      </c>
      <c r="X1507" t="s">
        <v>669</v>
      </c>
      <c r="Y1507" t="s">
        <v>799</v>
      </c>
      <c r="Z1507" t="s">
        <v>5848</v>
      </c>
    </row>
    <row r="1508" spans="1:26" x14ac:dyDescent="0.3">
      <c r="A1508" t="s">
        <v>525</v>
      </c>
      <c r="B1508" t="s">
        <v>5851</v>
      </c>
      <c r="C1508" t="s">
        <v>5852</v>
      </c>
      <c r="D1508" t="s">
        <v>550</v>
      </c>
      <c r="E1508" t="s">
        <v>664</v>
      </c>
      <c r="F1508" t="s">
        <v>27</v>
      </c>
      <c r="G1508" s="1">
        <v>43467</v>
      </c>
      <c r="H1508" s="1">
        <v>43830</v>
      </c>
      <c r="I1508" t="s">
        <v>665</v>
      </c>
      <c r="J1508" t="s">
        <v>666</v>
      </c>
      <c r="K1508" t="s">
        <v>24</v>
      </c>
      <c r="L1508" t="s">
        <v>667</v>
      </c>
      <c r="M1508" t="s">
        <v>2217</v>
      </c>
      <c r="N1508" t="s">
        <v>2218</v>
      </c>
      <c r="O1508" t="s">
        <v>1168</v>
      </c>
      <c r="P1508" t="s">
        <v>1169</v>
      </c>
      <c r="Q1508" t="s">
        <v>5373</v>
      </c>
      <c r="R1508" t="s">
        <v>5374</v>
      </c>
      <c r="S1508" t="s">
        <v>550</v>
      </c>
      <c r="T1508" t="s">
        <v>550</v>
      </c>
      <c r="U1508" t="s">
        <v>550</v>
      </c>
      <c r="V1508" t="s">
        <v>5853</v>
      </c>
      <c r="W1508" t="s">
        <v>554</v>
      </c>
      <c r="X1508" t="s">
        <v>669</v>
      </c>
      <c r="Y1508" t="s">
        <v>799</v>
      </c>
      <c r="Z1508" t="s">
        <v>5851</v>
      </c>
    </row>
    <row r="1509" spans="1:26" x14ac:dyDescent="0.3">
      <c r="A1509" t="s">
        <v>525</v>
      </c>
      <c r="B1509" t="s">
        <v>5759</v>
      </c>
      <c r="C1509" t="s">
        <v>5854</v>
      </c>
      <c r="D1509" t="s">
        <v>550</v>
      </c>
      <c r="E1509" t="s">
        <v>3419</v>
      </c>
      <c r="F1509" t="s">
        <v>3420</v>
      </c>
      <c r="G1509" s="1">
        <v>43467</v>
      </c>
      <c r="H1509" s="1">
        <v>43467</v>
      </c>
      <c r="I1509" t="s">
        <v>665</v>
      </c>
      <c r="J1509" t="s">
        <v>3421</v>
      </c>
      <c r="K1509" t="s">
        <v>24</v>
      </c>
      <c r="L1509" t="s">
        <v>216</v>
      </c>
      <c r="M1509" t="s">
        <v>1301</v>
      </c>
      <c r="N1509" t="s">
        <v>1302</v>
      </c>
      <c r="O1509" t="s">
        <v>1405</v>
      </c>
      <c r="P1509" t="s">
        <v>1406</v>
      </c>
      <c r="Q1509" t="s">
        <v>5373</v>
      </c>
      <c r="R1509" t="s">
        <v>5374</v>
      </c>
      <c r="S1509" t="s">
        <v>550</v>
      </c>
      <c r="T1509" t="s">
        <v>550</v>
      </c>
      <c r="U1509" t="s">
        <v>550</v>
      </c>
      <c r="V1509" t="s">
        <v>5855</v>
      </c>
      <c r="W1509" t="s">
        <v>613</v>
      </c>
      <c r="X1509" t="s">
        <v>74</v>
      </c>
      <c r="Y1509" t="s">
        <v>786</v>
      </c>
      <c r="Z1509" t="s">
        <v>5759</v>
      </c>
    </row>
    <row r="1510" spans="1:26" x14ac:dyDescent="0.3">
      <c r="A1510" t="s">
        <v>525</v>
      </c>
      <c r="B1510" t="s">
        <v>5856</v>
      </c>
      <c r="C1510" t="s">
        <v>5857</v>
      </c>
      <c r="D1510" t="s">
        <v>1274</v>
      </c>
      <c r="E1510" t="s">
        <v>1275</v>
      </c>
      <c r="F1510" t="s">
        <v>1276</v>
      </c>
      <c r="G1510" s="1">
        <v>43467</v>
      </c>
      <c r="H1510" s="1">
        <v>43830</v>
      </c>
      <c r="I1510" t="s">
        <v>665</v>
      </c>
      <c r="J1510" t="s">
        <v>1277</v>
      </c>
      <c r="K1510" t="s">
        <v>24</v>
      </c>
      <c r="L1510" t="s">
        <v>216</v>
      </c>
      <c r="M1510" t="s">
        <v>1030</v>
      </c>
      <c r="N1510" t="s">
        <v>255</v>
      </c>
      <c r="O1510" t="s">
        <v>1405</v>
      </c>
      <c r="P1510" t="s">
        <v>1406</v>
      </c>
      <c r="Q1510" t="s">
        <v>5373</v>
      </c>
      <c r="R1510" t="s">
        <v>5374</v>
      </c>
      <c r="S1510" t="s">
        <v>550</v>
      </c>
      <c r="T1510" t="s">
        <v>550</v>
      </c>
      <c r="U1510" t="s">
        <v>550</v>
      </c>
      <c r="V1510" t="s">
        <v>5858</v>
      </c>
      <c r="W1510" t="s">
        <v>613</v>
      </c>
      <c r="X1510" t="s">
        <v>74</v>
      </c>
      <c r="Y1510" t="s">
        <v>1281</v>
      </c>
      <c r="Z1510" t="s">
        <v>5856</v>
      </c>
    </row>
    <row r="1511" spans="1:26" x14ac:dyDescent="0.3">
      <c r="A1511" t="s">
        <v>525</v>
      </c>
      <c r="B1511" t="s">
        <v>5859</v>
      </c>
      <c r="C1511" t="s">
        <v>5860</v>
      </c>
      <c r="D1511" t="s">
        <v>550</v>
      </c>
      <c r="E1511" t="s">
        <v>664</v>
      </c>
      <c r="F1511" t="s">
        <v>27</v>
      </c>
      <c r="G1511" s="1">
        <v>43801</v>
      </c>
      <c r="H1511" s="1">
        <v>43801</v>
      </c>
      <c r="I1511" t="s">
        <v>665</v>
      </c>
      <c r="J1511" t="s">
        <v>666</v>
      </c>
      <c r="K1511" t="s">
        <v>24</v>
      </c>
      <c r="L1511" t="s">
        <v>1045</v>
      </c>
      <c r="M1511" t="s">
        <v>2790</v>
      </c>
      <c r="N1511" t="s">
        <v>2791</v>
      </c>
      <c r="O1511" t="s">
        <v>1405</v>
      </c>
      <c r="P1511" t="s">
        <v>1406</v>
      </c>
      <c r="Q1511" t="s">
        <v>5373</v>
      </c>
      <c r="R1511" t="s">
        <v>5374</v>
      </c>
      <c r="S1511" t="s">
        <v>550</v>
      </c>
      <c r="T1511" t="s">
        <v>550</v>
      </c>
      <c r="U1511" t="s">
        <v>550</v>
      </c>
      <c r="V1511" t="s">
        <v>5861</v>
      </c>
      <c r="W1511" t="s">
        <v>1021</v>
      </c>
      <c r="X1511" t="s">
        <v>74</v>
      </c>
      <c r="Y1511" t="s">
        <v>1033</v>
      </c>
      <c r="Z1511" t="s">
        <v>5859</v>
      </c>
    </row>
    <row r="1512" spans="1:26" x14ac:dyDescent="0.3">
      <c r="A1512" t="s">
        <v>525</v>
      </c>
      <c r="B1512" t="s">
        <v>5862</v>
      </c>
      <c r="C1512" t="s">
        <v>5863</v>
      </c>
      <c r="D1512" t="s">
        <v>1351</v>
      </c>
      <c r="E1512" t="s">
        <v>1117</v>
      </c>
      <c r="F1512" t="s">
        <v>1118</v>
      </c>
      <c r="G1512" s="1">
        <v>43467</v>
      </c>
      <c r="H1512" s="1">
        <v>43830</v>
      </c>
      <c r="I1512" t="s">
        <v>665</v>
      </c>
      <c r="J1512" t="s">
        <v>1119</v>
      </c>
      <c r="K1512" t="s">
        <v>24</v>
      </c>
      <c r="L1512" t="s">
        <v>216</v>
      </c>
      <c r="M1512" t="s">
        <v>2790</v>
      </c>
      <c r="N1512" t="s">
        <v>2791</v>
      </c>
      <c r="O1512" t="s">
        <v>1405</v>
      </c>
      <c r="P1512" t="s">
        <v>1406</v>
      </c>
      <c r="Q1512" t="s">
        <v>5373</v>
      </c>
      <c r="R1512" t="s">
        <v>5374</v>
      </c>
      <c r="S1512" t="s">
        <v>550</v>
      </c>
      <c r="T1512" t="s">
        <v>550</v>
      </c>
      <c r="U1512" t="s">
        <v>550</v>
      </c>
      <c r="V1512" t="s">
        <v>5864</v>
      </c>
      <c r="W1512" t="s">
        <v>613</v>
      </c>
      <c r="X1512" t="s">
        <v>74</v>
      </c>
      <c r="Y1512" t="s">
        <v>786</v>
      </c>
      <c r="Z1512" t="s">
        <v>5862</v>
      </c>
    </row>
    <row r="1513" spans="1:26" x14ac:dyDescent="0.3">
      <c r="A1513" t="s">
        <v>525</v>
      </c>
      <c r="B1513" t="s">
        <v>5865</v>
      </c>
      <c r="C1513" t="s">
        <v>5866</v>
      </c>
      <c r="D1513" t="s">
        <v>1351</v>
      </c>
      <c r="E1513" t="s">
        <v>1117</v>
      </c>
      <c r="F1513" t="s">
        <v>1118</v>
      </c>
      <c r="G1513" s="1">
        <v>43467</v>
      </c>
      <c r="H1513" s="1">
        <v>43830</v>
      </c>
      <c r="I1513" t="s">
        <v>665</v>
      </c>
      <c r="J1513" t="s">
        <v>1119</v>
      </c>
      <c r="K1513" t="s">
        <v>900</v>
      </c>
      <c r="L1513" t="s">
        <v>1045</v>
      </c>
      <c r="M1513" t="s">
        <v>2790</v>
      </c>
      <c r="N1513" t="s">
        <v>2791</v>
      </c>
      <c r="O1513" t="s">
        <v>1405</v>
      </c>
      <c r="P1513" t="s">
        <v>1406</v>
      </c>
      <c r="Q1513" t="s">
        <v>5373</v>
      </c>
      <c r="R1513" t="s">
        <v>5374</v>
      </c>
      <c r="S1513" t="s">
        <v>550</v>
      </c>
      <c r="T1513" t="s">
        <v>550</v>
      </c>
      <c r="U1513" t="s">
        <v>550</v>
      </c>
      <c r="V1513" t="s">
        <v>5867</v>
      </c>
      <c r="W1513" t="s">
        <v>613</v>
      </c>
      <c r="X1513" t="s">
        <v>74</v>
      </c>
      <c r="Y1513" t="s">
        <v>786</v>
      </c>
      <c r="Z1513" t="s">
        <v>5865</v>
      </c>
    </row>
    <row r="1514" spans="1:26" x14ac:dyDescent="0.3">
      <c r="A1514" t="s">
        <v>525</v>
      </c>
      <c r="B1514" t="s">
        <v>5868</v>
      </c>
      <c r="C1514" t="s">
        <v>5869</v>
      </c>
      <c r="D1514" t="s">
        <v>1354</v>
      </c>
      <c r="E1514" t="s">
        <v>1117</v>
      </c>
      <c r="F1514" t="s">
        <v>1118</v>
      </c>
      <c r="G1514" s="1">
        <v>43467</v>
      </c>
      <c r="H1514" s="1">
        <v>43830</v>
      </c>
      <c r="I1514" t="s">
        <v>665</v>
      </c>
      <c r="J1514" t="s">
        <v>1119</v>
      </c>
      <c r="K1514" t="s">
        <v>24</v>
      </c>
      <c r="L1514" t="s">
        <v>1045</v>
      </c>
      <c r="M1514" t="s">
        <v>2790</v>
      </c>
      <c r="N1514" t="s">
        <v>2791</v>
      </c>
      <c r="O1514" t="s">
        <v>1405</v>
      </c>
      <c r="P1514" t="s">
        <v>1406</v>
      </c>
      <c r="Q1514" t="s">
        <v>5373</v>
      </c>
      <c r="R1514" t="s">
        <v>5374</v>
      </c>
      <c r="S1514" t="s">
        <v>550</v>
      </c>
      <c r="T1514" t="s">
        <v>550</v>
      </c>
      <c r="U1514" t="s">
        <v>550</v>
      </c>
      <c r="V1514" t="s">
        <v>5870</v>
      </c>
      <c r="W1514" t="s">
        <v>613</v>
      </c>
      <c r="X1514" t="s">
        <v>74</v>
      </c>
      <c r="Y1514" t="s">
        <v>786</v>
      </c>
      <c r="Z1514" t="s">
        <v>5868</v>
      </c>
    </row>
    <row r="1515" spans="1:26" x14ac:dyDescent="0.3">
      <c r="A1515" t="s">
        <v>525</v>
      </c>
      <c r="B1515" t="s">
        <v>5871</v>
      </c>
      <c r="C1515" t="s">
        <v>5872</v>
      </c>
      <c r="D1515" t="s">
        <v>1359</v>
      </c>
      <c r="E1515" t="s">
        <v>1117</v>
      </c>
      <c r="F1515" t="s">
        <v>1118</v>
      </c>
      <c r="G1515" s="1">
        <v>43467</v>
      </c>
      <c r="H1515" s="1">
        <v>43830</v>
      </c>
      <c r="I1515" t="s">
        <v>665</v>
      </c>
      <c r="J1515" t="s">
        <v>1119</v>
      </c>
      <c r="K1515" t="s">
        <v>24</v>
      </c>
      <c r="L1515" t="s">
        <v>1045</v>
      </c>
      <c r="M1515" t="s">
        <v>2790</v>
      </c>
      <c r="N1515" t="s">
        <v>2791</v>
      </c>
      <c r="O1515" t="s">
        <v>1405</v>
      </c>
      <c r="P1515" t="s">
        <v>1406</v>
      </c>
      <c r="Q1515" t="s">
        <v>5373</v>
      </c>
      <c r="R1515" t="s">
        <v>5374</v>
      </c>
      <c r="S1515" t="s">
        <v>550</v>
      </c>
      <c r="T1515" t="s">
        <v>550</v>
      </c>
      <c r="U1515" t="s">
        <v>550</v>
      </c>
      <c r="V1515" t="s">
        <v>5873</v>
      </c>
      <c r="W1515" t="s">
        <v>613</v>
      </c>
      <c r="X1515" t="s">
        <v>74</v>
      </c>
      <c r="Y1515" t="s">
        <v>786</v>
      </c>
      <c r="Z1515" t="s">
        <v>5871</v>
      </c>
    </row>
    <row r="1516" spans="1:26" x14ac:dyDescent="0.3">
      <c r="A1516" t="s">
        <v>525</v>
      </c>
      <c r="B1516" t="s">
        <v>5874</v>
      </c>
      <c r="C1516" t="s">
        <v>5875</v>
      </c>
      <c r="D1516" t="s">
        <v>1361</v>
      </c>
      <c r="E1516" t="s">
        <v>1117</v>
      </c>
      <c r="F1516" t="s">
        <v>1118</v>
      </c>
      <c r="G1516" s="1">
        <v>43467</v>
      </c>
      <c r="H1516" s="1">
        <v>43830</v>
      </c>
      <c r="I1516" t="s">
        <v>665</v>
      </c>
      <c r="J1516" t="s">
        <v>1119</v>
      </c>
      <c r="K1516" t="s">
        <v>24</v>
      </c>
      <c r="L1516" t="s">
        <v>1045</v>
      </c>
      <c r="M1516" t="s">
        <v>2790</v>
      </c>
      <c r="N1516" t="s">
        <v>2791</v>
      </c>
      <c r="O1516" t="s">
        <v>1405</v>
      </c>
      <c r="P1516" t="s">
        <v>1406</v>
      </c>
      <c r="Q1516" t="s">
        <v>5373</v>
      </c>
      <c r="R1516" t="s">
        <v>5374</v>
      </c>
      <c r="S1516" t="s">
        <v>550</v>
      </c>
      <c r="T1516" t="s">
        <v>550</v>
      </c>
      <c r="U1516" t="s">
        <v>550</v>
      </c>
      <c r="V1516" t="s">
        <v>5876</v>
      </c>
      <c r="W1516" t="s">
        <v>613</v>
      </c>
      <c r="X1516" t="s">
        <v>74</v>
      </c>
      <c r="Y1516" t="s">
        <v>786</v>
      </c>
      <c r="Z1516" t="s">
        <v>5874</v>
      </c>
    </row>
    <row r="1517" spans="1:26" x14ac:dyDescent="0.3">
      <c r="A1517" t="s">
        <v>525</v>
      </c>
      <c r="B1517" t="s">
        <v>5877</v>
      </c>
      <c r="C1517" t="s">
        <v>5878</v>
      </c>
      <c r="D1517" t="s">
        <v>1361</v>
      </c>
      <c r="E1517" t="s">
        <v>1117</v>
      </c>
      <c r="F1517" t="s">
        <v>1118</v>
      </c>
      <c r="G1517" s="1">
        <v>43467</v>
      </c>
      <c r="H1517" s="1">
        <v>43830</v>
      </c>
      <c r="I1517" t="s">
        <v>665</v>
      </c>
      <c r="J1517" t="s">
        <v>1119</v>
      </c>
      <c r="K1517" t="s">
        <v>900</v>
      </c>
      <c r="L1517" t="s">
        <v>1045</v>
      </c>
      <c r="M1517" t="s">
        <v>2790</v>
      </c>
      <c r="N1517" t="s">
        <v>2791</v>
      </c>
      <c r="O1517" t="s">
        <v>1405</v>
      </c>
      <c r="P1517" t="s">
        <v>1406</v>
      </c>
      <c r="Q1517" t="s">
        <v>5373</v>
      </c>
      <c r="R1517" t="s">
        <v>5374</v>
      </c>
      <c r="S1517" t="s">
        <v>550</v>
      </c>
      <c r="T1517" t="s">
        <v>550</v>
      </c>
      <c r="U1517" t="s">
        <v>550</v>
      </c>
      <c r="V1517" t="s">
        <v>5879</v>
      </c>
      <c r="W1517" t="s">
        <v>613</v>
      </c>
      <c r="X1517" t="s">
        <v>74</v>
      </c>
      <c r="Y1517" t="s">
        <v>786</v>
      </c>
      <c r="Z1517" t="s">
        <v>5877</v>
      </c>
    </row>
    <row r="1518" spans="1:26" x14ac:dyDescent="0.3">
      <c r="A1518" t="s">
        <v>525</v>
      </c>
      <c r="B1518" t="s">
        <v>5880</v>
      </c>
      <c r="C1518" t="s">
        <v>5881</v>
      </c>
      <c r="D1518" t="s">
        <v>1347</v>
      </c>
      <c r="E1518" t="s">
        <v>1117</v>
      </c>
      <c r="F1518" t="s">
        <v>1118</v>
      </c>
      <c r="G1518" s="1">
        <v>43467</v>
      </c>
      <c r="H1518" s="1">
        <v>43749</v>
      </c>
      <c r="I1518" t="s">
        <v>665</v>
      </c>
      <c r="J1518" t="s">
        <v>1119</v>
      </c>
      <c r="K1518" t="s">
        <v>24</v>
      </c>
      <c r="L1518" t="s">
        <v>216</v>
      </c>
      <c r="M1518" t="s">
        <v>2790</v>
      </c>
      <c r="N1518" t="s">
        <v>2791</v>
      </c>
      <c r="O1518" t="s">
        <v>1405</v>
      </c>
      <c r="P1518" t="s">
        <v>1406</v>
      </c>
      <c r="Q1518" t="s">
        <v>5373</v>
      </c>
      <c r="R1518" t="s">
        <v>5374</v>
      </c>
      <c r="S1518" t="s">
        <v>550</v>
      </c>
      <c r="T1518" t="s">
        <v>550</v>
      </c>
      <c r="U1518" t="s">
        <v>550</v>
      </c>
      <c r="V1518" t="s">
        <v>5882</v>
      </c>
      <c r="W1518" t="s">
        <v>613</v>
      </c>
      <c r="X1518" t="s">
        <v>74</v>
      </c>
      <c r="Y1518" t="s">
        <v>786</v>
      </c>
      <c r="Z1518" t="s">
        <v>5880</v>
      </c>
    </row>
    <row r="1519" spans="1:26" x14ac:dyDescent="0.3">
      <c r="A1519" t="s">
        <v>525</v>
      </c>
      <c r="B1519" t="s">
        <v>3423</v>
      </c>
      <c r="C1519" t="s">
        <v>5883</v>
      </c>
      <c r="D1519" t="s">
        <v>550</v>
      </c>
      <c r="E1519" t="s">
        <v>3419</v>
      </c>
      <c r="F1519" t="s">
        <v>3420</v>
      </c>
      <c r="G1519" s="1">
        <v>43467</v>
      </c>
      <c r="H1519" s="1">
        <v>43483</v>
      </c>
      <c r="I1519" t="s">
        <v>665</v>
      </c>
      <c r="J1519" t="s">
        <v>3421</v>
      </c>
      <c r="K1519" t="s">
        <v>958</v>
      </c>
      <c r="L1519" t="s">
        <v>216</v>
      </c>
      <c r="M1519" t="s">
        <v>2790</v>
      </c>
      <c r="N1519" t="s">
        <v>2791</v>
      </c>
      <c r="O1519" t="s">
        <v>1405</v>
      </c>
      <c r="P1519" t="s">
        <v>1406</v>
      </c>
      <c r="Q1519" t="s">
        <v>5373</v>
      </c>
      <c r="R1519" t="s">
        <v>5374</v>
      </c>
      <c r="S1519" t="s">
        <v>550</v>
      </c>
      <c r="T1519" t="s">
        <v>550</v>
      </c>
      <c r="U1519" t="s">
        <v>550</v>
      </c>
      <c r="V1519" t="s">
        <v>3422</v>
      </c>
      <c r="W1519" t="s">
        <v>613</v>
      </c>
      <c r="X1519" t="s">
        <v>74</v>
      </c>
      <c r="Y1519" t="s">
        <v>786</v>
      </c>
      <c r="Z1519" t="s">
        <v>3423</v>
      </c>
    </row>
    <row r="1520" spans="1:26" x14ac:dyDescent="0.3">
      <c r="A1520" t="s">
        <v>525</v>
      </c>
      <c r="B1520" t="s">
        <v>5884</v>
      </c>
      <c r="C1520" t="s">
        <v>5885</v>
      </c>
      <c r="D1520" t="s">
        <v>550</v>
      </c>
      <c r="E1520" t="s">
        <v>664</v>
      </c>
      <c r="F1520" t="s">
        <v>27</v>
      </c>
      <c r="G1520" s="1">
        <v>43525</v>
      </c>
      <c r="H1520" s="1">
        <v>43525</v>
      </c>
      <c r="I1520" t="s">
        <v>665</v>
      </c>
      <c r="J1520" t="s">
        <v>666</v>
      </c>
      <c r="K1520" t="s">
        <v>24</v>
      </c>
      <c r="L1520" t="s">
        <v>667</v>
      </c>
      <c r="M1520" t="s">
        <v>891</v>
      </c>
      <c r="N1520" t="s">
        <v>892</v>
      </c>
      <c r="O1520" t="s">
        <v>891</v>
      </c>
      <c r="P1520" t="s">
        <v>892</v>
      </c>
      <c r="Q1520" t="s">
        <v>5373</v>
      </c>
      <c r="R1520" t="s">
        <v>5374</v>
      </c>
      <c r="S1520" t="s">
        <v>550</v>
      </c>
      <c r="T1520" t="s">
        <v>550</v>
      </c>
      <c r="U1520" t="s">
        <v>550</v>
      </c>
      <c r="V1520" t="s">
        <v>5886</v>
      </c>
      <c r="W1520" t="s">
        <v>978</v>
      </c>
      <c r="X1520" t="s">
        <v>979</v>
      </c>
      <c r="Y1520" t="s">
        <v>803</v>
      </c>
      <c r="Z1520" t="s">
        <v>5884</v>
      </c>
    </row>
    <row r="1521" spans="1:26" x14ac:dyDescent="0.3">
      <c r="A1521" t="s">
        <v>525</v>
      </c>
      <c r="B1521" t="s">
        <v>5887</v>
      </c>
      <c r="C1521" t="s">
        <v>5888</v>
      </c>
      <c r="D1521" t="s">
        <v>550</v>
      </c>
      <c r="E1521" t="s">
        <v>664</v>
      </c>
      <c r="F1521" t="s">
        <v>27</v>
      </c>
      <c r="G1521" s="1">
        <v>43467</v>
      </c>
      <c r="H1521" s="1">
        <v>43522</v>
      </c>
      <c r="I1521" t="s">
        <v>665</v>
      </c>
      <c r="J1521" t="s">
        <v>666</v>
      </c>
      <c r="K1521" t="s">
        <v>24</v>
      </c>
      <c r="L1521" t="s">
        <v>667</v>
      </c>
      <c r="M1521" t="s">
        <v>938</v>
      </c>
      <c r="N1521" t="s">
        <v>939</v>
      </c>
      <c r="O1521" t="s">
        <v>891</v>
      </c>
      <c r="P1521" t="s">
        <v>892</v>
      </c>
      <c r="Q1521" t="s">
        <v>5373</v>
      </c>
      <c r="R1521" t="s">
        <v>5374</v>
      </c>
      <c r="S1521" t="s">
        <v>550</v>
      </c>
      <c r="T1521" t="s">
        <v>550</v>
      </c>
      <c r="U1521" t="s">
        <v>550</v>
      </c>
      <c r="V1521" t="s">
        <v>5889</v>
      </c>
      <c r="W1521" t="s">
        <v>978</v>
      </c>
      <c r="X1521" t="s">
        <v>979</v>
      </c>
      <c r="Y1521" t="s">
        <v>803</v>
      </c>
      <c r="Z1521" t="s">
        <v>5887</v>
      </c>
    </row>
    <row r="1522" spans="1:26" x14ac:dyDescent="0.3">
      <c r="A1522" t="s">
        <v>525</v>
      </c>
      <c r="B1522" t="s">
        <v>5890</v>
      </c>
      <c r="C1522" t="s">
        <v>5891</v>
      </c>
      <c r="D1522" t="s">
        <v>5892</v>
      </c>
      <c r="E1522" t="s">
        <v>1332</v>
      </c>
      <c r="F1522" t="s">
        <v>1333</v>
      </c>
      <c r="G1522" s="1">
        <v>43102</v>
      </c>
      <c r="H1522" s="1">
        <v>43465</v>
      </c>
      <c r="I1522" t="s">
        <v>665</v>
      </c>
      <c r="J1522" t="s">
        <v>1334</v>
      </c>
      <c r="K1522" t="s">
        <v>24</v>
      </c>
      <c r="L1522" t="s">
        <v>216</v>
      </c>
      <c r="M1522" t="s">
        <v>2790</v>
      </c>
      <c r="N1522" t="s">
        <v>2791</v>
      </c>
      <c r="O1522" t="s">
        <v>1405</v>
      </c>
      <c r="P1522" t="s">
        <v>1406</v>
      </c>
      <c r="Q1522" t="s">
        <v>5893</v>
      </c>
      <c r="R1522" t="s">
        <v>5894</v>
      </c>
      <c r="S1522" t="s">
        <v>550</v>
      </c>
      <c r="T1522" t="s">
        <v>550</v>
      </c>
      <c r="U1522" t="s">
        <v>550</v>
      </c>
      <c r="V1522" t="s">
        <v>5895</v>
      </c>
      <c r="W1522" t="s">
        <v>613</v>
      </c>
      <c r="X1522" t="s">
        <v>74</v>
      </c>
      <c r="Y1522" t="s">
        <v>803</v>
      </c>
      <c r="Z1522" t="s">
        <v>5892</v>
      </c>
    </row>
    <row r="1523" spans="1:26" x14ac:dyDescent="0.3">
      <c r="A1523" t="s">
        <v>525</v>
      </c>
      <c r="B1523" t="s">
        <v>5896</v>
      </c>
      <c r="C1523" t="s">
        <v>2794</v>
      </c>
      <c r="D1523" t="s">
        <v>5897</v>
      </c>
      <c r="E1523" t="s">
        <v>664</v>
      </c>
      <c r="F1523" t="s">
        <v>27</v>
      </c>
      <c r="G1523" s="1">
        <v>43102</v>
      </c>
      <c r="H1523" s="1">
        <v>43465</v>
      </c>
      <c r="I1523" t="s">
        <v>665</v>
      </c>
      <c r="J1523" t="s">
        <v>666</v>
      </c>
      <c r="K1523" t="s">
        <v>958</v>
      </c>
      <c r="L1523" t="s">
        <v>216</v>
      </c>
      <c r="M1523" t="s">
        <v>5676</v>
      </c>
      <c r="N1523" t="s">
        <v>5677</v>
      </c>
      <c r="O1523" t="s">
        <v>1405</v>
      </c>
      <c r="P1523" t="s">
        <v>1406</v>
      </c>
      <c r="Q1523" t="s">
        <v>5893</v>
      </c>
      <c r="R1523" t="s">
        <v>5894</v>
      </c>
      <c r="S1523" t="s">
        <v>550</v>
      </c>
      <c r="T1523" t="s">
        <v>550</v>
      </c>
      <c r="U1523" t="s">
        <v>550</v>
      </c>
      <c r="V1523" t="s">
        <v>5898</v>
      </c>
      <c r="W1523" t="s">
        <v>613</v>
      </c>
      <c r="X1523" t="s">
        <v>74</v>
      </c>
      <c r="Y1523" t="s">
        <v>803</v>
      </c>
      <c r="Z1523" t="s">
        <v>5897</v>
      </c>
    </row>
    <row r="1524" spans="1:26" x14ac:dyDescent="0.3">
      <c r="A1524" t="s">
        <v>525</v>
      </c>
      <c r="B1524" t="s">
        <v>5899</v>
      </c>
      <c r="C1524" t="s">
        <v>5900</v>
      </c>
      <c r="D1524" t="s">
        <v>5901</v>
      </c>
      <c r="E1524" t="s">
        <v>664</v>
      </c>
      <c r="F1524" t="s">
        <v>27</v>
      </c>
      <c r="G1524" s="1">
        <v>43102</v>
      </c>
      <c r="H1524" s="1">
        <v>43465</v>
      </c>
      <c r="I1524" t="s">
        <v>665</v>
      </c>
      <c r="J1524" t="s">
        <v>666</v>
      </c>
      <c r="K1524" t="s">
        <v>808</v>
      </c>
      <c r="L1524" t="s">
        <v>216</v>
      </c>
      <c r="M1524" t="s">
        <v>797</v>
      </c>
      <c r="N1524" t="s">
        <v>313</v>
      </c>
      <c r="O1524" t="s">
        <v>1168</v>
      </c>
      <c r="P1524" t="s">
        <v>1169</v>
      </c>
      <c r="Q1524" t="s">
        <v>5893</v>
      </c>
      <c r="R1524" t="s">
        <v>5894</v>
      </c>
      <c r="S1524" t="s">
        <v>550</v>
      </c>
      <c r="T1524" t="s">
        <v>550</v>
      </c>
      <c r="U1524" t="s">
        <v>550</v>
      </c>
      <c r="V1524" t="s">
        <v>5902</v>
      </c>
      <c r="W1524" t="s">
        <v>554</v>
      </c>
      <c r="X1524" t="s">
        <v>669</v>
      </c>
      <c r="Y1524" t="s">
        <v>799</v>
      </c>
      <c r="Z1524" t="s">
        <v>5899</v>
      </c>
    </row>
    <row r="1525" spans="1:26" x14ac:dyDescent="0.3">
      <c r="A1525" t="s">
        <v>525</v>
      </c>
      <c r="B1525" t="s">
        <v>5903</v>
      </c>
      <c r="C1525" t="s">
        <v>5904</v>
      </c>
      <c r="D1525" t="s">
        <v>5899</v>
      </c>
      <c r="E1525" t="s">
        <v>664</v>
      </c>
      <c r="F1525" t="s">
        <v>27</v>
      </c>
      <c r="G1525" s="1">
        <v>43102</v>
      </c>
      <c r="H1525" s="1">
        <v>43465</v>
      </c>
      <c r="I1525" t="s">
        <v>665</v>
      </c>
      <c r="J1525" t="s">
        <v>666</v>
      </c>
      <c r="K1525" t="s">
        <v>808</v>
      </c>
      <c r="L1525" t="s">
        <v>216</v>
      </c>
      <c r="M1525" t="s">
        <v>797</v>
      </c>
      <c r="N1525" t="s">
        <v>313</v>
      </c>
      <c r="O1525" t="s">
        <v>1168</v>
      </c>
      <c r="P1525" t="s">
        <v>1169</v>
      </c>
      <c r="Q1525" t="s">
        <v>5893</v>
      </c>
      <c r="R1525" t="s">
        <v>5894</v>
      </c>
      <c r="S1525" t="s">
        <v>550</v>
      </c>
      <c r="T1525" t="s">
        <v>550</v>
      </c>
      <c r="U1525" t="s">
        <v>550</v>
      </c>
      <c r="V1525" t="s">
        <v>5905</v>
      </c>
      <c r="W1525" t="s">
        <v>554</v>
      </c>
      <c r="X1525" t="s">
        <v>669</v>
      </c>
      <c r="Y1525" t="s">
        <v>799</v>
      </c>
      <c r="Z1525" t="s">
        <v>5903</v>
      </c>
    </row>
    <row r="1526" spans="1:26" x14ac:dyDescent="0.3">
      <c r="A1526" t="s">
        <v>525</v>
      </c>
      <c r="B1526" t="s">
        <v>5906</v>
      </c>
      <c r="C1526" t="s">
        <v>5907</v>
      </c>
      <c r="D1526" t="s">
        <v>550</v>
      </c>
      <c r="E1526" t="s">
        <v>664</v>
      </c>
      <c r="F1526" t="s">
        <v>27</v>
      </c>
      <c r="G1526" s="1">
        <v>42737</v>
      </c>
      <c r="H1526" s="1">
        <v>43465</v>
      </c>
      <c r="I1526" t="s">
        <v>665</v>
      </c>
      <c r="J1526" t="s">
        <v>666</v>
      </c>
      <c r="K1526" t="s">
        <v>24</v>
      </c>
      <c r="L1526" t="s">
        <v>1010</v>
      </c>
      <c r="M1526" t="s">
        <v>797</v>
      </c>
      <c r="N1526" t="s">
        <v>313</v>
      </c>
      <c r="O1526" t="s">
        <v>1168</v>
      </c>
      <c r="P1526" t="s">
        <v>1169</v>
      </c>
      <c r="Q1526" t="s">
        <v>5893</v>
      </c>
      <c r="R1526" t="s">
        <v>5894</v>
      </c>
      <c r="S1526" t="s">
        <v>550</v>
      </c>
      <c r="T1526" t="s">
        <v>550</v>
      </c>
      <c r="U1526" t="s">
        <v>550</v>
      </c>
      <c r="V1526" t="s">
        <v>5908</v>
      </c>
      <c r="W1526" t="s">
        <v>554</v>
      </c>
      <c r="X1526" t="s">
        <v>669</v>
      </c>
      <c r="Y1526" t="s">
        <v>799</v>
      </c>
      <c r="Z1526" t="s">
        <v>5906</v>
      </c>
    </row>
    <row r="1527" spans="1:26" x14ac:dyDescent="0.3">
      <c r="A1527" t="s">
        <v>525</v>
      </c>
      <c r="B1527" t="s">
        <v>5909</v>
      </c>
      <c r="C1527" t="s">
        <v>5910</v>
      </c>
      <c r="D1527" t="s">
        <v>550</v>
      </c>
      <c r="E1527" t="s">
        <v>664</v>
      </c>
      <c r="F1527" t="s">
        <v>27</v>
      </c>
      <c r="G1527" s="1">
        <v>42371</v>
      </c>
      <c r="H1527" s="1">
        <v>43465</v>
      </c>
      <c r="I1527" t="s">
        <v>665</v>
      </c>
      <c r="J1527" t="s">
        <v>666</v>
      </c>
      <c r="K1527" t="s">
        <v>24</v>
      </c>
      <c r="L1527" t="s">
        <v>667</v>
      </c>
      <c r="M1527" t="s">
        <v>797</v>
      </c>
      <c r="N1527" t="s">
        <v>313</v>
      </c>
      <c r="O1527" t="s">
        <v>1168</v>
      </c>
      <c r="P1527" t="s">
        <v>1169</v>
      </c>
      <c r="Q1527" t="s">
        <v>5893</v>
      </c>
      <c r="R1527" t="s">
        <v>5894</v>
      </c>
      <c r="S1527" t="s">
        <v>550</v>
      </c>
      <c r="T1527" t="s">
        <v>550</v>
      </c>
      <c r="U1527" t="s">
        <v>550</v>
      </c>
      <c r="V1527" t="s">
        <v>5911</v>
      </c>
      <c r="W1527" t="s">
        <v>554</v>
      </c>
      <c r="X1527" t="s">
        <v>669</v>
      </c>
      <c r="Y1527" t="s">
        <v>799</v>
      </c>
      <c r="Z1527" t="s">
        <v>5909</v>
      </c>
    </row>
    <row r="1528" spans="1:26" x14ac:dyDescent="0.3">
      <c r="A1528" t="s">
        <v>525</v>
      </c>
      <c r="B1528" t="s">
        <v>5912</v>
      </c>
      <c r="C1528" t="s">
        <v>5913</v>
      </c>
      <c r="D1528" t="s">
        <v>5909</v>
      </c>
      <c r="E1528" t="s">
        <v>664</v>
      </c>
      <c r="F1528" t="s">
        <v>27</v>
      </c>
      <c r="G1528" s="1">
        <v>43102</v>
      </c>
      <c r="H1528" s="1">
        <v>43465</v>
      </c>
      <c r="I1528" t="s">
        <v>665</v>
      </c>
      <c r="J1528" t="s">
        <v>666</v>
      </c>
      <c r="K1528" t="s">
        <v>24</v>
      </c>
      <c r="L1528" t="s">
        <v>667</v>
      </c>
      <c r="M1528" t="s">
        <v>797</v>
      </c>
      <c r="N1528" t="s">
        <v>313</v>
      </c>
      <c r="O1528" t="s">
        <v>1168</v>
      </c>
      <c r="P1528" t="s">
        <v>1169</v>
      </c>
      <c r="Q1528" t="s">
        <v>5893</v>
      </c>
      <c r="R1528" t="s">
        <v>5894</v>
      </c>
      <c r="S1528" t="s">
        <v>550</v>
      </c>
      <c r="T1528" t="s">
        <v>550</v>
      </c>
      <c r="U1528" t="s">
        <v>550</v>
      </c>
      <c r="V1528" t="s">
        <v>5914</v>
      </c>
      <c r="W1528" t="s">
        <v>554</v>
      </c>
      <c r="X1528" t="s">
        <v>669</v>
      </c>
      <c r="Y1528" t="s">
        <v>799</v>
      </c>
      <c r="Z1528" t="s">
        <v>5912</v>
      </c>
    </row>
    <row r="1529" spans="1:26" x14ac:dyDescent="0.3">
      <c r="A1529" t="s">
        <v>525</v>
      </c>
      <c r="B1529" t="s">
        <v>5915</v>
      </c>
      <c r="C1529" t="s">
        <v>5916</v>
      </c>
      <c r="D1529" t="s">
        <v>550</v>
      </c>
      <c r="E1529" t="s">
        <v>664</v>
      </c>
      <c r="F1529" t="s">
        <v>27</v>
      </c>
      <c r="G1529" s="1">
        <v>42371</v>
      </c>
      <c r="H1529" s="1">
        <v>43465</v>
      </c>
      <c r="I1529" t="s">
        <v>665</v>
      </c>
      <c r="J1529" t="s">
        <v>666</v>
      </c>
      <c r="K1529" t="s">
        <v>24</v>
      </c>
      <c r="L1529" t="s">
        <v>667</v>
      </c>
      <c r="M1529" t="s">
        <v>797</v>
      </c>
      <c r="N1529" t="s">
        <v>313</v>
      </c>
      <c r="O1529" t="s">
        <v>1168</v>
      </c>
      <c r="P1529" t="s">
        <v>1169</v>
      </c>
      <c r="Q1529" t="s">
        <v>5893</v>
      </c>
      <c r="R1529" t="s">
        <v>5894</v>
      </c>
      <c r="S1529" t="s">
        <v>550</v>
      </c>
      <c r="T1529" t="s">
        <v>550</v>
      </c>
      <c r="U1529" t="s">
        <v>550</v>
      </c>
      <c r="V1529" t="s">
        <v>5917</v>
      </c>
      <c r="W1529" t="s">
        <v>554</v>
      </c>
      <c r="X1529" t="s">
        <v>669</v>
      </c>
      <c r="Y1529" t="s">
        <v>799</v>
      </c>
      <c r="Z1529" t="s">
        <v>5915</v>
      </c>
    </row>
    <row r="1530" spans="1:26" x14ac:dyDescent="0.3">
      <c r="A1530" t="s">
        <v>525</v>
      </c>
      <c r="B1530" t="s">
        <v>5918</v>
      </c>
      <c r="C1530" t="s">
        <v>5919</v>
      </c>
      <c r="D1530" t="s">
        <v>5915</v>
      </c>
      <c r="E1530" t="s">
        <v>664</v>
      </c>
      <c r="F1530" t="s">
        <v>27</v>
      </c>
      <c r="G1530" s="1">
        <v>43102</v>
      </c>
      <c r="H1530" s="1">
        <v>43465</v>
      </c>
      <c r="I1530" t="s">
        <v>665</v>
      </c>
      <c r="J1530" t="s">
        <v>666</v>
      </c>
      <c r="K1530" t="s">
        <v>24</v>
      </c>
      <c r="L1530" t="s">
        <v>667</v>
      </c>
      <c r="M1530" t="s">
        <v>797</v>
      </c>
      <c r="N1530" t="s">
        <v>313</v>
      </c>
      <c r="O1530" t="s">
        <v>1168</v>
      </c>
      <c r="P1530" t="s">
        <v>1169</v>
      </c>
      <c r="Q1530" t="s">
        <v>5893</v>
      </c>
      <c r="R1530" t="s">
        <v>5894</v>
      </c>
      <c r="S1530" t="s">
        <v>550</v>
      </c>
      <c r="T1530" t="s">
        <v>550</v>
      </c>
      <c r="U1530" t="s">
        <v>550</v>
      </c>
      <c r="V1530" t="s">
        <v>5920</v>
      </c>
      <c r="W1530" t="s">
        <v>554</v>
      </c>
      <c r="X1530" t="s">
        <v>669</v>
      </c>
      <c r="Y1530" t="s">
        <v>799</v>
      </c>
      <c r="Z1530" t="s">
        <v>5918</v>
      </c>
    </row>
    <row r="1531" spans="1:26" x14ac:dyDescent="0.3">
      <c r="A1531" t="s">
        <v>525</v>
      </c>
      <c r="B1531" t="s">
        <v>5921</v>
      </c>
      <c r="C1531" t="s">
        <v>5922</v>
      </c>
      <c r="D1531" t="s">
        <v>550</v>
      </c>
      <c r="E1531" t="s">
        <v>664</v>
      </c>
      <c r="F1531" t="s">
        <v>27</v>
      </c>
      <c r="G1531" s="1">
        <v>42371</v>
      </c>
      <c r="H1531" s="1">
        <v>43465</v>
      </c>
      <c r="I1531" t="s">
        <v>665</v>
      </c>
      <c r="J1531" t="s">
        <v>666</v>
      </c>
      <c r="K1531" t="s">
        <v>24</v>
      </c>
      <c r="L1531" t="s">
        <v>667</v>
      </c>
      <c r="M1531" t="s">
        <v>797</v>
      </c>
      <c r="N1531" t="s">
        <v>313</v>
      </c>
      <c r="O1531" t="s">
        <v>1168</v>
      </c>
      <c r="P1531" t="s">
        <v>1169</v>
      </c>
      <c r="Q1531" t="s">
        <v>5893</v>
      </c>
      <c r="R1531" t="s">
        <v>5894</v>
      </c>
      <c r="S1531" t="s">
        <v>550</v>
      </c>
      <c r="T1531" t="s">
        <v>550</v>
      </c>
      <c r="U1531" t="s">
        <v>550</v>
      </c>
      <c r="V1531" t="s">
        <v>5923</v>
      </c>
      <c r="W1531" t="s">
        <v>554</v>
      </c>
      <c r="X1531" t="s">
        <v>669</v>
      </c>
      <c r="Y1531" t="s">
        <v>799</v>
      </c>
      <c r="Z1531" t="s">
        <v>5921</v>
      </c>
    </row>
    <row r="1532" spans="1:26" x14ac:dyDescent="0.3">
      <c r="A1532" t="s">
        <v>525</v>
      </c>
      <c r="B1532" t="s">
        <v>5897</v>
      </c>
      <c r="C1532" t="s">
        <v>5924</v>
      </c>
      <c r="D1532" t="s">
        <v>550</v>
      </c>
      <c r="E1532" t="s">
        <v>3419</v>
      </c>
      <c r="F1532" t="s">
        <v>3420</v>
      </c>
      <c r="G1532" s="1">
        <v>43102</v>
      </c>
      <c r="H1532" s="1">
        <v>43465</v>
      </c>
      <c r="I1532" t="s">
        <v>665</v>
      </c>
      <c r="J1532" t="s">
        <v>3421</v>
      </c>
      <c r="K1532" t="s">
        <v>958</v>
      </c>
      <c r="L1532" t="s">
        <v>216</v>
      </c>
      <c r="M1532" t="s">
        <v>2790</v>
      </c>
      <c r="N1532" t="s">
        <v>2791</v>
      </c>
      <c r="O1532" t="s">
        <v>1405</v>
      </c>
      <c r="P1532" t="s">
        <v>1406</v>
      </c>
      <c r="Q1532" t="s">
        <v>5893</v>
      </c>
      <c r="R1532" t="s">
        <v>5894</v>
      </c>
      <c r="S1532" t="s">
        <v>550</v>
      </c>
      <c r="T1532" t="s">
        <v>550</v>
      </c>
      <c r="U1532" t="s">
        <v>550</v>
      </c>
      <c r="V1532" t="s">
        <v>5925</v>
      </c>
      <c r="W1532" t="s">
        <v>613</v>
      </c>
      <c r="X1532" t="s">
        <v>74</v>
      </c>
      <c r="Y1532" t="s">
        <v>786</v>
      </c>
      <c r="Z1532" t="s">
        <v>5897</v>
      </c>
    </row>
    <row r="1533" spans="1:26" x14ac:dyDescent="0.3">
      <c r="A1533" t="s">
        <v>525</v>
      </c>
      <c r="B1533" t="s">
        <v>5926</v>
      </c>
      <c r="C1533" t="s">
        <v>5927</v>
      </c>
      <c r="D1533" t="s">
        <v>550</v>
      </c>
      <c r="E1533" t="s">
        <v>5780</v>
      </c>
      <c r="F1533" t="s">
        <v>5781</v>
      </c>
      <c r="G1533" s="1">
        <v>43102</v>
      </c>
      <c r="H1533" s="1">
        <v>43465</v>
      </c>
      <c r="I1533" t="s">
        <v>665</v>
      </c>
      <c r="J1533" t="s">
        <v>5782</v>
      </c>
      <c r="K1533" t="s">
        <v>958</v>
      </c>
      <c r="L1533" t="s">
        <v>216</v>
      </c>
      <c r="M1533" t="s">
        <v>5783</v>
      </c>
      <c r="N1533" t="s">
        <v>5784</v>
      </c>
      <c r="O1533" t="s">
        <v>1405</v>
      </c>
      <c r="P1533" t="s">
        <v>1406</v>
      </c>
      <c r="Q1533" t="s">
        <v>5893</v>
      </c>
      <c r="R1533" t="s">
        <v>5894</v>
      </c>
      <c r="S1533" t="s">
        <v>550</v>
      </c>
      <c r="T1533" t="s">
        <v>550</v>
      </c>
      <c r="U1533" t="s">
        <v>550</v>
      </c>
      <c r="V1533" t="s">
        <v>5928</v>
      </c>
      <c r="W1533" t="s">
        <v>613</v>
      </c>
      <c r="X1533" t="s">
        <v>74</v>
      </c>
      <c r="Y1533" t="s">
        <v>803</v>
      </c>
      <c r="Z1533" t="s">
        <v>5926</v>
      </c>
    </row>
    <row r="1534" spans="1:26" x14ac:dyDescent="0.3">
      <c r="A1534" t="s">
        <v>525</v>
      </c>
      <c r="B1534" t="s">
        <v>5929</v>
      </c>
      <c r="C1534" t="s">
        <v>2794</v>
      </c>
      <c r="D1534" t="s">
        <v>5926</v>
      </c>
      <c r="E1534" t="s">
        <v>664</v>
      </c>
      <c r="F1534" t="s">
        <v>27</v>
      </c>
      <c r="G1534" s="1">
        <v>43102</v>
      </c>
      <c r="H1534" s="1">
        <v>43465</v>
      </c>
      <c r="I1534" t="s">
        <v>665</v>
      </c>
      <c r="J1534" t="s">
        <v>666</v>
      </c>
      <c r="K1534" t="s">
        <v>958</v>
      </c>
      <c r="L1534" t="s">
        <v>216</v>
      </c>
      <c r="M1534" t="s">
        <v>5783</v>
      </c>
      <c r="N1534" t="s">
        <v>5784</v>
      </c>
      <c r="O1534" t="s">
        <v>1405</v>
      </c>
      <c r="P1534" t="s">
        <v>1406</v>
      </c>
      <c r="Q1534" t="s">
        <v>5893</v>
      </c>
      <c r="R1534" t="s">
        <v>5894</v>
      </c>
      <c r="S1534" t="s">
        <v>550</v>
      </c>
      <c r="T1534" t="s">
        <v>550</v>
      </c>
      <c r="U1534" t="s">
        <v>550</v>
      </c>
      <c r="V1534" t="s">
        <v>5928</v>
      </c>
      <c r="W1534" t="s">
        <v>613</v>
      </c>
      <c r="X1534" t="s">
        <v>74</v>
      </c>
      <c r="Y1534" t="s">
        <v>803</v>
      </c>
      <c r="Z1534" t="s">
        <v>5926</v>
      </c>
    </row>
    <row r="1535" spans="1:26" x14ac:dyDescent="0.3">
      <c r="A1535" t="s">
        <v>525</v>
      </c>
      <c r="B1535" t="s">
        <v>5930</v>
      </c>
      <c r="C1535" t="s">
        <v>5931</v>
      </c>
      <c r="D1535" t="s">
        <v>550</v>
      </c>
      <c r="E1535" t="s">
        <v>5788</v>
      </c>
      <c r="F1535" t="s">
        <v>5789</v>
      </c>
      <c r="G1535" s="1">
        <v>43102</v>
      </c>
      <c r="H1535" s="1">
        <v>43830</v>
      </c>
      <c r="I1535" t="s">
        <v>665</v>
      </c>
      <c r="J1535" t="s">
        <v>5790</v>
      </c>
      <c r="K1535" t="s">
        <v>958</v>
      </c>
      <c r="L1535" t="s">
        <v>216</v>
      </c>
      <c r="M1535" t="s">
        <v>5783</v>
      </c>
      <c r="N1535" t="s">
        <v>5784</v>
      </c>
      <c r="O1535" t="s">
        <v>1405</v>
      </c>
      <c r="P1535" t="s">
        <v>1406</v>
      </c>
      <c r="Q1535" t="s">
        <v>5893</v>
      </c>
      <c r="R1535" t="s">
        <v>5894</v>
      </c>
      <c r="S1535" t="s">
        <v>550</v>
      </c>
      <c r="T1535" t="s">
        <v>550</v>
      </c>
      <c r="U1535" t="s">
        <v>550</v>
      </c>
      <c r="V1535" t="s">
        <v>5932</v>
      </c>
      <c r="W1535" t="s">
        <v>613</v>
      </c>
      <c r="X1535" t="s">
        <v>74</v>
      </c>
      <c r="Y1535" t="s">
        <v>803</v>
      </c>
      <c r="Z1535" t="s">
        <v>5930</v>
      </c>
    </row>
    <row r="1536" spans="1:26" x14ac:dyDescent="0.3">
      <c r="A1536" t="s">
        <v>525</v>
      </c>
      <c r="B1536" t="s">
        <v>5933</v>
      </c>
      <c r="C1536" t="s">
        <v>2794</v>
      </c>
      <c r="D1536" t="s">
        <v>5930</v>
      </c>
      <c r="E1536" t="s">
        <v>664</v>
      </c>
      <c r="F1536" t="s">
        <v>27</v>
      </c>
      <c r="G1536" s="1">
        <v>43102</v>
      </c>
      <c r="H1536" s="1">
        <v>43830</v>
      </c>
      <c r="I1536" t="s">
        <v>665</v>
      </c>
      <c r="J1536" t="s">
        <v>666</v>
      </c>
      <c r="K1536" t="s">
        <v>958</v>
      </c>
      <c r="L1536" t="s">
        <v>216</v>
      </c>
      <c r="M1536" t="s">
        <v>5783</v>
      </c>
      <c r="N1536" t="s">
        <v>5784</v>
      </c>
      <c r="O1536" t="s">
        <v>1405</v>
      </c>
      <c r="P1536" t="s">
        <v>1406</v>
      </c>
      <c r="Q1536" t="s">
        <v>5893</v>
      </c>
      <c r="R1536" t="s">
        <v>5894</v>
      </c>
      <c r="S1536" t="s">
        <v>550</v>
      </c>
      <c r="T1536" t="s">
        <v>550</v>
      </c>
      <c r="U1536" t="s">
        <v>550</v>
      </c>
      <c r="V1536" t="s">
        <v>5932</v>
      </c>
      <c r="W1536" t="s">
        <v>613</v>
      </c>
      <c r="X1536" t="s">
        <v>74</v>
      </c>
      <c r="Y1536" t="s">
        <v>803</v>
      </c>
      <c r="Z1536" t="s">
        <v>5930</v>
      </c>
    </row>
    <row r="1537" spans="1:26" x14ac:dyDescent="0.3">
      <c r="A1537" t="s">
        <v>525</v>
      </c>
      <c r="B1537" t="s">
        <v>5934</v>
      </c>
      <c r="C1537" t="s">
        <v>5935</v>
      </c>
      <c r="D1537" t="s">
        <v>5936</v>
      </c>
      <c r="E1537" t="s">
        <v>664</v>
      </c>
      <c r="F1537" t="s">
        <v>27</v>
      </c>
      <c r="G1537" s="1">
        <v>43102</v>
      </c>
      <c r="H1537" s="1">
        <v>43465</v>
      </c>
      <c r="I1537" t="s">
        <v>665</v>
      </c>
      <c r="J1537" t="s">
        <v>666</v>
      </c>
      <c r="K1537" t="s">
        <v>24</v>
      </c>
      <c r="L1537" t="s">
        <v>1045</v>
      </c>
      <c r="M1537" t="s">
        <v>1030</v>
      </c>
      <c r="N1537" t="s">
        <v>255</v>
      </c>
      <c r="O1537" t="s">
        <v>1405</v>
      </c>
      <c r="P1537" t="s">
        <v>1406</v>
      </c>
      <c r="Q1537" t="s">
        <v>5893</v>
      </c>
      <c r="R1537" t="s">
        <v>5894</v>
      </c>
      <c r="S1537" t="s">
        <v>550</v>
      </c>
      <c r="T1537" t="s">
        <v>550</v>
      </c>
      <c r="U1537" t="s">
        <v>550</v>
      </c>
      <c r="V1537" t="s">
        <v>5937</v>
      </c>
      <c r="W1537" t="s">
        <v>1021</v>
      </c>
      <c r="X1537" t="s">
        <v>74</v>
      </c>
      <c r="Y1537" t="s">
        <v>803</v>
      </c>
      <c r="Z1537" t="s">
        <v>5934</v>
      </c>
    </row>
    <row r="1538" spans="1:26" x14ac:dyDescent="0.3">
      <c r="A1538" t="s">
        <v>525</v>
      </c>
      <c r="B1538" t="s">
        <v>5938</v>
      </c>
      <c r="C1538" t="s">
        <v>5939</v>
      </c>
      <c r="D1538" t="s">
        <v>5934</v>
      </c>
      <c r="E1538" t="s">
        <v>5940</v>
      </c>
      <c r="F1538" t="s">
        <v>5939</v>
      </c>
      <c r="G1538" s="1">
        <v>43102</v>
      </c>
      <c r="H1538" s="1">
        <v>43465</v>
      </c>
      <c r="I1538" t="s">
        <v>665</v>
      </c>
      <c r="J1538" t="s">
        <v>5941</v>
      </c>
      <c r="K1538" t="s">
        <v>24</v>
      </c>
      <c r="L1538" t="s">
        <v>1045</v>
      </c>
      <c r="M1538" t="s">
        <v>1030</v>
      </c>
      <c r="N1538" t="s">
        <v>255</v>
      </c>
      <c r="O1538" t="s">
        <v>1405</v>
      </c>
      <c r="P1538" t="s">
        <v>1406</v>
      </c>
      <c r="Q1538" t="s">
        <v>5893</v>
      </c>
      <c r="R1538" t="s">
        <v>5894</v>
      </c>
      <c r="S1538" t="s">
        <v>550</v>
      </c>
      <c r="T1538" t="s">
        <v>550</v>
      </c>
      <c r="U1538" t="s">
        <v>550</v>
      </c>
      <c r="V1538" t="s">
        <v>5942</v>
      </c>
      <c r="W1538" t="s">
        <v>1021</v>
      </c>
      <c r="X1538" t="s">
        <v>74</v>
      </c>
      <c r="Y1538" t="s">
        <v>803</v>
      </c>
      <c r="Z1538" t="s">
        <v>5938</v>
      </c>
    </row>
    <row r="1539" spans="1:26" x14ac:dyDescent="0.3">
      <c r="A1539" t="s">
        <v>525</v>
      </c>
      <c r="B1539" t="s">
        <v>5943</v>
      </c>
      <c r="C1539" t="s">
        <v>5944</v>
      </c>
      <c r="D1539" t="s">
        <v>5934</v>
      </c>
      <c r="E1539" t="s">
        <v>5945</v>
      </c>
      <c r="F1539" t="s">
        <v>5944</v>
      </c>
      <c r="G1539" s="1">
        <v>43102</v>
      </c>
      <c r="H1539" s="1">
        <v>43465</v>
      </c>
      <c r="I1539" t="s">
        <v>665</v>
      </c>
      <c r="J1539" t="s">
        <v>5946</v>
      </c>
      <c r="K1539" t="s">
        <v>24</v>
      </c>
      <c r="L1539" t="s">
        <v>1045</v>
      </c>
      <c r="M1539" t="s">
        <v>1030</v>
      </c>
      <c r="N1539" t="s">
        <v>255</v>
      </c>
      <c r="O1539" t="s">
        <v>1405</v>
      </c>
      <c r="P1539" t="s">
        <v>1406</v>
      </c>
      <c r="Q1539" t="s">
        <v>5893</v>
      </c>
      <c r="R1539" t="s">
        <v>5894</v>
      </c>
      <c r="S1539" t="s">
        <v>550</v>
      </c>
      <c r="T1539" t="s">
        <v>550</v>
      </c>
      <c r="U1539" t="s">
        <v>550</v>
      </c>
      <c r="V1539" t="s">
        <v>5947</v>
      </c>
      <c r="W1539" t="s">
        <v>1021</v>
      </c>
      <c r="X1539" t="s">
        <v>74</v>
      </c>
      <c r="Y1539" t="s">
        <v>803</v>
      </c>
      <c r="Z1539" t="s">
        <v>5943</v>
      </c>
    </row>
    <row r="1540" spans="1:26" x14ac:dyDescent="0.3">
      <c r="A1540" t="s">
        <v>525</v>
      </c>
      <c r="B1540" t="s">
        <v>5948</v>
      </c>
      <c r="C1540" t="s">
        <v>5949</v>
      </c>
      <c r="D1540" t="s">
        <v>5934</v>
      </c>
      <c r="E1540" t="s">
        <v>5950</v>
      </c>
      <c r="F1540" t="s">
        <v>5951</v>
      </c>
      <c r="G1540" s="1">
        <v>43102</v>
      </c>
      <c r="H1540" s="1">
        <v>43465</v>
      </c>
      <c r="I1540" t="s">
        <v>665</v>
      </c>
      <c r="J1540" t="s">
        <v>5952</v>
      </c>
      <c r="K1540" t="s">
        <v>24</v>
      </c>
      <c r="L1540" t="s">
        <v>1045</v>
      </c>
      <c r="M1540" t="s">
        <v>1030</v>
      </c>
      <c r="N1540" t="s">
        <v>255</v>
      </c>
      <c r="O1540" t="s">
        <v>1405</v>
      </c>
      <c r="P1540" t="s">
        <v>1406</v>
      </c>
      <c r="Q1540" t="s">
        <v>5893</v>
      </c>
      <c r="R1540" t="s">
        <v>5894</v>
      </c>
      <c r="S1540" t="s">
        <v>550</v>
      </c>
      <c r="T1540" t="s">
        <v>550</v>
      </c>
      <c r="U1540" t="s">
        <v>550</v>
      </c>
      <c r="V1540" t="s">
        <v>5953</v>
      </c>
      <c r="W1540" t="s">
        <v>1021</v>
      </c>
      <c r="X1540" t="s">
        <v>74</v>
      </c>
      <c r="Y1540" t="s">
        <v>803</v>
      </c>
      <c r="Z1540" t="s">
        <v>5948</v>
      </c>
    </row>
    <row r="1541" spans="1:26" x14ac:dyDescent="0.3">
      <c r="A1541" t="s">
        <v>525</v>
      </c>
      <c r="B1541" t="s">
        <v>5954</v>
      </c>
      <c r="C1541" t="s">
        <v>5955</v>
      </c>
      <c r="D1541" t="s">
        <v>5934</v>
      </c>
      <c r="E1541" t="s">
        <v>5956</v>
      </c>
      <c r="F1541" t="s">
        <v>5955</v>
      </c>
      <c r="G1541" s="1">
        <v>43102</v>
      </c>
      <c r="H1541" s="1">
        <v>43465</v>
      </c>
      <c r="I1541" t="s">
        <v>665</v>
      </c>
      <c r="J1541" t="s">
        <v>5957</v>
      </c>
      <c r="K1541" t="s">
        <v>24</v>
      </c>
      <c r="L1541" t="s">
        <v>1045</v>
      </c>
      <c r="M1541" t="s">
        <v>1030</v>
      </c>
      <c r="N1541" t="s">
        <v>255</v>
      </c>
      <c r="O1541" t="s">
        <v>1405</v>
      </c>
      <c r="P1541" t="s">
        <v>1406</v>
      </c>
      <c r="Q1541" t="s">
        <v>5893</v>
      </c>
      <c r="R1541" t="s">
        <v>5894</v>
      </c>
      <c r="S1541" t="s">
        <v>550</v>
      </c>
      <c r="T1541" t="s">
        <v>550</v>
      </c>
      <c r="U1541" t="s">
        <v>550</v>
      </c>
      <c r="V1541" t="s">
        <v>5958</v>
      </c>
      <c r="W1541" t="s">
        <v>1021</v>
      </c>
      <c r="X1541" t="s">
        <v>74</v>
      </c>
      <c r="Y1541" t="s">
        <v>803</v>
      </c>
      <c r="Z1541" t="s">
        <v>5954</v>
      </c>
    </row>
    <row r="1542" spans="1:26" x14ac:dyDescent="0.3">
      <c r="A1542" t="s">
        <v>525</v>
      </c>
      <c r="B1542" t="s">
        <v>5959</v>
      </c>
      <c r="C1542" t="s">
        <v>5960</v>
      </c>
      <c r="D1542" t="s">
        <v>5934</v>
      </c>
      <c r="E1542" t="s">
        <v>4742</v>
      </c>
      <c r="F1542" t="s">
        <v>4743</v>
      </c>
      <c r="G1542" s="1">
        <v>43102</v>
      </c>
      <c r="H1542" s="1">
        <v>43465</v>
      </c>
      <c r="I1542" t="s">
        <v>665</v>
      </c>
      <c r="J1542" t="s">
        <v>5961</v>
      </c>
      <c r="K1542" t="s">
        <v>24</v>
      </c>
      <c r="L1542" t="s">
        <v>1045</v>
      </c>
      <c r="M1542" t="s">
        <v>1030</v>
      </c>
      <c r="N1542" t="s">
        <v>255</v>
      </c>
      <c r="O1542" t="s">
        <v>1405</v>
      </c>
      <c r="P1542" t="s">
        <v>1406</v>
      </c>
      <c r="Q1542" t="s">
        <v>5893</v>
      </c>
      <c r="R1542" t="s">
        <v>5894</v>
      </c>
      <c r="S1542" t="s">
        <v>550</v>
      </c>
      <c r="T1542" t="s">
        <v>550</v>
      </c>
      <c r="U1542" t="s">
        <v>550</v>
      </c>
      <c r="V1542" t="s">
        <v>5962</v>
      </c>
      <c r="W1542" t="s">
        <v>1021</v>
      </c>
      <c r="X1542" t="s">
        <v>74</v>
      </c>
      <c r="Y1542" t="s">
        <v>803</v>
      </c>
      <c r="Z1542" t="s">
        <v>5959</v>
      </c>
    </row>
    <row r="1543" spans="1:26" x14ac:dyDescent="0.3">
      <c r="A1543" t="s">
        <v>525</v>
      </c>
      <c r="B1543" t="s">
        <v>5963</v>
      </c>
      <c r="C1543" t="s">
        <v>5964</v>
      </c>
      <c r="D1543" t="s">
        <v>5934</v>
      </c>
      <c r="E1543" t="s">
        <v>5965</v>
      </c>
      <c r="F1543" t="s">
        <v>5964</v>
      </c>
      <c r="G1543" s="1">
        <v>43102</v>
      </c>
      <c r="H1543" s="1">
        <v>43465</v>
      </c>
      <c r="I1543" t="s">
        <v>665</v>
      </c>
      <c r="J1543" t="s">
        <v>5966</v>
      </c>
      <c r="K1543" t="s">
        <v>24</v>
      </c>
      <c r="L1543" t="s">
        <v>1045</v>
      </c>
      <c r="M1543" t="s">
        <v>1030</v>
      </c>
      <c r="N1543" t="s">
        <v>255</v>
      </c>
      <c r="O1543" t="s">
        <v>1405</v>
      </c>
      <c r="P1543" t="s">
        <v>1406</v>
      </c>
      <c r="Q1543" t="s">
        <v>5893</v>
      </c>
      <c r="R1543" t="s">
        <v>5894</v>
      </c>
      <c r="S1543" t="s">
        <v>550</v>
      </c>
      <c r="T1543" t="s">
        <v>550</v>
      </c>
      <c r="U1543" t="s">
        <v>550</v>
      </c>
      <c r="V1543" t="s">
        <v>5967</v>
      </c>
      <c r="W1543" t="s">
        <v>1021</v>
      </c>
      <c r="X1543" t="s">
        <v>74</v>
      </c>
      <c r="Y1543" t="s">
        <v>803</v>
      </c>
      <c r="Z1543" t="s">
        <v>5963</v>
      </c>
    </row>
    <row r="1544" spans="1:26" x14ac:dyDescent="0.3">
      <c r="A1544" t="s">
        <v>525</v>
      </c>
      <c r="B1544" t="s">
        <v>5968</v>
      </c>
      <c r="C1544" t="s">
        <v>5969</v>
      </c>
      <c r="D1544" t="s">
        <v>5934</v>
      </c>
      <c r="E1544" t="s">
        <v>5970</v>
      </c>
      <c r="F1544" t="s">
        <v>5969</v>
      </c>
      <c r="G1544" s="1">
        <v>43102</v>
      </c>
      <c r="H1544" s="1">
        <v>43465</v>
      </c>
      <c r="I1544" t="s">
        <v>665</v>
      </c>
      <c r="J1544" t="s">
        <v>5971</v>
      </c>
      <c r="K1544" t="s">
        <v>24</v>
      </c>
      <c r="L1544" t="s">
        <v>1045</v>
      </c>
      <c r="M1544" t="s">
        <v>1030</v>
      </c>
      <c r="N1544" t="s">
        <v>255</v>
      </c>
      <c r="O1544" t="s">
        <v>1405</v>
      </c>
      <c r="P1544" t="s">
        <v>1406</v>
      </c>
      <c r="Q1544" t="s">
        <v>5893</v>
      </c>
      <c r="R1544" t="s">
        <v>5894</v>
      </c>
      <c r="S1544" t="s">
        <v>550</v>
      </c>
      <c r="T1544" t="s">
        <v>550</v>
      </c>
      <c r="U1544" t="s">
        <v>550</v>
      </c>
      <c r="V1544" t="s">
        <v>5972</v>
      </c>
      <c r="W1544" t="s">
        <v>1021</v>
      </c>
      <c r="X1544" t="s">
        <v>74</v>
      </c>
      <c r="Y1544" t="s">
        <v>803</v>
      </c>
      <c r="Z1544" t="s">
        <v>5968</v>
      </c>
    </row>
    <row r="1545" spans="1:26" x14ac:dyDescent="0.3">
      <c r="A1545" t="s">
        <v>525</v>
      </c>
      <c r="B1545" t="s">
        <v>5973</v>
      </c>
      <c r="C1545" t="s">
        <v>5974</v>
      </c>
      <c r="D1545" t="s">
        <v>5975</v>
      </c>
      <c r="E1545" t="s">
        <v>1298</v>
      </c>
      <c r="F1545" t="s">
        <v>1299</v>
      </c>
      <c r="G1545" s="1">
        <v>43102</v>
      </c>
      <c r="H1545" s="1">
        <v>43830</v>
      </c>
      <c r="I1545" t="s">
        <v>665</v>
      </c>
      <c r="J1545" t="s">
        <v>1300</v>
      </c>
      <c r="K1545" t="s">
        <v>958</v>
      </c>
      <c r="L1545" t="s">
        <v>216</v>
      </c>
      <c r="M1545" t="s">
        <v>1030</v>
      </c>
      <c r="N1545" t="s">
        <v>255</v>
      </c>
      <c r="O1545" t="s">
        <v>1405</v>
      </c>
      <c r="P1545" t="s">
        <v>1406</v>
      </c>
      <c r="Q1545" t="s">
        <v>5893</v>
      </c>
      <c r="R1545" t="s">
        <v>5894</v>
      </c>
      <c r="S1545" t="s">
        <v>550</v>
      </c>
      <c r="T1545" t="s">
        <v>550</v>
      </c>
      <c r="U1545" t="s">
        <v>550</v>
      </c>
      <c r="V1545" t="s">
        <v>5976</v>
      </c>
      <c r="W1545" t="s">
        <v>613</v>
      </c>
      <c r="X1545" t="s">
        <v>74</v>
      </c>
      <c r="Y1545" t="s">
        <v>803</v>
      </c>
      <c r="Z1545" t="s">
        <v>5975</v>
      </c>
    </row>
    <row r="1546" spans="1:26" x14ac:dyDescent="0.3">
      <c r="A1546" t="s">
        <v>525</v>
      </c>
      <c r="B1546" t="s">
        <v>5977</v>
      </c>
      <c r="C1546" t="s">
        <v>5978</v>
      </c>
      <c r="D1546" t="s">
        <v>5979</v>
      </c>
      <c r="E1546" t="s">
        <v>664</v>
      </c>
      <c r="F1546" t="s">
        <v>27</v>
      </c>
      <c r="G1546" s="1">
        <v>43102</v>
      </c>
      <c r="H1546" s="1">
        <v>43465</v>
      </c>
      <c r="I1546" t="s">
        <v>665</v>
      </c>
      <c r="J1546" t="s">
        <v>666</v>
      </c>
      <c r="K1546" t="s">
        <v>24</v>
      </c>
      <c r="L1546" t="s">
        <v>667</v>
      </c>
      <c r="M1546" t="s">
        <v>1230</v>
      </c>
      <c r="N1546" t="s">
        <v>1231</v>
      </c>
      <c r="O1546" t="s">
        <v>5980</v>
      </c>
      <c r="P1546" t="s">
        <v>288</v>
      </c>
      <c r="Q1546" t="s">
        <v>5893</v>
      </c>
      <c r="R1546" t="s">
        <v>5894</v>
      </c>
      <c r="S1546" t="s">
        <v>550</v>
      </c>
      <c r="T1546" t="s">
        <v>550</v>
      </c>
      <c r="U1546" t="s">
        <v>550</v>
      </c>
      <c r="V1546" t="s">
        <v>5981</v>
      </c>
      <c r="W1546" t="s">
        <v>554</v>
      </c>
      <c r="X1546" t="s">
        <v>669</v>
      </c>
      <c r="Y1546" t="s">
        <v>799</v>
      </c>
      <c r="Z1546" t="s">
        <v>5977</v>
      </c>
    </row>
    <row r="1547" spans="1:26" x14ac:dyDescent="0.3">
      <c r="A1547" t="s">
        <v>525</v>
      </c>
      <c r="B1547" t="s">
        <v>5982</v>
      </c>
      <c r="C1547" t="s">
        <v>5983</v>
      </c>
      <c r="D1547" t="s">
        <v>550</v>
      </c>
      <c r="E1547" t="s">
        <v>664</v>
      </c>
      <c r="F1547" t="s">
        <v>27</v>
      </c>
      <c r="G1547" s="1">
        <v>42371</v>
      </c>
      <c r="H1547" s="1">
        <v>43465</v>
      </c>
      <c r="I1547" t="s">
        <v>665</v>
      </c>
      <c r="J1547" t="s">
        <v>666</v>
      </c>
      <c r="K1547" t="s">
        <v>24</v>
      </c>
      <c r="L1547" t="s">
        <v>667</v>
      </c>
      <c r="M1547" t="s">
        <v>5984</v>
      </c>
      <c r="N1547" t="s">
        <v>5985</v>
      </c>
      <c r="O1547" t="s">
        <v>5980</v>
      </c>
      <c r="P1547" t="s">
        <v>288</v>
      </c>
      <c r="Q1547" t="s">
        <v>5893</v>
      </c>
      <c r="R1547" t="s">
        <v>5894</v>
      </c>
      <c r="S1547" t="s">
        <v>550</v>
      </c>
      <c r="T1547" t="s">
        <v>550</v>
      </c>
      <c r="U1547" t="s">
        <v>550</v>
      </c>
      <c r="V1547" t="s">
        <v>5986</v>
      </c>
      <c r="W1547" t="s">
        <v>554</v>
      </c>
      <c r="X1547" t="s">
        <v>669</v>
      </c>
      <c r="Y1547" t="s">
        <v>799</v>
      </c>
      <c r="Z1547" t="s">
        <v>5982</v>
      </c>
    </row>
    <row r="1548" spans="1:26" x14ac:dyDescent="0.3">
      <c r="A1548" t="s">
        <v>525</v>
      </c>
      <c r="B1548" t="s">
        <v>5901</v>
      </c>
      <c r="C1548" t="s">
        <v>5987</v>
      </c>
      <c r="D1548" t="s">
        <v>550</v>
      </c>
      <c r="E1548" t="s">
        <v>664</v>
      </c>
      <c r="F1548" t="s">
        <v>27</v>
      </c>
      <c r="G1548" s="1">
        <v>42371</v>
      </c>
      <c r="H1548" s="1">
        <v>43465</v>
      </c>
      <c r="I1548" t="s">
        <v>665</v>
      </c>
      <c r="J1548" t="s">
        <v>666</v>
      </c>
      <c r="K1548" t="s">
        <v>808</v>
      </c>
      <c r="L1548" t="s">
        <v>216</v>
      </c>
      <c r="M1548" t="s">
        <v>797</v>
      </c>
      <c r="N1548" t="s">
        <v>313</v>
      </c>
      <c r="O1548" t="s">
        <v>5980</v>
      </c>
      <c r="P1548" t="s">
        <v>288</v>
      </c>
      <c r="Q1548" t="s">
        <v>5893</v>
      </c>
      <c r="R1548" t="s">
        <v>5894</v>
      </c>
      <c r="S1548" t="s">
        <v>550</v>
      </c>
      <c r="T1548" t="s">
        <v>550</v>
      </c>
      <c r="U1548" t="s">
        <v>550</v>
      </c>
      <c r="V1548" t="s">
        <v>5988</v>
      </c>
      <c r="W1548" t="s">
        <v>554</v>
      </c>
      <c r="X1548" t="s">
        <v>669</v>
      </c>
      <c r="Y1548" t="s">
        <v>799</v>
      </c>
      <c r="Z1548" t="s">
        <v>5901</v>
      </c>
    </row>
    <row r="1549" spans="1:26" x14ac:dyDescent="0.3">
      <c r="A1549" t="s">
        <v>525</v>
      </c>
      <c r="B1549" t="s">
        <v>5989</v>
      </c>
      <c r="C1549" t="s">
        <v>5990</v>
      </c>
      <c r="D1549" t="s">
        <v>550</v>
      </c>
      <c r="E1549" t="s">
        <v>664</v>
      </c>
      <c r="F1549" t="s">
        <v>27</v>
      </c>
      <c r="G1549" s="1">
        <v>42371</v>
      </c>
      <c r="H1549" s="1">
        <v>43465</v>
      </c>
      <c r="I1549" t="s">
        <v>665</v>
      </c>
      <c r="J1549" t="s">
        <v>666</v>
      </c>
      <c r="K1549" t="s">
        <v>24</v>
      </c>
      <c r="L1549" t="s">
        <v>216</v>
      </c>
      <c r="M1549" t="s">
        <v>797</v>
      </c>
      <c r="N1549" t="s">
        <v>313</v>
      </c>
      <c r="O1549" t="s">
        <v>5980</v>
      </c>
      <c r="P1549" t="s">
        <v>288</v>
      </c>
      <c r="Q1549" t="s">
        <v>5893</v>
      </c>
      <c r="R1549" t="s">
        <v>5894</v>
      </c>
      <c r="S1549" t="s">
        <v>550</v>
      </c>
      <c r="T1549" t="s">
        <v>550</v>
      </c>
      <c r="U1549" t="s">
        <v>550</v>
      </c>
      <c r="V1549" t="s">
        <v>5991</v>
      </c>
      <c r="W1549" t="s">
        <v>554</v>
      </c>
      <c r="X1549" t="s">
        <v>669</v>
      </c>
      <c r="Y1549" t="s">
        <v>799</v>
      </c>
      <c r="Z1549" t="s">
        <v>5989</v>
      </c>
    </row>
    <row r="1550" spans="1:26" x14ac:dyDescent="0.3">
      <c r="A1550" t="s">
        <v>525</v>
      </c>
      <c r="B1550" t="s">
        <v>5975</v>
      </c>
      <c r="C1550" t="s">
        <v>5992</v>
      </c>
      <c r="D1550" t="s">
        <v>550</v>
      </c>
      <c r="E1550" t="s">
        <v>664</v>
      </c>
      <c r="F1550" t="s">
        <v>27</v>
      </c>
      <c r="G1550" s="1">
        <v>43102</v>
      </c>
      <c r="H1550" s="1">
        <v>43830</v>
      </c>
      <c r="I1550" t="s">
        <v>665</v>
      </c>
      <c r="J1550" t="s">
        <v>666</v>
      </c>
      <c r="K1550" t="s">
        <v>958</v>
      </c>
      <c r="L1550" t="s">
        <v>216</v>
      </c>
      <c r="M1550" t="s">
        <v>1030</v>
      </c>
      <c r="N1550" t="s">
        <v>255</v>
      </c>
      <c r="O1550" t="s">
        <v>1818</v>
      </c>
      <c r="Q1550" t="s">
        <v>5893</v>
      </c>
      <c r="R1550" t="s">
        <v>5894</v>
      </c>
      <c r="S1550" t="s">
        <v>550</v>
      </c>
      <c r="T1550" t="s">
        <v>550</v>
      </c>
      <c r="U1550" t="s">
        <v>550</v>
      </c>
      <c r="V1550" t="s">
        <v>5976</v>
      </c>
      <c r="W1550" t="s">
        <v>613</v>
      </c>
      <c r="X1550" t="s">
        <v>74</v>
      </c>
      <c r="Y1550" t="s">
        <v>803</v>
      </c>
      <c r="Z1550" t="s">
        <v>5975</v>
      </c>
    </row>
    <row r="1551" spans="1:26" x14ac:dyDescent="0.3">
      <c r="A1551" t="s">
        <v>525</v>
      </c>
      <c r="B1551" t="s">
        <v>5993</v>
      </c>
      <c r="C1551" t="s">
        <v>5994</v>
      </c>
      <c r="D1551" t="s">
        <v>550</v>
      </c>
      <c r="E1551" t="s">
        <v>5995</v>
      </c>
      <c r="F1551" t="s">
        <v>5996</v>
      </c>
      <c r="G1551" s="1">
        <v>43102</v>
      </c>
      <c r="H1551" s="1">
        <v>43465</v>
      </c>
      <c r="I1551" t="s">
        <v>665</v>
      </c>
      <c r="J1551" t="s">
        <v>5997</v>
      </c>
      <c r="K1551" t="s">
        <v>24</v>
      </c>
      <c r="L1551" t="s">
        <v>216</v>
      </c>
      <c r="M1551" t="s">
        <v>5676</v>
      </c>
      <c r="N1551" t="s">
        <v>5677</v>
      </c>
      <c r="O1551" t="s">
        <v>1818</v>
      </c>
      <c r="Q1551" t="s">
        <v>5893</v>
      </c>
      <c r="R1551" t="s">
        <v>5894</v>
      </c>
      <c r="S1551" t="s">
        <v>550</v>
      </c>
      <c r="T1551" t="s">
        <v>550</v>
      </c>
      <c r="U1551" t="s">
        <v>550</v>
      </c>
      <c r="V1551" t="s">
        <v>5998</v>
      </c>
      <c r="W1551" t="s">
        <v>613</v>
      </c>
      <c r="X1551" t="s">
        <v>74</v>
      </c>
      <c r="Y1551" t="s">
        <v>803</v>
      </c>
      <c r="Z1551" t="s">
        <v>5993</v>
      </c>
    </row>
    <row r="1552" spans="1:26" x14ac:dyDescent="0.3">
      <c r="A1552" t="s">
        <v>525</v>
      </c>
      <c r="B1552" t="s">
        <v>5999</v>
      </c>
      <c r="C1552" t="s">
        <v>2794</v>
      </c>
      <c r="D1552" t="s">
        <v>5993</v>
      </c>
      <c r="E1552" t="s">
        <v>664</v>
      </c>
      <c r="F1552" t="s">
        <v>27</v>
      </c>
      <c r="G1552" s="1">
        <v>43102</v>
      </c>
      <c r="H1552" s="1">
        <v>43465</v>
      </c>
      <c r="I1552" t="s">
        <v>665</v>
      </c>
      <c r="J1552" t="s">
        <v>666</v>
      </c>
      <c r="K1552" t="s">
        <v>24</v>
      </c>
      <c r="L1552" t="s">
        <v>216</v>
      </c>
      <c r="M1552" t="s">
        <v>5676</v>
      </c>
      <c r="N1552" t="s">
        <v>5677</v>
      </c>
      <c r="O1552" t="s">
        <v>1818</v>
      </c>
      <c r="Q1552" t="s">
        <v>5893</v>
      </c>
      <c r="R1552" t="s">
        <v>5894</v>
      </c>
      <c r="S1552" t="s">
        <v>550</v>
      </c>
      <c r="T1552" t="s">
        <v>550</v>
      </c>
      <c r="U1552" t="s">
        <v>550</v>
      </c>
      <c r="V1552" t="s">
        <v>5998</v>
      </c>
      <c r="W1552" t="s">
        <v>613</v>
      </c>
      <c r="X1552" t="s">
        <v>74</v>
      </c>
      <c r="Y1552" t="s">
        <v>803</v>
      </c>
      <c r="Z1552" t="s">
        <v>5993</v>
      </c>
    </row>
    <row r="1553" spans="1:26" x14ac:dyDescent="0.3">
      <c r="A1553" t="s">
        <v>525</v>
      </c>
      <c r="B1553" t="s">
        <v>6000</v>
      </c>
      <c r="C1553" t="s">
        <v>6001</v>
      </c>
      <c r="D1553" t="s">
        <v>5892</v>
      </c>
      <c r="E1553" t="s">
        <v>1332</v>
      </c>
      <c r="F1553" t="s">
        <v>1333</v>
      </c>
      <c r="G1553" s="1">
        <v>43467</v>
      </c>
      <c r="H1553" s="1">
        <v>43830</v>
      </c>
      <c r="I1553" t="s">
        <v>665</v>
      </c>
      <c r="J1553" t="s">
        <v>1334</v>
      </c>
      <c r="K1553" t="s">
        <v>24</v>
      </c>
      <c r="L1553" t="s">
        <v>216</v>
      </c>
      <c r="M1553" t="s">
        <v>5676</v>
      </c>
      <c r="N1553" t="s">
        <v>5677</v>
      </c>
      <c r="O1553" t="s">
        <v>1818</v>
      </c>
      <c r="Q1553" t="s">
        <v>5893</v>
      </c>
      <c r="R1553" t="s">
        <v>5894</v>
      </c>
      <c r="S1553" t="s">
        <v>550</v>
      </c>
      <c r="T1553" t="s">
        <v>550</v>
      </c>
      <c r="U1553" t="s">
        <v>550</v>
      </c>
      <c r="V1553" t="s">
        <v>5895</v>
      </c>
      <c r="W1553" t="s">
        <v>613</v>
      </c>
      <c r="X1553" t="s">
        <v>74</v>
      </c>
      <c r="Y1553" t="s">
        <v>803</v>
      </c>
      <c r="Z1553" t="s">
        <v>5892</v>
      </c>
    </row>
    <row r="1554" spans="1:26" x14ac:dyDescent="0.3">
      <c r="A1554" t="s">
        <v>525</v>
      </c>
      <c r="B1554" t="s">
        <v>5892</v>
      </c>
      <c r="C1554" t="s">
        <v>6002</v>
      </c>
      <c r="D1554" t="s">
        <v>550</v>
      </c>
      <c r="E1554" t="s">
        <v>1332</v>
      </c>
      <c r="F1554" t="s">
        <v>1333</v>
      </c>
      <c r="G1554" s="1">
        <v>42737</v>
      </c>
      <c r="H1554" s="1">
        <v>43830</v>
      </c>
      <c r="I1554" t="s">
        <v>665</v>
      </c>
      <c r="J1554" t="s">
        <v>1334</v>
      </c>
      <c r="K1554" t="s">
        <v>24</v>
      </c>
      <c r="L1554" t="s">
        <v>216</v>
      </c>
      <c r="M1554" t="s">
        <v>5676</v>
      </c>
      <c r="N1554" t="s">
        <v>5677</v>
      </c>
      <c r="O1554" t="s">
        <v>1818</v>
      </c>
      <c r="Q1554" t="s">
        <v>5893</v>
      </c>
      <c r="R1554" t="s">
        <v>5894</v>
      </c>
      <c r="S1554" t="s">
        <v>550</v>
      </c>
      <c r="T1554" t="s">
        <v>550</v>
      </c>
      <c r="U1554" t="s">
        <v>550</v>
      </c>
      <c r="V1554" t="s">
        <v>5895</v>
      </c>
      <c r="W1554" t="s">
        <v>613</v>
      </c>
      <c r="X1554" t="s">
        <v>74</v>
      </c>
      <c r="Y1554" t="s">
        <v>803</v>
      </c>
      <c r="Z1554" t="s">
        <v>5892</v>
      </c>
    </row>
    <row r="1555" spans="1:26" x14ac:dyDescent="0.3">
      <c r="A1555" t="s">
        <v>525</v>
      </c>
      <c r="B1555" t="s">
        <v>6003</v>
      </c>
      <c r="C1555" t="s">
        <v>6004</v>
      </c>
      <c r="D1555" t="s">
        <v>6005</v>
      </c>
      <c r="E1555" t="s">
        <v>664</v>
      </c>
      <c r="F1555" t="s">
        <v>27</v>
      </c>
      <c r="G1555" s="1">
        <v>43102</v>
      </c>
      <c r="H1555" s="1">
        <v>43465</v>
      </c>
      <c r="I1555" t="s">
        <v>665</v>
      </c>
      <c r="J1555" t="s">
        <v>666</v>
      </c>
      <c r="K1555" t="s">
        <v>24</v>
      </c>
      <c r="L1555" t="s">
        <v>667</v>
      </c>
      <c r="M1555" t="s">
        <v>873</v>
      </c>
      <c r="N1555" t="s">
        <v>244</v>
      </c>
      <c r="O1555" t="s">
        <v>1818</v>
      </c>
      <c r="Q1555" t="s">
        <v>5893</v>
      </c>
      <c r="R1555" t="s">
        <v>5894</v>
      </c>
      <c r="S1555" t="s">
        <v>550</v>
      </c>
      <c r="T1555" t="s">
        <v>550</v>
      </c>
      <c r="U1555" t="s">
        <v>550</v>
      </c>
      <c r="V1555" t="s">
        <v>6006</v>
      </c>
      <c r="W1555" t="s">
        <v>875</v>
      </c>
      <c r="X1555" t="s">
        <v>669</v>
      </c>
      <c r="Y1555" t="s">
        <v>856</v>
      </c>
      <c r="Z1555" t="s">
        <v>6003</v>
      </c>
    </row>
    <row r="1556" spans="1:26" x14ac:dyDescent="0.3">
      <c r="A1556" t="s">
        <v>525</v>
      </c>
      <c r="B1556" t="s">
        <v>6007</v>
      </c>
      <c r="C1556" t="s">
        <v>6008</v>
      </c>
      <c r="D1556" t="s">
        <v>6009</v>
      </c>
      <c r="E1556" t="s">
        <v>664</v>
      </c>
      <c r="F1556" t="s">
        <v>27</v>
      </c>
      <c r="G1556" s="1">
        <v>43102</v>
      </c>
      <c r="H1556" s="1">
        <v>43465</v>
      </c>
      <c r="I1556" t="s">
        <v>665</v>
      </c>
      <c r="J1556" t="s">
        <v>666</v>
      </c>
      <c r="K1556" t="s">
        <v>24</v>
      </c>
      <c r="L1556" t="s">
        <v>667</v>
      </c>
      <c r="M1556" t="s">
        <v>873</v>
      </c>
      <c r="N1556" t="s">
        <v>244</v>
      </c>
      <c r="O1556" t="s">
        <v>1818</v>
      </c>
      <c r="Q1556" t="s">
        <v>5893</v>
      </c>
      <c r="R1556" t="s">
        <v>5894</v>
      </c>
      <c r="S1556" t="s">
        <v>550</v>
      </c>
      <c r="T1556" t="s">
        <v>550</v>
      </c>
      <c r="U1556" t="s">
        <v>550</v>
      </c>
      <c r="V1556" t="s">
        <v>6010</v>
      </c>
      <c r="W1556" t="s">
        <v>875</v>
      </c>
      <c r="X1556" t="s">
        <v>669</v>
      </c>
      <c r="Y1556" t="s">
        <v>856</v>
      </c>
      <c r="Z1556" t="s">
        <v>6007</v>
      </c>
    </row>
    <row r="1557" spans="1:26" x14ac:dyDescent="0.3">
      <c r="A1557" t="s">
        <v>525</v>
      </c>
      <c r="B1557" t="s">
        <v>6011</v>
      </c>
      <c r="C1557" t="s">
        <v>6012</v>
      </c>
      <c r="D1557" t="s">
        <v>6013</v>
      </c>
      <c r="E1557" t="s">
        <v>664</v>
      </c>
      <c r="F1557" t="s">
        <v>27</v>
      </c>
      <c r="G1557" s="1">
        <v>43102</v>
      </c>
      <c r="H1557" s="1">
        <v>43465</v>
      </c>
      <c r="I1557" t="s">
        <v>665</v>
      </c>
      <c r="J1557" t="s">
        <v>666</v>
      </c>
      <c r="K1557" t="s">
        <v>24</v>
      </c>
      <c r="L1557" t="s">
        <v>667</v>
      </c>
      <c r="M1557" t="s">
        <v>873</v>
      </c>
      <c r="N1557" t="s">
        <v>244</v>
      </c>
      <c r="O1557" t="s">
        <v>1818</v>
      </c>
      <c r="Q1557" t="s">
        <v>5893</v>
      </c>
      <c r="R1557" t="s">
        <v>5894</v>
      </c>
      <c r="S1557" t="s">
        <v>550</v>
      </c>
      <c r="T1557" t="s">
        <v>550</v>
      </c>
      <c r="U1557" t="s">
        <v>550</v>
      </c>
      <c r="V1557" t="s">
        <v>6014</v>
      </c>
      <c r="W1557" t="s">
        <v>875</v>
      </c>
      <c r="X1557" t="s">
        <v>669</v>
      </c>
      <c r="Y1557" t="s">
        <v>856</v>
      </c>
      <c r="Z1557" t="s">
        <v>6011</v>
      </c>
    </row>
    <row r="1558" spans="1:26" x14ac:dyDescent="0.3">
      <c r="A1558" t="s">
        <v>525</v>
      </c>
      <c r="B1558" t="s">
        <v>6015</v>
      </c>
      <c r="C1558" t="s">
        <v>6016</v>
      </c>
      <c r="D1558" t="s">
        <v>6017</v>
      </c>
      <c r="E1558" t="s">
        <v>664</v>
      </c>
      <c r="F1558" t="s">
        <v>27</v>
      </c>
      <c r="G1558" s="1">
        <v>43102</v>
      </c>
      <c r="H1558" s="1">
        <v>43465</v>
      </c>
      <c r="I1558" t="s">
        <v>665</v>
      </c>
      <c r="J1558" t="s">
        <v>666</v>
      </c>
      <c r="K1558" t="s">
        <v>24</v>
      </c>
      <c r="L1558" t="s">
        <v>667</v>
      </c>
      <c r="M1558" t="s">
        <v>873</v>
      </c>
      <c r="N1558" t="s">
        <v>244</v>
      </c>
      <c r="O1558" t="s">
        <v>1818</v>
      </c>
      <c r="Q1558" t="s">
        <v>5893</v>
      </c>
      <c r="R1558" t="s">
        <v>5894</v>
      </c>
      <c r="S1558" t="s">
        <v>550</v>
      </c>
      <c r="T1558" t="s">
        <v>550</v>
      </c>
      <c r="U1558" t="s">
        <v>550</v>
      </c>
      <c r="V1558" t="s">
        <v>6018</v>
      </c>
      <c r="W1558" t="s">
        <v>875</v>
      </c>
      <c r="X1558" t="s">
        <v>669</v>
      </c>
      <c r="Y1558" t="s">
        <v>856</v>
      </c>
      <c r="Z1558" t="s">
        <v>6015</v>
      </c>
    </row>
    <row r="1559" spans="1:26" x14ac:dyDescent="0.3">
      <c r="A1559" t="s">
        <v>525</v>
      </c>
      <c r="B1559" t="s">
        <v>6019</v>
      </c>
      <c r="C1559" t="s">
        <v>6020</v>
      </c>
      <c r="D1559" t="s">
        <v>550</v>
      </c>
      <c r="E1559" t="s">
        <v>664</v>
      </c>
      <c r="F1559" t="s">
        <v>27</v>
      </c>
      <c r="G1559" s="1">
        <v>42737</v>
      </c>
      <c r="H1559" s="1">
        <v>43830</v>
      </c>
      <c r="I1559" t="s">
        <v>665</v>
      </c>
      <c r="J1559" t="s">
        <v>666</v>
      </c>
      <c r="K1559" t="s">
        <v>24</v>
      </c>
      <c r="L1559" t="s">
        <v>667</v>
      </c>
      <c r="M1559" t="s">
        <v>873</v>
      </c>
      <c r="N1559" t="s">
        <v>244</v>
      </c>
      <c r="O1559" t="s">
        <v>1839</v>
      </c>
      <c r="P1559" t="s">
        <v>222</v>
      </c>
      <c r="Q1559" t="s">
        <v>5893</v>
      </c>
      <c r="R1559" t="s">
        <v>5894</v>
      </c>
      <c r="S1559" t="s">
        <v>550</v>
      </c>
      <c r="T1559" t="s">
        <v>550</v>
      </c>
      <c r="U1559" t="s">
        <v>550</v>
      </c>
      <c r="V1559" t="s">
        <v>6021</v>
      </c>
      <c r="W1559" t="s">
        <v>565</v>
      </c>
      <c r="X1559" t="s">
        <v>669</v>
      </c>
      <c r="Y1559" t="s">
        <v>856</v>
      </c>
      <c r="Z1559" t="s">
        <v>6019</v>
      </c>
    </row>
    <row r="1560" spans="1:26" x14ac:dyDescent="0.3">
      <c r="A1560" t="s">
        <v>525</v>
      </c>
      <c r="B1560" t="s">
        <v>6022</v>
      </c>
      <c r="C1560" t="s">
        <v>6023</v>
      </c>
      <c r="D1560" t="s">
        <v>550</v>
      </c>
      <c r="E1560" t="s">
        <v>664</v>
      </c>
      <c r="F1560" t="s">
        <v>27</v>
      </c>
      <c r="G1560" s="1">
        <v>42737</v>
      </c>
      <c r="H1560" s="1">
        <v>43465</v>
      </c>
      <c r="I1560" t="s">
        <v>665</v>
      </c>
      <c r="J1560" t="s">
        <v>666</v>
      </c>
      <c r="K1560" t="s">
        <v>24</v>
      </c>
      <c r="L1560" t="s">
        <v>1010</v>
      </c>
      <c r="M1560" t="s">
        <v>873</v>
      </c>
      <c r="N1560" t="s">
        <v>244</v>
      </c>
      <c r="O1560" t="s">
        <v>1839</v>
      </c>
      <c r="P1560" t="s">
        <v>222</v>
      </c>
      <c r="Q1560" t="s">
        <v>5893</v>
      </c>
      <c r="R1560" t="s">
        <v>5894</v>
      </c>
      <c r="S1560" t="s">
        <v>550</v>
      </c>
      <c r="T1560" t="s">
        <v>550</v>
      </c>
      <c r="U1560" t="s">
        <v>550</v>
      </c>
      <c r="V1560" t="s">
        <v>6024</v>
      </c>
      <c r="W1560" t="s">
        <v>565</v>
      </c>
      <c r="X1560" t="s">
        <v>669</v>
      </c>
      <c r="Y1560" t="s">
        <v>856</v>
      </c>
      <c r="Z1560" t="s">
        <v>6022</v>
      </c>
    </row>
    <row r="1561" spans="1:26" x14ac:dyDescent="0.3">
      <c r="A1561" t="s">
        <v>525</v>
      </c>
      <c r="B1561" t="s">
        <v>6025</v>
      </c>
      <c r="C1561" t="s">
        <v>6026</v>
      </c>
      <c r="D1561" t="s">
        <v>550</v>
      </c>
      <c r="E1561" t="s">
        <v>664</v>
      </c>
      <c r="F1561" t="s">
        <v>27</v>
      </c>
      <c r="G1561" s="1">
        <v>42371</v>
      </c>
      <c r="H1561" s="1">
        <v>43465</v>
      </c>
      <c r="I1561" t="s">
        <v>665</v>
      </c>
      <c r="J1561" t="s">
        <v>666</v>
      </c>
      <c r="K1561" t="s">
        <v>24</v>
      </c>
      <c r="L1561" t="s">
        <v>216</v>
      </c>
      <c r="M1561" t="s">
        <v>6027</v>
      </c>
      <c r="N1561" t="s">
        <v>6028</v>
      </c>
      <c r="O1561" t="s">
        <v>1839</v>
      </c>
      <c r="P1561" t="s">
        <v>222</v>
      </c>
      <c r="Q1561" t="s">
        <v>5893</v>
      </c>
      <c r="R1561" t="s">
        <v>5894</v>
      </c>
      <c r="S1561" t="s">
        <v>550</v>
      </c>
      <c r="T1561" t="s">
        <v>550</v>
      </c>
      <c r="U1561" t="s">
        <v>550</v>
      </c>
      <c r="V1561" t="s">
        <v>6029</v>
      </c>
      <c r="W1561" t="s">
        <v>565</v>
      </c>
      <c r="X1561" t="s">
        <v>669</v>
      </c>
      <c r="Y1561" t="s">
        <v>856</v>
      </c>
      <c r="Z1561" t="s">
        <v>6025</v>
      </c>
    </row>
    <row r="1562" spans="1:26" x14ac:dyDescent="0.3">
      <c r="A1562" t="s">
        <v>525</v>
      </c>
      <c r="B1562" t="s">
        <v>6030</v>
      </c>
      <c r="C1562" t="s">
        <v>6031</v>
      </c>
      <c r="D1562" t="s">
        <v>550</v>
      </c>
      <c r="E1562" t="s">
        <v>664</v>
      </c>
      <c r="F1562" t="s">
        <v>27</v>
      </c>
      <c r="G1562" s="1">
        <v>42737</v>
      </c>
      <c r="H1562" s="1">
        <v>43465</v>
      </c>
      <c r="I1562" t="s">
        <v>665</v>
      </c>
      <c r="J1562" t="s">
        <v>666</v>
      </c>
      <c r="K1562" t="s">
        <v>958</v>
      </c>
      <c r="L1562" t="s">
        <v>216</v>
      </c>
      <c r="M1562" t="s">
        <v>6027</v>
      </c>
      <c r="N1562" t="s">
        <v>6028</v>
      </c>
      <c r="O1562" t="s">
        <v>1839</v>
      </c>
      <c r="P1562" t="s">
        <v>222</v>
      </c>
      <c r="Q1562" t="s">
        <v>5893</v>
      </c>
      <c r="R1562" t="s">
        <v>5894</v>
      </c>
      <c r="S1562" t="s">
        <v>550</v>
      </c>
      <c r="T1562" t="s">
        <v>550</v>
      </c>
      <c r="U1562" t="s">
        <v>550</v>
      </c>
      <c r="V1562" t="s">
        <v>6032</v>
      </c>
      <c r="W1562" t="s">
        <v>565</v>
      </c>
      <c r="X1562" t="s">
        <v>669</v>
      </c>
      <c r="Y1562" t="s">
        <v>856</v>
      </c>
      <c r="Z1562" t="s">
        <v>6030</v>
      </c>
    </row>
    <row r="1563" spans="1:26" x14ac:dyDescent="0.3">
      <c r="A1563" t="s">
        <v>525</v>
      </c>
      <c r="B1563" t="s">
        <v>6033</v>
      </c>
      <c r="C1563" t="s">
        <v>6034</v>
      </c>
      <c r="D1563" t="s">
        <v>6035</v>
      </c>
      <c r="E1563" t="s">
        <v>664</v>
      </c>
      <c r="F1563" t="s">
        <v>27</v>
      </c>
      <c r="G1563" s="1">
        <v>43102</v>
      </c>
      <c r="H1563" s="1">
        <v>43465</v>
      </c>
      <c r="I1563" t="s">
        <v>665</v>
      </c>
      <c r="J1563" t="s">
        <v>666</v>
      </c>
      <c r="K1563" t="s">
        <v>24</v>
      </c>
      <c r="L1563" t="s">
        <v>667</v>
      </c>
      <c r="M1563" t="s">
        <v>797</v>
      </c>
      <c r="N1563" t="s">
        <v>313</v>
      </c>
      <c r="O1563" t="s">
        <v>1839</v>
      </c>
      <c r="P1563" t="s">
        <v>222</v>
      </c>
      <c r="Q1563" t="s">
        <v>5893</v>
      </c>
      <c r="R1563" t="s">
        <v>5894</v>
      </c>
      <c r="S1563" t="s">
        <v>550</v>
      </c>
      <c r="T1563" t="s">
        <v>550</v>
      </c>
      <c r="U1563" t="s">
        <v>550</v>
      </c>
      <c r="V1563" t="s">
        <v>6036</v>
      </c>
      <c r="W1563" t="s">
        <v>565</v>
      </c>
      <c r="X1563" t="s">
        <v>669</v>
      </c>
      <c r="Y1563" t="s">
        <v>856</v>
      </c>
      <c r="Z1563" t="s">
        <v>6033</v>
      </c>
    </row>
    <row r="1564" spans="1:26" x14ac:dyDescent="0.3">
      <c r="A1564" t="s">
        <v>525</v>
      </c>
      <c r="B1564" t="s">
        <v>6037</v>
      </c>
      <c r="C1564" t="s">
        <v>6038</v>
      </c>
      <c r="D1564" t="s">
        <v>6039</v>
      </c>
      <c r="E1564" t="s">
        <v>664</v>
      </c>
      <c r="F1564" t="s">
        <v>27</v>
      </c>
      <c r="G1564" s="1">
        <v>43102</v>
      </c>
      <c r="H1564" s="1">
        <v>43465</v>
      </c>
      <c r="I1564" t="s">
        <v>665</v>
      </c>
      <c r="J1564" t="s">
        <v>666</v>
      </c>
      <c r="K1564" t="s">
        <v>24</v>
      </c>
      <c r="L1564" t="s">
        <v>667</v>
      </c>
      <c r="M1564" t="s">
        <v>797</v>
      </c>
      <c r="N1564" t="s">
        <v>313</v>
      </c>
      <c r="O1564" t="s">
        <v>1839</v>
      </c>
      <c r="P1564" t="s">
        <v>222</v>
      </c>
      <c r="Q1564" t="s">
        <v>5893</v>
      </c>
      <c r="R1564" t="s">
        <v>5894</v>
      </c>
      <c r="S1564" t="s">
        <v>550</v>
      </c>
      <c r="T1564" t="s">
        <v>550</v>
      </c>
      <c r="U1564" t="s">
        <v>550</v>
      </c>
      <c r="V1564" t="s">
        <v>6040</v>
      </c>
      <c r="W1564" t="s">
        <v>565</v>
      </c>
      <c r="X1564" t="s">
        <v>669</v>
      </c>
      <c r="Y1564" t="s">
        <v>856</v>
      </c>
      <c r="Z1564" t="s">
        <v>6037</v>
      </c>
    </row>
    <row r="1565" spans="1:26" x14ac:dyDescent="0.3">
      <c r="A1565" t="s">
        <v>525</v>
      </c>
      <c r="B1565" t="s">
        <v>6041</v>
      </c>
      <c r="C1565" t="s">
        <v>6042</v>
      </c>
      <c r="D1565" t="s">
        <v>6025</v>
      </c>
      <c r="E1565" t="s">
        <v>664</v>
      </c>
      <c r="F1565" t="s">
        <v>27</v>
      </c>
      <c r="G1565" s="1">
        <v>43102</v>
      </c>
      <c r="H1565" s="1">
        <v>43465</v>
      </c>
      <c r="I1565" t="s">
        <v>665</v>
      </c>
      <c r="J1565" t="s">
        <v>666</v>
      </c>
      <c r="K1565" t="s">
        <v>24</v>
      </c>
      <c r="L1565" t="s">
        <v>216</v>
      </c>
      <c r="M1565" t="s">
        <v>797</v>
      </c>
      <c r="N1565" t="s">
        <v>313</v>
      </c>
      <c r="O1565" t="s">
        <v>1839</v>
      </c>
      <c r="P1565" t="s">
        <v>222</v>
      </c>
      <c r="Q1565" t="s">
        <v>5893</v>
      </c>
      <c r="R1565" t="s">
        <v>5894</v>
      </c>
      <c r="S1565" t="s">
        <v>550</v>
      </c>
      <c r="T1565" t="s">
        <v>550</v>
      </c>
      <c r="U1565" t="s">
        <v>550</v>
      </c>
      <c r="V1565" t="s">
        <v>6043</v>
      </c>
      <c r="W1565" t="s">
        <v>565</v>
      </c>
      <c r="X1565" t="s">
        <v>669</v>
      </c>
      <c r="Y1565" t="s">
        <v>856</v>
      </c>
      <c r="Z1565" t="s">
        <v>6041</v>
      </c>
    </row>
    <row r="1566" spans="1:26" x14ac:dyDescent="0.3">
      <c r="A1566" t="s">
        <v>525</v>
      </c>
      <c r="B1566" t="s">
        <v>6044</v>
      </c>
      <c r="C1566" t="s">
        <v>5904</v>
      </c>
      <c r="D1566" t="s">
        <v>6041</v>
      </c>
      <c r="E1566" t="s">
        <v>664</v>
      </c>
      <c r="F1566" t="s">
        <v>27</v>
      </c>
      <c r="G1566" s="1">
        <v>43102</v>
      </c>
      <c r="H1566" s="1">
        <v>43465</v>
      </c>
      <c r="I1566" t="s">
        <v>665</v>
      </c>
      <c r="J1566" t="s">
        <v>666</v>
      </c>
      <c r="K1566" t="s">
        <v>24</v>
      </c>
      <c r="L1566" t="s">
        <v>216</v>
      </c>
      <c r="M1566" t="s">
        <v>797</v>
      </c>
      <c r="N1566" t="s">
        <v>313</v>
      </c>
      <c r="O1566" t="s">
        <v>1839</v>
      </c>
      <c r="P1566" t="s">
        <v>222</v>
      </c>
      <c r="Q1566" t="s">
        <v>5893</v>
      </c>
      <c r="R1566" t="s">
        <v>5894</v>
      </c>
      <c r="S1566" t="s">
        <v>550</v>
      </c>
      <c r="T1566" t="s">
        <v>550</v>
      </c>
      <c r="U1566" t="s">
        <v>550</v>
      </c>
      <c r="V1566" t="s">
        <v>6045</v>
      </c>
      <c r="W1566" t="s">
        <v>565</v>
      </c>
      <c r="X1566" t="s">
        <v>669</v>
      </c>
      <c r="Y1566" t="s">
        <v>856</v>
      </c>
      <c r="Z1566" t="s">
        <v>6044</v>
      </c>
    </row>
    <row r="1567" spans="1:26" x14ac:dyDescent="0.3">
      <c r="A1567" t="s">
        <v>525</v>
      </c>
      <c r="B1567" t="s">
        <v>6046</v>
      </c>
      <c r="C1567" t="s">
        <v>6047</v>
      </c>
      <c r="D1567" t="s">
        <v>6022</v>
      </c>
      <c r="E1567" t="s">
        <v>664</v>
      </c>
      <c r="F1567" t="s">
        <v>27</v>
      </c>
      <c r="G1567" s="1">
        <v>43102</v>
      </c>
      <c r="H1567" s="1">
        <v>43465</v>
      </c>
      <c r="I1567" t="s">
        <v>665</v>
      </c>
      <c r="J1567" t="s">
        <v>666</v>
      </c>
      <c r="K1567" t="s">
        <v>24</v>
      </c>
      <c r="L1567" t="s">
        <v>1010</v>
      </c>
      <c r="M1567" t="s">
        <v>797</v>
      </c>
      <c r="N1567" t="s">
        <v>313</v>
      </c>
      <c r="O1567" t="s">
        <v>1839</v>
      </c>
      <c r="P1567" t="s">
        <v>222</v>
      </c>
      <c r="Q1567" t="s">
        <v>5893</v>
      </c>
      <c r="R1567" t="s">
        <v>5894</v>
      </c>
      <c r="S1567" t="s">
        <v>550</v>
      </c>
      <c r="T1567" t="s">
        <v>550</v>
      </c>
      <c r="U1567" t="s">
        <v>550</v>
      </c>
      <c r="V1567" t="s">
        <v>6048</v>
      </c>
      <c r="W1567" t="s">
        <v>565</v>
      </c>
      <c r="X1567" t="s">
        <v>669</v>
      </c>
      <c r="Y1567" t="s">
        <v>856</v>
      </c>
      <c r="Z1567" t="s">
        <v>6046</v>
      </c>
    </row>
    <row r="1568" spans="1:26" x14ac:dyDescent="0.3">
      <c r="A1568" t="s">
        <v>525</v>
      </c>
      <c r="B1568" t="s">
        <v>6049</v>
      </c>
      <c r="C1568" t="s">
        <v>6050</v>
      </c>
      <c r="D1568" t="s">
        <v>6019</v>
      </c>
      <c r="E1568" t="s">
        <v>664</v>
      </c>
      <c r="F1568" t="s">
        <v>27</v>
      </c>
      <c r="G1568" s="1">
        <v>43102</v>
      </c>
      <c r="H1568" s="1">
        <v>43465</v>
      </c>
      <c r="I1568" t="s">
        <v>665</v>
      </c>
      <c r="J1568" t="s">
        <v>666</v>
      </c>
      <c r="K1568" t="s">
        <v>24</v>
      </c>
      <c r="L1568" t="s">
        <v>667</v>
      </c>
      <c r="M1568" t="s">
        <v>797</v>
      </c>
      <c r="N1568" t="s">
        <v>313</v>
      </c>
      <c r="O1568" t="s">
        <v>1839</v>
      </c>
      <c r="P1568" t="s">
        <v>222</v>
      </c>
      <c r="Q1568" t="s">
        <v>5893</v>
      </c>
      <c r="R1568" t="s">
        <v>5894</v>
      </c>
      <c r="S1568" t="s">
        <v>550</v>
      </c>
      <c r="T1568" t="s">
        <v>550</v>
      </c>
      <c r="U1568" t="s">
        <v>550</v>
      </c>
      <c r="V1568" t="s">
        <v>6051</v>
      </c>
      <c r="W1568" t="s">
        <v>565</v>
      </c>
      <c r="X1568" t="s">
        <v>669</v>
      </c>
      <c r="Y1568" t="s">
        <v>856</v>
      </c>
      <c r="Z1568" t="s">
        <v>6049</v>
      </c>
    </row>
    <row r="1569" spans="1:26" x14ac:dyDescent="0.3">
      <c r="A1569" t="s">
        <v>525</v>
      </c>
      <c r="B1569" t="s">
        <v>6052</v>
      </c>
      <c r="C1569" t="s">
        <v>6053</v>
      </c>
      <c r="D1569" t="s">
        <v>6019</v>
      </c>
      <c r="E1569" t="s">
        <v>664</v>
      </c>
      <c r="F1569" t="s">
        <v>27</v>
      </c>
      <c r="G1569" s="1">
        <v>43102</v>
      </c>
      <c r="H1569" s="1">
        <v>43830</v>
      </c>
      <c r="I1569" t="s">
        <v>665</v>
      </c>
      <c r="J1569" t="s">
        <v>666</v>
      </c>
      <c r="K1569" t="s">
        <v>24</v>
      </c>
      <c r="L1569" t="s">
        <v>667</v>
      </c>
      <c r="M1569" t="s">
        <v>797</v>
      </c>
      <c r="N1569" t="s">
        <v>313</v>
      </c>
      <c r="O1569" t="s">
        <v>1839</v>
      </c>
      <c r="P1569" t="s">
        <v>222</v>
      </c>
      <c r="Q1569" t="s">
        <v>5893</v>
      </c>
      <c r="R1569" t="s">
        <v>5894</v>
      </c>
      <c r="S1569" t="s">
        <v>550</v>
      </c>
      <c r="T1569" t="s">
        <v>550</v>
      </c>
      <c r="U1569" t="s">
        <v>550</v>
      </c>
      <c r="V1569" t="s">
        <v>6051</v>
      </c>
      <c r="W1569" t="s">
        <v>565</v>
      </c>
      <c r="X1569" t="s">
        <v>669</v>
      </c>
      <c r="Y1569" t="s">
        <v>856</v>
      </c>
      <c r="Z1569" t="s">
        <v>6049</v>
      </c>
    </row>
    <row r="1570" spans="1:26" x14ac:dyDescent="0.3">
      <c r="A1570" t="s">
        <v>525</v>
      </c>
      <c r="B1570" t="s">
        <v>6054</v>
      </c>
      <c r="C1570" t="s">
        <v>6055</v>
      </c>
      <c r="D1570" t="s">
        <v>550</v>
      </c>
      <c r="E1570" t="s">
        <v>664</v>
      </c>
      <c r="F1570" t="s">
        <v>27</v>
      </c>
      <c r="G1570" s="1">
        <v>43102</v>
      </c>
      <c r="H1570" s="1">
        <v>44196</v>
      </c>
      <c r="I1570" t="s">
        <v>665</v>
      </c>
      <c r="J1570" t="s">
        <v>666</v>
      </c>
      <c r="K1570" t="s">
        <v>958</v>
      </c>
      <c r="L1570" t="s">
        <v>863</v>
      </c>
      <c r="M1570" t="s">
        <v>797</v>
      </c>
      <c r="N1570" t="s">
        <v>313</v>
      </c>
      <c r="O1570" t="s">
        <v>1839</v>
      </c>
      <c r="P1570" t="s">
        <v>222</v>
      </c>
      <c r="Q1570" t="s">
        <v>5893</v>
      </c>
      <c r="R1570" t="s">
        <v>5894</v>
      </c>
      <c r="S1570" t="s">
        <v>550</v>
      </c>
      <c r="T1570" t="s">
        <v>550</v>
      </c>
      <c r="U1570" t="s">
        <v>550</v>
      </c>
      <c r="V1570" t="s">
        <v>6056</v>
      </c>
      <c r="W1570" t="s">
        <v>565</v>
      </c>
      <c r="X1570" t="s">
        <v>669</v>
      </c>
      <c r="Y1570" t="s">
        <v>856</v>
      </c>
      <c r="Z1570" t="s">
        <v>6054</v>
      </c>
    </row>
    <row r="1571" spans="1:26" x14ac:dyDescent="0.3">
      <c r="A1571" t="s">
        <v>525</v>
      </c>
      <c r="B1571" t="s">
        <v>6057</v>
      </c>
      <c r="C1571" t="s">
        <v>2499</v>
      </c>
      <c r="D1571" t="s">
        <v>550</v>
      </c>
      <c r="E1571" t="s">
        <v>664</v>
      </c>
      <c r="F1571" t="s">
        <v>27</v>
      </c>
      <c r="G1571" s="1">
        <v>43102</v>
      </c>
      <c r="H1571" s="1">
        <v>44196</v>
      </c>
      <c r="I1571" t="s">
        <v>665</v>
      </c>
      <c r="J1571" t="s">
        <v>666</v>
      </c>
      <c r="K1571" t="s">
        <v>24</v>
      </c>
      <c r="L1571" t="s">
        <v>863</v>
      </c>
      <c r="M1571" t="s">
        <v>797</v>
      </c>
      <c r="N1571" t="s">
        <v>313</v>
      </c>
      <c r="O1571" t="s">
        <v>1839</v>
      </c>
      <c r="P1571" t="s">
        <v>222</v>
      </c>
      <c r="Q1571" t="s">
        <v>5893</v>
      </c>
      <c r="R1571" t="s">
        <v>5894</v>
      </c>
      <c r="S1571" t="s">
        <v>550</v>
      </c>
      <c r="T1571" t="s">
        <v>550</v>
      </c>
      <c r="U1571" t="s">
        <v>550</v>
      </c>
      <c r="V1571" t="s">
        <v>6058</v>
      </c>
      <c r="W1571" t="s">
        <v>565</v>
      </c>
      <c r="X1571" t="s">
        <v>669</v>
      </c>
      <c r="Y1571" t="s">
        <v>856</v>
      </c>
      <c r="Z1571" t="s">
        <v>6057</v>
      </c>
    </row>
    <row r="1572" spans="1:26" x14ac:dyDescent="0.3">
      <c r="A1572" t="s">
        <v>525</v>
      </c>
      <c r="B1572" t="s">
        <v>6039</v>
      </c>
      <c r="C1572" t="s">
        <v>6059</v>
      </c>
      <c r="D1572" t="s">
        <v>550</v>
      </c>
      <c r="E1572" t="s">
        <v>664</v>
      </c>
      <c r="F1572" t="s">
        <v>27</v>
      </c>
      <c r="G1572" s="1">
        <v>42371</v>
      </c>
      <c r="H1572" s="1">
        <v>43465</v>
      </c>
      <c r="I1572" t="s">
        <v>665</v>
      </c>
      <c r="J1572" t="s">
        <v>666</v>
      </c>
      <c r="K1572" t="s">
        <v>24</v>
      </c>
      <c r="L1572" t="s">
        <v>667</v>
      </c>
      <c r="M1572" t="s">
        <v>873</v>
      </c>
      <c r="N1572" t="s">
        <v>244</v>
      </c>
      <c r="O1572" t="s">
        <v>1818</v>
      </c>
      <c r="Q1572" t="s">
        <v>5893</v>
      </c>
      <c r="R1572" t="s">
        <v>5894</v>
      </c>
      <c r="S1572" t="s">
        <v>550</v>
      </c>
      <c r="T1572" t="s">
        <v>550</v>
      </c>
      <c r="U1572" t="s">
        <v>550</v>
      </c>
      <c r="V1572" t="s">
        <v>6060</v>
      </c>
      <c r="W1572" t="s">
        <v>565</v>
      </c>
      <c r="X1572" t="s">
        <v>669</v>
      </c>
      <c r="Y1572" t="s">
        <v>856</v>
      </c>
      <c r="Z1572" t="s">
        <v>6039</v>
      </c>
    </row>
    <row r="1573" spans="1:26" x14ac:dyDescent="0.3">
      <c r="A1573" t="s">
        <v>525</v>
      </c>
      <c r="B1573" t="s">
        <v>6035</v>
      </c>
      <c r="C1573" t="s">
        <v>6061</v>
      </c>
      <c r="D1573" t="s">
        <v>550</v>
      </c>
      <c r="E1573" t="s">
        <v>664</v>
      </c>
      <c r="F1573" t="s">
        <v>27</v>
      </c>
      <c r="G1573" s="1">
        <v>42371</v>
      </c>
      <c r="H1573" s="1">
        <v>43465</v>
      </c>
      <c r="I1573" t="s">
        <v>665</v>
      </c>
      <c r="J1573" t="s">
        <v>666</v>
      </c>
      <c r="K1573" t="s">
        <v>24</v>
      </c>
      <c r="L1573" t="s">
        <v>667</v>
      </c>
      <c r="M1573" t="s">
        <v>873</v>
      </c>
      <c r="N1573" t="s">
        <v>244</v>
      </c>
      <c r="O1573" t="s">
        <v>1818</v>
      </c>
      <c r="Q1573" t="s">
        <v>5893</v>
      </c>
      <c r="R1573" t="s">
        <v>5894</v>
      </c>
      <c r="S1573" t="s">
        <v>550</v>
      </c>
      <c r="T1573" t="s">
        <v>550</v>
      </c>
      <c r="U1573" t="s">
        <v>550</v>
      </c>
      <c r="V1573" t="s">
        <v>6062</v>
      </c>
      <c r="W1573" t="s">
        <v>565</v>
      </c>
      <c r="X1573" t="s">
        <v>669</v>
      </c>
      <c r="Y1573" t="s">
        <v>856</v>
      </c>
      <c r="Z1573" t="s">
        <v>6035</v>
      </c>
    </row>
    <row r="1574" spans="1:26" x14ac:dyDescent="0.3">
      <c r="A1574" t="s">
        <v>525</v>
      </c>
      <c r="B1574" t="s">
        <v>6063</v>
      </c>
      <c r="C1574" t="s">
        <v>6064</v>
      </c>
      <c r="D1574" t="s">
        <v>6065</v>
      </c>
      <c r="E1574" t="s">
        <v>664</v>
      </c>
      <c r="F1574" t="s">
        <v>27</v>
      </c>
      <c r="G1574" s="1">
        <v>43102</v>
      </c>
      <c r="H1574" s="1">
        <v>43465</v>
      </c>
      <c r="I1574" t="s">
        <v>665</v>
      </c>
      <c r="J1574" t="s">
        <v>666</v>
      </c>
      <c r="K1574" t="s">
        <v>24</v>
      </c>
      <c r="L1574" t="s">
        <v>667</v>
      </c>
      <c r="M1574" t="s">
        <v>873</v>
      </c>
      <c r="N1574" t="s">
        <v>244</v>
      </c>
      <c r="O1574" t="s">
        <v>1818</v>
      </c>
      <c r="Q1574" t="s">
        <v>5893</v>
      </c>
      <c r="R1574" t="s">
        <v>5894</v>
      </c>
      <c r="S1574" t="s">
        <v>550</v>
      </c>
      <c r="T1574" t="s">
        <v>550</v>
      </c>
      <c r="U1574" t="s">
        <v>550</v>
      </c>
      <c r="V1574" t="s">
        <v>6066</v>
      </c>
      <c r="W1574" t="s">
        <v>875</v>
      </c>
      <c r="X1574" t="s">
        <v>669</v>
      </c>
      <c r="Y1574" t="s">
        <v>856</v>
      </c>
      <c r="Z1574" t="s">
        <v>6063</v>
      </c>
    </row>
    <row r="1575" spans="1:26" x14ac:dyDescent="0.3">
      <c r="A1575" t="s">
        <v>525</v>
      </c>
      <c r="B1575" t="s">
        <v>6067</v>
      </c>
      <c r="C1575" t="s">
        <v>6068</v>
      </c>
      <c r="D1575" t="s">
        <v>550</v>
      </c>
      <c r="E1575" t="s">
        <v>982</v>
      </c>
      <c r="F1575" t="s">
        <v>983</v>
      </c>
      <c r="G1575" s="1">
        <v>43102</v>
      </c>
      <c r="H1575" s="1">
        <v>43465</v>
      </c>
      <c r="I1575" t="s">
        <v>665</v>
      </c>
      <c r="J1575" t="s">
        <v>984</v>
      </c>
      <c r="K1575" t="s">
        <v>900</v>
      </c>
      <c r="L1575" t="s">
        <v>901</v>
      </c>
      <c r="M1575" t="s">
        <v>930</v>
      </c>
      <c r="N1575" t="s">
        <v>931</v>
      </c>
      <c r="O1575" t="s">
        <v>915</v>
      </c>
      <c r="P1575" t="s">
        <v>916</v>
      </c>
      <c r="Q1575" t="s">
        <v>5893</v>
      </c>
      <c r="R1575" t="s">
        <v>5894</v>
      </c>
      <c r="S1575" t="s">
        <v>550</v>
      </c>
      <c r="T1575" t="s">
        <v>550</v>
      </c>
      <c r="U1575" t="s">
        <v>550</v>
      </c>
      <c r="V1575" t="s">
        <v>6069</v>
      </c>
      <c r="W1575" t="s">
        <v>1513</v>
      </c>
      <c r="Z1575" t="s">
        <v>6067</v>
      </c>
    </row>
    <row r="1576" spans="1:26" x14ac:dyDescent="0.3">
      <c r="A1576" t="s">
        <v>525</v>
      </c>
      <c r="B1576" t="s">
        <v>6070</v>
      </c>
      <c r="C1576" t="s">
        <v>6071</v>
      </c>
      <c r="D1576" t="s">
        <v>550</v>
      </c>
      <c r="E1576" t="s">
        <v>982</v>
      </c>
      <c r="F1576" t="s">
        <v>983</v>
      </c>
      <c r="G1576" s="1">
        <v>43102</v>
      </c>
      <c r="H1576" s="1">
        <v>43465</v>
      </c>
      <c r="I1576" t="s">
        <v>665</v>
      </c>
      <c r="J1576" t="s">
        <v>984</v>
      </c>
      <c r="K1576" t="s">
        <v>900</v>
      </c>
      <c r="L1576" t="s">
        <v>901</v>
      </c>
      <c r="M1576" t="s">
        <v>2217</v>
      </c>
      <c r="N1576" t="s">
        <v>2218</v>
      </c>
      <c r="O1576" t="s">
        <v>915</v>
      </c>
      <c r="P1576" t="s">
        <v>916</v>
      </c>
      <c r="Q1576" t="s">
        <v>5893</v>
      </c>
      <c r="R1576" t="s">
        <v>5894</v>
      </c>
      <c r="S1576" t="s">
        <v>550</v>
      </c>
      <c r="T1576" t="s">
        <v>550</v>
      </c>
      <c r="U1576" t="s">
        <v>550</v>
      </c>
      <c r="V1576" t="s">
        <v>6072</v>
      </c>
      <c r="W1576" t="s">
        <v>1513</v>
      </c>
      <c r="Z1576" t="s">
        <v>6070</v>
      </c>
    </row>
    <row r="1577" spans="1:26" x14ac:dyDescent="0.3">
      <c r="A1577" t="s">
        <v>525</v>
      </c>
      <c r="B1577" t="s">
        <v>6073</v>
      </c>
      <c r="C1577" t="s">
        <v>6074</v>
      </c>
      <c r="D1577" t="s">
        <v>550</v>
      </c>
      <c r="E1577" t="s">
        <v>982</v>
      </c>
      <c r="F1577" t="s">
        <v>983</v>
      </c>
      <c r="G1577" s="1">
        <v>43102</v>
      </c>
      <c r="H1577" s="1">
        <v>43465</v>
      </c>
      <c r="I1577" t="s">
        <v>665</v>
      </c>
      <c r="J1577" t="s">
        <v>984</v>
      </c>
      <c r="K1577" t="s">
        <v>900</v>
      </c>
      <c r="L1577" t="s">
        <v>901</v>
      </c>
      <c r="M1577" t="s">
        <v>4069</v>
      </c>
      <c r="N1577" t="s">
        <v>4070</v>
      </c>
      <c r="O1577" t="s">
        <v>915</v>
      </c>
      <c r="P1577" t="s">
        <v>916</v>
      </c>
      <c r="Q1577" t="s">
        <v>5893</v>
      </c>
      <c r="R1577" t="s">
        <v>5894</v>
      </c>
      <c r="S1577" t="s">
        <v>550</v>
      </c>
      <c r="T1577" t="s">
        <v>550</v>
      </c>
      <c r="U1577" t="s">
        <v>550</v>
      </c>
      <c r="V1577" t="s">
        <v>6075</v>
      </c>
      <c r="W1577" t="s">
        <v>1513</v>
      </c>
      <c r="X1577" t="s">
        <v>979</v>
      </c>
      <c r="Y1577" t="s">
        <v>803</v>
      </c>
      <c r="Z1577" t="s">
        <v>6073</v>
      </c>
    </row>
    <row r="1578" spans="1:26" x14ac:dyDescent="0.3">
      <c r="A1578" t="s">
        <v>525</v>
      </c>
      <c r="B1578" t="s">
        <v>6005</v>
      </c>
      <c r="C1578" t="s">
        <v>6076</v>
      </c>
      <c r="D1578" t="s">
        <v>550</v>
      </c>
      <c r="E1578" t="s">
        <v>664</v>
      </c>
      <c r="F1578" t="s">
        <v>27</v>
      </c>
      <c r="G1578" s="1">
        <v>42371</v>
      </c>
      <c r="H1578" s="1">
        <v>43465</v>
      </c>
      <c r="I1578" t="s">
        <v>665</v>
      </c>
      <c r="J1578" t="s">
        <v>666</v>
      </c>
      <c r="K1578" t="s">
        <v>24</v>
      </c>
      <c r="L1578" t="s">
        <v>667</v>
      </c>
      <c r="M1578" t="s">
        <v>873</v>
      </c>
      <c r="N1578" t="s">
        <v>244</v>
      </c>
      <c r="O1578" t="s">
        <v>6077</v>
      </c>
      <c r="P1578" t="s">
        <v>6078</v>
      </c>
      <c r="Q1578" t="s">
        <v>5893</v>
      </c>
      <c r="R1578" t="s">
        <v>5894</v>
      </c>
      <c r="S1578" t="s">
        <v>550</v>
      </c>
      <c r="T1578" t="s">
        <v>550</v>
      </c>
      <c r="U1578" t="s">
        <v>550</v>
      </c>
      <c r="V1578" t="s">
        <v>6079</v>
      </c>
      <c r="W1578" t="s">
        <v>875</v>
      </c>
      <c r="X1578" t="s">
        <v>669</v>
      </c>
      <c r="Y1578" t="s">
        <v>856</v>
      </c>
      <c r="Z1578" t="s">
        <v>6005</v>
      </c>
    </row>
    <row r="1579" spans="1:26" x14ac:dyDescent="0.3">
      <c r="A1579" t="s">
        <v>525</v>
      </c>
      <c r="B1579" t="s">
        <v>6065</v>
      </c>
      <c r="C1579" t="s">
        <v>6080</v>
      </c>
      <c r="D1579" t="s">
        <v>550</v>
      </c>
      <c r="E1579" t="s">
        <v>664</v>
      </c>
      <c r="F1579" t="s">
        <v>27</v>
      </c>
      <c r="G1579" s="1">
        <v>42371</v>
      </c>
      <c r="H1579" s="1">
        <v>43465</v>
      </c>
      <c r="I1579" t="s">
        <v>665</v>
      </c>
      <c r="J1579" t="s">
        <v>666</v>
      </c>
      <c r="K1579" t="s">
        <v>24</v>
      </c>
      <c r="L1579" t="s">
        <v>667</v>
      </c>
      <c r="M1579" t="s">
        <v>873</v>
      </c>
      <c r="N1579" t="s">
        <v>244</v>
      </c>
      <c r="O1579" t="s">
        <v>6077</v>
      </c>
      <c r="P1579" t="s">
        <v>6078</v>
      </c>
      <c r="Q1579" t="s">
        <v>5893</v>
      </c>
      <c r="R1579" t="s">
        <v>5894</v>
      </c>
      <c r="S1579" t="s">
        <v>550</v>
      </c>
      <c r="T1579" t="s">
        <v>550</v>
      </c>
      <c r="U1579" t="s">
        <v>550</v>
      </c>
      <c r="V1579" t="s">
        <v>6081</v>
      </c>
      <c r="W1579" t="s">
        <v>875</v>
      </c>
      <c r="X1579" t="s">
        <v>669</v>
      </c>
      <c r="Y1579" t="s">
        <v>856</v>
      </c>
      <c r="Z1579" t="s">
        <v>6065</v>
      </c>
    </row>
    <row r="1580" spans="1:26" x14ac:dyDescent="0.3">
      <c r="A1580" t="s">
        <v>525</v>
      </c>
      <c r="B1580" t="s">
        <v>6017</v>
      </c>
      <c r="C1580" t="s">
        <v>6082</v>
      </c>
      <c r="D1580" t="s">
        <v>550</v>
      </c>
      <c r="E1580" t="s">
        <v>664</v>
      </c>
      <c r="F1580" t="s">
        <v>27</v>
      </c>
      <c r="G1580" s="1">
        <v>42371</v>
      </c>
      <c r="H1580" s="1">
        <v>43465</v>
      </c>
      <c r="I1580" t="s">
        <v>665</v>
      </c>
      <c r="J1580" t="s">
        <v>666</v>
      </c>
      <c r="K1580" t="s">
        <v>24</v>
      </c>
      <c r="L1580" t="s">
        <v>667</v>
      </c>
      <c r="M1580" t="s">
        <v>873</v>
      </c>
      <c r="N1580" t="s">
        <v>244</v>
      </c>
      <c r="O1580" t="s">
        <v>6077</v>
      </c>
      <c r="P1580" t="s">
        <v>6078</v>
      </c>
      <c r="Q1580" t="s">
        <v>5893</v>
      </c>
      <c r="R1580" t="s">
        <v>5894</v>
      </c>
      <c r="S1580" t="s">
        <v>550</v>
      </c>
      <c r="T1580" t="s">
        <v>550</v>
      </c>
      <c r="U1580" t="s">
        <v>550</v>
      </c>
      <c r="V1580" t="s">
        <v>6083</v>
      </c>
      <c r="W1580" t="s">
        <v>875</v>
      </c>
      <c r="X1580" t="s">
        <v>669</v>
      </c>
      <c r="Y1580" t="s">
        <v>856</v>
      </c>
      <c r="Z1580" t="s">
        <v>6017</v>
      </c>
    </row>
    <row r="1581" spans="1:26" x14ac:dyDescent="0.3">
      <c r="A1581" t="s">
        <v>525</v>
      </c>
      <c r="B1581" t="s">
        <v>6013</v>
      </c>
      <c r="C1581" t="s">
        <v>6084</v>
      </c>
      <c r="D1581" t="s">
        <v>550</v>
      </c>
      <c r="E1581" t="s">
        <v>664</v>
      </c>
      <c r="F1581" t="s">
        <v>27</v>
      </c>
      <c r="G1581" s="1">
        <v>42371</v>
      </c>
      <c r="H1581" s="1">
        <v>43465</v>
      </c>
      <c r="I1581" t="s">
        <v>665</v>
      </c>
      <c r="J1581" t="s">
        <v>666</v>
      </c>
      <c r="K1581" t="s">
        <v>24</v>
      </c>
      <c r="L1581" t="s">
        <v>667</v>
      </c>
      <c r="M1581" t="s">
        <v>873</v>
      </c>
      <c r="N1581" t="s">
        <v>244</v>
      </c>
      <c r="O1581" t="s">
        <v>6077</v>
      </c>
      <c r="P1581" t="s">
        <v>6078</v>
      </c>
      <c r="Q1581" t="s">
        <v>5893</v>
      </c>
      <c r="R1581" t="s">
        <v>5894</v>
      </c>
      <c r="S1581" t="s">
        <v>550</v>
      </c>
      <c r="T1581" t="s">
        <v>550</v>
      </c>
      <c r="U1581" t="s">
        <v>550</v>
      </c>
      <c r="V1581" t="s">
        <v>6085</v>
      </c>
      <c r="W1581" t="s">
        <v>875</v>
      </c>
      <c r="X1581" t="s">
        <v>669</v>
      </c>
      <c r="Y1581" t="s">
        <v>856</v>
      </c>
      <c r="Z1581" t="s">
        <v>6013</v>
      </c>
    </row>
    <row r="1582" spans="1:26" x14ac:dyDescent="0.3">
      <c r="A1582" t="s">
        <v>525</v>
      </c>
      <c r="B1582" t="s">
        <v>6009</v>
      </c>
      <c r="C1582" t="s">
        <v>6086</v>
      </c>
      <c r="D1582" t="s">
        <v>550</v>
      </c>
      <c r="E1582" t="s">
        <v>664</v>
      </c>
      <c r="F1582" t="s">
        <v>27</v>
      </c>
      <c r="G1582" s="1">
        <v>42371</v>
      </c>
      <c r="H1582" s="1">
        <v>43465</v>
      </c>
      <c r="I1582" t="s">
        <v>665</v>
      </c>
      <c r="J1582" t="s">
        <v>666</v>
      </c>
      <c r="K1582" t="s">
        <v>24</v>
      </c>
      <c r="L1582" t="s">
        <v>667</v>
      </c>
      <c r="M1582" t="s">
        <v>873</v>
      </c>
      <c r="N1582" t="s">
        <v>244</v>
      </c>
      <c r="O1582" t="s">
        <v>6077</v>
      </c>
      <c r="P1582" t="s">
        <v>6078</v>
      </c>
      <c r="Q1582" t="s">
        <v>5893</v>
      </c>
      <c r="R1582" t="s">
        <v>5894</v>
      </c>
      <c r="S1582" t="s">
        <v>550</v>
      </c>
      <c r="T1582" t="s">
        <v>550</v>
      </c>
      <c r="U1582" t="s">
        <v>550</v>
      </c>
      <c r="V1582" t="s">
        <v>6087</v>
      </c>
      <c r="W1582" t="s">
        <v>875</v>
      </c>
      <c r="X1582" t="s">
        <v>669</v>
      </c>
      <c r="Y1582" t="s">
        <v>856</v>
      </c>
      <c r="Z1582" t="s">
        <v>6009</v>
      </c>
    </row>
    <row r="1583" spans="1:26" x14ac:dyDescent="0.3">
      <c r="A1583" t="s">
        <v>525</v>
      </c>
      <c r="B1583" t="s">
        <v>6088</v>
      </c>
      <c r="C1583" t="s">
        <v>6089</v>
      </c>
      <c r="D1583" t="s">
        <v>550</v>
      </c>
      <c r="E1583" t="s">
        <v>664</v>
      </c>
      <c r="F1583" t="s">
        <v>27</v>
      </c>
      <c r="G1583" s="1">
        <v>42737</v>
      </c>
      <c r="H1583" s="1">
        <v>43465</v>
      </c>
      <c r="I1583" t="s">
        <v>665</v>
      </c>
      <c r="J1583" t="s">
        <v>666</v>
      </c>
      <c r="K1583" t="s">
        <v>900</v>
      </c>
      <c r="L1583" t="s">
        <v>1010</v>
      </c>
      <c r="M1583" t="s">
        <v>2266</v>
      </c>
      <c r="N1583" t="s">
        <v>307</v>
      </c>
      <c r="O1583" t="s">
        <v>6090</v>
      </c>
      <c r="P1583" t="s">
        <v>6091</v>
      </c>
      <c r="Q1583" t="s">
        <v>5893</v>
      </c>
      <c r="R1583" t="s">
        <v>5894</v>
      </c>
      <c r="S1583" t="s">
        <v>550</v>
      </c>
      <c r="T1583" t="s">
        <v>550</v>
      </c>
      <c r="U1583" t="s">
        <v>550</v>
      </c>
      <c r="V1583" t="s">
        <v>6092</v>
      </c>
      <c r="W1583" t="s">
        <v>6093</v>
      </c>
      <c r="X1583" t="s">
        <v>979</v>
      </c>
      <c r="Y1583" t="s">
        <v>803</v>
      </c>
      <c r="Z1583" t="s">
        <v>6088</v>
      </c>
    </row>
    <row r="1584" spans="1:26" x14ac:dyDescent="0.3">
      <c r="A1584" t="s">
        <v>525</v>
      </c>
      <c r="B1584" t="s">
        <v>6094</v>
      </c>
      <c r="C1584" t="s">
        <v>6095</v>
      </c>
      <c r="D1584" t="s">
        <v>6088</v>
      </c>
      <c r="E1584" t="s">
        <v>664</v>
      </c>
      <c r="F1584" t="s">
        <v>27</v>
      </c>
      <c r="G1584" s="1">
        <v>43102</v>
      </c>
      <c r="H1584" s="1">
        <v>43465</v>
      </c>
      <c r="I1584" t="s">
        <v>665</v>
      </c>
      <c r="J1584" t="s">
        <v>666</v>
      </c>
      <c r="K1584" t="s">
        <v>900</v>
      </c>
      <c r="L1584" t="s">
        <v>1010</v>
      </c>
      <c r="M1584" t="s">
        <v>2266</v>
      </c>
      <c r="N1584" t="s">
        <v>307</v>
      </c>
      <c r="O1584" t="s">
        <v>6090</v>
      </c>
      <c r="P1584" t="s">
        <v>6091</v>
      </c>
      <c r="Q1584" t="s">
        <v>5893</v>
      </c>
      <c r="R1584" t="s">
        <v>5894</v>
      </c>
      <c r="S1584" t="s">
        <v>550</v>
      </c>
      <c r="T1584" t="s">
        <v>550</v>
      </c>
      <c r="U1584" t="s">
        <v>550</v>
      </c>
      <c r="V1584" t="s">
        <v>6096</v>
      </c>
      <c r="W1584" t="s">
        <v>6093</v>
      </c>
      <c r="X1584" t="s">
        <v>979</v>
      </c>
      <c r="Y1584" t="s">
        <v>803</v>
      </c>
      <c r="Z1584" t="s">
        <v>6094</v>
      </c>
    </row>
    <row r="1585" spans="1:26" x14ac:dyDescent="0.3">
      <c r="A1585" t="s">
        <v>525</v>
      </c>
      <c r="B1585" t="s">
        <v>6097</v>
      </c>
      <c r="C1585" t="s">
        <v>953</v>
      </c>
      <c r="D1585" t="s">
        <v>550</v>
      </c>
      <c r="E1585" t="s">
        <v>664</v>
      </c>
      <c r="F1585" t="s">
        <v>27</v>
      </c>
      <c r="G1585" s="1">
        <v>42737</v>
      </c>
      <c r="H1585" s="1">
        <v>43830</v>
      </c>
      <c r="I1585" t="s">
        <v>665</v>
      </c>
      <c r="J1585" t="s">
        <v>666</v>
      </c>
      <c r="K1585" t="s">
        <v>900</v>
      </c>
      <c r="L1585" t="s">
        <v>1010</v>
      </c>
      <c r="M1585" t="s">
        <v>6098</v>
      </c>
      <c r="N1585" t="s">
        <v>6099</v>
      </c>
      <c r="O1585" t="s">
        <v>6100</v>
      </c>
      <c r="P1585" t="s">
        <v>6101</v>
      </c>
      <c r="Q1585" t="s">
        <v>5893</v>
      </c>
      <c r="R1585" t="s">
        <v>5894</v>
      </c>
      <c r="S1585" t="s">
        <v>550</v>
      </c>
      <c r="T1585" t="s">
        <v>550</v>
      </c>
      <c r="U1585" t="s">
        <v>550</v>
      </c>
      <c r="V1585" t="s">
        <v>6102</v>
      </c>
      <c r="W1585" t="s">
        <v>988</v>
      </c>
      <c r="X1585" t="s">
        <v>979</v>
      </c>
      <c r="Y1585" t="s">
        <v>803</v>
      </c>
      <c r="Z1585" t="s">
        <v>6097</v>
      </c>
    </row>
    <row r="1586" spans="1:26" x14ac:dyDescent="0.3">
      <c r="A1586" t="s">
        <v>525</v>
      </c>
      <c r="B1586" t="s">
        <v>6103</v>
      </c>
      <c r="C1586" t="s">
        <v>5619</v>
      </c>
      <c r="D1586" t="s">
        <v>550</v>
      </c>
      <c r="E1586" t="s">
        <v>664</v>
      </c>
      <c r="F1586" t="s">
        <v>27</v>
      </c>
      <c r="G1586" s="1">
        <v>42737</v>
      </c>
      <c r="H1586" s="1">
        <v>43830</v>
      </c>
      <c r="I1586" t="s">
        <v>665</v>
      </c>
      <c r="J1586" t="s">
        <v>666</v>
      </c>
      <c r="K1586" t="s">
        <v>900</v>
      </c>
      <c r="L1586" t="s">
        <v>1010</v>
      </c>
      <c r="M1586" t="s">
        <v>5620</v>
      </c>
      <c r="N1586" t="s">
        <v>5621</v>
      </c>
      <c r="O1586" t="s">
        <v>6100</v>
      </c>
      <c r="P1586" t="s">
        <v>6101</v>
      </c>
      <c r="Q1586" t="s">
        <v>5893</v>
      </c>
      <c r="R1586" t="s">
        <v>5894</v>
      </c>
      <c r="S1586" t="s">
        <v>550</v>
      </c>
      <c r="T1586" t="s">
        <v>550</v>
      </c>
      <c r="U1586" t="s">
        <v>550</v>
      </c>
      <c r="V1586" t="s">
        <v>6104</v>
      </c>
      <c r="W1586" t="s">
        <v>1792</v>
      </c>
      <c r="X1586" t="s">
        <v>669</v>
      </c>
      <c r="Y1586" t="s">
        <v>803</v>
      </c>
      <c r="Z1586" t="s">
        <v>6103</v>
      </c>
    </row>
    <row r="1587" spans="1:26" x14ac:dyDescent="0.3">
      <c r="A1587" t="s">
        <v>525</v>
      </c>
      <c r="B1587" t="s">
        <v>6105</v>
      </c>
      <c r="C1587" t="s">
        <v>6106</v>
      </c>
      <c r="D1587" t="s">
        <v>6070</v>
      </c>
      <c r="E1587" t="s">
        <v>982</v>
      </c>
      <c r="F1587" t="s">
        <v>983</v>
      </c>
      <c r="G1587" s="1">
        <v>43102</v>
      </c>
      <c r="H1587" s="1">
        <v>43465</v>
      </c>
      <c r="I1587" t="s">
        <v>665</v>
      </c>
      <c r="J1587" t="s">
        <v>984</v>
      </c>
      <c r="K1587" t="s">
        <v>900</v>
      </c>
      <c r="L1587" t="s">
        <v>901</v>
      </c>
      <c r="M1587" t="s">
        <v>913</v>
      </c>
      <c r="N1587" t="s">
        <v>914</v>
      </c>
      <c r="O1587" t="s">
        <v>915</v>
      </c>
      <c r="P1587" t="s">
        <v>916</v>
      </c>
      <c r="Q1587" t="s">
        <v>5893</v>
      </c>
      <c r="R1587" t="s">
        <v>5894</v>
      </c>
      <c r="S1587" t="s">
        <v>550</v>
      </c>
      <c r="T1587" t="s">
        <v>550</v>
      </c>
      <c r="U1587" t="s">
        <v>550</v>
      </c>
      <c r="V1587" t="s">
        <v>6107</v>
      </c>
      <c r="W1587" t="s">
        <v>1513</v>
      </c>
      <c r="Z1587" t="s">
        <v>6105</v>
      </c>
    </row>
    <row r="1588" spans="1:26" x14ac:dyDescent="0.3">
      <c r="A1588" t="s">
        <v>525</v>
      </c>
      <c r="B1588" t="s">
        <v>6108</v>
      </c>
      <c r="C1588" t="s">
        <v>6109</v>
      </c>
      <c r="D1588" t="s">
        <v>6070</v>
      </c>
      <c r="E1588" t="s">
        <v>982</v>
      </c>
      <c r="F1588" t="s">
        <v>983</v>
      </c>
      <c r="G1588" s="1">
        <v>43102</v>
      </c>
      <c r="H1588" s="1">
        <v>43465</v>
      </c>
      <c r="I1588" t="s">
        <v>665</v>
      </c>
      <c r="J1588" t="s">
        <v>984</v>
      </c>
      <c r="K1588" t="s">
        <v>900</v>
      </c>
      <c r="L1588" t="s">
        <v>901</v>
      </c>
      <c r="M1588" t="s">
        <v>913</v>
      </c>
      <c r="N1588" t="s">
        <v>914</v>
      </c>
      <c r="O1588" t="s">
        <v>915</v>
      </c>
      <c r="P1588" t="s">
        <v>916</v>
      </c>
      <c r="Q1588" t="s">
        <v>5893</v>
      </c>
      <c r="R1588" t="s">
        <v>5894</v>
      </c>
      <c r="S1588" t="s">
        <v>550</v>
      </c>
      <c r="T1588" t="s">
        <v>550</v>
      </c>
      <c r="U1588" t="s">
        <v>550</v>
      </c>
      <c r="V1588" t="s">
        <v>6110</v>
      </c>
      <c r="W1588" t="s">
        <v>1513</v>
      </c>
      <c r="Z1588" t="s">
        <v>6108</v>
      </c>
    </row>
    <row r="1589" spans="1:26" x14ac:dyDescent="0.3">
      <c r="A1589" t="s">
        <v>525</v>
      </c>
      <c r="B1589" t="s">
        <v>6111</v>
      </c>
      <c r="C1589" t="s">
        <v>6112</v>
      </c>
      <c r="D1589" t="s">
        <v>6070</v>
      </c>
      <c r="E1589" t="s">
        <v>982</v>
      </c>
      <c r="F1589" t="s">
        <v>983</v>
      </c>
      <c r="G1589" s="1">
        <v>43102</v>
      </c>
      <c r="H1589" s="1">
        <v>43465</v>
      </c>
      <c r="I1589" t="s">
        <v>665</v>
      </c>
      <c r="J1589" t="s">
        <v>984</v>
      </c>
      <c r="K1589" t="s">
        <v>900</v>
      </c>
      <c r="L1589" t="s">
        <v>901</v>
      </c>
      <c r="M1589" t="s">
        <v>913</v>
      </c>
      <c r="N1589" t="s">
        <v>914</v>
      </c>
      <c r="O1589" t="s">
        <v>915</v>
      </c>
      <c r="P1589" t="s">
        <v>916</v>
      </c>
      <c r="Q1589" t="s">
        <v>5893</v>
      </c>
      <c r="R1589" t="s">
        <v>5894</v>
      </c>
      <c r="S1589" t="s">
        <v>550</v>
      </c>
      <c r="T1589" t="s">
        <v>550</v>
      </c>
      <c r="U1589" t="s">
        <v>550</v>
      </c>
      <c r="V1589" t="s">
        <v>6113</v>
      </c>
      <c r="W1589" t="s">
        <v>1513</v>
      </c>
      <c r="Z1589" t="s">
        <v>6111</v>
      </c>
    </row>
    <row r="1590" spans="1:26" x14ac:dyDescent="0.3">
      <c r="A1590" t="s">
        <v>525</v>
      </c>
      <c r="B1590" t="s">
        <v>6114</v>
      </c>
      <c r="C1590" t="s">
        <v>6115</v>
      </c>
      <c r="D1590" t="s">
        <v>6070</v>
      </c>
      <c r="E1590" t="s">
        <v>982</v>
      </c>
      <c r="F1590" t="s">
        <v>983</v>
      </c>
      <c r="G1590" s="1">
        <v>43102</v>
      </c>
      <c r="H1590" s="1">
        <v>43465</v>
      </c>
      <c r="I1590" t="s">
        <v>665</v>
      </c>
      <c r="J1590" t="s">
        <v>984</v>
      </c>
      <c r="K1590" t="s">
        <v>900</v>
      </c>
      <c r="L1590" t="s">
        <v>901</v>
      </c>
      <c r="M1590" t="s">
        <v>913</v>
      </c>
      <c r="N1590" t="s">
        <v>914</v>
      </c>
      <c r="O1590" t="s">
        <v>915</v>
      </c>
      <c r="P1590" t="s">
        <v>916</v>
      </c>
      <c r="Q1590" t="s">
        <v>5893</v>
      </c>
      <c r="R1590" t="s">
        <v>5894</v>
      </c>
      <c r="S1590" t="s">
        <v>550</v>
      </c>
      <c r="T1590" t="s">
        <v>550</v>
      </c>
      <c r="U1590" t="s">
        <v>550</v>
      </c>
      <c r="V1590" t="s">
        <v>6116</v>
      </c>
      <c r="W1590" t="s">
        <v>1513</v>
      </c>
      <c r="Z1590" t="s">
        <v>6114</v>
      </c>
    </row>
    <row r="1591" spans="1:26" x14ac:dyDescent="0.3">
      <c r="A1591" t="s">
        <v>330</v>
      </c>
      <c r="B1591" t="s">
        <v>912</v>
      </c>
      <c r="C1591" t="s">
        <v>6117</v>
      </c>
      <c r="D1591" t="s">
        <v>550</v>
      </c>
      <c r="E1591" t="s">
        <v>816</v>
      </c>
      <c r="F1591" t="s">
        <v>817</v>
      </c>
      <c r="G1591" s="1">
        <v>43102</v>
      </c>
      <c r="H1591" s="1">
        <v>43465</v>
      </c>
      <c r="I1591" t="s">
        <v>665</v>
      </c>
      <c r="J1591" t="s">
        <v>816</v>
      </c>
      <c r="K1591" t="s">
        <v>900</v>
      </c>
      <c r="L1591" t="s">
        <v>901</v>
      </c>
      <c r="M1591" t="s">
        <v>913</v>
      </c>
      <c r="N1591" t="s">
        <v>914</v>
      </c>
      <c r="O1591" t="s">
        <v>915</v>
      </c>
      <c r="P1591" t="s">
        <v>916</v>
      </c>
      <c r="Q1591" t="s">
        <v>5893</v>
      </c>
      <c r="R1591" t="s">
        <v>5894</v>
      </c>
      <c r="S1591" t="s">
        <v>550</v>
      </c>
      <c r="T1591" t="s">
        <v>550</v>
      </c>
      <c r="U1591" t="s">
        <v>550</v>
      </c>
      <c r="V1591" t="s">
        <v>6118</v>
      </c>
      <c r="W1591" t="s">
        <v>918</v>
      </c>
      <c r="X1591" t="s">
        <v>908</v>
      </c>
      <c r="Y1591" t="s">
        <v>909</v>
      </c>
      <c r="Z1591" t="s">
        <v>912</v>
      </c>
    </row>
    <row r="1592" spans="1:26" x14ac:dyDescent="0.3">
      <c r="A1592" t="s">
        <v>525</v>
      </c>
      <c r="B1592" t="s">
        <v>6119</v>
      </c>
      <c r="C1592" t="s">
        <v>6120</v>
      </c>
      <c r="D1592" t="s">
        <v>5982</v>
      </c>
      <c r="E1592" t="s">
        <v>664</v>
      </c>
      <c r="F1592" t="s">
        <v>27</v>
      </c>
      <c r="G1592" s="1">
        <v>43102</v>
      </c>
      <c r="H1592" s="1">
        <v>43465</v>
      </c>
      <c r="I1592" t="s">
        <v>665</v>
      </c>
      <c r="J1592" t="s">
        <v>666</v>
      </c>
      <c r="K1592" t="s">
        <v>24</v>
      </c>
      <c r="L1592" t="s">
        <v>667</v>
      </c>
      <c r="M1592" t="s">
        <v>1230</v>
      </c>
      <c r="N1592" t="s">
        <v>1231</v>
      </c>
      <c r="O1592" t="s">
        <v>1168</v>
      </c>
      <c r="P1592" t="s">
        <v>1169</v>
      </c>
      <c r="Q1592" t="s">
        <v>5893</v>
      </c>
      <c r="R1592" t="s">
        <v>5894</v>
      </c>
      <c r="S1592" t="s">
        <v>550</v>
      </c>
      <c r="T1592" t="s">
        <v>550</v>
      </c>
      <c r="U1592" t="s">
        <v>550</v>
      </c>
      <c r="V1592" t="s">
        <v>6121</v>
      </c>
      <c r="W1592" t="s">
        <v>554</v>
      </c>
      <c r="X1592" t="s">
        <v>669</v>
      </c>
      <c r="Y1592" t="s">
        <v>799</v>
      </c>
      <c r="Z1592" t="s">
        <v>6119</v>
      </c>
    </row>
    <row r="1593" spans="1:26" x14ac:dyDescent="0.3">
      <c r="A1593" t="s">
        <v>525</v>
      </c>
      <c r="B1593" t="s">
        <v>6122</v>
      </c>
      <c r="C1593" t="s">
        <v>6123</v>
      </c>
      <c r="D1593" t="s">
        <v>6124</v>
      </c>
      <c r="E1593" t="s">
        <v>664</v>
      </c>
      <c r="F1593" t="s">
        <v>27</v>
      </c>
      <c r="G1593" s="1">
        <v>43102</v>
      </c>
      <c r="H1593" s="1">
        <v>43465</v>
      </c>
      <c r="I1593" t="s">
        <v>665</v>
      </c>
      <c r="J1593" t="s">
        <v>666</v>
      </c>
      <c r="K1593" t="s">
        <v>24</v>
      </c>
      <c r="L1593" t="s">
        <v>667</v>
      </c>
      <c r="M1593" t="s">
        <v>1230</v>
      </c>
      <c r="N1593" t="s">
        <v>1231</v>
      </c>
      <c r="O1593" t="s">
        <v>1168</v>
      </c>
      <c r="P1593" t="s">
        <v>1169</v>
      </c>
      <c r="Q1593" t="s">
        <v>5893</v>
      </c>
      <c r="R1593" t="s">
        <v>5894</v>
      </c>
      <c r="S1593" t="s">
        <v>550</v>
      </c>
      <c r="T1593" t="s">
        <v>550</v>
      </c>
      <c r="U1593" t="s">
        <v>550</v>
      </c>
      <c r="V1593" t="s">
        <v>6125</v>
      </c>
      <c r="W1593" t="s">
        <v>554</v>
      </c>
      <c r="X1593" t="s">
        <v>669</v>
      </c>
      <c r="Y1593" t="s">
        <v>799</v>
      </c>
      <c r="Z1593" t="s">
        <v>6122</v>
      </c>
    </row>
    <row r="1594" spans="1:26" x14ac:dyDescent="0.3">
      <c r="A1594" t="s">
        <v>525</v>
      </c>
      <c r="B1594" t="s">
        <v>6126</v>
      </c>
      <c r="C1594" t="s">
        <v>6127</v>
      </c>
      <c r="D1594" t="s">
        <v>5921</v>
      </c>
      <c r="E1594" t="s">
        <v>664</v>
      </c>
      <c r="F1594" t="s">
        <v>27</v>
      </c>
      <c r="G1594" s="1">
        <v>43102</v>
      </c>
      <c r="H1594" s="1">
        <v>43465</v>
      </c>
      <c r="I1594" t="s">
        <v>665</v>
      </c>
      <c r="J1594" t="s">
        <v>666</v>
      </c>
      <c r="K1594" t="s">
        <v>24</v>
      </c>
      <c r="L1594" t="s">
        <v>667</v>
      </c>
      <c r="M1594" t="s">
        <v>1230</v>
      </c>
      <c r="N1594" t="s">
        <v>1231</v>
      </c>
      <c r="O1594" t="s">
        <v>1168</v>
      </c>
      <c r="P1594" t="s">
        <v>1169</v>
      </c>
      <c r="Q1594" t="s">
        <v>5893</v>
      </c>
      <c r="R1594" t="s">
        <v>5894</v>
      </c>
      <c r="S1594" t="s">
        <v>550</v>
      </c>
      <c r="T1594" t="s">
        <v>550</v>
      </c>
      <c r="U1594" t="s">
        <v>550</v>
      </c>
      <c r="V1594" t="s">
        <v>6128</v>
      </c>
      <c r="W1594" t="s">
        <v>554</v>
      </c>
      <c r="X1594" t="s">
        <v>669</v>
      </c>
      <c r="Y1594" t="s">
        <v>799</v>
      </c>
      <c r="Z1594" t="s">
        <v>6126</v>
      </c>
    </row>
    <row r="1595" spans="1:26" x14ac:dyDescent="0.3">
      <c r="A1595" t="s">
        <v>525</v>
      </c>
      <c r="B1595" t="s">
        <v>6129</v>
      </c>
      <c r="C1595" t="s">
        <v>6130</v>
      </c>
      <c r="D1595" t="s">
        <v>5906</v>
      </c>
      <c r="E1595" t="s">
        <v>664</v>
      </c>
      <c r="F1595" t="s">
        <v>27</v>
      </c>
      <c r="G1595" s="1">
        <v>43102</v>
      </c>
      <c r="H1595" s="1">
        <v>43465</v>
      </c>
      <c r="I1595" t="s">
        <v>665</v>
      </c>
      <c r="J1595" t="s">
        <v>666</v>
      </c>
      <c r="K1595" t="s">
        <v>24</v>
      </c>
      <c r="L1595" t="s">
        <v>1010</v>
      </c>
      <c r="M1595" t="s">
        <v>1230</v>
      </c>
      <c r="N1595" t="s">
        <v>1231</v>
      </c>
      <c r="O1595" t="s">
        <v>1168</v>
      </c>
      <c r="P1595" t="s">
        <v>1169</v>
      </c>
      <c r="Q1595" t="s">
        <v>5893</v>
      </c>
      <c r="R1595" t="s">
        <v>5894</v>
      </c>
      <c r="S1595" t="s">
        <v>550</v>
      </c>
      <c r="T1595" t="s">
        <v>550</v>
      </c>
      <c r="U1595" t="s">
        <v>550</v>
      </c>
      <c r="V1595" t="s">
        <v>6131</v>
      </c>
      <c r="W1595" t="s">
        <v>554</v>
      </c>
      <c r="X1595" t="s">
        <v>669</v>
      </c>
      <c r="Y1595" t="s">
        <v>799</v>
      </c>
      <c r="Z1595" t="s">
        <v>6129</v>
      </c>
    </row>
    <row r="1596" spans="1:26" x14ac:dyDescent="0.3">
      <c r="A1596" t="s">
        <v>525</v>
      </c>
      <c r="B1596" t="s">
        <v>6132</v>
      </c>
      <c r="C1596" t="s">
        <v>6133</v>
      </c>
      <c r="D1596" t="s">
        <v>550</v>
      </c>
      <c r="E1596" t="s">
        <v>664</v>
      </c>
      <c r="F1596" t="s">
        <v>27</v>
      </c>
      <c r="G1596" s="1">
        <v>43102</v>
      </c>
      <c r="H1596" s="1">
        <v>43830</v>
      </c>
      <c r="I1596" t="s">
        <v>665</v>
      </c>
      <c r="J1596" t="s">
        <v>666</v>
      </c>
      <c r="K1596" t="s">
        <v>24</v>
      </c>
      <c r="L1596" t="s">
        <v>667</v>
      </c>
      <c r="M1596" t="s">
        <v>1230</v>
      </c>
      <c r="N1596" t="s">
        <v>1231</v>
      </c>
      <c r="O1596" t="s">
        <v>1168</v>
      </c>
      <c r="P1596" t="s">
        <v>1169</v>
      </c>
      <c r="Q1596" t="s">
        <v>5893</v>
      </c>
      <c r="R1596" t="s">
        <v>5894</v>
      </c>
      <c r="S1596" t="s">
        <v>550</v>
      </c>
      <c r="T1596" t="s">
        <v>550</v>
      </c>
      <c r="U1596" t="s">
        <v>550</v>
      </c>
      <c r="V1596" t="s">
        <v>6134</v>
      </c>
      <c r="W1596" t="s">
        <v>554</v>
      </c>
      <c r="X1596" t="s">
        <v>669</v>
      </c>
      <c r="Y1596" t="s">
        <v>799</v>
      </c>
      <c r="Z1596" t="s">
        <v>6132</v>
      </c>
    </row>
    <row r="1597" spans="1:26" x14ac:dyDescent="0.3">
      <c r="A1597" t="s">
        <v>525</v>
      </c>
      <c r="B1597" t="s">
        <v>6135</v>
      </c>
      <c r="C1597" t="s">
        <v>6136</v>
      </c>
      <c r="D1597" t="s">
        <v>6132</v>
      </c>
      <c r="E1597" t="s">
        <v>664</v>
      </c>
      <c r="F1597" t="s">
        <v>27</v>
      </c>
      <c r="G1597" s="1">
        <v>43102</v>
      </c>
      <c r="H1597" s="1">
        <v>43465</v>
      </c>
      <c r="I1597" t="s">
        <v>665</v>
      </c>
      <c r="J1597" t="s">
        <v>666</v>
      </c>
      <c r="K1597" t="s">
        <v>24</v>
      </c>
      <c r="L1597" t="s">
        <v>667</v>
      </c>
      <c r="M1597" t="s">
        <v>1230</v>
      </c>
      <c r="N1597" t="s">
        <v>1231</v>
      </c>
      <c r="O1597" t="s">
        <v>1168</v>
      </c>
      <c r="P1597" t="s">
        <v>1169</v>
      </c>
      <c r="Q1597" t="s">
        <v>5893</v>
      </c>
      <c r="R1597" t="s">
        <v>5894</v>
      </c>
      <c r="S1597" t="s">
        <v>550</v>
      </c>
      <c r="T1597" t="s">
        <v>550</v>
      </c>
      <c r="U1597" t="s">
        <v>550</v>
      </c>
      <c r="V1597" t="s">
        <v>6137</v>
      </c>
      <c r="W1597" t="s">
        <v>554</v>
      </c>
      <c r="X1597" t="s">
        <v>669</v>
      </c>
      <c r="Y1597" t="s">
        <v>799</v>
      </c>
      <c r="Z1597" t="s">
        <v>6135</v>
      </c>
    </row>
    <row r="1598" spans="1:26" x14ac:dyDescent="0.3">
      <c r="A1598" t="s">
        <v>525</v>
      </c>
      <c r="B1598" t="s">
        <v>6138</v>
      </c>
      <c r="C1598" t="s">
        <v>6139</v>
      </c>
      <c r="D1598" t="s">
        <v>550</v>
      </c>
      <c r="E1598" t="s">
        <v>664</v>
      </c>
      <c r="F1598" t="s">
        <v>27</v>
      </c>
      <c r="G1598" s="1">
        <v>43102</v>
      </c>
      <c r="H1598" s="1">
        <v>43830</v>
      </c>
      <c r="I1598" t="s">
        <v>665</v>
      </c>
      <c r="J1598" t="s">
        <v>666</v>
      </c>
      <c r="K1598" t="s">
        <v>24</v>
      </c>
      <c r="L1598" t="s">
        <v>667</v>
      </c>
      <c r="M1598" t="s">
        <v>1230</v>
      </c>
      <c r="N1598" t="s">
        <v>1231</v>
      </c>
      <c r="O1598" t="s">
        <v>1168</v>
      </c>
      <c r="P1598" t="s">
        <v>1169</v>
      </c>
      <c r="Q1598" t="s">
        <v>5893</v>
      </c>
      <c r="R1598" t="s">
        <v>5894</v>
      </c>
      <c r="S1598" t="s">
        <v>550</v>
      </c>
      <c r="T1598" t="s">
        <v>550</v>
      </c>
      <c r="U1598" t="s">
        <v>550</v>
      </c>
      <c r="V1598" t="s">
        <v>6140</v>
      </c>
      <c r="W1598" t="s">
        <v>554</v>
      </c>
      <c r="X1598" t="s">
        <v>669</v>
      </c>
      <c r="Y1598" t="s">
        <v>799</v>
      </c>
      <c r="Z1598" t="s">
        <v>6138</v>
      </c>
    </row>
    <row r="1599" spans="1:26" x14ac:dyDescent="0.3">
      <c r="A1599" t="s">
        <v>525</v>
      </c>
      <c r="B1599" t="s">
        <v>6141</v>
      </c>
      <c r="C1599" t="s">
        <v>6142</v>
      </c>
      <c r="D1599" t="s">
        <v>6138</v>
      </c>
      <c r="E1599" t="s">
        <v>664</v>
      </c>
      <c r="F1599" t="s">
        <v>27</v>
      </c>
      <c r="G1599" s="1">
        <v>43102</v>
      </c>
      <c r="H1599" s="1">
        <v>43465</v>
      </c>
      <c r="I1599" t="s">
        <v>665</v>
      </c>
      <c r="J1599" t="s">
        <v>666</v>
      </c>
      <c r="K1599" t="s">
        <v>24</v>
      </c>
      <c r="L1599" t="s">
        <v>667</v>
      </c>
      <c r="M1599" t="s">
        <v>1230</v>
      </c>
      <c r="N1599" t="s">
        <v>1231</v>
      </c>
      <c r="O1599" t="s">
        <v>1168</v>
      </c>
      <c r="P1599" t="s">
        <v>1169</v>
      </c>
      <c r="Q1599" t="s">
        <v>5893</v>
      </c>
      <c r="R1599" t="s">
        <v>5894</v>
      </c>
      <c r="S1599" t="s">
        <v>550</v>
      </c>
      <c r="T1599" t="s">
        <v>550</v>
      </c>
      <c r="U1599" t="s">
        <v>550</v>
      </c>
      <c r="V1599" t="s">
        <v>6143</v>
      </c>
      <c r="W1599" t="s">
        <v>554</v>
      </c>
      <c r="X1599" t="s">
        <v>669</v>
      </c>
      <c r="Y1599" t="s">
        <v>799</v>
      </c>
      <c r="Z1599" t="s">
        <v>6141</v>
      </c>
    </row>
    <row r="1600" spans="1:26" x14ac:dyDescent="0.3">
      <c r="A1600" t="s">
        <v>525</v>
      </c>
      <c r="B1600" t="s">
        <v>6144</v>
      </c>
      <c r="C1600" t="s">
        <v>6145</v>
      </c>
      <c r="D1600" t="s">
        <v>550</v>
      </c>
      <c r="E1600" t="s">
        <v>664</v>
      </c>
      <c r="F1600" t="s">
        <v>27</v>
      </c>
      <c r="G1600" s="1">
        <v>43102</v>
      </c>
      <c r="H1600" s="1">
        <v>43830</v>
      </c>
      <c r="I1600" t="s">
        <v>665</v>
      </c>
      <c r="J1600" t="s">
        <v>666</v>
      </c>
      <c r="K1600" t="s">
        <v>24</v>
      </c>
      <c r="L1600" t="s">
        <v>667</v>
      </c>
      <c r="M1600" t="s">
        <v>1230</v>
      </c>
      <c r="N1600" t="s">
        <v>1231</v>
      </c>
      <c r="O1600" t="s">
        <v>1168</v>
      </c>
      <c r="P1600" t="s">
        <v>1169</v>
      </c>
      <c r="Q1600" t="s">
        <v>5893</v>
      </c>
      <c r="R1600" t="s">
        <v>5894</v>
      </c>
      <c r="S1600" t="s">
        <v>550</v>
      </c>
      <c r="T1600" t="s">
        <v>550</v>
      </c>
      <c r="U1600" t="s">
        <v>550</v>
      </c>
      <c r="V1600" t="s">
        <v>6146</v>
      </c>
      <c r="W1600" t="s">
        <v>554</v>
      </c>
      <c r="X1600" t="s">
        <v>669</v>
      </c>
      <c r="Y1600" t="s">
        <v>799</v>
      </c>
      <c r="Z1600" t="s">
        <v>6144</v>
      </c>
    </row>
    <row r="1601" spans="1:26" x14ac:dyDescent="0.3">
      <c r="A1601" t="s">
        <v>525</v>
      </c>
      <c r="B1601" t="s">
        <v>6147</v>
      </c>
      <c r="C1601" t="s">
        <v>6148</v>
      </c>
      <c r="D1601" t="s">
        <v>6144</v>
      </c>
      <c r="E1601" t="s">
        <v>664</v>
      </c>
      <c r="F1601" t="s">
        <v>27</v>
      </c>
      <c r="G1601" s="1">
        <v>43102</v>
      </c>
      <c r="H1601" s="1">
        <v>43465</v>
      </c>
      <c r="I1601" t="s">
        <v>665</v>
      </c>
      <c r="J1601" t="s">
        <v>666</v>
      </c>
      <c r="K1601" t="s">
        <v>24</v>
      </c>
      <c r="L1601" t="s">
        <v>667</v>
      </c>
      <c r="M1601" t="s">
        <v>1230</v>
      </c>
      <c r="N1601" t="s">
        <v>1231</v>
      </c>
      <c r="O1601" t="s">
        <v>1168</v>
      </c>
      <c r="P1601" t="s">
        <v>1169</v>
      </c>
      <c r="Q1601" t="s">
        <v>5893</v>
      </c>
      <c r="R1601" t="s">
        <v>5894</v>
      </c>
      <c r="S1601" t="s">
        <v>550</v>
      </c>
      <c r="T1601" t="s">
        <v>550</v>
      </c>
      <c r="U1601" t="s">
        <v>550</v>
      </c>
      <c r="V1601" t="s">
        <v>6149</v>
      </c>
      <c r="W1601" t="s">
        <v>554</v>
      </c>
      <c r="X1601" t="s">
        <v>669</v>
      </c>
      <c r="Y1601" t="s">
        <v>799</v>
      </c>
      <c r="Z1601" t="s">
        <v>6147</v>
      </c>
    </row>
    <row r="1602" spans="1:26" x14ac:dyDescent="0.3">
      <c r="A1602" t="s">
        <v>525</v>
      </c>
      <c r="B1602" t="s">
        <v>6150</v>
      </c>
      <c r="C1602" t="s">
        <v>6151</v>
      </c>
      <c r="D1602" t="s">
        <v>550</v>
      </c>
      <c r="E1602" t="s">
        <v>664</v>
      </c>
      <c r="F1602" t="s">
        <v>27</v>
      </c>
      <c r="G1602" s="1">
        <v>43102</v>
      </c>
      <c r="H1602" s="1">
        <v>43830</v>
      </c>
      <c r="I1602" t="s">
        <v>665</v>
      </c>
      <c r="J1602" t="s">
        <v>666</v>
      </c>
      <c r="K1602" t="s">
        <v>24</v>
      </c>
      <c r="L1602" t="s">
        <v>667</v>
      </c>
      <c r="M1602" t="s">
        <v>1230</v>
      </c>
      <c r="N1602" t="s">
        <v>1231</v>
      </c>
      <c r="O1602" t="s">
        <v>1168</v>
      </c>
      <c r="P1602" t="s">
        <v>1169</v>
      </c>
      <c r="Q1602" t="s">
        <v>5893</v>
      </c>
      <c r="R1602" t="s">
        <v>5894</v>
      </c>
      <c r="S1602" t="s">
        <v>550</v>
      </c>
      <c r="T1602" t="s">
        <v>550</v>
      </c>
      <c r="U1602" t="s">
        <v>550</v>
      </c>
      <c r="V1602" t="s">
        <v>6152</v>
      </c>
      <c r="W1602" t="s">
        <v>554</v>
      </c>
      <c r="X1602" t="s">
        <v>669</v>
      </c>
      <c r="Y1602" t="s">
        <v>799</v>
      </c>
      <c r="Z1602" t="s">
        <v>6150</v>
      </c>
    </row>
    <row r="1603" spans="1:26" x14ac:dyDescent="0.3">
      <c r="A1603" t="s">
        <v>525</v>
      </c>
      <c r="B1603" t="s">
        <v>6153</v>
      </c>
      <c r="C1603" t="s">
        <v>6154</v>
      </c>
      <c r="D1603" t="s">
        <v>6150</v>
      </c>
      <c r="E1603" t="s">
        <v>664</v>
      </c>
      <c r="F1603" t="s">
        <v>27</v>
      </c>
      <c r="G1603" s="1">
        <v>43102</v>
      </c>
      <c r="H1603" s="1">
        <v>43465</v>
      </c>
      <c r="I1603" t="s">
        <v>665</v>
      </c>
      <c r="J1603" t="s">
        <v>666</v>
      </c>
      <c r="K1603" t="s">
        <v>24</v>
      </c>
      <c r="L1603" t="s">
        <v>667</v>
      </c>
      <c r="M1603" t="s">
        <v>1230</v>
      </c>
      <c r="N1603" t="s">
        <v>1231</v>
      </c>
      <c r="O1603" t="s">
        <v>1168</v>
      </c>
      <c r="P1603" t="s">
        <v>1169</v>
      </c>
      <c r="Q1603" t="s">
        <v>5893</v>
      </c>
      <c r="R1603" t="s">
        <v>5894</v>
      </c>
      <c r="S1603" t="s">
        <v>550</v>
      </c>
      <c r="T1603" t="s">
        <v>550</v>
      </c>
      <c r="U1603" t="s">
        <v>550</v>
      </c>
      <c r="V1603" t="s">
        <v>6155</v>
      </c>
      <c r="W1603" t="s">
        <v>554</v>
      </c>
      <c r="X1603" t="s">
        <v>669</v>
      </c>
      <c r="Y1603" t="s">
        <v>799</v>
      </c>
      <c r="Z1603" t="s">
        <v>6153</v>
      </c>
    </row>
    <row r="1604" spans="1:26" x14ac:dyDescent="0.3">
      <c r="A1604" t="s">
        <v>525</v>
      </c>
      <c r="B1604" t="s">
        <v>6156</v>
      </c>
      <c r="C1604" t="s">
        <v>6157</v>
      </c>
      <c r="D1604" t="s">
        <v>550</v>
      </c>
      <c r="E1604" t="s">
        <v>664</v>
      </c>
      <c r="F1604" t="s">
        <v>27</v>
      </c>
      <c r="G1604" s="1">
        <v>43102</v>
      </c>
      <c r="H1604" s="1">
        <v>43830</v>
      </c>
      <c r="I1604" t="s">
        <v>665</v>
      </c>
      <c r="J1604" t="s">
        <v>666</v>
      </c>
      <c r="K1604" t="s">
        <v>24</v>
      </c>
      <c r="L1604" t="s">
        <v>667</v>
      </c>
      <c r="M1604" t="s">
        <v>1230</v>
      </c>
      <c r="N1604" t="s">
        <v>1231</v>
      </c>
      <c r="O1604" t="s">
        <v>1168</v>
      </c>
      <c r="P1604" t="s">
        <v>1169</v>
      </c>
      <c r="Q1604" t="s">
        <v>5893</v>
      </c>
      <c r="R1604" t="s">
        <v>5894</v>
      </c>
      <c r="S1604" t="s">
        <v>550</v>
      </c>
      <c r="T1604" t="s">
        <v>550</v>
      </c>
      <c r="U1604" t="s">
        <v>550</v>
      </c>
      <c r="V1604" t="s">
        <v>6158</v>
      </c>
      <c r="W1604" t="s">
        <v>554</v>
      </c>
      <c r="X1604" t="s">
        <v>669</v>
      </c>
      <c r="Y1604" t="s">
        <v>799</v>
      </c>
      <c r="Z1604" t="s">
        <v>6156</v>
      </c>
    </row>
    <row r="1605" spans="1:26" x14ac:dyDescent="0.3">
      <c r="A1605" t="s">
        <v>525</v>
      </c>
      <c r="B1605" t="s">
        <v>6159</v>
      </c>
      <c r="C1605" t="s">
        <v>6160</v>
      </c>
      <c r="D1605" t="s">
        <v>6156</v>
      </c>
      <c r="E1605" t="s">
        <v>664</v>
      </c>
      <c r="F1605" t="s">
        <v>27</v>
      </c>
      <c r="G1605" s="1">
        <v>43102</v>
      </c>
      <c r="H1605" s="1">
        <v>43465</v>
      </c>
      <c r="I1605" t="s">
        <v>665</v>
      </c>
      <c r="J1605" t="s">
        <v>666</v>
      </c>
      <c r="K1605" t="s">
        <v>24</v>
      </c>
      <c r="L1605" t="s">
        <v>667</v>
      </c>
      <c r="M1605" t="s">
        <v>1230</v>
      </c>
      <c r="N1605" t="s">
        <v>1231</v>
      </c>
      <c r="O1605" t="s">
        <v>1168</v>
      </c>
      <c r="P1605" t="s">
        <v>1169</v>
      </c>
      <c r="Q1605" t="s">
        <v>5893</v>
      </c>
      <c r="R1605" t="s">
        <v>5894</v>
      </c>
      <c r="S1605" t="s">
        <v>550</v>
      </c>
      <c r="T1605" t="s">
        <v>550</v>
      </c>
      <c r="U1605" t="s">
        <v>550</v>
      </c>
      <c r="V1605" t="s">
        <v>6161</v>
      </c>
      <c r="W1605" t="s">
        <v>554</v>
      </c>
      <c r="X1605" t="s">
        <v>669</v>
      </c>
      <c r="Y1605" t="s">
        <v>799</v>
      </c>
      <c r="Z1605" t="s">
        <v>6159</v>
      </c>
    </row>
    <row r="1606" spans="1:26" x14ac:dyDescent="0.3">
      <c r="A1606" t="s">
        <v>525</v>
      </c>
      <c r="B1606" t="s">
        <v>6162</v>
      </c>
      <c r="C1606" t="s">
        <v>6163</v>
      </c>
      <c r="D1606" t="s">
        <v>550</v>
      </c>
      <c r="E1606" t="s">
        <v>664</v>
      </c>
      <c r="F1606" t="s">
        <v>27</v>
      </c>
      <c r="G1606" s="1">
        <v>43102</v>
      </c>
      <c r="H1606" s="1">
        <v>44196</v>
      </c>
      <c r="I1606" t="s">
        <v>665</v>
      </c>
      <c r="J1606" t="s">
        <v>666</v>
      </c>
      <c r="K1606" t="s">
        <v>958</v>
      </c>
      <c r="L1606" t="s">
        <v>863</v>
      </c>
      <c r="M1606" t="s">
        <v>1230</v>
      </c>
      <c r="N1606" t="s">
        <v>1231</v>
      </c>
      <c r="O1606" t="s">
        <v>1168</v>
      </c>
      <c r="P1606" t="s">
        <v>1169</v>
      </c>
      <c r="Q1606" t="s">
        <v>5893</v>
      </c>
      <c r="R1606" t="s">
        <v>5894</v>
      </c>
      <c r="S1606" t="s">
        <v>550</v>
      </c>
      <c r="T1606" t="s">
        <v>550</v>
      </c>
      <c r="U1606" t="s">
        <v>550</v>
      </c>
      <c r="V1606" t="s">
        <v>6164</v>
      </c>
      <c r="W1606" t="s">
        <v>554</v>
      </c>
      <c r="X1606" t="s">
        <v>669</v>
      </c>
      <c r="Y1606" t="s">
        <v>799</v>
      </c>
      <c r="Z1606" t="s">
        <v>6162</v>
      </c>
    </row>
    <row r="1607" spans="1:26" x14ac:dyDescent="0.3">
      <c r="A1607" t="s">
        <v>525</v>
      </c>
      <c r="B1607" t="s">
        <v>6165</v>
      </c>
      <c r="C1607" t="s">
        <v>6166</v>
      </c>
      <c r="D1607" t="s">
        <v>6162</v>
      </c>
      <c r="E1607" t="s">
        <v>664</v>
      </c>
      <c r="F1607" t="s">
        <v>27</v>
      </c>
      <c r="G1607" s="1">
        <v>43102</v>
      </c>
      <c r="H1607" s="1">
        <v>43465</v>
      </c>
      <c r="I1607" t="s">
        <v>665</v>
      </c>
      <c r="J1607" t="s">
        <v>666</v>
      </c>
      <c r="K1607" t="s">
        <v>958</v>
      </c>
      <c r="L1607" t="s">
        <v>863</v>
      </c>
      <c r="M1607" t="s">
        <v>1230</v>
      </c>
      <c r="N1607" t="s">
        <v>1231</v>
      </c>
      <c r="O1607" t="s">
        <v>1168</v>
      </c>
      <c r="P1607" t="s">
        <v>1169</v>
      </c>
      <c r="Q1607" t="s">
        <v>5893</v>
      </c>
      <c r="R1607" t="s">
        <v>5894</v>
      </c>
      <c r="S1607" t="s">
        <v>550</v>
      </c>
      <c r="T1607" t="s">
        <v>550</v>
      </c>
      <c r="U1607" t="s">
        <v>550</v>
      </c>
      <c r="V1607" t="s">
        <v>6167</v>
      </c>
      <c r="W1607" t="s">
        <v>554</v>
      </c>
      <c r="X1607" t="s">
        <v>669</v>
      </c>
      <c r="Y1607" t="s">
        <v>799</v>
      </c>
      <c r="Z1607" t="s">
        <v>6165</v>
      </c>
    </row>
    <row r="1608" spans="1:26" x14ac:dyDescent="0.3">
      <c r="A1608" t="s">
        <v>525</v>
      </c>
      <c r="B1608" t="s">
        <v>6168</v>
      </c>
      <c r="C1608" t="s">
        <v>6169</v>
      </c>
      <c r="D1608" t="s">
        <v>6165</v>
      </c>
      <c r="E1608" t="s">
        <v>6170</v>
      </c>
      <c r="F1608" t="s">
        <v>6171</v>
      </c>
      <c r="G1608" s="1">
        <v>43102</v>
      </c>
      <c r="H1608" s="1">
        <v>43465</v>
      </c>
      <c r="I1608" t="s">
        <v>665</v>
      </c>
      <c r="J1608" t="s">
        <v>6172</v>
      </c>
      <c r="K1608" t="s">
        <v>958</v>
      </c>
      <c r="L1608" t="s">
        <v>863</v>
      </c>
      <c r="M1608" t="s">
        <v>1230</v>
      </c>
      <c r="N1608" t="s">
        <v>1231</v>
      </c>
      <c r="O1608" t="s">
        <v>1168</v>
      </c>
      <c r="P1608" t="s">
        <v>1169</v>
      </c>
      <c r="Q1608" t="s">
        <v>5893</v>
      </c>
      <c r="R1608" t="s">
        <v>5894</v>
      </c>
      <c r="S1608" t="s">
        <v>550</v>
      </c>
      <c r="T1608" t="s">
        <v>550</v>
      </c>
      <c r="U1608" t="s">
        <v>550</v>
      </c>
      <c r="V1608" t="s">
        <v>6173</v>
      </c>
      <c r="W1608" t="s">
        <v>554</v>
      </c>
      <c r="X1608" t="s">
        <v>669</v>
      </c>
      <c r="Y1608" t="s">
        <v>799</v>
      </c>
      <c r="Z1608" t="s">
        <v>6168</v>
      </c>
    </row>
    <row r="1609" spans="1:26" x14ac:dyDescent="0.3">
      <c r="A1609" t="s">
        <v>525</v>
      </c>
      <c r="B1609" t="s">
        <v>6174</v>
      </c>
      <c r="C1609" t="s">
        <v>6175</v>
      </c>
      <c r="D1609" t="s">
        <v>6165</v>
      </c>
      <c r="E1609" t="s">
        <v>6176</v>
      </c>
      <c r="F1609" t="s">
        <v>6177</v>
      </c>
      <c r="G1609" s="1">
        <v>43102</v>
      </c>
      <c r="H1609" s="1">
        <v>43465</v>
      </c>
      <c r="I1609" t="s">
        <v>665</v>
      </c>
      <c r="J1609" t="s">
        <v>6178</v>
      </c>
      <c r="K1609" t="s">
        <v>958</v>
      </c>
      <c r="L1609" t="s">
        <v>863</v>
      </c>
      <c r="M1609" t="s">
        <v>1230</v>
      </c>
      <c r="N1609" t="s">
        <v>1231</v>
      </c>
      <c r="O1609" t="s">
        <v>1168</v>
      </c>
      <c r="P1609" t="s">
        <v>1169</v>
      </c>
      <c r="Q1609" t="s">
        <v>5893</v>
      </c>
      <c r="R1609" t="s">
        <v>5894</v>
      </c>
      <c r="S1609" t="s">
        <v>550</v>
      </c>
      <c r="T1609" t="s">
        <v>550</v>
      </c>
      <c r="U1609" t="s">
        <v>550</v>
      </c>
      <c r="V1609" t="s">
        <v>6179</v>
      </c>
      <c r="W1609" t="s">
        <v>554</v>
      </c>
      <c r="X1609" t="s">
        <v>669</v>
      </c>
      <c r="Y1609" t="s">
        <v>799</v>
      </c>
      <c r="Z1609" t="s">
        <v>6174</v>
      </c>
    </row>
    <row r="1610" spans="1:26" x14ac:dyDescent="0.3">
      <c r="A1610" t="s">
        <v>525</v>
      </c>
      <c r="B1610" t="s">
        <v>6180</v>
      </c>
      <c r="C1610" t="s">
        <v>6181</v>
      </c>
      <c r="D1610" t="s">
        <v>6165</v>
      </c>
      <c r="E1610" t="s">
        <v>6182</v>
      </c>
      <c r="F1610" t="s">
        <v>6183</v>
      </c>
      <c r="G1610" s="1">
        <v>43102</v>
      </c>
      <c r="H1610" s="1">
        <v>43465</v>
      </c>
      <c r="I1610" t="s">
        <v>665</v>
      </c>
      <c r="J1610" t="s">
        <v>6184</v>
      </c>
      <c r="K1610" t="s">
        <v>958</v>
      </c>
      <c r="L1610" t="s">
        <v>863</v>
      </c>
      <c r="M1610" t="s">
        <v>1230</v>
      </c>
      <c r="N1610" t="s">
        <v>1231</v>
      </c>
      <c r="O1610" t="s">
        <v>1168</v>
      </c>
      <c r="P1610" t="s">
        <v>1169</v>
      </c>
      <c r="Q1610" t="s">
        <v>5893</v>
      </c>
      <c r="R1610" t="s">
        <v>5894</v>
      </c>
      <c r="S1610" t="s">
        <v>550</v>
      </c>
      <c r="T1610" t="s">
        <v>550</v>
      </c>
      <c r="U1610" t="s">
        <v>550</v>
      </c>
      <c r="V1610" t="s">
        <v>6185</v>
      </c>
      <c r="W1610" t="s">
        <v>554</v>
      </c>
      <c r="X1610" t="s">
        <v>669</v>
      </c>
      <c r="Y1610" t="s">
        <v>799</v>
      </c>
      <c r="Z1610" t="s">
        <v>6180</v>
      </c>
    </row>
    <row r="1611" spans="1:26" x14ac:dyDescent="0.3">
      <c r="A1611" t="s">
        <v>525</v>
      </c>
      <c r="B1611" t="s">
        <v>6186</v>
      </c>
      <c r="C1611" t="s">
        <v>6187</v>
      </c>
      <c r="D1611" t="s">
        <v>6165</v>
      </c>
      <c r="E1611" t="s">
        <v>6188</v>
      </c>
      <c r="F1611" t="s">
        <v>6189</v>
      </c>
      <c r="G1611" s="1">
        <v>43102</v>
      </c>
      <c r="H1611" s="1">
        <v>43465</v>
      </c>
      <c r="I1611" t="s">
        <v>665</v>
      </c>
      <c r="J1611" t="s">
        <v>6190</v>
      </c>
      <c r="K1611" t="s">
        <v>958</v>
      </c>
      <c r="L1611" t="s">
        <v>863</v>
      </c>
      <c r="M1611" t="s">
        <v>1230</v>
      </c>
      <c r="N1611" t="s">
        <v>1231</v>
      </c>
      <c r="O1611" t="s">
        <v>1168</v>
      </c>
      <c r="P1611" t="s">
        <v>1169</v>
      </c>
      <c r="Q1611" t="s">
        <v>5893</v>
      </c>
      <c r="R1611" t="s">
        <v>5894</v>
      </c>
      <c r="S1611" t="s">
        <v>550</v>
      </c>
      <c r="T1611" t="s">
        <v>550</v>
      </c>
      <c r="U1611" t="s">
        <v>550</v>
      </c>
      <c r="V1611" t="s">
        <v>6191</v>
      </c>
      <c r="W1611" t="s">
        <v>554</v>
      </c>
      <c r="X1611" t="s">
        <v>669</v>
      </c>
      <c r="Y1611" t="s">
        <v>799</v>
      </c>
      <c r="Z1611" t="s">
        <v>6186</v>
      </c>
    </row>
    <row r="1612" spans="1:26" x14ac:dyDescent="0.3">
      <c r="A1612" t="s">
        <v>525</v>
      </c>
      <c r="B1612" t="s">
        <v>6192</v>
      </c>
      <c r="C1612" t="s">
        <v>6193</v>
      </c>
      <c r="D1612" t="s">
        <v>6165</v>
      </c>
      <c r="E1612" t="s">
        <v>6194</v>
      </c>
      <c r="F1612" t="s">
        <v>6195</v>
      </c>
      <c r="G1612" s="1">
        <v>43102</v>
      </c>
      <c r="H1612" s="1">
        <v>43465</v>
      </c>
      <c r="I1612" t="s">
        <v>665</v>
      </c>
      <c r="J1612" t="s">
        <v>6196</v>
      </c>
      <c r="K1612" t="s">
        <v>958</v>
      </c>
      <c r="L1612" t="s">
        <v>863</v>
      </c>
      <c r="M1612" t="s">
        <v>1230</v>
      </c>
      <c r="N1612" t="s">
        <v>1231</v>
      </c>
      <c r="O1612" t="s">
        <v>1168</v>
      </c>
      <c r="P1612" t="s">
        <v>1169</v>
      </c>
      <c r="Q1612" t="s">
        <v>5893</v>
      </c>
      <c r="R1612" t="s">
        <v>5894</v>
      </c>
      <c r="S1612" t="s">
        <v>550</v>
      </c>
      <c r="T1612" t="s">
        <v>550</v>
      </c>
      <c r="U1612" t="s">
        <v>550</v>
      </c>
      <c r="V1612" t="s">
        <v>6197</v>
      </c>
      <c r="W1612" t="s">
        <v>554</v>
      </c>
      <c r="X1612" t="s">
        <v>669</v>
      </c>
      <c r="Y1612" t="s">
        <v>799</v>
      </c>
      <c r="Z1612" t="s">
        <v>6192</v>
      </c>
    </row>
    <row r="1613" spans="1:26" x14ac:dyDescent="0.3">
      <c r="A1613" t="s">
        <v>525</v>
      </c>
      <c r="B1613" t="s">
        <v>6198</v>
      </c>
      <c r="C1613" t="s">
        <v>6199</v>
      </c>
      <c r="D1613" t="s">
        <v>6165</v>
      </c>
      <c r="E1613" t="s">
        <v>6200</v>
      </c>
      <c r="F1613" t="s">
        <v>6201</v>
      </c>
      <c r="G1613" s="1">
        <v>43102</v>
      </c>
      <c r="H1613" s="1">
        <v>43465</v>
      </c>
      <c r="I1613" t="s">
        <v>665</v>
      </c>
      <c r="J1613" t="s">
        <v>6202</v>
      </c>
      <c r="K1613" t="s">
        <v>958</v>
      </c>
      <c r="L1613" t="s">
        <v>863</v>
      </c>
      <c r="M1613" t="s">
        <v>1230</v>
      </c>
      <c r="N1613" t="s">
        <v>1231</v>
      </c>
      <c r="O1613" t="s">
        <v>1168</v>
      </c>
      <c r="P1613" t="s">
        <v>1169</v>
      </c>
      <c r="Q1613" t="s">
        <v>5893</v>
      </c>
      <c r="R1613" t="s">
        <v>5894</v>
      </c>
      <c r="S1613" t="s">
        <v>550</v>
      </c>
      <c r="T1613" t="s">
        <v>550</v>
      </c>
      <c r="U1613" t="s">
        <v>550</v>
      </c>
      <c r="V1613" t="s">
        <v>6203</v>
      </c>
      <c r="W1613" t="s">
        <v>554</v>
      </c>
      <c r="X1613" t="s">
        <v>669</v>
      </c>
      <c r="Y1613" t="s">
        <v>799</v>
      </c>
      <c r="Z1613" t="s">
        <v>6198</v>
      </c>
    </row>
    <row r="1614" spans="1:26" x14ac:dyDescent="0.3">
      <c r="A1614" t="s">
        <v>525</v>
      </c>
      <c r="B1614" t="s">
        <v>6204</v>
      </c>
      <c r="C1614" t="s">
        <v>6205</v>
      </c>
      <c r="D1614" t="s">
        <v>6165</v>
      </c>
      <c r="E1614" t="s">
        <v>6206</v>
      </c>
      <c r="F1614" t="s">
        <v>6207</v>
      </c>
      <c r="G1614" s="1">
        <v>43102</v>
      </c>
      <c r="H1614" s="1">
        <v>43465</v>
      </c>
      <c r="I1614" t="s">
        <v>665</v>
      </c>
      <c r="J1614" t="s">
        <v>6208</v>
      </c>
      <c r="K1614" t="s">
        <v>958</v>
      </c>
      <c r="L1614" t="s">
        <v>863</v>
      </c>
      <c r="M1614" t="s">
        <v>1230</v>
      </c>
      <c r="N1614" t="s">
        <v>1231</v>
      </c>
      <c r="O1614" t="s">
        <v>1168</v>
      </c>
      <c r="P1614" t="s">
        <v>1169</v>
      </c>
      <c r="Q1614" t="s">
        <v>5893</v>
      </c>
      <c r="R1614" t="s">
        <v>5894</v>
      </c>
      <c r="S1614" t="s">
        <v>550</v>
      </c>
      <c r="T1614" t="s">
        <v>550</v>
      </c>
      <c r="U1614" t="s">
        <v>550</v>
      </c>
      <c r="V1614" t="s">
        <v>6209</v>
      </c>
      <c r="W1614" t="s">
        <v>554</v>
      </c>
      <c r="X1614" t="s">
        <v>669</v>
      </c>
      <c r="Y1614" t="s">
        <v>799</v>
      </c>
      <c r="Z1614" t="s">
        <v>6204</v>
      </c>
    </row>
    <row r="1615" spans="1:26" x14ac:dyDescent="0.3">
      <c r="A1615" t="s">
        <v>525</v>
      </c>
      <c r="B1615" t="s">
        <v>6210</v>
      </c>
      <c r="C1615" t="s">
        <v>6211</v>
      </c>
      <c r="D1615" t="s">
        <v>6165</v>
      </c>
      <c r="E1615" t="s">
        <v>6212</v>
      </c>
      <c r="F1615" t="s">
        <v>6213</v>
      </c>
      <c r="G1615" s="1">
        <v>43102</v>
      </c>
      <c r="H1615" s="1">
        <v>43465</v>
      </c>
      <c r="I1615" t="s">
        <v>665</v>
      </c>
      <c r="J1615" t="s">
        <v>6214</v>
      </c>
      <c r="K1615" t="s">
        <v>958</v>
      </c>
      <c r="L1615" t="s">
        <v>863</v>
      </c>
      <c r="M1615" t="s">
        <v>1230</v>
      </c>
      <c r="N1615" t="s">
        <v>1231</v>
      </c>
      <c r="O1615" t="s">
        <v>1168</v>
      </c>
      <c r="P1615" t="s">
        <v>1169</v>
      </c>
      <c r="Q1615" t="s">
        <v>5893</v>
      </c>
      <c r="R1615" t="s">
        <v>5894</v>
      </c>
      <c r="S1615" t="s">
        <v>550</v>
      </c>
      <c r="T1615" t="s">
        <v>550</v>
      </c>
      <c r="U1615" t="s">
        <v>550</v>
      </c>
      <c r="V1615" t="s">
        <v>6215</v>
      </c>
      <c r="W1615" t="s">
        <v>554</v>
      </c>
      <c r="X1615" t="s">
        <v>669</v>
      </c>
      <c r="Y1615" t="s">
        <v>799</v>
      </c>
      <c r="Z1615" t="s">
        <v>6210</v>
      </c>
    </row>
    <row r="1616" spans="1:26" x14ac:dyDescent="0.3">
      <c r="A1616" t="s">
        <v>525</v>
      </c>
      <c r="B1616" t="s">
        <v>6216</v>
      </c>
      <c r="C1616" t="s">
        <v>6217</v>
      </c>
      <c r="D1616" t="s">
        <v>6165</v>
      </c>
      <c r="E1616" t="s">
        <v>6218</v>
      </c>
      <c r="F1616" t="s">
        <v>6219</v>
      </c>
      <c r="G1616" s="1">
        <v>43102</v>
      </c>
      <c r="H1616" s="1">
        <v>43465</v>
      </c>
      <c r="I1616" t="s">
        <v>665</v>
      </c>
      <c r="J1616" t="s">
        <v>6220</v>
      </c>
      <c r="K1616" t="s">
        <v>958</v>
      </c>
      <c r="L1616" t="s">
        <v>863</v>
      </c>
      <c r="M1616" t="s">
        <v>1230</v>
      </c>
      <c r="N1616" t="s">
        <v>1231</v>
      </c>
      <c r="O1616" t="s">
        <v>1168</v>
      </c>
      <c r="P1616" t="s">
        <v>1169</v>
      </c>
      <c r="Q1616" t="s">
        <v>5893</v>
      </c>
      <c r="R1616" t="s">
        <v>5894</v>
      </c>
      <c r="S1616" t="s">
        <v>550</v>
      </c>
      <c r="T1616" t="s">
        <v>550</v>
      </c>
      <c r="U1616" t="s">
        <v>550</v>
      </c>
      <c r="V1616" t="s">
        <v>6221</v>
      </c>
      <c r="W1616" t="s">
        <v>554</v>
      </c>
      <c r="X1616" t="s">
        <v>669</v>
      </c>
      <c r="Y1616" t="s">
        <v>799</v>
      </c>
      <c r="Z1616" t="s">
        <v>6216</v>
      </c>
    </row>
    <row r="1617" spans="1:26" x14ac:dyDescent="0.3">
      <c r="A1617" t="s">
        <v>525</v>
      </c>
      <c r="B1617" t="s">
        <v>6222</v>
      </c>
      <c r="C1617" t="s">
        <v>6223</v>
      </c>
      <c r="D1617" t="s">
        <v>6165</v>
      </c>
      <c r="E1617" t="s">
        <v>6224</v>
      </c>
      <c r="F1617" t="s">
        <v>6225</v>
      </c>
      <c r="G1617" s="1">
        <v>43102</v>
      </c>
      <c r="H1617" s="1">
        <v>43465</v>
      </c>
      <c r="I1617" t="s">
        <v>665</v>
      </c>
      <c r="J1617" t="s">
        <v>6226</v>
      </c>
      <c r="K1617" t="s">
        <v>958</v>
      </c>
      <c r="L1617" t="s">
        <v>863</v>
      </c>
      <c r="M1617" t="s">
        <v>1230</v>
      </c>
      <c r="N1617" t="s">
        <v>1231</v>
      </c>
      <c r="O1617" t="s">
        <v>1168</v>
      </c>
      <c r="P1617" t="s">
        <v>1169</v>
      </c>
      <c r="Q1617" t="s">
        <v>5893</v>
      </c>
      <c r="R1617" t="s">
        <v>5894</v>
      </c>
      <c r="S1617" t="s">
        <v>550</v>
      </c>
      <c r="T1617" t="s">
        <v>550</v>
      </c>
      <c r="U1617" t="s">
        <v>550</v>
      </c>
      <c r="V1617" t="s">
        <v>6227</v>
      </c>
      <c r="W1617" t="s">
        <v>554</v>
      </c>
      <c r="X1617" t="s">
        <v>669</v>
      </c>
      <c r="Y1617" t="s">
        <v>799</v>
      </c>
      <c r="Z1617" t="s">
        <v>6222</v>
      </c>
    </row>
    <row r="1618" spans="1:26" x14ac:dyDescent="0.3">
      <c r="A1618" t="s">
        <v>525</v>
      </c>
      <c r="B1618" t="s">
        <v>6228</v>
      </c>
      <c r="C1618" t="s">
        <v>6229</v>
      </c>
      <c r="D1618" t="s">
        <v>6230</v>
      </c>
      <c r="E1618" t="s">
        <v>664</v>
      </c>
      <c r="F1618" t="s">
        <v>27</v>
      </c>
      <c r="G1618" s="1">
        <v>43102</v>
      </c>
      <c r="H1618" s="1">
        <v>43465</v>
      </c>
      <c r="I1618" t="s">
        <v>665</v>
      </c>
      <c r="J1618" t="s">
        <v>666</v>
      </c>
      <c r="K1618" t="s">
        <v>24</v>
      </c>
      <c r="L1618" t="s">
        <v>216</v>
      </c>
      <c r="M1618" t="s">
        <v>797</v>
      </c>
      <c r="N1618" t="s">
        <v>313</v>
      </c>
      <c r="O1618" t="s">
        <v>1168</v>
      </c>
      <c r="P1618" t="s">
        <v>1169</v>
      </c>
      <c r="Q1618" t="s">
        <v>5893</v>
      </c>
      <c r="R1618" t="s">
        <v>5894</v>
      </c>
      <c r="S1618" t="s">
        <v>550</v>
      </c>
      <c r="T1618" t="s">
        <v>550</v>
      </c>
      <c r="U1618" t="s">
        <v>550</v>
      </c>
      <c r="V1618" t="s">
        <v>6231</v>
      </c>
      <c r="W1618" t="s">
        <v>554</v>
      </c>
      <c r="X1618" t="s">
        <v>669</v>
      </c>
      <c r="Y1618" t="s">
        <v>799</v>
      </c>
      <c r="Z1618" t="s">
        <v>6228</v>
      </c>
    </row>
    <row r="1619" spans="1:26" x14ac:dyDescent="0.3">
      <c r="A1619" t="s">
        <v>525</v>
      </c>
      <c r="B1619" t="s">
        <v>6232</v>
      </c>
      <c r="C1619" t="s">
        <v>6233</v>
      </c>
      <c r="D1619" t="s">
        <v>6228</v>
      </c>
      <c r="E1619" t="s">
        <v>664</v>
      </c>
      <c r="F1619" t="s">
        <v>27</v>
      </c>
      <c r="G1619" s="1">
        <v>43102</v>
      </c>
      <c r="H1619" s="1">
        <v>43465</v>
      </c>
      <c r="I1619" t="s">
        <v>665</v>
      </c>
      <c r="J1619" t="s">
        <v>666</v>
      </c>
      <c r="K1619" t="s">
        <v>24</v>
      </c>
      <c r="L1619" t="s">
        <v>216</v>
      </c>
      <c r="M1619" t="s">
        <v>797</v>
      </c>
      <c r="N1619" t="s">
        <v>313</v>
      </c>
      <c r="O1619" t="s">
        <v>1168</v>
      </c>
      <c r="P1619" t="s">
        <v>1169</v>
      </c>
      <c r="Q1619" t="s">
        <v>5893</v>
      </c>
      <c r="R1619" t="s">
        <v>5894</v>
      </c>
      <c r="S1619" t="s">
        <v>550</v>
      </c>
      <c r="T1619" t="s">
        <v>550</v>
      </c>
      <c r="U1619" t="s">
        <v>550</v>
      </c>
      <c r="V1619" t="s">
        <v>6234</v>
      </c>
      <c r="W1619" t="s">
        <v>554</v>
      </c>
      <c r="X1619" t="s">
        <v>669</v>
      </c>
      <c r="Y1619" t="s">
        <v>799</v>
      </c>
      <c r="Z1619" t="s">
        <v>6232</v>
      </c>
    </row>
    <row r="1620" spans="1:26" x14ac:dyDescent="0.3">
      <c r="A1620" t="s">
        <v>525</v>
      </c>
      <c r="B1620" t="s">
        <v>6235</v>
      </c>
      <c r="C1620" t="s">
        <v>6236</v>
      </c>
      <c r="D1620" t="s">
        <v>6228</v>
      </c>
      <c r="E1620" t="s">
        <v>6237</v>
      </c>
      <c r="F1620" t="s">
        <v>6236</v>
      </c>
      <c r="G1620" s="1">
        <v>43102</v>
      </c>
      <c r="H1620" s="1">
        <v>43465</v>
      </c>
      <c r="I1620" t="s">
        <v>665</v>
      </c>
      <c r="J1620" t="s">
        <v>6238</v>
      </c>
      <c r="K1620" t="s">
        <v>24</v>
      </c>
      <c r="L1620" t="s">
        <v>216</v>
      </c>
      <c r="M1620" t="s">
        <v>797</v>
      </c>
      <c r="N1620" t="s">
        <v>313</v>
      </c>
      <c r="O1620" t="s">
        <v>1168</v>
      </c>
      <c r="P1620" t="s">
        <v>1169</v>
      </c>
      <c r="Q1620" t="s">
        <v>5893</v>
      </c>
      <c r="R1620" t="s">
        <v>5894</v>
      </c>
      <c r="S1620" t="s">
        <v>550</v>
      </c>
      <c r="T1620" t="s">
        <v>550</v>
      </c>
      <c r="U1620" t="s">
        <v>550</v>
      </c>
      <c r="V1620" t="s">
        <v>6239</v>
      </c>
      <c r="W1620" t="s">
        <v>554</v>
      </c>
      <c r="X1620" t="s">
        <v>669</v>
      </c>
      <c r="Y1620" t="s">
        <v>799</v>
      </c>
      <c r="Z1620" t="s">
        <v>6235</v>
      </c>
    </row>
    <row r="1621" spans="1:26" x14ac:dyDescent="0.3">
      <c r="A1621" t="s">
        <v>525</v>
      </c>
      <c r="B1621" t="s">
        <v>6240</v>
      </c>
      <c r="C1621" t="s">
        <v>6241</v>
      </c>
      <c r="D1621" t="s">
        <v>6228</v>
      </c>
      <c r="E1621" t="s">
        <v>6242</v>
      </c>
      <c r="F1621" t="s">
        <v>6241</v>
      </c>
      <c r="G1621" s="1">
        <v>43102</v>
      </c>
      <c r="H1621" s="1">
        <v>43465</v>
      </c>
      <c r="I1621" t="s">
        <v>665</v>
      </c>
      <c r="J1621" t="s">
        <v>6243</v>
      </c>
      <c r="K1621" t="s">
        <v>24</v>
      </c>
      <c r="L1621" t="s">
        <v>216</v>
      </c>
      <c r="M1621" t="s">
        <v>797</v>
      </c>
      <c r="N1621" t="s">
        <v>313</v>
      </c>
      <c r="O1621" t="s">
        <v>1168</v>
      </c>
      <c r="P1621" t="s">
        <v>1169</v>
      </c>
      <c r="Q1621" t="s">
        <v>5893</v>
      </c>
      <c r="R1621" t="s">
        <v>5894</v>
      </c>
      <c r="S1621" t="s">
        <v>550</v>
      </c>
      <c r="T1621" t="s">
        <v>550</v>
      </c>
      <c r="U1621" t="s">
        <v>550</v>
      </c>
      <c r="V1621" t="s">
        <v>6244</v>
      </c>
      <c r="W1621" t="s">
        <v>554</v>
      </c>
      <c r="X1621" t="s">
        <v>669</v>
      </c>
      <c r="Y1621" t="s">
        <v>799</v>
      </c>
      <c r="Z1621" t="s">
        <v>6240</v>
      </c>
    </row>
    <row r="1622" spans="1:26" x14ac:dyDescent="0.3">
      <c r="A1622" t="s">
        <v>525</v>
      </c>
      <c r="B1622" t="s">
        <v>6245</v>
      </c>
      <c r="C1622" t="s">
        <v>6246</v>
      </c>
      <c r="D1622" t="s">
        <v>6228</v>
      </c>
      <c r="E1622" t="s">
        <v>6247</v>
      </c>
      <c r="F1622" t="s">
        <v>6248</v>
      </c>
      <c r="G1622" s="1">
        <v>43102</v>
      </c>
      <c r="H1622" s="1">
        <v>43465</v>
      </c>
      <c r="I1622" t="s">
        <v>665</v>
      </c>
      <c r="J1622" t="s">
        <v>6249</v>
      </c>
      <c r="K1622" t="s">
        <v>24</v>
      </c>
      <c r="L1622" t="s">
        <v>216</v>
      </c>
      <c r="M1622" t="s">
        <v>797</v>
      </c>
      <c r="N1622" t="s">
        <v>313</v>
      </c>
      <c r="O1622" t="s">
        <v>1168</v>
      </c>
      <c r="P1622" t="s">
        <v>1169</v>
      </c>
      <c r="Q1622" t="s">
        <v>5893</v>
      </c>
      <c r="R1622" t="s">
        <v>5894</v>
      </c>
      <c r="S1622" t="s">
        <v>550</v>
      </c>
      <c r="T1622" t="s">
        <v>550</v>
      </c>
      <c r="U1622" t="s">
        <v>550</v>
      </c>
      <c r="V1622" t="s">
        <v>6250</v>
      </c>
      <c r="W1622" t="s">
        <v>554</v>
      </c>
      <c r="X1622" t="s">
        <v>669</v>
      </c>
      <c r="Y1622" t="s">
        <v>799</v>
      </c>
      <c r="Z1622" t="s">
        <v>6245</v>
      </c>
    </row>
    <row r="1623" spans="1:26" x14ac:dyDescent="0.3">
      <c r="A1623" t="s">
        <v>525</v>
      </c>
      <c r="B1623" t="s">
        <v>6251</v>
      </c>
      <c r="C1623" t="s">
        <v>6252</v>
      </c>
      <c r="D1623" t="s">
        <v>6228</v>
      </c>
      <c r="E1623" t="s">
        <v>6253</v>
      </c>
      <c r="F1623" t="s">
        <v>6254</v>
      </c>
      <c r="G1623" s="1">
        <v>43102</v>
      </c>
      <c r="H1623" s="1">
        <v>43465</v>
      </c>
      <c r="I1623" t="s">
        <v>665</v>
      </c>
      <c r="J1623" t="s">
        <v>6255</v>
      </c>
      <c r="K1623" t="s">
        <v>24</v>
      </c>
      <c r="L1623" t="s">
        <v>216</v>
      </c>
      <c r="M1623" t="s">
        <v>797</v>
      </c>
      <c r="N1623" t="s">
        <v>313</v>
      </c>
      <c r="O1623" t="s">
        <v>1168</v>
      </c>
      <c r="P1623" t="s">
        <v>1169</v>
      </c>
      <c r="Q1623" t="s">
        <v>5893</v>
      </c>
      <c r="R1623" t="s">
        <v>5894</v>
      </c>
      <c r="S1623" t="s">
        <v>550</v>
      </c>
      <c r="T1623" t="s">
        <v>550</v>
      </c>
      <c r="U1623" t="s">
        <v>550</v>
      </c>
      <c r="V1623" t="s">
        <v>6256</v>
      </c>
      <c r="W1623" t="s">
        <v>554</v>
      </c>
      <c r="X1623" t="s">
        <v>669</v>
      </c>
      <c r="Y1623" t="s">
        <v>799</v>
      </c>
      <c r="Z1623" t="s">
        <v>6251</v>
      </c>
    </row>
    <row r="1624" spans="1:26" x14ac:dyDescent="0.3">
      <c r="A1624" t="s">
        <v>525</v>
      </c>
      <c r="B1624" t="s">
        <v>6257</v>
      </c>
      <c r="C1624" t="s">
        <v>6258</v>
      </c>
      <c r="D1624" t="s">
        <v>6228</v>
      </c>
      <c r="E1624" t="s">
        <v>6259</v>
      </c>
      <c r="F1624" t="s">
        <v>6258</v>
      </c>
      <c r="G1624" s="1">
        <v>43102</v>
      </c>
      <c r="H1624" s="1">
        <v>43465</v>
      </c>
      <c r="I1624" t="s">
        <v>665</v>
      </c>
      <c r="J1624" t="s">
        <v>6260</v>
      </c>
      <c r="K1624" t="s">
        <v>24</v>
      </c>
      <c r="L1624" t="s">
        <v>216</v>
      </c>
      <c r="M1624" t="s">
        <v>797</v>
      </c>
      <c r="N1624" t="s">
        <v>313</v>
      </c>
      <c r="O1624" t="s">
        <v>1168</v>
      </c>
      <c r="P1624" t="s">
        <v>1169</v>
      </c>
      <c r="Q1624" t="s">
        <v>5893</v>
      </c>
      <c r="R1624" t="s">
        <v>5894</v>
      </c>
      <c r="S1624" t="s">
        <v>550</v>
      </c>
      <c r="T1624" t="s">
        <v>550</v>
      </c>
      <c r="U1624" t="s">
        <v>550</v>
      </c>
      <c r="V1624" t="s">
        <v>6261</v>
      </c>
      <c r="W1624" t="s">
        <v>554</v>
      </c>
      <c r="X1624" t="s">
        <v>669</v>
      </c>
      <c r="Y1624" t="s">
        <v>799</v>
      </c>
      <c r="Z1624" t="s">
        <v>6257</v>
      </c>
    </row>
    <row r="1625" spans="1:26" x14ac:dyDescent="0.3">
      <c r="A1625" t="s">
        <v>525</v>
      </c>
      <c r="B1625" t="s">
        <v>6262</v>
      </c>
      <c r="C1625" t="s">
        <v>6263</v>
      </c>
      <c r="D1625" t="s">
        <v>6228</v>
      </c>
      <c r="E1625" t="s">
        <v>6264</v>
      </c>
      <c r="F1625" t="s">
        <v>6263</v>
      </c>
      <c r="G1625" s="1">
        <v>43102</v>
      </c>
      <c r="H1625" s="1">
        <v>43465</v>
      </c>
      <c r="I1625" t="s">
        <v>665</v>
      </c>
      <c r="J1625" t="s">
        <v>6265</v>
      </c>
      <c r="K1625" t="s">
        <v>24</v>
      </c>
      <c r="L1625" t="s">
        <v>216</v>
      </c>
      <c r="M1625" t="s">
        <v>797</v>
      </c>
      <c r="N1625" t="s">
        <v>313</v>
      </c>
      <c r="O1625" t="s">
        <v>1168</v>
      </c>
      <c r="P1625" t="s">
        <v>1169</v>
      </c>
      <c r="Q1625" t="s">
        <v>5893</v>
      </c>
      <c r="R1625" t="s">
        <v>5894</v>
      </c>
      <c r="S1625" t="s">
        <v>550</v>
      </c>
      <c r="T1625" t="s">
        <v>550</v>
      </c>
      <c r="U1625" t="s">
        <v>550</v>
      </c>
      <c r="V1625" t="s">
        <v>6266</v>
      </c>
      <c r="W1625" t="s">
        <v>554</v>
      </c>
      <c r="X1625" t="s">
        <v>669</v>
      </c>
      <c r="Y1625" t="s">
        <v>799</v>
      </c>
      <c r="Z1625" t="s">
        <v>6262</v>
      </c>
    </row>
    <row r="1626" spans="1:26" x14ac:dyDescent="0.3">
      <c r="A1626" t="s">
        <v>525</v>
      </c>
      <c r="B1626" t="s">
        <v>6267</v>
      </c>
      <c r="C1626" t="s">
        <v>6268</v>
      </c>
      <c r="D1626" t="s">
        <v>6228</v>
      </c>
      <c r="E1626" t="s">
        <v>6269</v>
      </c>
      <c r="F1626" t="s">
        <v>6268</v>
      </c>
      <c r="G1626" s="1">
        <v>43102</v>
      </c>
      <c r="H1626" s="1">
        <v>43465</v>
      </c>
      <c r="I1626" t="s">
        <v>665</v>
      </c>
      <c r="J1626" t="s">
        <v>6270</v>
      </c>
      <c r="K1626" t="s">
        <v>24</v>
      </c>
      <c r="L1626" t="s">
        <v>216</v>
      </c>
      <c r="M1626" t="s">
        <v>797</v>
      </c>
      <c r="N1626" t="s">
        <v>313</v>
      </c>
      <c r="O1626" t="s">
        <v>1168</v>
      </c>
      <c r="P1626" t="s">
        <v>1169</v>
      </c>
      <c r="Q1626" t="s">
        <v>5893</v>
      </c>
      <c r="R1626" t="s">
        <v>5894</v>
      </c>
      <c r="S1626" t="s">
        <v>550</v>
      </c>
      <c r="T1626" t="s">
        <v>550</v>
      </c>
      <c r="U1626" t="s">
        <v>550</v>
      </c>
      <c r="V1626" t="s">
        <v>6271</v>
      </c>
      <c r="W1626" t="s">
        <v>554</v>
      </c>
      <c r="X1626" t="s">
        <v>669</v>
      </c>
      <c r="Y1626" t="s">
        <v>799</v>
      </c>
      <c r="Z1626" t="s">
        <v>6267</v>
      </c>
    </row>
    <row r="1627" spans="1:26" x14ac:dyDescent="0.3">
      <c r="A1627" t="s">
        <v>525</v>
      </c>
      <c r="B1627" t="s">
        <v>6272</v>
      </c>
      <c r="C1627" t="s">
        <v>6273</v>
      </c>
      <c r="D1627" t="s">
        <v>6228</v>
      </c>
      <c r="E1627" t="s">
        <v>6274</v>
      </c>
      <c r="F1627" t="s">
        <v>6273</v>
      </c>
      <c r="G1627" s="1">
        <v>43102</v>
      </c>
      <c r="H1627" s="1">
        <v>43465</v>
      </c>
      <c r="I1627" t="s">
        <v>665</v>
      </c>
      <c r="J1627" t="s">
        <v>6275</v>
      </c>
      <c r="K1627" t="s">
        <v>24</v>
      </c>
      <c r="L1627" t="s">
        <v>216</v>
      </c>
      <c r="M1627" t="s">
        <v>797</v>
      </c>
      <c r="N1627" t="s">
        <v>313</v>
      </c>
      <c r="O1627" t="s">
        <v>1168</v>
      </c>
      <c r="P1627" t="s">
        <v>1169</v>
      </c>
      <c r="Q1627" t="s">
        <v>5893</v>
      </c>
      <c r="R1627" t="s">
        <v>5894</v>
      </c>
      <c r="S1627" t="s">
        <v>550</v>
      </c>
      <c r="T1627" t="s">
        <v>550</v>
      </c>
      <c r="U1627" t="s">
        <v>550</v>
      </c>
      <c r="V1627" t="s">
        <v>6276</v>
      </c>
      <c r="W1627" t="s">
        <v>554</v>
      </c>
      <c r="X1627" t="s">
        <v>669</v>
      </c>
      <c r="Y1627" t="s">
        <v>799</v>
      </c>
      <c r="Z1627" t="s">
        <v>6272</v>
      </c>
    </row>
    <row r="1628" spans="1:26" x14ac:dyDescent="0.3">
      <c r="A1628" t="s">
        <v>525</v>
      </c>
      <c r="B1628" t="s">
        <v>6277</v>
      </c>
      <c r="C1628" t="s">
        <v>6278</v>
      </c>
      <c r="D1628" t="s">
        <v>6228</v>
      </c>
      <c r="E1628" t="s">
        <v>6279</v>
      </c>
      <c r="F1628" t="s">
        <v>6278</v>
      </c>
      <c r="G1628" s="1">
        <v>43102</v>
      </c>
      <c r="H1628" s="1">
        <v>43465</v>
      </c>
      <c r="I1628" t="s">
        <v>665</v>
      </c>
      <c r="J1628" t="s">
        <v>6280</v>
      </c>
      <c r="K1628" t="s">
        <v>24</v>
      </c>
      <c r="L1628" t="s">
        <v>216</v>
      </c>
      <c r="M1628" t="s">
        <v>797</v>
      </c>
      <c r="N1628" t="s">
        <v>313</v>
      </c>
      <c r="O1628" t="s">
        <v>1168</v>
      </c>
      <c r="P1628" t="s">
        <v>1169</v>
      </c>
      <c r="Q1628" t="s">
        <v>5893</v>
      </c>
      <c r="R1628" t="s">
        <v>5894</v>
      </c>
      <c r="S1628" t="s">
        <v>550</v>
      </c>
      <c r="T1628" t="s">
        <v>550</v>
      </c>
      <c r="U1628" t="s">
        <v>550</v>
      </c>
      <c r="V1628" t="s">
        <v>6281</v>
      </c>
      <c r="W1628" t="s">
        <v>554</v>
      </c>
      <c r="X1628" t="s">
        <v>669</v>
      </c>
      <c r="Y1628" t="s">
        <v>799</v>
      </c>
      <c r="Z1628" t="s">
        <v>6277</v>
      </c>
    </row>
    <row r="1629" spans="1:26" x14ac:dyDescent="0.3">
      <c r="A1629" t="s">
        <v>525</v>
      </c>
      <c r="B1629" t="s">
        <v>6282</v>
      </c>
      <c r="C1629" t="s">
        <v>6283</v>
      </c>
      <c r="D1629" t="s">
        <v>6228</v>
      </c>
      <c r="E1629" t="s">
        <v>6284</v>
      </c>
      <c r="F1629" t="s">
        <v>6285</v>
      </c>
      <c r="G1629" s="1">
        <v>43102</v>
      </c>
      <c r="H1629" s="1">
        <v>43465</v>
      </c>
      <c r="I1629" t="s">
        <v>665</v>
      </c>
      <c r="J1629" t="s">
        <v>6286</v>
      </c>
      <c r="K1629" t="s">
        <v>24</v>
      </c>
      <c r="L1629" t="s">
        <v>216</v>
      </c>
      <c r="M1629" t="s">
        <v>797</v>
      </c>
      <c r="N1629" t="s">
        <v>313</v>
      </c>
      <c r="O1629" t="s">
        <v>1168</v>
      </c>
      <c r="P1629" t="s">
        <v>1169</v>
      </c>
      <c r="Q1629" t="s">
        <v>5893</v>
      </c>
      <c r="R1629" t="s">
        <v>5894</v>
      </c>
      <c r="S1629" t="s">
        <v>550</v>
      </c>
      <c r="T1629" t="s">
        <v>550</v>
      </c>
      <c r="U1629" t="s">
        <v>550</v>
      </c>
      <c r="V1629" t="s">
        <v>6287</v>
      </c>
      <c r="W1629" t="s">
        <v>554</v>
      </c>
      <c r="X1629" t="s">
        <v>669</v>
      </c>
      <c r="Y1629" t="s">
        <v>799</v>
      </c>
      <c r="Z1629" t="s">
        <v>6282</v>
      </c>
    </row>
    <row r="1630" spans="1:26" x14ac:dyDescent="0.3">
      <c r="A1630" t="s">
        <v>525</v>
      </c>
      <c r="B1630" t="s">
        <v>6288</v>
      </c>
      <c r="C1630" t="s">
        <v>6289</v>
      </c>
      <c r="D1630" t="s">
        <v>6228</v>
      </c>
      <c r="E1630" t="s">
        <v>6290</v>
      </c>
      <c r="F1630" t="s">
        <v>6291</v>
      </c>
      <c r="G1630" s="1">
        <v>43102</v>
      </c>
      <c r="H1630" s="1">
        <v>43465</v>
      </c>
      <c r="I1630" t="s">
        <v>665</v>
      </c>
      <c r="J1630" t="s">
        <v>6292</v>
      </c>
      <c r="K1630" t="s">
        <v>24</v>
      </c>
      <c r="L1630" t="s">
        <v>216</v>
      </c>
      <c r="M1630" t="s">
        <v>797</v>
      </c>
      <c r="N1630" t="s">
        <v>313</v>
      </c>
      <c r="O1630" t="s">
        <v>1168</v>
      </c>
      <c r="P1630" t="s">
        <v>1169</v>
      </c>
      <c r="Q1630" t="s">
        <v>5893</v>
      </c>
      <c r="R1630" t="s">
        <v>5894</v>
      </c>
      <c r="S1630" t="s">
        <v>550</v>
      </c>
      <c r="T1630" t="s">
        <v>550</v>
      </c>
      <c r="U1630" t="s">
        <v>550</v>
      </c>
      <c r="V1630" t="s">
        <v>6293</v>
      </c>
      <c r="W1630" t="s">
        <v>554</v>
      </c>
      <c r="X1630" t="s">
        <v>669</v>
      </c>
      <c r="Y1630" t="s">
        <v>799</v>
      </c>
      <c r="Z1630" t="s">
        <v>6288</v>
      </c>
    </row>
    <row r="1631" spans="1:26" x14ac:dyDescent="0.3">
      <c r="A1631" t="s">
        <v>525</v>
      </c>
      <c r="B1631" t="s">
        <v>6294</v>
      </c>
      <c r="C1631" t="s">
        <v>6295</v>
      </c>
      <c r="D1631" t="s">
        <v>6228</v>
      </c>
      <c r="E1631" t="s">
        <v>6296</v>
      </c>
      <c r="F1631" t="s">
        <v>6295</v>
      </c>
      <c r="G1631" s="1">
        <v>43102</v>
      </c>
      <c r="H1631" s="1">
        <v>43465</v>
      </c>
      <c r="I1631" t="s">
        <v>665</v>
      </c>
      <c r="J1631" t="s">
        <v>6297</v>
      </c>
      <c r="K1631" t="s">
        <v>24</v>
      </c>
      <c r="L1631" t="s">
        <v>216</v>
      </c>
      <c r="M1631" t="s">
        <v>797</v>
      </c>
      <c r="N1631" t="s">
        <v>313</v>
      </c>
      <c r="O1631" t="s">
        <v>1168</v>
      </c>
      <c r="P1631" t="s">
        <v>1169</v>
      </c>
      <c r="Q1631" t="s">
        <v>5893</v>
      </c>
      <c r="R1631" t="s">
        <v>5894</v>
      </c>
      <c r="S1631" t="s">
        <v>550</v>
      </c>
      <c r="T1631" t="s">
        <v>550</v>
      </c>
      <c r="U1631" t="s">
        <v>550</v>
      </c>
      <c r="V1631" t="s">
        <v>6298</v>
      </c>
      <c r="W1631" t="s">
        <v>554</v>
      </c>
      <c r="X1631" t="s">
        <v>669</v>
      </c>
      <c r="Y1631" t="s">
        <v>799</v>
      </c>
      <c r="Z1631" t="s">
        <v>6294</v>
      </c>
    </row>
    <row r="1632" spans="1:26" x14ac:dyDescent="0.3">
      <c r="A1632" t="s">
        <v>525</v>
      </c>
      <c r="B1632" t="s">
        <v>6299</v>
      </c>
      <c r="C1632" t="s">
        <v>6300</v>
      </c>
      <c r="D1632" t="s">
        <v>5989</v>
      </c>
      <c r="E1632" t="s">
        <v>664</v>
      </c>
      <c r="F1632" t="s">
        <v>27</v>
      </c>
      <c r="G1632" s="1">
        <v>43102</v>
      </c>
      <c r="H1632" s="1">
        <v>43465</v>
      </c>
      <c r="I1632" t="s">
        <v>665</v>
      </c>
      <c r="J1632" t="s">
        <v>666</v>
      </c>
      <c r="K1632" t="s">
        <v>24</v>
      </c>
      <c r="L1632" t="s">
        <v>216</v>
      </c>
      <c r="M1632" t="s">
        <v>797</v>
      </c>
      <c r="N1632" t="s">
        <v>313</v>
      </c>
      <c r="O1632" t="s">
        <v>1168</v>
      </c>
      <c r="P1632" t="s">
        <v>1169</v>
      </c>
      <c r="Q1632" t="s">
        <v>5893</v>
      </c>
      <c r="R1632" t="s">
        <v>5894</v>
      </c>
      <c r="S1632" t="s">
        <v>550</v>
      </c>
      <c r="T1632" t="s">
        <v>550</v>
      </c>
      <c r="U1632" t="s">
        <v>550</v>
      </c>
      <c r="V1632" t="s">
        <v>6301</v>
      </c>
      <c r="W1632" t="s">
        <v>554</v>
      </c>
      <c r="X1632" t="s">
        <v>669</v>
      </c>
      <c r="Y1632" t="s">
        <v>799</v>
      </c>
      <c r="Z1632" t="s">
        <v>6299</v>
      </c>
    </row>
    <row r="1633" spans="1:26" x14ac:dyDescent="0.3">
      <c r="A1633" t="s">
        <v>525</v>
      </c>
      <c r="B1633" t="s">
        <v>6302</v>
      </c>
      <c r="C1633" t="s">
        <v>5904</v>
      </c>
      <c r="D1633" t="s">
        <v>6299</v>
      </c>
      <c r="E1633" t="s">
        <v>664</v>
      </c>
      <c r="F1633" t="s">
        <v>27</v>
      </c>
      <c r="G1633" s="1">
        <v>43102</v>
      </c>
      <c r="H1633" s="1">
        <v>43465</v>
      </c>
      <c r="I1633" t="s">
        <v>665</v>
      </c>
      <c r="J1633" t="s">
        <v>666</v>
      </c>
      <c r="K1633" t="s">
        <v>24</v>
      </c>
      <c r="L1633" t="s">
        <v>216</v>
      </c>
      <c r="M1633" t="s">
        <v>797</v>
      </c>
      <c r="N1633" t="s">
        <v>313</v>
      </c>
      <c r="O1633" t="s">
        <v>1168</v>
      </c>
      <c r="P1633" t="s">
        <v>1169</v>
      </c>
      <c r="Q1633" t="s">
        <v>5893</v>
      </c>
      <c r="R1633" t="s">
        <v>5894</v>
      </c>
      <c r="S1633" t="s">
        <v>550</v>
      </c>
      <c r="T1633" t="s">
        <v>550</v>
      </c>
      <c r="U1633" t="s">
        <v>550</v>
      </c>
      <c r="V1633" t="s">
        <v>6303</v>
      </c>
      <c r="W1633" t="s">
        <v>554</v>
      </c>
      <c r="X1633" t="s">
        <v>669</v>
      </c>
      <c r="Y1633" t="s">
        <v>799</v>
      </c>
      <c r="Z1633" t="s">
        <v>6302</v>
      </c>
    </row>
    <row r="1634" spans="1:26" x14ac:dyDescent="0.3">
      <c r="A1634" t="s">
        <v>525</v>
      </c>
      <c r="B1634" t="s">
        <v>6304</v>
      </c>
      <c r="C1634" t="s">
        <v>6305</v>
      </c>
      <c r="D1634" t="s">
        <v>550</v>
      </c>
      <c r="E1634" t="s">
        <v>664</v>
      </c>
      <c r="F1634" t="s">
        <v>27</v>
      </c>
      <c r="G1634" s="1">
        <v>42371</v>
      </c>
      <c r="H1634" s="1">
        <v>43465</v>
      </c>
      <c r="I1634" t="s">
        <v>665</v>
      </c>
      <c r="J1634" t="s">
        <v>666</v>
      </c>
      <c r="K1634" t="s">
        <v>24</v>
      </c>
      <c r="L1634" t="s">
        <v>216</v>
      </c>
      <c r="M1634" t="s">
        <v>797</v>
      </c>
      <c r="N1634" t="s">
        <v>313</v>
      </c>
      <c r="O1634" t="s">
        <v>1168</v>
      </c>
      <c r="P1634" t="s">
        <v>1169</v>
      </c>
      <c r="Q1634" t="s">
        <v>5893</v>
      </c>
      <c r="R1634" t="s">
        <v>5894</v>
      </c>
      <c r="S1634" t="s">
        <v>550</v>
      </c>
      <c r="T1634" t="s">
        <v>550</v>
      </c>
      <c r="U1634" t="s">
        <v>550</v>
      </c>
      <c r="V1634" t="s">
        <v>6306</v>
      </c>
      <c r="W1634" t="s">
        <v>554</v>
      </c>
      <c r="X1634" t="s">
        <v>669</v>
      </c>
      <c r="Y1634" t="s">
        <v>799</v>
      </c>
      <c r="Z1634" t="s">
        <v>6304</v>
      </c>
    </row>
    <row r="1635" spans="1:26" x14ac:dyDescent="0.3">
      <c r="A1635" t="s">
        <v>525</v>
      </c>
      <c r="B1635" t="s">
        <v>6307</v>
      </c>
      <c r="C1635" t="s">
        <v>6308</v>
      </c>
      <c r="D1635" t="s">
        <v>6304</v>
      </c>
      <c r="E1635" t="s">
        <v>5510</v>
      </c>
      <c r="F1635" t="s">
        <v>5511</v>
      </c>
      <c r="G1635" s="1">
        <v>43102</v>
      </c>
      <c r="H1635" s="1">
        <v>43465</v>
      </c>
      <c r="I1635" t="s">
        <v>665</v>
      </c>
      <c r="J1635" t="s">
        <v>5512</v>
      </c>
      <c r="K1635" t="s">
        <v>24</v>
      </c>
      <c r="L1635" t="s">
        <v>216</v>
      </c>
      <c r="M1635" t="s">
        <v>797</v>
      </c>
      <c r="N1635" t="s">
        <v>313</v>
      </c>
      <c r="O1635" t="s">
        <v>1168</v>
      </c>
      <c r="P1635" t="s">
        <v>1169</v>
      </c>
      <c r="Q1635" t="s">
        <v>5893</v>
      </c>
      <c r="R1635" t="s">
        <v>5894</v>
      </c>
      <c r="S1635" t="s">
        <v>550</v>
      </c>
      <c r="T1635" t="s">
        <v>550</v>
      </c>
      <c r="U1635" t="s">
        <v>550</v>
      </c>
      <c r="V1635" t="s">
        <v>6309</v>
      </c>
      <c r="W1635" t="s">
        <v>554</v>
      </c>
      <c r="X1635" t="s">
        <v>669</v>
      </c>
      <c r="Y1635" t="s">
        <v>799</v>
      </c>
      <c r="Z1635" t="s">
        <v>6307</v>
      </c>
    </row>
    <row r="1636" spans="1:26" x14ac:dyDescent="0.3">
      <c r="A1636" t="s">
        <v>525</v>
      </c>
      <c r="B1636" t="s">
        <v>5979</v>
      </c>
      <c r="C1636" t="s">
        <v>6310</v>
      </c>
      <c r="D1636" t="s">
        <v>550</v>
      </c>
      <c r="E1636" t="s">
        <v>664</v>
      </c>
      <c r="F1636" t="s">
        <v>27</v>
      </c>
      <c r="G1636" s="1">
        <v>43102</v>
      </c>
      <c r="H1636" s="1">
        <v>43830</v>
      </c>
      <c r="I1636" t="s">
        <v>665</v>
      </c>
      <c r="J1636" t="s">
        <v>666</v>
      </c>
      <c r="K1636" t="s">
        <v>24</v>
      </c>
      <c r="L1636" t="s">
        <v>667</v>
      </c>
      <c r="M1636" t="s">
        <v>797</v>
      </c>
      <c r="N1636" t="s">
        <v>313</v>
      </c>
      <c r="O1636" t="s">
        <v>1168</v>
      </c>
      <c r="P1636" t="s">
        <v>1169</v>
      </c>
      <c r="Q1636" t="s">
        <v>5893</v>
      </c>
      <c r="R1636" t="s">
        <v>5894</v>
      </c>
      <c r="S1636" t="s">
        <v>550</v>
      </c>
      <c r="T1636" t="s">
        <v>550</v>
      </c>
      <c r="U1636" t="s">
        <v>550</v>
      </c>
      <c r="V1636" t="s">
        <v>6311</v>
      </c>
      <c r="W1636" t="s">
        <v>554</v>
      </c>
      <c r="X1636" t="s">
        <v>669</v>
      </c>
      <c r="Y1636" t="s">
        <v>799</v>
      </c>
      <c r="Z1636" t="s">
        <v>5979</v>
      </c>
    </row>
    <row r="1637" spans="1:26" x14ac:dyDescent="0.3">
      <c r="A1637" t="s">
        <v>525</v>
      </c>
      <c r="B1637" t="s">
        <v>6312</v>
      </c>
      <c r="C1637" t="s">
        <v>6313</v>
      </c>
      <c r="D1637" t="s">
        <v>6314</v>
      </c>
      <c r="E1637" t="s">
        <v>664</v>
      </c>
      <c r="F1637" t="s">
        <v>27</v>
      </c>
      <c r="G1637" s="1">
        <v>43102</v>
      </c>
      <c r="H1637" s="1">
        <v>43465</v>
      </c>
      <c r="I1637" t="s">
        <v>665</v>
      </c>
      <c r="J1637" t="s">
        <v>666</v>
      </c>
      <c r="K1637" t="s">
        <v>24</v>
      </c>
      <c r="L1637" t="s">
        <v>667</v>
      </c>
      <c r="M1637" t="s">
        <v>1230</v>
      </c>
      <c r="N1637" t="s">
        <v>1231</v>
      </c>
      <c r="O1637" t="s">
        <v>1168</v>
      </c>
      <c r="P1637" t="s">
        <v>1169</v>
      </c>
      <c r="Q1637" t="s">
        <v>5893</v>
      </c>
      <c r="R1637" t="s">
        <v>5894</v>
      </c>
      <c r="S1637" t="s">
        <v>550</v>
      </c>
      <c r="T1637" t="s">
        <v>550</v>
      </c>
      <c r="U1637" t="s">
        <v>550</v>
      </c>
      <c r="V1637" t="s">
        <v>6315</v>
      </c>
      <c r="W1637" t="s">
        <v>554</v>
      </c>
      <c r="X1637" t="s">
        <v>669</v>
      </c>
      <c r="Y1637" t="s">
        <v>799</v>
      </c>
      <c r="Z1637" t="s">
        <v>6312</v>
      </c>
    </row>
    <row r="1638" spans="1:26" x14ac:dyDescent="0.3">
      <c r="A1638" t="s">
        <v>525</v>
      </c>
      <c r="B1638" t="s">
        <v>6230</v>
      </c>
      <c r="C1638" t="s">
        <v>6316</v>
      </c>
      <c r="D1638" t="s">
        <v>550</v>
      </c>
      <c r="E1638" t="s">
        <v>664</v>
      </c>
      <c r="F1638" t="s">
        <v>27</v>
      </c>
      <c r="G1638" s="1">
        <v>42371</v>
      </c>
      <c r="H1638" s="1">
        <v>43465</v>
      </c>
      <c r="I1638" t="s">
        <v>665</v>
      </c>
      <c r="J1638" t="s">
        <v>666</v>
      </c>
      <c r="K1638" t="s">
        <v>24</v>
      </c>
      <c r="L1638" t="s">
        <v>216</v>
      </c>
      <c r="M1638" t="s">
        <v>3808</v>
      </c>
      <c r="N1638" t="s">
        <v>3809</v>
      </c>
      <c r="O1638" t="s">
        <v>1168</v>
      </c>
      <c r="P1638" t="s">
        <v>1169</v>
      </c>
      <c r="Q1638" t="s">
        <v>5893</v>
      </c>
      <c r="R1638" t="s">
        <v>5894</v>
      </c>
      <c r="S1638" t="s">
        <v>550</v>
      </c>
      <c r="T1638" t="s">
        <v>550</v>
      </c>
      <c r="U1638" t="s">
        <v>550</v>
      </c>
      <c r="V1638" t="s">
        <v>6317</v>
      </c>
      <c r="W1638" t="s">
        <v>554</v>
      </c>
      <c r="X1638" t="s">
        <v>669</v>
      </c>
      <c r="Y1638" t="s">
        <v>799</v>
      </c>
      <c r="Z1638" t="s">
        <v>6230</v>
      </c>
    </row>
    <row r="1639" spans="1:26" x14ac:dyDescent="0.3">
      <c r="A1639" t="s">
        <v>525</v>
      </c>
      <c r="B1639" t="s">
        <v>6318</v>
      </c>
      <c r="C1639" t="s">
        <v>1760</v>
      </c>
      <c r="D1639" t="s">
        <v>550</v>
      </c>
      <c r="E1639" t="s">
        <v>664</v>
      </c>
      <c r="F1639" t="s">
        <v>27</v>
      </c>
      <c r="G1639" s="1">
        <v>42737</v>
      </c>
      <c r="H1639" s="1">
        <v>44196</v>
      </c>
      <c r="I1639" t="s">
        <v>665</v>
      </c>
      <c r="J1639" t="s">
        <v>666</v>
      </c>
      <c r="K1639" t="s">
        <v>958</v>
      </c>
      <c r="L1639" t="s">
        <v>216</v>
      </c>
      <c r="M1639" t="s">
        <v>3808</v>
      </c>
      <c r="N1639" t="s">
        <v>3809</v>
      </c>
      <c r="O1639" t="s">
        <v>1168</v>
      </c>
      <c r="P1639" t="s">
        <v>1169</v>
      </c>
      <c r="Q1639" t="s">
        <v>5893</v>
      </c>
      <c r="R1639" t="s">
        <v>5894</v>
      </c>
      <c r="S1639" t="s">
        <v>550</v>
      </c>
      <c r="T1639" t="s">
        <v>550</v>
      </c>
      <c r="U1639" t="s">
        <v>550</v>
      </c>
      <c r="V1639" t="s">
        <v>6319</v>
      </c>
      <c r="W1639" t="s">
        <v>554</v>
      </c>
      <c r="X1639" t="s">
        <v>669</v>
      </c>
      <c r="Y1639" t="s">
        <v>799</v>
      </c>
      <c r="Z1639" t="s">
        <v>6318</v>
      </c>
    </row>
    <row r="1640" spans="1:26" x14ac:dyDescent="0.3">
      <c r="A1640" t="s">
        <v>525</v>
      </c>
      <c r="B1640" t="s">
        <v>2991</v>
      </c>
      <c r="C1640" t="s">
        <v>6320</v>
      </c>
      <c r="D1640" t="s">
        <v>550</v>
      </c>
      <c r="E1640" t="s">
        <v>664</v>
      </c>
      <c r="F1640" t="s">
        <v>27</v>
      </c>
      <c r="G1640" s="1">
        <v>42737</v>
      </c>
      <c r="H1640" s="1">
        <v>43465</v>
      </c>
      <c r="I1640" t="s">
        <v>665</v>
      </c>
      <c r="J1640" t="s">
        <v>666</v>
      </c>
      <c r="K1640" t="s">
        <v>24</v>
      </c>
      <c r="L1640" t="s">
        <v>667</v>
      </c>
      <c r="M1640" t="s">
        <v>3808</v>
      </c>
      <c r="N1640" t="s">
        <v>3809</v>
      </c>
      <c r="O1640" t="s">
        <v>1168</v>
      </c>
      <c r="P1640" t="s">
        <v>1169</v>
      </c>
      <c r="Q1640" t="s">
        <v>5893</v>
      </c>
      <c r="R1640" t="s">
        <v>5894</v>
      </c>
      <c r="S1640" t="s">
        <v>550</v>
      </c>
      <c r="T1640" t="s">
        <v>550</v>
      </c>
      <c r="U1640" t="s">
        <v>550</v>
      </c>
      <c r="V1640" t="s">
        <v>6321</v>
      </c>
      <c r="W1640" t="s">
        <v>554</v>
      </c>
      <c r="X1640" t="s">
        <v>669</v>
      </c>
      <c r="Y1640" t="s">
        <v>799</v>
      </c>
      <c r="Z1640" t="s">
        <v>2991</v>
      </c>
    </row>
    <row r="1641" spans="1:26" x14ac:dyDescent="0.3">
      <c r="A1641" t="s">
        <v>525</v>
      </c>
      <c r="B1641" t="s">
        <v>6124</v>
      </c>
      <c r="C1641" t="s">
        <v>6322</v>
      </c>
      <c r="D1641" t="s">
        <v>550</v>
      </c>
      <c r="E1641" t="s">
        <v>664</v>
      </c>
      <c r="F1641" t="s">
        <v>27</v>
      </c>
      <c r="G1641" s="1">
        <v>42371</v>
      </c>
      <c r="H1641" s="1">
        <v>43465</v>
      </c>
      <c r="I1641" t="s">
        <v>665</v>
      </c>
      <c r="J1641" t="s">
        <v>666</v>
      </c>
      <c r="K1641" t="s">
        <v>24</v>
      </c>
      <c r="L1641" t="s">
        <v>667</v>
      </c>
      <c r="M1641" t="s">
        <v>5534</v>
      </c>
      <c r="N1641" t="s">
        <v>5535</v>
      </c>
      <c r="O1641" t="s">
        <v>1168</v>
      </c>
      <c r="P1641" t="s">
        <v>1169</v>
      </c>
      <c r="Q1641" t="s">
        <v>5893</v>
      </c>
      <c r="R1641" t="s">
        <v>5894</v>
      </c>
      <c r="S1641" t="s">
        <v>550</v>
      </c>
      <c r="T1641" t="s">
        <v>550</v>
      </c>
      <c r="U1641" t="s">
        <v>550</v>
      </c>
      <c r="V1641" t="s">
        <v>6323</v>
      </c>
      <c r="W1641" t="s">
        <v>554</v>
      </c>
      <c r="X1641" t="s">
        <v>669</v>
      </c>
      <c r="Y1641" t="s">
        <v>799</v>
      </c>
      <c r="Z1641" t="s">
        <v>6124</v>
      </c>
    </row>
    <row r="1642" spans="1:26" x14ac:dyDescent="0.3">
      <c r="A1642" t="s">
        <v>525</v>
      </c>
      <c r="B1642" t="s">
        <v>6324</v>
      </c>
      <c r="C1642" t="s">
        <v>6325</v>
      </c>
      <c r="D1642" t="s">
        <v>550</v>
      </c>
      <c r="E1642" t="s">
        <v>664</v>
      </c>
      <c r="F1642" t="s">
        <v>27</v>
      </c>
      <c r="G1642" s="1">
        <v>42737</v>
      </c>
      <c r="H1642" s="1">
        <v>43465</v>
      </c>
      <c r="I1642" t="s">
        <v>665</v>
      </c>
      <c r="J1642" t="s">
        <v>666</v>
      </c>
      <c r="K1642" t="s">
        <v>24</v>
      </c>
      <c r="L1642" t="s">
        <v>667</v>
      </c>
      <c r="M1642" t="s">
        <v>797</v>
      </c>
      <c r="N1642" t="s">
        <v>313</v>
      </c>
      <c r="O1642" t="s">
        <v>1168</v>
      </c>
      <c r="P1642" t="s">
        <v>1169</v>
      </c>
      <c r="Q1642" t="s">
        <v>5893</v>
      </c>
      <c r="R1642" t="s">
        <v>5894</v>
      </c>
      <c r="S1642" t="s">
        <v>550</v>
      </c>
      <c r="T1642" t="s">
        <v>550</v>
      </c>
      <c r="U1642" t="s">
        <v>550</v>
      </c>
      <c r="V1642" t="s">
        <v>6326</v>
      </c>
      <c r="W1642" t="s">
        <v>554</v>
      </c>
      <c r="X1642" t="s">
        <v>669</v>
      </c>
      <c r="Y1642" t="s">
        <v>799</v>
      </c>
      <c r="Z1642" t="s">
        <v>6324</v>
      </c>
    </row>
    <row r="1643" spans="1:26" x14ac:dyDescent="0.3">
      <c r="A1643" t="s">
        <v>525</v>
      </c>
      <c r="B1643" t="s">
        <v>6314</v>
      </c>
      <c r="C1643" t="s">
        <v>6327</v>
      </c>
      <c r="D1643" t="s">
        <v>550</v>
      </c>
      <c r="E1643" t="s">
        <v>664</v>
      </c>
      <c r="F1643" t="s">
        <v>27</v>
      </c>
      <c r="G1643" s="1">
        <v>42737</v>
      </c>
      <c r="H1643" s="1">
        <v>43465</v>
      </c>
      <c r="I1643" t="s">
        <v>665</v>
      </c>
      <c r="J1643" t="s">
        <v>666</v>
      </c>
      <c r="K1643" t="s">
        <v>24</v>
      </c>
      <c r="L1643" t="s">
        <v>667</v>
      </c>
      <c r="M1643" t="s">
        <v>797</v>
      </c>
      <c r="N1643" t="s">
        <v>313</v>
      </c>
      <c r="O1643" t="s">
        <v>1168</v>
      </c>
      <c r="P1643" t="s">
        <v>1169</v>
      </c>
      <c r="Q1643" t="s">
        <v>5893</v>
      </c>
      <c r="R1643" t="s">
        <v>5894</v>
      </c>
      <c r="S1643" t="s">
        <v>550</v>
      </c>
      <c r="T1643" t="s">
        <v>550</v>
      </c>
      <c r="U1643" t="s">
        <v>550</v>
      </c>
      <c r="V1643" t="s">
        <v>6328</v>
      </c>
      <c r="W1643" t="s">
        <v>554</v>
      </c>
      <c r="X1643" t="s">
        <v>669</v>
      </c>
      <c r="Y1643" t="s">
        <v>799</v>
      </c>
      <c r="Z1643" t="s">
        <v>6314</v>
      </c>
    </row>
    <row r="1644" spans="1:26" x14ac:dyDescent="0.3">
      <c r="A1644" t="s">
        <v>525</v>
      </c>
      <c r="B1644" t="s">
        <v>6329</v>
      </c>
      <c r="C1644" t="s">
        <v>6330</v>
      </c>
      <c r="D1644" t="s">
        <v>550</v>
      </c>
      <c r="E1644" t="s">
        <v>664</v>
      </c>
      <c r="F1644" t="s">
        <v>27</v>
      </c>
      <c r="G1644" s="1">
        <v>42371</v>
      </c>
      <c r="H1644" s="1">
        <v>43465</v>
      </c>
      <c r="I1644" t="s">
        <v>665</v>
      </c>
      <c r="J1644" t="s">
        <v>666</v>
      </c>
      <c r="K1644" t="s">
        <v>24</v>
      </c>
      <c r="L1644" t="s">
        <v>667</v>
      </c>
      <c r="M1644" t="s">
        <v>797</v>
      </c>
      <c r="N1644" t="s">
        <v>313</v>
      </c>
      <c r="O1644" t="s">
        <v>1168</v>
      </c>
      <c r="P1644" t="s">
        <v>1169</v>
      </c>
      <c r="Q1644" t="s">
        <v>5893</v>
      </c>
      <c r="R1644" t="s">
        <v>5894</v>
      </c>
      <c r="S1644" t="s">
        <v>550</v>
      </c>
      <c r="T1644" t="s">
        <v>550</v>
      </c>
      <c r="U1644" t="s">
        <v>550</v>
      </c>
      <c r="V1644" t="s">
        <v>6331</v>
      </c>
      <c r="W1644" t="s">
        <v>554</v>
      </c>
      <c r="X1644" t="s">
        <v>669</v>
      </c>
      <c r="Y1644" t="s">
        <v>799</v>
      </c>
      <c r="Z1644" t="s">
        <v>6329</v>
      </c>
    </row>
    <row r="1645" spans="1:26" x14ac:dyDescent="0.3">
      <c r="A1645" t="s">
        <v>525</v>
      </c>
      <c r="B1645" t="s">
        <v>6332</v>
      </c>
      <c r="C1645" t="s">
        <v>6333</v>
      </c>
      <c r="D1645" t="s">
        <v>6329</v>
      </c>
      <c r="E1645" t="s">
        <v>664</v>
      </c>
      <c r="F1645" t="s">
        <v>27</v>
      </c>
      <c r="G1645" s="1">
        <v>43102</v>
      </c>
      <c r="H1645" s="1">
        <v>43465</v>
      </c>
      <c r="I1645" t="s">
        <v>665</v>
      </c>
      <c r="J1645" t="s">
        <v>666</v>
      </c>
      <c r="K1645" t="s">
        <v>24</v>
      </c>
      <c r="L1645" t="s">
        <v>667</v>
      </c>
      <c r="M1645" t="s">
        <v>797</v>
      </c>
      <c r="N1645" t="s">
        <v>313</v>
      </c>
      <c r="O1645" t="s">
        <v>1168</v>
      </c>
      <c r="P1645" t="s">
        <v>1169</v>
      </c>
      <c r="Q1645" t="s">
        <v>5893</v>
      </c>
      <c r="R1645" t="s">
        <v>5894</v>
      </c>
      <c r="S1645" t="s">
        <v>550</v>
      </c>
      <c r="T1645" t="s">
        <v>550</v>
      </c>
      <c r="U1645" t="s">
        <v>550</v>
      </c>
      <c r="V1645" t="s">
        <v>6334</v>
      </c>
      <c r="W1645" t="s">
        <v>554</v>
      </c>
      <c r="X1645" t="s">
        <v>669</v>
      </c>
      <c r="Y1645" t="s">
        <v>799</v>
      </c>
      <c r="Z1645" t="s">
        <v>6332</v>
      </c>
    </row>
    <row r="1646" spans="1:26" x14ac:dyDescent="0.3">
      <c r="A1646" t="s">
        <v>525</v>
      </c>
      <c r="B1646" t="s">
        <v>6335</v>
      </c>
      <c r="C1646" t="s">
        <v>6336</v>
      </c>
      <c r="D1646" t="s">
        <v>550</v>
      </c>
      <c r="E1646" t="s">
        <v>664</v>
      </c>
      <c r="F1646" t="s">
        <v>27</v>
      </c>
      <c r="G1646" s="1">
        <v>42371</v>
      </c>
      <c r="H1646" s="1">
        <v>43465</v>
      </c>
      <c r="I1646" t="s">
        <v>665</v>
      </c>
      <c r="J1646" t="s">
        <v>666</v>
      </c>
      <c r="K1646" t="s">
        <v>24</v>
      </c>
      <c r="L1646" t="s">
        <v>667</v>
      </c>
      <c r="M1646" t="s">
        <v>797</v>
      </c>
      <c r="N1646" t="s">
        <v>313</v>
      </c>
      <c r="O1646" t="s">
        <v>1168</v>
      </c>
      <c r="P1646" t="s">
        <v>1169</v>
      </c>
      <c r="Q1646" t="s">
        <v>5893</v>
      </c>
      <c r="R1646" t="s">
        <v>5894</v>
      </c>
      <c r="S1646" t="s">
        <v>550</v>
      </c>
      <c r="T1646" t="s">
        <v>550</v>
      </c>
      <c r="U1646" t="s">
        <v>550</v>
      </c>
      <c r="V1646" t="s">
        <v>6337</v>
      </c>
      <c r="W1646" t="s">
        <v>554</v>
      </c>
      <c r="X1646" t="s">
        <v>669</v>
      </c>
      <c r="Y1646" t="s">
        <v>799</v>
      </c>
      <c r="Z1646" t="s">
        <v>6335</v>
      </c>
    </row>
    <row r="1647" spans="1:26" x14ac:dyDescent="0.3">
      <c r="A1647" t="s">
        <v>525</v>
      </c>
      <c r="B1647" t="s">
        <v>6338</v>
      </c>
      <c r="C1647" t="s">
        <v>6339</v>
      </c>
      <c r="D1647" t="s">
        <v>6335</v>
      </c>
      <c r="E1647" t="s">
        <v>664</v>
      </c>
      <c r="F1647" t="s">
        <v>27</v>
      </c>
      <c r="G1647" s="1">
        <v>43102</v>
      </c>
      <c r="H1647" s="1">
        <v>43465</v>
      </c>
      <c r="I1647" t="s">
        <v>665</v>
      </c>
      <c r="J1647" t="s">
        <v>666</v>
      </c>
      <c r="K1647" t="s">
        <v>24</v>
      </c>
      <c r="L1647" t="s">
        <v>667</v>
      </c>
      <c r="M1647" t="s">
        <v>797</v>
      </c>
      <c r="N1647" t="s">
        <v>313</v>
      </c>
      <c r="O1647" t="s">
        <v>1168</v>
      </c>
      <c r="P1647" t="s">
        <v>1169</v>
      </c>
      <c r="Q1647" t="s">
        <v>5893</v>
      </c>
      <c r="R1647" t="s">
        <v>5894</v>
      </c>
      <c r="S1647" t="s">
        <v>550</v>
      </c>
      <c r="T1647" t="s">
        <v>550</v>
      </c>
      <c r="U1647" t="s">
        <v>550</v>
      </c>
      <c r="V1647" t="s">
        <v>6340</v>
      </c>
      <c r="W1647" t="s">
        <v>554</v>
      </c>
      <c r="X1647" t="s">
        <v>669</v>
      </c>
      <c r="Y1647" t="s">
        <v>799</v>
      </c>
      <c r="Z1647" t="s">
        <v>6338</v>
      </c>
    </row>
    <row r="1648" spans="1:26" x14ac:dyDescent="0.3">
      <c r="A1648" t="s">
        <v>525</v>
      </c>
      <c r="B1648" t="s">
        <v>5936</v>
      </c>
      <c r="C1648" t="s">
        <v>6341</v>
      </c>
      <c r="D1648" t="s">
        <v>550</v>
      </c>
      <c r="E1648" t="s">
        <v>664</v>
      </c>
      <c r="F1648" t="s">
        <v>27</v>
      </c>
      <c r="G1648" s="1">
        <v>42371</v>
      </c>
      <c r="H1648" s="1">
        <v>43465</v>
      </c>
      <c r="I1648" t="s">
        <v>665</v>
      </c>
      <c r="J1648" t="s">
        <v>666</v>
      </c>
      <c r="K1648" t="s">
        <v>24</v>
      </c>
      <c r="L1648" t="s">
        <v>1045</v>
      </c>
      <c r="M1648" t="s">
        <v>1030</v>
      </c>
      <c r="N1648" t="s">
        <v>255</v>
      </c>
      <c r="O1648" t="s">
        <v>1369</v>
      </c>
      <c r="P1648" t="s">
        <v>1370</v>
      </c>
      <c r="Q1648" t="s">
        <v>5893</v>
      </c>
      <c r="R1648" t="s">
        <v>5894</v>
      </c>
      <c r="S1648" t="s">
        <v>550</v>
      </c>
      <c r="T1648" t="s">
        <v>550</v>
      </c>
      <c r="U1648" t="s">
        <v>550</v>
      </c>
      <c r="V1648" t="s">
        <v>6342</v>
      </c>
      <c r="W1648" t="s">
        <v>1021</v>
      </c>
      <c r="X1648" t="s">
        <v>74</v>
      </c>
      <c r="Y1648" t="s">
        <v>803</v>
      </c>
      <c r="Z1648" t="s">
        <v>5936</v>
      </c>
    </row>
    <row r="1649" spans="1:26" x14ac:dyDescent="0.3">
      <c r="A1649" t="s">
        <v>525</v>
      </c>
      <c r="B1649" t="s">
        <v>6343</v>
      </c>
      <c r="C1649" t="s">
        <v>6344</v>
      </c>
      <c r="D1649" t="s">
        <v>550</v>
      </c>
      <c r="E1649" t="s">
        <v>664</v>
      </c>
      <c r="F1649" t="s">
        <v>27</v>
      </c>
      <c r="G1649" s="1">
        <v>42737</v>
      </c>
      <c r="H1649" s="1">
        <v>43830</v>
      </c>
      <c r="I1649" t="s">
        <v>665</v>
      </c>
      <c r="J1649" t="s">
        <v>666</v>
      </c>
      <c r="K1649" t="s">
        <v>900</v>
      </c>
      <c r="L1649" t="s">
        <v>1010</v>
      </c>
      <c r="M1649" t="s">
        <v>6098</v>
      </c>
      <c r="N1649" t="s">
        <v>6099</v>
      </c>
      <c r="O1649" t="s">
        <v>5622</v>
      </c>
      <c r="P1649" t="s">
        <v>5623</v>
      </c>
      <c r="Q1649" t="s">
        <v>5893</v>
      </c>
      <c r="R1649" t="s">
        <v>5894</v>
      </c>
      <c r="S1649" t="s">
        <v>550</v>
      </c>
      <c r="T1649" t="s">
        <v>550</v>
      </c>
      <c r="U1649" t="s">
        <v>550</v>
      </c>
      <c r="V1649" t="s">
        <v>6345</v>
      </c>
      <c r="W1649" t="s">
        <v>4361</v>
      </c>
      <c r="X1649" t="s">
        <v>669</v>
      </c>
      <c r="Y1649" t="s">
        <v>803</v>
      </c>
      <c r="Z1649" t="s">
        <v>6343</v>
      </c>
    </row>
    <row r="1650" spans="1:26" x14ac:dyDescent="0.3">
      <c r="A1650" t="s">
        <v>525</v>
      </c>
      <c r="B1650" t="s">
        <v>6346</v>
      </c>
      <c r="C1650" t="s">
        <v>6347</v>
      </c>
      <c r="D1650" t="s">
        <v>6343</v>
      </c>
      <c r="E1650" t="s">
        <v>664</v>
      </c>
      <c r="F1650" t="s">
        <v>27</v>
      </c>
      <c r="G1650" s="1">
        <v>43102</v>
      </c>
      <c r="H1650" s="1">
        <v>43465</v>
      </c>
      <c r="I1650" t="s">
        <v>665</v>
      </c>
      <c r="J1650" t="s">
        <v>666</v>
      </c>
      <c r="K1650" t="s">
        <v>900</v>
      </c>
      <c r="L1650" t="s">
        <v>1010</v>
      </c>
      <c r="M1650" t="s">
        <v>6098</v>
      </c>
      <c r="N1650" t="s">
        <v>6099</v>
      </c>
      <c r="O1650" t="s">
        <v>5622</v>
      </c>
      <c r="P1650" t="s">
        <v>5623</v>
      </c>
      <c r="Q1650" t="s">
        <v>5893</v>
      </c>
      <c r="R1650" t="s">
        <v>5894</v>
      </c>
      <c r="S1650" t="s">
        <v>550</v>
      </c>
      <c r="T1650" t="s">
        <v>550</v>
      </c>
      <c r="U1650" t="s">
        <v>550</v>
      </c>
      <c r="V1650" t="s">
        <v>6348</v>
      </c>
      <c r="W1650" t="s">
        <v>4361</v>
      </c>
      <c r="X1650" t="s">
        <v>669</v>
      </c>
      <c r="Y1650" t="s">
        <v>803</v>
      </c>
      <c r="Z1650" t="s">
        <v>6346</v>
      </c>
    </row>
    <row r="1651" spans="1:26" x14ac:dyDescent="0.3">
      <c r="A1651" t="s">
        <v>525</v>
      </c>
      <c r="B1651" t="s">
        <v>6349</v>
      </c>
      <c r="C1651" t="s">
        <v>6350</v>
      </c>
      <c r="D1651" t="s">
        <v>6097</v>
      </c>
      <c r="E1651" t="s">
        <v>664</v>
      </c>
      <c r="F1651" t="s">
        <v>27</v>
      </c>
      <c r="G1651" s="1">
        <v>43102</v>
      </c>
      <c r="H1651" s="1">
        <v>43465</v>
      </c>
      <c r="I1651" t="s">
        <v>665</v>
      </c>
      <c r="J1651" t="s">
        <v>666</v>
      </c>
      <c r="K1651" t="s">
        <v>900</v>
      </c>
      <c r="L1651" t="s">
        <v>1010</v>
      </c>
      <c r="M1651" t="s">
        <v>6098</v>
      </c>
      <c r="N1651" t="s">
        <v>6099</v>
      </c>
      <c r="O1651" t="s">
        <v>5622</v>
      </c>
      <c r="P1651" t="s">
        <v>5623</v>
      </c>
      <c r="Q1651" t="s">
        <v>5893</v>
      </c>
      <c r="R1651" t="s">
        <v>5894</v>
      </c>
      <c r="S1651" t="s">
        <v>550</v>
      </c>
      <c r="T1651" t="s">
        <v>550</v>
      </c>
      <c r="U1651" t="s">
        <v>550</v>
      </c>
      <c r="V1651" t="s">
        <v>6351</v>
      </c>
      <c r="W1651" t="s">
        <v>988</v>
      </c>
      <c r="X1651" t="s">
        <v>979</v>
      </c>
      <c r="Y1651" t="s">
        <v>803</v>
      </c>
      <c r="Z1651" t="s">
        <v>6349</v>
      </c>
    </row>
    <row r="1652" spans="1:26" x14ac:dyDescent="0.3">
      <c r="A1652" t="s">
        <v>525</v>
      </c>
      <c r="B1652" t="s">
        <v>6352</v>
      </c>
      <c r="C1652" t="s">
        <v>6353</v>
      </c>
      <c r="D1652" t="s">
        <v>6103</v>
      </c>
      <c r="E1652" t="s">
        <v>664</v>
      </c>
      <c r="F1652" t="s">
        <v>27</v>
      </c>
      <c r="G1652" s="1">
        <v>43102</v>
      </c>
      <c r="H1652" s="1">
        <v>43465</v>
      </c>
      <c r="I1652" t="s">
        <v>665</v>
      </c>
      <c r="J1652" t="s">
        <v>666</v>
      </c>
      <c r="K1652" t="s">
        <v>900</v>
      </c>
      <c r="L1652" t="s">
        <v>1010</v>
      </c>
      <c r="M1652" t="s">
        <v>5620</v>
      </c>
      <c r="N1652" t="s">
        <v>5621</v>
      </c>
      <c r="O1652" t="s">
        <v>5622</v>
      </c>
      <c r="P1652" t="s">
        <v>5623</v>
      </c>
      <c r="Q1652" t="s">
        <v>5893</v>
      </c>
      <c r="R1652" t="s">
        <v>5894</v>
      </c>
      <c r="S1652" t="s">
        <v>550</v>
      </c>
      <c r="T1652" t="s">
        <v>550</v>
      </c>
      <c r="U1652" t="s">
        <v>550</v>
      </c>
      <c r="V1652" t="s">
        <v>6354</v>
      </c>
      <c r="W1652" t="s">
        <v>1792</v>
      </c>
      <c r="X1652" t="s">
        <v>669</v>
      </c>
      <c r="Y1652" t="s">
        <v>803</v>
      </c>
      <c r="Z1652" t="s">
        <v>6352</v>
      </c>
    </row>
    <row r="1653" spans="1:26" x14ac:dyDescent="0.3">
      <c r="A1653" t="s">
        <v>525</v>
      </c>
      <c r="B1653" t="s">
        <v>6355</v>
      </c>
      <c r="C1653" t="s">
        <v>6356</v>
      </c>
      <c r="D1653" t="s">
        <v>6054</v>
      </c>
      <c r="E1653" t="s">
        <v>664</v>
      </c>
      <c r="F1653" t="s">
        <v>27</v>
      </c>
      <c r="G1653" s="1">
        <v>43102</v>
      </c>
      <c r="H1653" s="1">
        <v>43465</v>
      </c>
      <c r="I1653" t="s">
        <v>665</v>
      </c>
      <c r="J1653" t="s">
        <v>666</v>
      </c>
      <c r="K1653" t="s">
        <v>958</v>
      </c>
      <c r="L1653" t="s">
        <v>863</v>
      </c>
      <c r="M1653" t="s">
        <v>1459</v>
      </c>
      <c r="N1653" t="s">
        <v>1460</v>
      </c>
      <c r="O1653" t="s">
        <v>1459</v>
      </c>
      <c r="P1653" t="s">
        <v>1460</v>
      </c>
      <c r="Q1653" t="s">
        <v>5893</v>
      </c>
      <c r="R1653" t="s">
        <v>5894</v>
      </c>
      <c r="S1653" t="s">
        <v>550</v>
      </c>
      <c r="T1653" t="s">
        <v>550</v>
      </c>
      <c r="U1653" t="s">
        <v>550</v>
      </c>
      <c r="V1653" t="s">
        <v>6357</v>
      </c>
      <c r="W1653" t="s">
        <v>565</v>
      </c>
      <c r="X1653" t="s">
        <v>669</v>
      </c>
      <c r="Y1653" t="s">
        <v>856</v>
      </c>
      <c r="Z1653" t="s">
        <v>6355</v>
      </c>
    </row>
    <row r="1654" spans="1:26" x14ac:dyDescent="0.3">
      <c r="A1654" t="s">
        <v>525</v>
      </c>
      <c r="B1654" t="s">
        <v>6358</v>
      </c>
      <c r="C1654" t="s">
        <v>6359</v>
      </c>
      <c r="D1654" t="s">
        <v>6355</v>
      </c>
      <c r="E1654" t="s">
        <v>6360</v>
      </c>
      <c r="F1654" t="s">
        <v>6361</v>
      </c>
      <c r="G1654" s="1">
        <v>43102</v>
      </c>
      <c r="H1654" s="1">
        <v>43465</v>
      </c>
      <c r="I1654" t="s">
        <v>665</v>
      </c>
      <c r="J1654" t="s">
        <v>6362</v>
      </c>
      <c r="K1654" t="s">
        <v>958</v>
      </c>
      <c r="L1654" t="s">
        <v>863</v>
      </c>
      <c r="M1654" t="s">
        <v>1459</v>
      </c>
      <c r="N1654" t="s">
        <v>1460</v>
      </c>
      <c r="O1654" t="s">
        <v>1459</v>
      </c>
      <c r="P1654" t="s">
        <v>1460</v>
      </c>
      <c r="Q1654" t="s">
        <v>5893</v>
      </c>
      <c r="R1654" t="s">
        <v>5894</v>
      </c>
      <c r="S1654" t="s">
        <v>550</v>
      </c>
      <c r="T1654" t="s">
        <v>550</v>
      </c>
      <c r="U1654" t="s">
        <v>550</v>
      </c>
      <c r="V1654" t="s">
        <v>6363</v>
      </c>
      <c r="W1654" t="s">
        <v>565</v>
      </c>
      <c r="X1654" t="s">
        <v>669</v>
      </c>
      <c r="Y1654" t="s">
        <v>856</v>
      </c>
      <c r="Z1654" t="s">
        <v>6358</v>
      </c>
    </row>
    <row r="1655" spans="1:26" x14ac:dyDescent="0.3">
      <c r="A1655" t="s">
        <v>525</v>
      </c>
      <c r="B1655" t="s">
        <v>6364</v>
      </c>
      <c r="C1655" t="s">
        <v>6365</v>
      </c>
      <c r="D1655" t="s">
        <v>6355</v>
      </c>
      <c r="E1655" t="s">
        <v>6366</v>
      </c>
      <c r="F1655" t="s">
        <v>6367</v>
      </c>
      <c r="G1655" s="1">
        <v>43102</v>
      </c>
      <c r="H1655" s="1">
        <v>43465</v>
      </c>
      <c r="I1655" t="s">
        <v>665</v>
      </c>
      <c r="J1655" t="s">
        <v>6368</v>
      </c>
      <c r="K1655" t="s">
        <v>958</v>
      </c>
      <c r="L1655" t="s">
        <v>863</v>
      </c>
      <c r="M1655" t="s">
        <v>1459</v>
      </c>
      <c r="N1655" t="s">
        <v>1460</v>
      </c>
      <c r="O1655" t="s">
        <v>1459</v>
      </c>
      <c r="P1655" t="s">
        <v>1460</v>
      </c>
      <c r="Q1655" t="s">
        <v>5893</v>
      </c>
      <c r="R1655" t="s">
        <v>5894</v>
      </c>
      <c r="S1655" t="s">
        <v>550</v>
      </c>
      <c r="T1655" t="s">
        <v>550</v>
      </c>
      <c r="U1655" t="s">
        <v>550</v>
      </c>
      <c r="V1655" t="s">
        <v>6369</v>
      </c>
      <c r="W1655" t="s">
        <v>565</v>
      </c>
      <c r="X1655" t="s">
        <v>669</v>
      </c>
      <c r="Y1655" t="s">
        <v>856</v>
      </c>
      <c r="Z1655" t="s">
        <v>6364</v>
      </c>
    </row>
    <row r="1656" spans="1:26" x14ac:dyDescent="0.3">
      <c r="A1656" t="s">
        <v>525</v>
      </c>
      <c r="B1656" t="s">
        <v>6370</v>
      </c>
      <c r="C1656" t="s">
        <v>6371</v>
      </c>
      <c r="D1656" t="s">
        <v>6355</v>
      </c>
      <c r="E1656" t="s">
        <v>6372</v>
      </c>
      <c r="F1656" t="s">
        <v>6373</v>
      </c>
      <c r="G1656" s="1">
        <v>43102</v>
      </c>
      <c r="H1656" s="1">
        <v>43465</v>
      </c>
      <c r="I1656" t="s">
        <v>665</v>
      </c>
      <c r="J1656" t="s">
        <v>6374</v>
      </c>
      <c r="K1656" t="s">
        <v>958</v>
      </c>
      <c r="L1656" t="s">
        <v>863</v>
      </c>
      <c r="M1656" t="s">
        <v>1459</v>
      </c>
      <c r="N1656" t="s">
        <v>1460</v>
      </c>
      <c r="O1656" t="s">
        <v>1459</v>
      </c>
      <c r="P1656" t="s">
        <v>1460</v>
      </c>
      <c r="Q1656" t="s">
        <v>5893</v>
      </c>
      <c r="R1656" t="s">
        <v>5894</v>
      </c>
      <c r="S1656" t="s">
        <v>550</v>
      </c>
      <c r="T1656" t="s">
        <v>550</v>
      </c>
      <c r="U1656" t="s">
        <v>550</v>
      </c>
      <c r="V1656" t="s">
        <v>6375</v>
      </c>
      <c r="W1656" t="s">
        <v>565</v>
      </c>
      <c r="X1656" t="s">
        <v>669</v>
      </c>
      <c r="Y1656" t="s">
        <v>856</v>
      </c>
      <c r="Z1656" t="s">
        <v>6370</v>
      </c>
    </row>
    <row r="1657" spans="1:26" x14ac:dyDescent="0.3">
      <c r="A1657" t="s">
        <v>525</v>
      </c>
      <c r="B1657" t="s">
        <v>6376</v>
      </c>
      <c r="C1657" t="s">
        <v>2499</v>
      </c>
      <c r="D1657" t="s">
        <v>6057</v>
      </c>
      <c r="E1657" t="s">
        <v>664</v>
      </c>
      <c r="F1657" t="s">
        <v>27</v>
      </c>
      <c r="G1657" s="1">
        <v>43102</v>
      </c>
      <c r="H1657" s="1">
        <v>43465</v>
      </c>
      <c r="I1657" t="s">
        <v>665</v>
      </c>
      <c r="J1657" t="s">
        <v>666</v>
      </c>
      <c r="K1657" t="s">
        <v>24</v>
      </c>
      <c r="L1657" t="s">
        <v>863</v>
      </c>
      <c r="M1657" t="s">
        <v>1459</v>
      </c>
      <c r="N1657" t="s">
        <v>1460</v>
      </c>
      <c r="O1657" t="s">
        <v>1459</v>
      </c>
      <c r="P1657" t="s">
        <v>1460</v>
      </c>
      <c r="Q1657" t="s">
        <v>5893</v>
      </c>
      <c r="R1657" t="s">
        <v>5894</v>
      </c>
      <c r="S1657" t="s">
        <v>550</v>
      </c>
      <c r="T1657" t="s">
        <v>550</v>
      </c>
      <c r="U1657" t="s">
        <v>550</v>
      </c>
      <c r="V1657" t="s">
        <v>6377</v>
      </c>
      <c r="W1657" t="s">
        <v>565</v>
      </c>
      <c r="X1657" t="s">
        <v>669</v>
      </c>
      <c r="Y1657" t="s">
        <v>856</v>
      </c>
      <c r="Z1657" t="s">
        <v>6376</v>
      </c>
    </row>
    <row r="1658" spans="1:26" x14ac:dyDescent="0.3">
      <c r="A1658" t="s">
        <v>525</v>
      </c>
      <c r="B1658" t="s">
        <v>6378</v>
      </c>
      <c r="C1658" t="s">
        <v>6379</v>
      </c>
      <c r="D1658" t="s">
        <v>6376</v>
      </c>
      <c r="E1658" t="s">
        <v>2007</v>
      </c>
      <c r="F1658" t="s">
        <v>6380</v>
      </c>
      <c r="G1658" s="1">
        <v>43102</v>
      </c>
      <c r="H1658" s="1">
        <v>43465</v>
      </c>
      <c r="I1658" t="s">
        <v>665</v>
      </c>
      <c r="J1658" t="s">
        <v>6381</v>
      </c>
      <c r="K1658" t="s">
        <v>24</v>
      </c>
      <c r="L1658" t="s">
        <v>863</v>
      </c>
      <c r="M1658" t="s">
        <v>1459</v>
      </c>
      <c r="N1658" t="s">
        <v>1460</v>
      </c>
      <c r="O1658" t="s">
        <v>1459</v>
      </c>
      <c r="P1658" t="s">
        <v>1460</v>
      </c>
      <c r="Q1658" t="s">
        <v>5893</v>
      </c>
      <c r="R1658" t="s">
        <v>5894</v>
      </c>
      <c r="S1658" t="s">
        <v>550</v>
      </c>
      <c r="T1658" t="s">
        <v>550</v>
      </c>
      <c r="U1658" t="s">
        <v>550</v>
      </c>
      <c r="V1658" t="s">
        <v>6382</v>
      </c>
      <c r="W1658" t="s">
        <v>565</v>
      </c>
      <c r="X1658" t="s">
        <v>669</v>
      </c>
      <c r="Y1658" t="s">
        <v>856</v>
      </c>
      <c r="Z1658" t="s">
        <v>6378</v>
      </c>
    </row>
    <row r="1659" spans="1:26" x14ac:dyDescent="0.3">
      <c r="A1659" t="s">
        <v>525</v>
      </c>
      <c r="B1659" t="s">
        <v>6383</v>
      </c>
      <c r="C1659" t="s">
        <v>6384</v>
      </c>
      <c r="D1659" t="s">
        <v>6376</v>
      </c>
      <c r="E1659" t="s">
        <v>6182</v>
      </c>
      <c r="F1659" t="s">
        <v>6183</v>
      </c>
      <c r="G1659" s="1">
        <v>43102</v>
      </c>
      <c r="H1659" s="1">
        <v>43465</v>
      </c>
      <c r="I1659" t="s">
        <v>665</v>
      </c>
      <c r="J1659" t="s">
        <v>6385</v>
      </c>
      <c r="K1659" t="s">
        <v>24</v>
      </c>
      <c r="L1659" t="s">
        <v>863</v>
      </c>
      <c r="M1659" t="s">
        <v>1459</v>
      </c>
      <c r="N1659" t="s">
        <v>1460</v>
      </c>
      <c r="O1659" t="s">
        <v>1459</v>
      </c>
      <c r="P1659" t="s">
        <v>1460</v>
      </c>
      <c r="Q1659" t="s">
        <v>5893</v>
      </c>
      <c r="R1659" t="s">
        <v>5894</v>
      </c>
      <c r="S1659" t="s">
        <v>550</v>
      </c>
      <c r="T1659" t="s">
        <v>550</v>
      </c>
      <c r="U1659" t="s">
        <v>550</v>
      </c>
      <c r="V1659" t="s">
        <v>6386</v>
      </c>
      <c r="W1659" t="s">
        <v>565</v>
      </c>
      <c r="X1659" t="s">
        <v>669</v>
      </c>
      <c r="Y1659" t="s">
        <v>856</v>
      </c>
      <c r="Z1659" t="s">
        <v>6383</v>
      </c>
    </row>
    <row r="1660" spans="1:26" x14ac:dyDescent="0.3">
      <c r="A1660" t="s">
        <v>525</v>
      </c>
      <c r="B1660" t="s">
        <v>6387</v>
      </c>
      <c r="C1660" t="s">
        <v>6388</v>
      </c>
      <c r="D1660" t="s">
        <v>6376</v>
      </c>
      <c r="E1660" t="s">
        <v>6188</v>
      </c>
      <c r="F1660" t="s">
        <v>6189</v>
      </c>
      <c r="G1660" s="1">
        <v>43102</v>
      </c>
      <c r="H1660" s="1">
        <v>43465</v>
      </c>
      <c r="I1660" t="s">
        <v>665</v>
      </c>
      <c r="J1660" t="s">
        <v>6389</v>
      </c>
      <c r="K1660" t="s">
        <v>24</v>
      </c>
      <c r="L1660" t="s">
        <v>863</v>
      </c>
      <c r="M1660" t="s">
        <v>1459</v>
      </c>
      <c r="N1660" t="s">
        <v>1460</v>
      </c>
      <c r="O1660" t="s">
        <v>1459</v>
      </c>
      <c r="P1660" t="s">
        <v>1460</v>
      </c>
      <c r="Q1660" t="s">
        <v>5893</v>
      </c>
      <c r="R1660" t="s">
        <v>5894</v>
      </c>
      <c r="S1660" t="s">
        <v>550</v>
      </c>
      <c r="T1660" t="s">
        <v>550</v>
      </c>
      <c r="U1660" t="s">
        <v>550</v>
      </c>
      <c r="V1660" t="s">
        <v>6390</v>
      </c>
      <c r="W1660" t="s">
        <v>565</v>
      </c>
      <c r="X1660" t="s">
        <v>669</v>
      </c>
      <c r="Y1660" t="s">
        <v>856</v>
      </c>
      <c r="Z1660" t="s">
        <v>6387</v>
      </c>
    </row>
    <row r="1661" spans="1:26" x14ac:dyDescent="0.3">
      <c r="A1661" t="s">
        <v>525</v>
      </c>
      <c r="B1661" t="s">
        <v>6391</v>
      </c>
      <c r="C1661" t="s">
        <v>6392</v>
      </c>
      <c r="D1661" t="s">
        <v>6376</v>
      </c>
      <c r="E1661" t="s">
        <v>6393</v>
      </c>
      <c r="F1661" t="s">
        <v>6394</v>
      </c>
      <c r="G1661" s="1">
        <v>43102</v>
      </c>
      <c r="H1661" s="1">
        <v>43465</v>
      </c>
      <c r="I1661" t="s">
        <v>665</v>
      </c>
      <c r="J1661" t="s">
        <v>6395</v>
      </c>
      <c r="K1661" t="s">
        <v>24</v>
      </c>
      <c r="L1661" t="s">
        <v>863</v>
      </c>
      <c r="M1661" t="s">
        <v>1459</v>
      </c>
      <c r="N1661" t="s">
        <v>1460</v>
      </c>
      <c r="O1661" t="s">
        <v>1459</v>
      </c>
      <c r="P1661" t="s">
        <v>1460</v>
      </c>
      <c r="Q1661" t="s">
        <v>5893</v>
      </c>
      <c r="R1661" t="s">
        <v>5894</v>
      </c>
      <c r="S1661" t="s">
        <v>550</v>
      </c>
      <c r="T1661" t="s">
        <v>550</v>
      </c>
      <c r="U1661" t="s">
        <v>550</v>
      </c>
      <c r="V1661" t="s">
        <v>6396</v>
      </c>
      <c r="W1661" t="s">
        <v>565</v>
      </c>
      <c r="X1661" t="s">
        <v>669</v>
      </c>
      <c r="Y1661" t="s">
        <v>856</v>
      </c>
      <c r="Z1661" t="s">
        <v>6391</v>
      </c>
    </row>
    <row r="1662" spans="1:26" x14ac:dyDescent="0.3">
      <c r="A1662" t="s">
        <v>525</v>
      </c>
      <c r="B1662" t="s">
        <v>6397</v>
      </c>
      <c r="C1662" t="s">
        <v>6398</v>
      </c>
      <c r="D1662" t="s">
        <v>6376</v>
      </c>
      <c r="E1662" t="s">
        <v>6399</v>
      </c>
      <c r="F1662" t="s">
        <v>6400</v>
      </c>
      <c r="G1662" s="1">
        <v>43102</v>
      </c>
      <c r="H1662" s="1">
        <v>43465</v>
      </c>
      <c r="I1662" t="s">
        <v>665</v>
      </c>
      <c r="J1662" t="s">
        <v>6401</v>
      </c>
      <c r="K1662" t="s">
        <v>24</v>
      </c>
      <c r="L1662" t="s">
        <v>863</v>
      </c>
      <c r="M1662" t="s">
        <v>1459</v>
      </c>
      <c r="N1662" t="s">
        <v>1460</v>
      </c>
      <c r="O1662" t="s">
        <v>1459</v>
      </c>
      <c r="P1662" t="s">
        <v>1460</v>
      </c>
      <c r="Q1662" t="s">
        <v>5893</v>
      </c>
      <c r="R1662" t="s">
        <v>5894</v>
      </c>
      <c r="S1662" t="s">
        <v>550</v>
      </c>
      <c r="T1662" t="s">
        <v>550</v>
      </c>
      <c r="U1662" t="s">
        <v>550</v>
      </c>
      <c r="V1662" t="s">
        <v>6402</v>
      </c>
      <c r="W1662" t="s">
        <v>565</v>
      </c>
      <c r="X1662" t="s">
        <v>669</v>
      </c>
      <c r="Y1662" t="s">
        <v>856</v>
      </c>
      <c r="Z1662" t="s">
        <v>6397</v>
      </c>
    </row>
    <row r="1663" spans="1:26" x14ac:dyDescent="0.3">
      <c r="A1663" t="s">
        <v>525</v>
      </c>
      <c r="B1663" t="s">
        <v>6403</v>
      </c>
      <c r="C1663" t="s">
        <v>6404</v>
      </c>
      <c r="D1663" t="s">
        <v>6376</v>
      </c>
      <c r="E1663" t="s">
        <v>6405</v>
      </c>
      <c r="F1663" t="s">
        <v>6406</v>
      </c>
      <c r="G1663" s="1">
        <v>43102</v>
      </c>
      <c r="H1663" s="1">
        <v>43465</v>
      </c>
      <c r="I1663" t="s">
        <v>665</v>
      </c>
      <c r="J1663" t="s">
        <v>6407</v>
      </c>
      <c r="K1663" t="s">
        <v>24</v>
      </c>
      <c r="L1663" t="s">
        <v>863</v>
      </c>
      <c r="M1663" t="s">
        <v>1459</v>
      </c>
      <c r="N1663" t="s">
        <v>1460</v>
      </c>
      <c r="O1663" t="s">
        <v>1459</v>
      </c>
      <c r="P1663" t="s">
        <v>1460</v>
      </c>
      <c r="Q1663" t="s">
        <v>5893</v>
      </c>
      <c r="R1663" t="s">
        <v>5894</v>
      </c>
      <c r="S1663" t="s">
        <v>550</v>
      </c>
      <c r="T1663" t="s">
        <v>550</v>
      </c>
      <c r="U1663" t="s">
        <v>550</v>
      </c>
      <c r="V1663" t="s">
        <v>6408</v>
      </c>
      <c r="W1663" t="s">
        <v>565</v>
      </c>
      <c r="X1663" t="s">
        <v>669</v>
      </c>
      <c r="Y1663" t="s">
        <v>856</v>
      </c>
      <c r="Z1663" t="s">
        <v>6403</v>
      </c>
    </row>
    <row r="1664" spans="1:26" x14ac:dyDescent="0.3">
      <c r="A1664" t="s">
        <v>525</v>
      </c>
      <c r="B1664" t="s">
        <v>6409</v>
      </c>
      <c r="C1664" t="s">
        <v>6410</v>
      </c>
      <c r="D1664" t="s">
        <v>6376</v>
      </c>
      <c r="E1664" t="s">
        <v>6411</v>
      </c>
      <c r="F1664" t="s">
        <v>6412</v>
      </c>
      <c r="G1664" s="1">
        <v>43102</v>
      </c>
      <c r="H1664" s="1">
        <v>43465</v>
      </c>
      <c r="I1664" t="s">
        <v>665</v>
      </c>
      <c r="J1664" t="s">
        <v>6413</v>
      </c>
      <c r="K1664" t="s">
        <v>24</v>
      </c>
      <c r="L1664" t="s">
        <v>863</v>
      </c>
      <c r="M1664" t="s">
        <v>1459</v>
      </c>
      <c r="N1664" t="s">
        <v>1460</v>
      </c>
      <c r="O1664" t="s">
        <v>1459</v>
      </c>
      <c r="P1664" t="s">
        <v>1460</v>
      </c>
      <c r="Q1664" t="s">
        <v>5893</v>
      </c>
      <c r="R1664" t="s">
        <v>5894</v>
      </c>
      <c r="S1664" t="s">
        <v>550</v>
      </c>
      <c r="T1664" t="s">
        <v>550</v>
      </c>
      <c r="U1664" t="s">
        <v>550</v>
      </c>
      <c r="V1664" t="s">
        <v>6414</v>
      </c>
      <c r="W1664" t="s">
        <v>565</v>
      </c>
      <c r="X1664" t="s">
        <v>669</v>
      </c>
      <c r="Y1664" t="s">
        <v>856</v>
      </c>
      <c r="Z1664" t="s">
        <v>6409</v>
      </c>
    </row>
    <row r="1665" spans="1:26" x14ac:dyDescent="0.3">
      <c r="A1665" t="s">
        <v>330</v>
      </c>
      <c r="B1665" t="s">
        <v>6415</v>
      </c>
      <c r="C1665" t="s">
        <v>6416</v>
      </c>
      <c r="D1665" t="s">
        <v>550</v>
      </c>
      <c r="E1665" t="s">
        <v>6417</v>
      </c>
      <c r="F1665" t="s">
        <v>1040</v>
      </c>
      <c r="G1665" s="1">
        <v>45293</v>
      </c>
      <c r="H1665" s="1">
        <v>45293</v>
      </c>
      <c r="I1665" t="s">
        <v>665</v>
      </c>
      <c r="J1665" t="s">
        <v>6418</v>
      </c>
      <c r="K1665" t="s">
        <v>958</v>
      </c>
      <c r="L1665" t="s">
        <v>6419</v>
      </c>
      <c r="M1665" t="s">
        <v>6420</v>
      </c>
      <c r="N1665" t="s">
        <v>6421</v>
      </c>
      <c r="O1665" t="s">
        <v>6422</v>
      </c>
      <c r="P1665" t="s">
        <v>6423</v>
      </c>
      <c r="Q1665" t="s">
        <v>6424</v>
      </c>
      <c r="R1665" t="s">
        <v>6425</v>
      </c>
      <c r="S1665" t="s">
        <v>6426</v>
      </c>
      <c r="T1665" t="s">
        <v>550</v>
      </c>
      <c r="U1665" t="s">
        <v>550</v>
      </c>
      <c r="V1665" t="s">
        <v>6427</v>
      </c>
      <c r="W1665" t="s">
        <v>6428</v>
      </c>
      <c r="X1665" t="s">
        <v>6429</v>
      </c>
      <c r="Z1665" t="s">
        <v>6415</v>
      </c>
    </row>
    <row r="1666" spans="1:26" x14ac:dyDescent="0.3">
      <c r="A1666" t="s">
        <v>330</v>
      </c>
      <c r="B1666" t="s">
        <v>6430</v>
      </c>
      <c r="C1666" t="s">
        <v>6431</v>
      </c>
      <c r="D1666" t="s">
        <v>6415</v>
      </c>
      <c r="E1666" t="s">
        <v>6417</v>
      </c>
      <c r="F1666" t="s">
        <v>1040</v>
      </c>
      <c r="G1666" s="1">
        <v>45292</v>
      </c>
      <c r="H1666" s="1">
        <v>45758</v>
      </c>
      <c r="I1666" t="s">
        <v>665</v>
      </c>
      <c r="J1666" t="s">
        <v>6418</v>
      </c>
      <c r="K1666" t="s">
        <v>958</v>
      </c>
      <c r="L1666" t="s">
        <v>6419</v>
      </c>
      <c r="M1666" t="s">
        <v>6420</v>
      </c>
      <c r="N1666" t="s">
        <v>6421</v>
      </c>
      <c r="O1666" t="s">
        <v>6422</v>
      </c>
      <c r="P1666" t="s">
        <v>6423</v>
      </c>
      <c r="Q1666" t="s">
        <v>6424</v>
      </c>
      <c r="R1666" t="s">
        <v>6425</v>
      </c>
      <c r="S1666" t="s">
        <v>6426</v>
      </c>
      <c r="T1666" t="s">
        <v>550</v>
      </c>
      <c r="U1666" t="s">
        <v>550</v>
      </c>
      <c r="V1666" t="s">
        <v>6432</v>
      </c>
      <c r="W1666" t="s">
        <v>6428</v>
      </c>
      <c r="X1666" t="s">
        <v>6429</v>
      </c>
      <c r="Z1666" t="s">
        <v>6430</v>
      </c>
    </row>
    <row r="1667" spans="1:26" x14ac:dyDescent="0.3">
      <c r="A1667" t="s">
        <v>330</v>
      </c>
      <c r="B1667" t="s">
        <v>6433</v>
      </c>
      <c r="C1667" t="s">
        <v>6434</v>
      </c>
      <c r="D1667" t="s">
        <v>6415</v>
      </c>
      <c r="E1667" t="s">
        <v>6417</v>
      </c>
      <c r="F1667" t="s">
        <v>1040</v>
      </c>
      <c r="G1667" s="1">
        <v>45292</v>
      </c>
      <c r="H1667" s="1">
        <v>45499</v>
      </c>
      <c r="I1667" t="s">
        <v>665</v>
      </c>
      <c r="J1667" t="s">
        <v>6418</v>
      </c>
      <c r="K1667" t="s">
        <v>958</v>
      </c>
      <c r="L1667" t="s">
        <v>6419</v>
      </c>
      <c r="M1667" t="s">
        <v>6420</v>
      </c>
      <c r="N1667" t="s">
        <v>6421</v>
      </c>
      <c r="O1667" t="s">
        <v>6422</v>
      </c>
      <c r="P1667" t="s">
        <v>6423</v>
      </c>
      <c r="Q1667" t="s">
        <v>6424</v>
      </c>
      <c r="R1667" t="s">
        <v>6425</v>
      </c>
      <c r="S1667" t="s">
        <v>6426</v>
      </c>
      <c r="T1667" t="s">
        <v>550</v>
      </c>
      <c r="U1667" t="s">
        <v>550</v>
      </c>
      <c r="V1667" t="s">
        <v>6435</v>
      </c>
      <c r="W1667" t="s">
        <v>6428</v>
      </c>
      <c r="X1667" t="s">
        <v>6429</v>
      </c>
      <c r="Z1667" t="s">
        <v>6433</v>
      </c>
    </row>
    <row r="1668" spans="1:26" x14ac:dyDescent="0.3">
      <c r="A1668" t="s">
        <v>525</v>
      </c>
      <c r="B1668" t="s">
        <v>6436</v>
      </c>
      <c r="C1668" t="s">
        <v>6437</v>
      </c>
      <c r="D1668" t="s">
        <v>6438</v>
      </c>
      <c r="E1668" t="s">
        <v>664</v>
      </c>
      <c r="F1668" t="s">
        <v>27</v>
      </c>
      <c r="G1668" s="1">
        <v>45292</v>
      </c>
      <c r="H1668" s="1">
        <v>45292</v>
      </c>
      <c r="I1668" t="s">
        <v>665</v>
      </c>
      <c r="J1668" t="s">
        <v>666</v>
      </c>
      <c r="K1668" t="s">
        <v>24</v>
      </c>
      <c r="L1668" t="s">
        <v>217</v>
      </c>
      <c r="M1668" t="s">
        <v>6439</v>
      </c>
      <c r="N1668" t="s">
        <v>260</v>
      </c>
      <c r="O1668" t="s">
        <v>3819</v>
      </c>
      <c r="P1668" t="s">
        <v>250</v>
      </c>
      <c r="Q1668" t="s">
        <v>6424</v>
      </c>
      <c r="R1668" t="s">
        <v>6425</v>
      </c>
      <c r="S1668" t="s">
        <v>550</v>
      </c>
      <c r="T1668" t="s">
        <v>550</v>
      </c>
      <c r="U1668" t="s">
        <v>550</v>
      </c>
      <c r="V1668" t="s">
        <v>6440</v>
      </c>
      <c r="W1668" t="s">
        <v>835</v>
      </c>
      <c r="Z1668" t="s">
        <v>6436</v>
      </c>
    </row>
    <row r="1669" spans="1:26" x14ac:dyDescent="0.3">
      <c r="A1669" t="s">
        <v>330</v>
      </c>
      <c r="B1669" t="s">
        <v>6441</v>
      </c>
      <c r="C1669" t="s">
        <v>6442</v>
      </c>
      <c r="D1669" t="s">
        <v>6443</v>
      </c>
      <c r="E1669" t="s">
        <v>6417</v>
      </c>
      <c r="F1669" t="s">
        <v>1040</v>
      </c>
      <c r="G1669" s="1">
        <v>44927</v>
      </c>
      <c r="H1669" s="1">
        <v>45542</v>
      </c>
      <c r="I1669" t="s">
        <v>665</v>
      </c>
      <c r="J1669" t="s">
        <v>6418</v>
      </c>
      <c r="K1669" t="s">
        <v>958</v>
      </c>
      <c r="L1669" t="s">
        <v>6419</v>
      </c>
      <c r="M1669" t="s">
        <v>6444</v>
      </c>
      <c r="N1669" t="s">
        <v>6445</v>
      </c>
      <c r="O1669" t="s">
        <v>6446</v>
      </c>
      <c r="P1669" t="s">
        <v>6447</v>
      </c>
      <c r="Q1669" t="s">
        <v>6424</v>
      </c>
      <c r="R1669" t="s">
        <v>6425</v>
      </c>
      <c r="S1669" t="s">
        <v>6448</v>
      </c>
      <c r="T1669" t="s">
        <v>550</v>
      </c>
      <c r="U1669" t="s">
        <v>550</v>
      </c>
      <c r="V1669" t="s">
        <v>6449</v>
      </c>
      <c r="W1669" t="s">
        <v>6450</v>
      </c>
      <c r="X1669" t="s">
        <v>6451</v>
      </c>
      <c r="Y1669" t="s">
        <v>6452</v>
      </c>
      <c r="Z1669" t="s">
        <v>6441</v>
      </c>
    </row>
    <row r="1670" spans="1:26" x14ac:dyDescent="0.3">
      <c r="A1670" t="s">
        <v>525</v>
      </c>
      <c r="B1670" t="s">
        <v>6453</v>
      </c>
      <c r="C1670" t="s">
        <v>6454</v>
      </c>
      <c r="D1670" t="s">
        <v>550</v>
      </c>
      <c r="E1670" t="s">
        <v>1039</v>
      </c>
      <c r="F1670" t="s">
        <v>1040</v>
      </c>
      <c r="G1670" s="1">
        <v>45505</v>
      </c>
      <c r="H1670" s="1">
        <v>45505</v>
      </c>
      <c r="I1670" t="s">
        <v>780</v>
      </c>
      <c r="J1670" t="s">
        <v>3554</v>
      </c>
      <c r="K1670" t="s">
        <v>635</v>
      </c>
      <c r="L1670" t="s">
        <v>216</v>
      </c>
      <c r="M1670" t="s">
        <v>6455</v>
      </c>
      <c r="N1670" t="s">
        <v>6456</v>
      </c>
      <c r="O1670" t="s">
        <v>881</v>
      </c>
      <c r="P1670" t="s">
        <v>882</v>
      </c>
      <c r="Q1670" t="s">
        <v>6424</v>
      </c>
      <c r="R1670" t="s">
        <v>6425</v>
      </c>
      <c r="S1670" t="s">
        <v>550</v>
      </c>
      <c r="T1670" t="s">
        <v>550</v>
      </c>
      <c r="U1670" t="s">
        <v>550</v>
      </c>
      <c r="V1670" t="s">
        <v>6457</v>
      </c>
      <c r="W1670" t="s">
        <v>565</v>
      </c>
      <c r="Z1670" t="s">
        <v>6453</v>
      </c>
    </row>
    <row r="1671" spans="1:26" x14ac:dyDescent="0.3">
      <c r="A1671" t="s">
        <v>525</v>
      </c>
      <c r="B1671" t="s">
        <v>6458</v>
      </c>
      <c r="C1671" t="s">
        <v>6459</v>
      </c>
      <c r="D1671" t="s">
        <v>6453</v>
      </c>
      <c r="E1671" t="s">
        <v>1039</v>
      </c>
      <c r="F1671" t="s">
        <v>1040</v>
      </c>
      <c r="G1671" s="1">
        <v>45505</v>
      </c>
      <c r="H1671" s="1">
        <v>45559</v>
      </c>
      <c r="I1671" t="s">
        <v>665</v>
      </c>
      <c r="J1671" t="s">
        <v>3554</v>
      </c>
      <c r="K1671" t="s">
        <v>635</v>
      </c>
      <c r="L1671" t="s">
        <v>216</v>
      </c>
      <c r="M1671" t="s">
        <v>6455</v>
      </c>
      <c r="N1671" t="s">
        <v>6456</v>
      </c>
      <c r="O1671" t="s">
        <v>881</v>
      </c>
      <c r="P1671" t="s">
        <v>882</v>
      </c>
      <c r="Q1671" t="s">
        <v>6424</v>
      </c>
      <c r="R1671" t="s">
        <v>6425</v>
      </c>
      <c r="S1671" t="s">
        <v>783</v>
      </c>
      <c r="T1671" t="s">
        <v>550</v>
      </c>
      <c r="U1671" t="s">
        <v>550</v>
      </c>
      <c r="V1671" t="s">
        <v>6460</v>
      </c>
      <c r="W1671" t="s">
        <v>565</v>
      </c>
      <c r="Z1671" t="s">
        <v>6458</v>
      </c>
    </row>
    <row r="1672" spans="1:26" x14ac:dyDescent="0.3">
      <c r="A1672" t="s">
        <v>330</v>
      </c>
      <c r="B1672" t="s">
        <v>6461</v>
      </c>
      <c r="C1672" t="s">
        <v>6462</v>
      </c>
      <c r="D1672" t="s">
        <v>6463</v>
      </c>
      <c r="E1672" t="s">
        <v>6417</v>
      </c>
      <c r="F1672" t="s">
        <v>1040</v>
      </c>
      <c r="G1672" s="1">
        <v>45292</v>
      </c>
      <c r="H1672" s="1">
        <v>46340</v>
      </c>
      <c r="I1672" t="s">
        <v>665</v>
      </c>
      <c r="J1672" t="s">
        <v>6418</v>
      </c>
      <c r="K1672" t="s">
        <v>958</v>
      </c>
      <c r="L1672" t="s">
        <v>6419</v>
      </c>
      <c r="M1672" t="s">
        <v>6464</v>
      </c>
      <c r="N1672" t="s">
        <v>6465</v>
      </c>
      <c r="O1672" t="s">
        <v>6446</v>
      </c>
      <c r="P1672" t="s">
        <v>6447</v>
      </c>
      <c r="Q1672" t="s">
        <v>6424</v>
      </c>
      <c r="R1672" t="s">
        <v>6425</v>
      </c>
      <c r="S1672" t="s">
        <v>6466</v>
      </c>
      <c r="T1672" t="s">
        <v>550</v>
      </c>
      <c r="U1672" t="s">
        <v>550</v>
      </c>
      <c r="V1672" t="s">
        <v>6467</v>
      </c>
      <c r="W1672" t="s">
        <v>6450</v>
      </c>
      <c r="X1672" t="s">
        <v>6468</v>
      </c>
      <c r="Z1672" t="s">
        <v>6461</v>
      </c>
    </row>
    <row r="1673" spans="1:26" x14ac:dyDescent="0.3">
      <c r="A1673" t="s">
        <v>330</v>
      </c>
      <c r="B1673" t="s">
        <v>6469</v>
      </c>
      <c r="C1673" t="s">
        <v>6470</v>
      </c>
      <c r="D1673" t="s">
        <v>6463</v>
      </c>
      <c r="E1673" t="s">
        <v>6417</v>
      </c>
      <c r="F1673" t="s">
        <v>1040</v>
      </c>
      <c r="G1673" s="1">
        <v>45292</v>
      </c>
      <c r="H1673" s="1">
        <v>46340</v>
      </c>
      <c r="I1673" t="s">
        <v>665</v>
      </c>
      <c r="J1673" t="s">
        <v>6418</v>
      </c>
      <c r="K1673" t="s">
        <v>958</v>
      </c>
      <c r="L1673" t="s">
        <v>6419</v>
      </c>
      <c r="M1673" t="s">
        <v>6464</v>
      </c>
      <c r="N1673" t="s">
        <v>6465</v>
      </c>
      <c r="O1673" t="s">
        <v>6446</v>
      </c>
      <c r="P1673" t="s">
        <v>6447</v>
      </c>
      <c r="Q1673" t="s">
        <v>6424</v>
      </c>
      <c r="R1673" t="s">
        <v>6425</v>
      </c>
      <c r="S1673" t="s">
        <v>6466</v>
      </c>
      <c r="T1673" t="s">
        <v>550</v>
      </c>
      <c r="U1673" t="s">
        <v>550</v>
      </c>
      <c r="V1673" t="s">
        <v>6471</v>
      </c>
      <c r="W1673" t="s">
        <v>6450</v>
      </c>
      <c r="X1673" t="s">
        <v>6468</v>
      </c>
      <c r="Z1673" t="s">
        <v>6469</v>
      </c>
    </row>
    <row r="1674" spans="1:26" x14ac:dyDescent="0.3">
      <c r="A1674" t="s">
        <v>330</v>
      </c>
      <c r="B1674" t="s">
        <v>6472</v>
      </c>
      <c r="C1674" t="s">
        <v>6462</v>
      </c>
      <c r="D1674" t="s">
        <v>6443</v>
      </c>
      <c r="E1674" t="s">
        <v>6417</v>
      </c>
      <c r="F1674" t="s">
        <v>1040</v>
      </c>
      <c r="G1674" s="1">
        <v>44927</v>
      </c>
      <c r="H1674" s="1">
        <v>45918</v>
      </c>
      <c r="I1674" t="s">
        <v>665</v>
      </c>
      <c r="J1674" t="s">
        <v>6418</v>
      </c>
      <c r="K1674" t="s">
        <v>958</v>
      </c>
      <c r="L1674" t="s">
        <v>6419</v>
      </c>
      <c r="M1674" t="s">
        <v>6464</v>
      </c>
      <c r="N1674" t="s">
        <v>6465</v>
      </c>
      <c r="O1674" t="s">
        <v>6446</v>
      </c>
      <c r="P1674" t="s">
        <v>6447</v>
      </c>
      <c r="Q1674" t="s">
        <v>6424</v>
      </c>
      <c r="R1674" t="s">
        <v>6425</v>
      </c>
      <c r="S1674" t="s">
        <v>6448</v>
      </c>
      <c r="T1674" t="s">
        <v>550</v>
      </c>
      <c r="U1674" t="s">
        <v>550</v>
      </c>
      <c r="V1674" t="s">
        <v>6473</v>
      </c>
      <c r="W1674" t="s">
        <v>6450</v>
      </c>
      <c r="X1674" t="s">
        <v>6451</v>
      </c>
      <c r="Y1674" t="s">
        <v>6452</v>
      </c>
      <c r="Z1674" t="s">
        <v>6472</v>
      </c>
    </row>
    <row r="1675" spans="1:26" x14ac:dyDescent="0.3">
      <c r="A1675" t="s">
        <v>330</v>
      </c>
      <c r="B1675" t="s">
        <v>6474</v>
      </c>
      <c r="C1675" t="s">
        <v>6475</v>
      </c>
      <c r="D1675" t="s">
        <v>6443</v>
      </c>
      <c r="E1675" t="s">
        <v>6417</v>
      </c>
      <c r="F1675" t="s">
        <v>1040</v>
      </c>
      <c r="G1675" s="1">
        <v>44927</v>
      </c>
      <c r="H1675" s="1">
        <v>44994</v>
      </c>
      <c r="I1675" t="s">
        <v>665</v>
      </c>
      <c r="J1675" t="s">
        <v>6418</v>
      </c>
      <c r="K1675" t="s">
        <v>958</v>
      </c>
      <c r="L1675" t="s">
        <v>6419</v>
      </c>
      <c r="M1675" t="s">
        <v>6464</v>
      </c>
      <c r="N1675" t="s">
        <v>6465</v>
      </c>
      <c r="O1675" t="s">
        <v>6446</v>
      </c>
      <c r="P1675" t="s">
        <v>6447</v>
      </c>
      <c r="Q1675" t="s">
        <v>6424</v>
      </c>
      <c r="R1675" t="s">
        <v>6425</v>
      </c>
      <c r="S1675" t="s">
        <v>6448</v>
      </c>
      <c r="T1675" t="s">
        <v>550</v>
      </c>
      <c r="U1675" t="s">
        <v>550</v>
      </c>
      <c r="V1675" t="s">
        <v>6476</v>
      </c>
      <c r="W1675" t="s">
        <v>6450</v>
      </c>
      <c r="X1675" t="s">
        <v>6451</v>
      </c>
      <c r="Y1675" t="s">
        <v>6452</v>
      </c>
      <c r="Z1675" t="s">
        <v>6474</v>
      </c>
    </row>
    <row r="1676" spans="1:26" x14ac:dyDescent="0.3">
      <c r="A1676" t="s">
        <v>330</v>
      </c>
      <c r="B1676" t="s">
        <v>6477</v>
      </c>
      <c r="C1676" t="s">
        <v>6478</v>
      </c>
      <c r="D1676" t="s">
        <v>6463</v>
      </c>
      <c r="E1676" t="s">
        <v>6417</v>
      </c>
      <c r="F1676" t="s">
        <v>1040</v>
      </c>
      <c r="G1676" s="1">
        <v>45292</v>
      </c>
      <c r="H1676" s="1">
        <v>46213</v>
      </c>
      <c r="I1676" t="s">
        <v>665</v>
      </c>
      <c r="J1676" t="s">
        <v>6418</v>
      </c>
      <c r="K1676" t="s">
        <v>958</v>
      </c>
      <c r="L1676" t="s">
        <v>6419</v>
      </c>
      <c r="M1676" t="s">
        <v>6479</v>
      </c>
      <c r="N1676" t="s">
        <v>6480</v>
      </c>
      <c r="O1676" t="s">
        <v>6446</v>
      </c>
      <c r="P1676" t="s">
        <v>6447</v>
      </c>
      <c r="Q1676" t="s">
        <v>6424</v>
      </c>
      <c r="R1676" t="s">
        <v>6425</v>
      </c>
      <c r="S1676" t="s">
        <v>6466</v>
      </c>
      <c r="T1676" t="s">
        <v>550</v>
      </c>
      <c r="U1676" t="s">
        <v>550</v>
      </c>
      <c r="V1676" t="s">
        <v>6481</v>
      </c>
      <c r="W1676" t="s">
        <v>6450</v>
      </c>
      <c r="X1676" t="s">
        <v>6468</v>
      </c>
      <c r="Z1676" t="s">
        <v>6477</v>
      </c>
    </row>
    <row r="1677" spans="1:26" x14ac:dyDescent="0.3">
      <c r="A1677" t="s">
        <v>330</v>
      </c>
      <c r="B1677" t="s">
        <v>6482</v>
      </c>
      <c r="C1677" t="s">
        <v>6483</v>
      </c>
      <c r="D1677" t="s">
        <v>6463</v>
      </c>
      <c r="E1677" t="s">
        <v>6417</v>
      </c>
      <c r="F1677" t="s">
        <v>1040</v>
      </c>
      <c r="G1677" s="1">
        <v>45292</v>
      </c>
      <c r="H1677" s="1">
        <v>45429</v>
      </c>
      <c r="I1677" t="s">
        <v>665</v>
      </c>
      <c r="J1677" t="s">
        <v>6418</v>
      </c>
      <c r="K1677" t="s">
        <v>958</v>
      </c>
      <c r="L1677" t="s">
        <v>6419</v>
      </c>
      <c r="M1677" t="s">
        <v>6479</v>
      </c>
      <c r="N1677" t="s">
        <v>6480</v>
      </c>
      <c r="O1677" t="s">
        <v>6446</v>
      </c>
      <c r="P1677" t="s">
        <v>6447</v>
      </c>
      <c r="Q1677" t="s">
        <v>6424</v>
      </c>
      <c r="R1677" t="s">
        <v>6425</v>
      </c>
      <c r="S1677" t="s">
        <v>6466</v>
      </c>
      <c r="T1677" t="s">
        <v>550</v>
      </c>
      <c r="U1677" t="s">
        <v>550</v>
      </c>
      <c r="V1677" t="s">
        <v>6484</v>
      </c>
      <c r="W1677" t="s">
        <v>6450</v>
      </c>
      <c r="X1677" t="s">
        <v>6468</v>
      </c>
      <c r="Z1677" t="s">
        <v>6482</v>
      </c>
    </row>
    <row r="1678" spans="1:26" x14ac:dyDescent="0.3">
      <c r="A1678" t="s">
        <v>330</v>
      </c>
      <c r="B1678" t="s">
        <v>6485</v>
      </c>
      <c r="C1678" t="s">
        <v>6483</v>
      </c>
      <c r="D1678" t="s">
        <v>6443</v>
      </c>
      <c r="E1678" t="s">
        <v>6417</v>
      </c>
      <c r="F1678" t="s">
        <v>1040</v>
      </c>
      <c r="G1678" s="1">
        <v>44927</v>
      </c>
      <c r="H1678" s="1">
        <v>45040</v>
      </c>
      <c r="I1678" t="s">
        <v>665</v>
      </c>
      <c r="J1678" t="s">
        <v>6418</v>
      </c>
      <c r="K1678" t="s">
        <v>958</v>
      </c>
      <c r="L1678" t="s">
        <v>6419</v>
      </c>
      <c r="M1678" t="s">
        <v>6479</v>
      </c>
      <c r="N1678" t="s">
        <v>6480</v>
      </c>
      <c r="O1678" t="s">
        <v>6446</v>
      </c>
      <c r="P1678" t="s">
        <v>6447</v>
      </c>
      <c r="Q1678" t="s">
        <v>6424</v>
      </c>
      <c r="R1678" t="s">
        <v>6425</v>
      </c>
      <c r="S1678" t="s">
        <v>6448</v>
      </c>
      <c r="T1678" t="s">
        <v>550</v>
      </c>
      <c r="U1678" t="s">
        <v>550</v>
      </c>
      <c r="V1678" t="s">
        <v>6486</v>
      </c>
      <c r="W1678" t="s">
        <v>6450</v>
      </c>
      <c r="X1678" t="s">
        <v>6451</v>
      </c>
      <c r="Y1678" t="s">
        <v>6452</v>
      </c>
      <c r="Z1678" t="s">
        <v>6485</v>
      </c>
    </row>
    <row r="1679" spans="1:26" x14ac:dyDescent="0.3">
      <c r="A1679" t="s">
        <v>330</v>
      </c>
      <c r="B1679" t="s">
        <v>6487</v>
      </c>
      <c r="C1679" t="s">
        <v>6478</v>
      </c>
      <c r="D1679" t="s">
        <v>6443</v>
      </c>
      <c r="E1679" t="s">
        <v>6417</v>
      </c>
      <c r="F1679" t="s">
        <v>1040</v>
      </c>
      <c r="G1679" s="1">
        <v>44927</v>
      </c>
      <c r="H1679" s="1">
        <v>45855</v>
      </c>
      <c r="I1679" t="s">
        <v>665</v>
      </c>
      <c r="J1679" t="s">
        <v>6418</v>
      </c>
      <c r="K1679" t="s">
        <v>958</v>
      </c>
      <c r="L1679" t="s">
        <v>6419</v>
      </c>
      <c r="M1679" t="s">
        <v>6479</v>
      </c>
      <c r="N1679" t="s">
        <v>6480</v>
      </c>
      <c r="O1679" t="s">
        <v>6446</v>
      </c>
      <c r="P1679" t="s">
        <v>6447</v>
      </c>
      <c r="Q1679" t="s">
        <v>6424</v>
      </c>
      <c r="R1679" t="s">
        <v>6425</v>
      </c>
      <c r="S1679" t="s">
        <v>6448</v>
      </c>
      <c r="T1679" t="s">
        <v>550</v>
      </c>
      <c r="U1679" t="s">
        <v>550</v>
      </c>
      <c r="V1679" t="s">
        <v>6488</v>
      </c>
      <c r="W1679" t="s">
        <v>6450</v>
      </c>
      <c r="X1679" t="s">
        <v>6451</v>
      </c>
      <c r="Y1679" t="s">
        <v>6452</v>
      </c>
      <c r="Z1679" t="s">
        <v>6487</v>
      </c>
    </row>
    <row r="1680" spans="1:26" x14ac:dyDescent="0.3">
      <c r="A1680" t="s">
        <v>330</v>
      </c>
      <c r="B1680" t="s">
        <v>6489</v>
      </c>
      <c r="C1680" t="s">
        <v>6490</v>
      </c>
      <c r="D1680" t="s">
        <v>6491</v>
      </c>
      <c r="E1680" t="s">
        <v>6417</v>
      </c>
      <c r="F1680" t="s">
        <v>1040</v>
      </c>
      <c r="G1680" s="1">
        <v>45292</v>
      </c>
      <c r="H1680" s="1">
        <v>45756</v>
      </c>
      <c r="I1680" t="s">
        <v>665</v>
      </c>
      <c r="J1680" t="s">
        <v>6418</v>
      </c>
      <c r="K1680" t="s">
        <v>958</v>
      </c>
      <c r="L1680" t="s">
        <v>6419</v>
      </c>
      <c r="M1680" t="s">
        <v>6420</v>
      </c>
      <c r="N1680" t="s">
        <v>6421</v>
      </c>
      <c r="O1680" t="s">
        <v>6446</v>
      </c>
      <c r="P1680" t="s">
        <v>6447</v>
      </c>
      <c r="Q1680" t="s">
        <v>6424</v>
      </c>
      <c r="R1680" t="s">
        <v>6425</v>
      </c>
      <c r="S1680" t="s">
        <v>6466</v>
      </c>
      <c r="T1680" t="s">
        <v>550</v>
      </c>
      <c r="U1680" t="s">
        <v>550</v>
      </c>
      <c r="V1680" t="s">
        <v>6492</v>
      </c>
      <c r="W1680" t="s">
        <v>6450</v>
      </c>
      <c r="X1680" t="s">
        <v>6468</v>
      </c>
      <c r="Z1680" t="s">
        <v>6489</v>
      </c>
    </row>
    <row r="1681" spans="1:26" x14ac:dyDescent="0.3">
      <c r="A1681" t="s">
        <v>330</v>
      </c>
      <c r="B1681" t="s">
        <v>6493</v>
      </c>
      <c r="C1681" t="s">
        <v>6494</v>
      </c>
      <c r="D1681" t="s">
        <v>6443</v>
      </c>
      <c r="E1681" t="s">
        <v>6417</v>
      </c>
      <c r="F1681" t="s">
        <v>1040</v>
      </c>
      <c r="G1681" s="1">
        <v>44927</v>
      </c>
      <c r="H1681" s="1">
        <v>45745</v>
      </c>
      <c r="I1681" t="s">
        <v>665</v>
      </c>
      <c r="J1681" t="s">
        <v>6418</v>
      </c>
      <c r="K1681" t="s">
        <v>958</v>
      </c>
      <c r="L1681" t="s">
        <v>6419</v>
      </c>
      <c r="M1681" t="s">
        <v>6495</v>
      </c>
      <c r="N1681" t="s">
        <v>6496</v>
      </c>
      <c r="O1681" t="s">
        <v>6446</v>
      </c>
      <c r="P1681" t="s">
        <v>6447</v>
      </c>
      <c r="Q1681" t="s">
        <v>6424</v>
      </c>
      <c r="R1681" t="s">
        <v>6425</v>
      </c>
      <c r="S1681" t="s">
        <v>6448</v>
      </c>
      <c r="T1681" t="s">
        <v>550</v>
      </c>
      <c r="U1681" t="s">
        <v>550</v>
      </c>
      <c r="V1681" t="s">
        <v>6497</v>
      </c>
      <c r="W1681" t="s">
        <v>6450</v>
      </c>
      <c r="X1681" t="s">
        <v>6451</v>
      </c>
      <c r="Y1681" t="s">
        <v>6452</v>
      </c>
      <c r="Z1681" t="s">
        <v>6493</v>
      </c>
    </row>
    <row r="1682" spans="1:26" x14ac:dyDescent="0.3">
      <c r="A1682" t="s">
        <v>330</v>
      </c>
      <c r="B1682" t="s">
        <v>6498</v>
      </c>
      <c r="C1682" t="s">
        <v>6494</v>
      </c>
      <c r="D1682" t="s">
        <v>6463</v>
      </c>
      <c r="E1682" t="s">
        <v>6417</v>
      </c>
      <c r="F1682" t="s">
        <v>1040</v>
      </c>
      <c r="G1682" s="1">
        <v>45292</v>
      </c>
      <c r="H1682" s="1">
        <v>46129</v>
      </c>
      <c r="I1682" t="s">
        <v>665</v>
      </c>
      <c r="J1682" t="s">
        <v>6418</v>
      </c>
      <c r="K1682" t="s">
        <v>958</v>
      </c>
      <c r="L1682" t="s">
        <v>6419</v>
      </c>
      <c r="M1682" t="s">
        <v>6495</v>
      </c>
      <c r="N1682" t="s">
        <v>6496</v>
      </c>
      <c r="O1682" t="s">
        <v>6446</v>
      </c>
      <c r="P1682" t="s">
        <v>6447</v>
      </c>
      <c r="Q1682" t="s">
        <v>6424</v>
      </c>
      <c r="R1682" t="s">
        <v>6425</v>
      </c>
      <c r="S1682" t="s">
        <v>6466</v>
      </c>
      <c r="T1682" t="s">
        <v>550</v>
      </c>
      <c r="U1682" t="s">
        <v>550</v>
      </c>
      <c r="V1682" t="s">
        <v>6499</v>
      </c>
      <c r="W1682" t="s">
        <v>6450</v>
      </c>
      <c r="X1682" t="s">
        <v>6468</v>
      </c>
      <c r="Z1682" t="s">
        <v>6498</v>
      </c>
    </row>
    <row r="1683" spans="1:26" x14ac:dyDescent="0.3">
      <c r="A1683" t="s">
        <v>330</v>
      </c>
      <c r="B1683" t="s">
        <v>6500</v>
      </c>
      <c r="C1683" t="s">
        <v>6501</v>
      </c>
      <c r="D1683" t="s">
        <v>550</v>
      </c>
      <c r="E1683" t="s">
        <v>6417</v>
      </c>
      <c r="F1683" t="s">
        <v>1040</v>
      </c>
      <c r="G1683" s="1">
        <v>45292</v>
      </c>
      <c r="H1683" s="1">
        <v>45526</v>
      </c>
      <c r="I1683" t="s">
        <v>665</v>
      </c>
      <c r="J1683" t="s">
        <v>6418</v>
      </c>
      <c r="K1683" t="s">
        <v>958</v>
      </c>
      <c r="L1683" t="s">
        <v>6502</v>
      </c>
      <c r="M1683" t="s">
        <v>6503</v>
      </c>
      <c r="N1683" t="s">
        <v>6504</v>
      </c>
      <c r="O1683" t="s">
        <v>6446</v>
      </c>
      <c r="P1683" t="s">
        <v>6447</v>
      </c>
      <c r="Q1683" t="s">
        <v>6424</v>
      </c>
      <c r="R1683" t="s">
        <v>6425</v>
      </c>
      <c r="S1683" t="s">
        <v>6505</v>
      </c>
      <c r="T1683" t="s">
        <v>550</v>
      </c>
      <c r="U1683" t="s">
        <v>550</v>
      </c>
      <c r="V1683" t="s">
        <v>6506</v>
      </c>
      <c r="W1683" t="s">
        <v>6450</v>
      </c>
      <c r="X1683" t="s">
        <v>6507</v>
      </c>
      <c r="Z1683" t="s">
        <v>6500</v>
      </c>
    </row>
    <row r="1684" spans="1:26" x14ac:dyDescent="0.3">
      <c r="A1684" t="s">
        <v>330</v>
      </c>
      <c r="B1684" t="s">
        <v>6508</v>
      </c>
      <c r="C1684" t="s">
        <v>6509</v>
      </c>
      <c r="D1684" t="s">
        <v>6443</v>
      </c>
      <c r="E1684" t="s">
        <v>6417</v>
      </c>
      <c r="F1684" t="s">
        <v>1040</v>
      </c>
      <c r="G1684" s="1">
        <v>44927</v>
      </c>
      <c r="H1684" s="1">
        <v>45918</v>
      </c>
      <c r="I1684" t="s">
        <v>665</v>
      </c>
      <c r="J1684" t="s">
        <v>6418</v>
      </c>
      <c r="K1684" t="s">
        <v>958</v>
      </c>
      <c r="L1684" t="s">
        <v>6419</v>
      </c>
      <c r="M1684" t="s">
        <v>6503</v>
      </c>
      <c r="N1684" t="s">
        <v>6504</v>
      </c>
      <c r="O1684" t="s">
        <v>6446</v>
      </c>
      <c r="P1684" t="s">
        <v>6447</v>
      </c>
      <c r="Q1684" t="s">
        <v>6424</v>
      </c>
      <c r="R1684" t="s">
        <v>6425</v>
      </c>
      <c r="S1684" t="s">
        <v>6448</v>
      </c>
      <c r="T1684" t="s">
        <v>550</v>
      </c>
      <c r="U1684" t="s">
        <v>550</v>
      </c>
      <c r="V1684" t="s">
        <v>6510</v>
      </c>
      <c r="W1684" t="s">
        <v>6450</v>
      </c>
      <c r="X1684" t="s">
        <v>6451</v>
      </c>
      <c r="Y1684" t="s">
        <v>6452</v>
      </c>
      <c r="Z1684" t="s">
        <v>6508</v>
      </c>
    </row>
    <row r="1685" spans="1:26" x14ac:dyDescent="0.3">
      <c r="A1685" t="s">
        <v>330</v>
      </c>
      <c r="B1685" t="s">
        <v>6511</v>
      </c>
      <c r="C1685" t="s">
        <v>6512</v>
      </c>
      <c r="D1685" t="s">
        <v>550</v>
      </c>
      <c r="E1685" t="s">
        <v>6417</v>
      </c>
      <c r="F1685" t="s">
        <v>1040</v>
      </c>
      <c r="G1685" s="1">
        <v>44927</v>
      </c>
      <c r="H1685" s="1">
        <v>45148</v>
      </c>
      <c r="I1685" t="s">
        <v>665</v>
      </c>
      <c r="J1685" t="s">
        <v>6418</v>
      </c>
      <c r="K1685" t="s">
        <v>958</v>
      </c>
      <c r="L1685" t="s">
        <v>6502</v>
      </c>
      <c r="M1685" t="s">
        <v>6503</v>
      </c>
      <c r="N1685" t="s">
        <v>6504</v>
      </c>
      <c r="O1685" t="s">
        <v>6446</v>
      </c>
      <c r="P1685" t="s">
        <v>6447</v>
      </c>
      <c r="Q1685" t="s">
        <v>6424</v>
      </c>
      <c r="R1685" t="s">
        <v>6425</v>
      </c>
      <c r="S1685" t="s">
        <v>6505</v>
      </c>
      <c r="T1685" t="s">
        <v>550</v>
      </c>
      <c r="U1685" t="s">
        <v>550</v>
      </c>
      <c r="V1685" t="s">
        <v>6513</v>
      </c>
      <c r="W1685" t="s">
        <v>6450</v>
      </c>
      <c r="X1685" t="s">
        <v>6451</v>
      </c>
      <c r="Y1685" t="s">
        <v>6452</v>
      </c>
      <c r="Z1685" t="s">
        <v>6511</v>
      </c>
    </row>
    <row r="1686" spans="1:26" x14ac:dyDescent="0.3">
      <c r="A1686" t="s">
        <v>330</v>
      </c>
      <c r="B1686" t="s">
        <v>6514</v>
      </c>
      <c r="C1686" t="s">
        <v>6515</v>
      </c>
      <c r="D1686" t="s">
        <v>6443</v>
      </c>
      <c r="E1686" t="s">
        <v>6417</v>
      </c>
      <c r="F1686" t="s">
        <v>1040</v>
      </c>
      <c r="G1686" s="1">
        <v>44927</v>
      </c>
      <c r="H1686" s="1">
        <v>46201</v>
      </c>
      <c r="I1686" t="s">
        <v>665</v>
      </c>
      <c r="J1686" t="s">
        <v>6418</v>
      </c>
      <c r="K1686" t="s">
        <v>958</v>
      </c>
      <c r="L1686" t="s">
        <v>6419</v>
      </c>
      <c r="M1686" t="s">
        <v>6516</v>
      </c>
      <c r="N1686" t="s">
        <v>6517</v>
      </c>
      <c r="O1686" t="s">
        <v>6446</v>
      </c>
      <c r="P1686" t="s">
        <v>6447</v>
      </c>
      <c r="Q1686" t="s">
        <v>6424</v>
      </c>
      <c r="R1686" t="s">
        <v>6425</v>
      </c>
      <c r="S1686" t="s">
        <v>6448</v>
      </c>
      <c r="T1686" t="s">
        <v>550</v>
      </c>
      <c r="U1686" t="s">
        <v>550</v>
      </c>
      <c r="V1686" t="s">
        <v>6518</v>
      </c>
      <c r="W1686" t="s">
        <v>6450</v>
      </c>
      <c r="X1686" t="s">
        <v>6451</v>
      </c>
      <c r="Y1686" t="s">
        <v>6452</v>
      </c>
      <c r="Z1686" t="s">
        <v>6514</v>
      </c>
    </row>
    <row r="1687" spans="1:26" x14ac:dyDescent="0.3">
      <c r="A1687" t="s">
        <v>525</v>
      </c>
      <c r="B1687" t="s">
        <v>6519</v>
      </c>
      <c r="C1687" t="s">
        <v>6520</v>
      </c>
      <c r="D1687" t="s">
        <v>550</v>
      </c>
      <c r="E1687" t="s">
        <v>664</v>
      </c>
      <c r="F1687" t="s">
        <v>27</v>
      </c>
      <c r="G1687" s="1">
        <v>45292</v>
      </c>
      <c r="H1687" s="1">
        <v>45292</v>
      </c>
      <c r="I1687" t="s">
        <v>780</v>
      </c>
      <c r="J1687" t="s">
        <v>666</v>
      </c>
      <c r="K1687" t="s">
        <v>958</v>
      </c>
      <c r="L1687" t="s">
        <v>19</v>
      </c>
      <c r="M1687" t="s">
        <v>6521</v>
      </c>
      <c r="N1687" t="s">
        <v>302</v>
      </c>
      <c r="O1687" t="s">
        <v>1899</v>
      </c>
      <c r="P1687" t="s">
        <v>245</v>
      </c>
      <c r="Q1687" t="s">
        <v>6424</v>
      </c>
      <c r="R1687" t="s">
        <v>6425</v>
      </c>
      <c r="S1687" t="s">
        <v>550</v>
      </c>
      <c r="T1687" t="s">
        <v>893</v>
      </c>
      <c r="U1687" t="s">
        <v>550</v>
      </c>
      <c r="V1687" t="s">
        <v>6522</v>
      </c>
      <c r="W1687" t="s">
        <v>561</v>
      </c>
      <c r="Z1687" t="s">
        <v>6519</v>
      </c>
    </row>
    <row r="1688" spans="1:26" x14ac:dyDescent="0.3">
      <c r="A1688" t="s">
        <v>525</v>
      </c>
      <c r="B1688" t="s">
        <v>6523</v>
      </c>
      <c r="C1688" t="s">
        <v>6524</v>
      </c>
      <c r="D1688" t="s">
        <v>6519</v>
      </c>
      <c r="E1688" t="s">
        <v>664</v>
      </c>
      <c r="F1688" t="s">
        <v>27</v>
      </c>
      <c r="G1688" s="1">
        <v>45292</v>
      </c>
      <c r="H1688" s="1">
        <v>45292</v>
      </c>
      <c r="I1688" t="s">
        <v>665</v>
      </c>
      <c r="J1688" t="s">
        <v>666</v>
      </c>
      <c r="K1688" t="s">
        <v>958</v>
      </c>
      <c r="L1688" t="s">
        <v>19</v>
      </c>
      <c r="M1688" t="s">
        <v>6521</v>
      </c>
      <c r="N1688" t="s">
        <v>302</v>
      </c>
      <c r="O1688" t="s">
        <v>1899</v>
      </c>
      <c r="P1688" t="s">
        <v>245</v>
      </c>
      <c r="Q1688" t="s">
        <v>6424</v>
      </c>
      <c r="R1688" t="s">
        <v>6425</v>
      </c>
      <c r="S1688" t="s">
        <v>550</v>
      </c>
      <c r="T1688" t="s">
        <v>893</v>
      </c>
      <c r="U1688" t="s">
        <v>550</v>
      </c>
      <c r="V1688" t="s">
        <v>6525</v>
      </c>
      <c r="W1688" t="s">
        <v>561</v>
      </c>
      <c r="Z1688" t="s">
        <v>6523</v>
      </c>
    </row>
    <row r="1689" spans="1:26" x14ac:dyDescent="0.3">
      <c r="A1689" t="s">
        <v>525</v>
      </c>
      <c r="B1689" t="s">
        <v>6526</v>
      </c>
      <c r="C1689" t="s">
        <v>6527</v>
      </c>
      <c r="D1689" t="s">
        <v>6519</v>
      </c>
      <c r="E1689" t="s">
        <v>664</v>
      </c>
      <c r="F1689" t="s">
        <v>27</v>
      </c>
      <c r="G1689" s="1">
        <v>45565</v>
      </c>
      <c r="H1689" s="1">
        <v>45681</v>
      </c>
      <c r="I1689" t="s">
        <v>665</v>
      </c>
      <c r="J1689" t="s">
        <v>666</v>
      </c>
      <c r="K1689" t="s">
        <v>958</v>
      </c>
      <c r="L1689" t="s">
        <v>19</v>
      </c>
      <c r="M1689" t="s">
        <v>6521</v>
      </c>
      <c r="N1689" t="s">
        <v>302</v>
      </c>
      <c r="O1689" t="s">
        <v>1899</v>
      </c>
      <c r="P1689" t="s">
        <v>245</v>
      </c>
      <c r="Q1689" t="s">
        <v>6424</v>
      </c>
      <c r="R1689" t="s">
        <v>6425</v>
      </c>
      <c r="S1689" t="s">
        <v>550</v>
      </c>
      <c r="T1689" t="s">
        <v>893</v>
      </c>
      <c r="U1689" t="s">
        <v>550</v>
      </c>
      <c r="V1689" t="s">
        <v>6528</v>
      </c>
      <c r="W1689" t="s">
        <v>561</v>
      </c>
      <c r="Z1689" t="s">
        <v>6526</v>
      </c>
    </row>
    <row r="1690" spans="1:26" x14ac:dyDescent="0.3">
      <c r="A1690" t="s">
        <v>525</v>
      </c>
      <c r="B1690" t="s">
        <v>6529</v>
      </c>
      <c r="C1690" t="s">
        <v>6530</v>
      </c>
      <c r="D1690" t="s">
        <v>6519</v>
      </c>
      <c r="E1690" t="s">
        <v>664</v>
      </c>
      <c r="F1690" t="s">
        <v>27</v>
      </c>
      <c r="G1690" s="1">
        <v>45658</v>
      </c>
      <c r="H1690" s="1">
        <v>45795</v>
      </c>
      <c r="I1690" t="s">
        <v>665</v>
      </c>
      <c r="J1690" t="s">
        <v>666</v>
      </c>
      <c r="K1690" t="s">
        <v>958</v>
      </c>
      <c r="L1690" t="s">
        <v>19</v>
      </c>
      <c r="M1690" t="s">
        <v>6521</v>
      </c>
      <c r="N1690" t="s">
        <v>302</v>
      </c>
      <c r="O1690" t="s">
        <v>1899</v>
      </c>
      <c r="P1690" t="s">
        <v>245</v>
      </c>
      <c r="Q1690" t="s">
        <v>6424</v>
      </c>
      <c r="R1690" t="s">
        <v>6425</v>
      </c>
      <c r="S1690" t="s">
        <v>550</v>
      </c>
      <c r="T1690" t="s">
        <v>893</v>
      </c>
      <c r="U1690" t="s">
        <v>550</v>
      </c>
      <c r="V1690" t="s">
        <v>6531</v>
      </c>
      <c r="W1690" t="s">
        <v>561</v>
      </c>
      <c r="Z1690" t="s">
        <v>6529</v>
      </c>
    </row>
    <row r="1691" spans="1:26" x14ac:dyDescent="0.3">
      <c r="A1691" t="s">
        <v>330</v>
      </c>
      <c r="B1691" t="s">
        <v>6532</v>
      </c>
      <c r="C1691" t="s">
        <v>6509</v>
      </c>
      <c r="D1691" t="s">
        <v>6463</v>
      </c>
      <c r="E1691" t="s">
        <v>6417</v>
      </c>
      <c r="F1691" t="s">
        <v>1040</v>
      </c>
      <c r="G1691" s="1">
        <v>45292</v>
      </c>
      <c r="H1691" s="1">
        <v>46340</v>
      </c>
      <c r="I1691" t="s">
        <v>665</v>
      </c>
      <c r="J1691" t="s">
        <v>6418</v>
      </c>
      <c r="K1691" t="s">
        <v>958</v>
      </c>
      <c r="L1691" t="s">
        <v>6419</v>
      </c>
      <c r="M1691" t="s">
        <v>6503</v>
      </c>
      <c r="N1691" t="s">
        <v>6504</v>
      </c>
      <c r="O1691" t="s">
        <v>6446</v>
      </c>
      <c r="P1691" t="s">
        <v>6447</v>
      </c>
      <c r="Q1691" t="s">
        <v>6424</v>
      </c>
      <c r="R1691" t="s">
        <v>6425</v>
      </c>
      <c r="S1691" t="s">
        <v>6466</v>
      </c>
      <c r="T1691" t="s">
        <v>550</v>
      </c>
      <c r="U1691" t="s">
        <v>550</v>
      </c>
      <c r="V1691" t="s">
        <v>6533</v>
      </c>
      <c r="W1691" t="s">
        <v>6450</v>
      </c>
      <c r="X1691" t="s">
        <v>6468</v>
      </c>
      <c r="Z1691" t="s">
        <v>6532</v>
      </c>
    </row>
    <row r="1692" spans="1:26" x14ac:dyDescent="0.3">
      <c r="A1692" t="s">
        <v>330</v>
      </c>
      <c r="B1692" t="s">
        <v>6534</v>
      </c>
      <c r="C1692" t="s">
        <v>6535</v>
      </c>
      <c r="D1692" t="s">
        <v>6443</v>
      </c>
      <c r="E1692" t="s">
        <v>6417</v>
      </c>
      <c r="F1692" t="s">
        <v>1040</v>
      </c>
      <c r="G1692" s="1">
        <v>44927</v>
      </c>
      <c r="H1692" s="1">
        <v>45808</v>
      </c>
      <c r="I1692" t="s">
        <v>665</v>
      </c>
      <c r="J1692" t="s">
        <v>6418</v>
      </c>
      <c r="K1692" t="s">
        <v>958</v>
      </c>
      <c r="L1692" t="s">
        <v>6419</v>
      </c>
      <c r="M1692" t="s">
        <v>6536</v>
      </c>
      <c r="N1692" t="s">
        <v>6537</v>
      </c>
      <c r="O1692" t="s">
        <v>6446</v>
      </c>
      <c r="P1692" t="s">
        <v>6447</v>
      </c>
      <c r="Q1692" t="s">
        <v>6424</v>
      </c>
      <c r="R1692" t="s">
        <v>6425</v>
      </c>
      <c r="S1692" t="s">
        <v>6448</v>
      </c>
      <c r="T1692" t="s">
        <v>550</v>
      </c>
      <c r="U1692" t="s">
        <v>550</v>
      </c>
      <c r="V1692" t="s">
        <v>6538</v>
      </c>
      <c r="W1692" t="s">
        <v>6450</v>
      </c>
      <c r="X1692" t="s">
        <v>6451</v>
      </c>
      <c r="Y1692" t="s">
        <v>6452</v>
      </c>
      <c r="Z1692" t="s">
        <v>6534</v>
      </c>
    </row>
    <row r="1693" spans="1:26" x14ac:dyDescent="0.3">
      <c r="A1693" t="s">
        <v>330</v>
      </c>
      <c r="B1693" t="s">
        <v>6539</v>
      </c>
      <c r="C1693" t="s">
        <v>6540</v>
      </c>
      <c r="D1693" t="s">
        <v>6463</v>
      </c>
      <c r="E1693" t="s">
        <v>6417</v>
      </c>
      <c r="F1693" t="s">
        <v>1040</v>
      </c>
      <c r="G1693" s="1">
        <v>45292</v>
      </c>
      <c r="H1693" s="1">
        <v>46201</v>
      </c>
      <c r="I1693" t="s">
        <v>665</v>
      </c>
      <c r="J1693" t="s">
        <v>6418</v>
      </c>
      <c r="K1693" t="s">
        <v>958</v>
      </c>
      <c r="L1693" t="s">
        <v>6419</v>
      </c>
      <c r="M1693" t="s">
        <v>6536</v>
      </c>
      <c r="N1693" t="s">
        <v>6537</v>
      </c>
      <c r="O1693" t="s">
        <v>6446</v>
      </c>
      <c r="P1693" t="s">
        <v>6447</v>
      </c>
      <c r="Q1693" t="s">
        <v>6424</v>
      </c>
      <c r="R1693" t="s">
        <v>6425</v>
      </c>
      <c r="S1693" t="s">
        <v>6466</v>
      </c>
      <c r="T1693" t="s">
        <v>550</v>
      </c>
      <c r="U1693" t="s">
        <v>550</v>
      </c>
      <c r="V1693" t="s">
        <v>6541</v>
      </c>
      <c r="W1693" t="s">
        <v>6450</v>
      </c>
      <c r="X1693" t="s">
        <v>6468</v>
      </c>
      <c r="Z1693" t="s">
        <v>6539</v>
      </c>
    </row>
    <row r="1694" spans="1:26" x14ac:dyDescent="0.3">
      <c r="A1694" t="s">
        <v>330</v>
      </c>
      <c r="B1694" t="s">
        <v>6542</v>
      </c>
      <c r="C1694" t="s">
        <v>6535</v>
      </c>
      <c r="D1694" t="s">
        <v>6463</v>
      </c>
      <c r="E1694" t="s">
        <v>6417</v>
      </c>
      <c r="F1694" t="s">
        <v>1040</v>
      </c>
      <c r="G1694" s="1">
        <v>45292</v>
      </c>
      <c r="H1694" s="1">
        <v>46129</v>
      </c>
      <c r="I1694" t="s">
        <v>665</v>
      </c>
      <c r="J1694" t="s">
        <v>6418</v>
      </c>
      <c r="K1694" t="s">
        <v>958</v>
      </c>
      <c r="L1694" t="s">
        <v>6419</v>
      </c>
      <c r="M1694" t="s">
        <v>6536</v>
      </c>
      <c r="N1694" t="s">
        <v>6537</v>
      </c>
      <c r="O1694" t="s">
        <v>6446</v>
      </c>
      <c r="P1694" t="s">
        <v>6447</v>
      </c>
      <c r="Q1694" t="s">
        <v>6424</v>
      </c>
      <c r="R1694" t="s">
        <v>6425</v>
      </c>
      <c r="S1694" t="s">
        <v>6466</v>
      </c>
      <c r="T1694" t="s">
        <v>550</v>
      </c>
      <c r="U1694" t="s">
        <v>550</v>
      </c>
      <c r="V1694" t="s">
        <v>6543</v>
      </c>
      <c r="W1694" t="s">
        <v>6450</v>
      </c>
      <c r="X1694" t="s">
        <v>6468</v>
      </c>
      <c r="Z1694" t="s">
        <v>6542</v>
      </c>
    </row>
    <row r="1695" spans="1:26" x14ac:dyDescent="0.3">
      <c r="A1695" t="s">
        <v>330</v>
      </c>
      <c r="B1695" t="s">
        <v>6544</v>
      </c>
      <c r="C1695" t="s">
        <v>6545</v>
      </c>
      <c r="D1695" t="s">
        <v>6463</v>
      </c>
      <c r="E1695" t="s">
        <v>6417</v>
      </c>
      <c r="F1695" t="s">
        <v>1040</v>
      </c>
      <c r="G1695" s="1">
        <v>45292</v>
      </c>
      <c r="H1695" s="1">
        <v>45343</v>
      </c>
      <c r="I1695" t="s">
        <v>665</v>
      </c>
      <c r="J1695" t="s">
        <v>6418</v>
      </c>
      <c r="K1695" t="s">
        <v>958</v>
      </c>
      <c r="L1695" t="s">
        <v>6419</v>
      </c>
      <c r="M1695" t="s">
        <v>6536</v>
      </c>
      <c r="N1695" t="s">
        <v>6537</v>
      </c>
      <c r="O1695" t="s">
        <v>6446</v>
      </c>
      <c r="P1695" t="s">
        <v>6447</v>
      </c>
      <c r="Q1695" t="s">
        <v>6424</v>
      </c>
      <c r="R1695" t="s">
        <v>6425</v>
      </c>
      <c r="S1695" t="s">
        <v>6466</v>
      </c>
      <c r="T1695" t="s">
        <v>550</v>
      </c>
      <c r="U1695" t="s">
        <v>550</v>
      </c>
      <c r="V1695" t="s">
        <v>6546</v>
      </c>
      <c r="W1695" t="s">
        <v>6450</v>
      </c>
      <c r="X1695" t="s">
        <v>6468</v>
      </c>
      <c r="Z1695" t="s">
        <v>6544</v>
      </c>
    </row>
    <row r="1696" spans="1:26" x14ac:dyDescent="0.3">
      <c r="A1696" t="s">
        <v>330</v>
      </c>
      <c r="B1696" t="s">
        <v>6547</v>
      </c>
      <c r="C1696" t="s">
        <v>6442</v>
      </c>
      <c r="D1696" t="s">
        <v>6463</v>
      </c>
      <c r="E1696" t="s">
        <v>6417</v>
      </c>
      <c r="F1696" t="s">
        <v>1040</v>
      </c>
      <c r="G1696" s="1">
        <v>45292</v>
      </c>
      <c r="H1696" s="1">
        <v>45907</v>
      </c>
      <c r="I1696" t="s">
        <v>665</v>
      </c>
      <c r="J1696" t="s">
        <v>6418</v>
      </c>
      <c r="K1696" t="s">
        <v>958</v>
      </c>
      <c r="L1696" t="s">
        <v>6419</v>
      </c>
      <c r="M1696" t="s">
        <v>6444</v>
      </c>
      <c r="N1696" t="s">
        <v>6445</v>
      </c>
      <c r="O1696" t="s">
        <v>6446</v>
      </c>
      <c r="P1696" t="s">
        <v>6447</v>
      </c>
      <c r="Q1696" t="s">
        <v>6424</v>
      </c>
      <c r="R1696" t="s">
        <v>6425</v>
      </c>
      <c r="S1696" t="s">
        <v>6466</v>
      </c>
      <c r="T1696" t="s">
        <v>550</v>
      </c>
      <c r="U1696" t="s">
        <v>550</v>
      </c>
      <c r="V1696" t="s">
        <v>6548</v>
      </c>
      <c r="W1696" t="s">
        <v>6450</v>
      </c>
      <c r="X1696" t="s">
        <v>6468</v>
      </c>
      <c r="Z1696" t="s">
        <v>6547</v>
      </c>
    </row>
    <row r="1697" spans="1:26" x14ac:dyDescent="0.3">
      <c r="A1697" t="s">
        <v>330</v>
      </c>
      <c r="B1697" t="s">
        <v>6549</v>
      </c>
      <c r="C1697" t="s">
        <v>6515</v>
      </c>
      <c r="D1697" t="s">
        <v>6463</v>
      </c>
      <c r="E1697" t="s">
        <v>6417</v>
      </c>
      <c r="F1697" t="s">
        <v>1040</v>
      </c>
      <c r="G1697" s="1">
        <v>45292</v>
      </c>
      <c r="H1697" s="1">
        <v>46661</v>
      </c>
      <c r="I1697" t="s">
        <v>665</v>
      </c>
      <c r="J1697" t="s">
        <v>6418</v>
      </c>
      <c r="K1697" t="s">
        <v>958</v>
      </c>
      <c r="L1697" t="s">
        <v>6419</v>
      </c>
      <c r="M1697" t="s">
        <v>6516</v>
      </c>
      <c r="N1697" t="s">
        <v>6517</v>
      </c>
      <c r="O1697" t="s">
        <v>6446</v>
      </c>
      <c r="P1697" t="s">
        <v>6447</v>
      </c>
      <c r="Q1697" t="s">
        <v>6424</v>
      </c>
      <c r="R1697" t="s">
        <v>6425</v>
      </c>
      <c r="S1697" t="s">
        <v>6466</v>
      </c>
      <c r="T1697" t="s">
        <v>550</v>
      </c>
      <c r="U1697" t="s">
        <v>550</v>
      </c>
      <c r="V1697" t="s">
        <v>6550</v>
      </c>
      <c r="W1697" t="s">
        <v>6450</v>
      </c>
      <c r="X1697" t="s">
        <v>6468</v>
      </c>
      <c r="Z1697" t="s">
        <v>6549</v>
      </c>
    </row>
    <row r="1698" spans="1:26" x14ac:dyDescent="0.3">
      <c r="A1698" t="s">
        <v>330</v>
      </c>
      <c r="B1698" t="s">
        <v>6551</v>
      </c>
      <c r="C1698" t="s">
        <v>6552</v>
      </c>
      <c r="D1698" t="s">
        <v>6443</v>
      </c>
      <c r="E1698" t="s">
        <v>6417</v>
      </c>
      <c r="F1698" t="s">
        <v>1040</v>
      </c>
      <c r="G1698" s="1">
        <v>44927</v>
      </c>
      <c r="H1698" s="1">
        <v>44970</v>
      </c>
      <c r="I1698" t="s">
        <v>665</v>
      </c>
      <c r="J1698" t="s">
        <v>6418</v>
      </c>
      <c r="K1698" t="s">
        <v>958</v>
      </c>
      <c r="L1698" t="s">
        <v>6419</v>
      </c>
      <c r="M1698" t="s">
        <v>6553</v>
      </c>
      <c r="N1698" t="s">
        <v>6554</v>
      </c>
      <c r="O1698" t="s">
        <v>6446</v>
      </c>
      <c r="P1698" t="s">
        <v>6447</v>
      </c>
      <c r="Q1698" t="s">
        <v>6424</v>
      </c>
      <c r="R1698" t="s">
        <v>6425</v>
      </c>
      <c r="S1698" t="s">
        <v>6448</v>
      </c>
      <c r="T1698" t="s">
        <v>550</v>
      </c>
      <c r="U1698" t="s">
        <v>550</v>
      </c>
      <c r="V1698" t="s">
        <v>6555</v>
      </c>
      <c r="W1698" t="s">
        <v>6450</v>
      </c>
      <c r="X1698" t="s">
        <v>6451</v>
      </c>
      <c r="Y1698" t="s">
        <v>6452</v>
      </c>
      <c r="Z1698" t="s">
        <v>6551</v>
      </c>
    </row>
    <row r="1699" spans="1:26" x14ac:dyDescent="0.3">
      <c r="A1699" t="s">
        <v>330</v>
      </c>
      <c r="B1699" t="s">
        <v>6556</v>
      </c>
      <c r="C1699" t="s">
        <v>6557</v>
      </c>
      <c r="D1699" t="s">
        <v>6443</v>
      </c>
      <c r="E1699" t="s">
        <v>6417</v>
      </c>
      <c r="F1699" t="s">
        <v>1040</v>
      </c>
      <c r="G1699" s="1">
        <v>44927</v>
      </c>
      <c r="H1699" s="1">
        <v>45714</v>
      </c>
      <c r="I1699" t="s">
        <v>665</v>
      </c>
      <c r="J1699" t="s">
        <v>6418</v>
      </c>
      <c r="K1699" t="s">
        <v>958</v>
      </c>
      <c r="L1699" t="s">
        <v>6419</v>
      </c>
      <c r="M1699" t="s">
        <v>6553</v>
      </c>
      <c r="N1699" t="s">
        <v>6554</v>
      </c>
      <c r="O1699" t="s">
        <v>6446</v>
      </c>
      <c r="P1699" t="s">
        <v>6447</v>
      </c>
      <c r="Q1699" t="s">
        <v>6424</v>
      </c>
      <c r="R1699" t="s">
        <v>6425</v>
      </c>
      <c r="S1699" t="s">
        <v>6448</v>
      </c>
      <c r="T1699" t="s">
        <v>550</v>
      </c>
      <c r="U1699" t="s">
        <v>550</v>
      </c>
      <c r="V1699" t="s">
        <v>6558</v>
      </c>
      <c r="W1699" t="s">
        <v>6450</v>
      </c>
      <c r="X1699" t="s">
        <v>6451</v>
      </c>
      <c r="Y1699" t="s">
        <v>6452</v>
      </c>
      <c r="Z1699" t="s">
        <v>6556</v>
      </c>
    </row>
    <row r="1700" spans="1:26" x14ac:dyDescent="0.3">
      <c r="A1700" t="s">
        <v>330</v>
      </c>
      <c r="B1700" t="s">
        <v>6559</v>
      </c>
      <c r="C1700" t="s">
        <v>6552</v>
      </c>
      <c r="D1700" t="s">
        <v>6463</v>
      </c>
      <c r="E1700" t="s">
        <v>6417</v>
      </c>
      <c r="F1700" t="s">
        <v>1040</v>
      </c>
      <c r="G1700" s="1">
        <v>45292</v>
      </c>
      <c r="H1700" s="1">
        <v>45335</v>
      </c>
      <c r="I1700" t="s">
        <v>665</v>
      </c>
      <c r="J1700" t="s">
        <v>6418</v>
      </c>
      <c r="K1700" t="s">
        <v>958</v>
      </c>
      <c r="L1700" t="s">
        <v>6419</v>
      </c>
      <c r="M1700" t="s">
        <v>6553</v>
      </c>
      <c r="N1700" t="s">
        <v>6554</v>
      </c>
      <c r="O1700" t="s">
        <v>6446</v>
      </c>
      <c r="P1700" t="s">
        <v>6447</v>
      </c>
      <c r="Q1700" t="s">
        <v>6424</v>
      </c>
      <c r="R1700" t="s">
        <v>6425</v>
      </c>
      <c r="S1700" t="s">
        <v>6466</v>
      </c>
      <c r="T1700" t="s">
        <v>550</v>
      </c>
      <c r="U1700" t="s">
        <v>550</v>
      </c>
      <c r="V1700" t="s">
        <v>6560</v>
      </c>
      <c r="W1700" t="s">
        <v>6450</v>
      </c>
      <c r="X1700" t="s">
        <v>6468</v>
      </c>
      <c r="Z1700" t="s">
        <v>6559</v>
      </c>
    </row>
    <row r="1701" spans="1:26" x14ac:dyDescent="0.3">
      <c r="A1701" t="s">
        <v>330</v>
      </c>
      <c r="B1701" t="s">
        <v>6561</v>
      </c>
      <c r="C1701" t="s">
        <v>6557</v>
      </c>
      <c r="D1701" t="s">
        <v>6463</v>
      </c>
      <c r="E1701" t="s">
        <v>6417</v>
      </c>
      <c r="F1701" t="s">
        <v>1040</v>
      </c>
      <c r="G1701" s="1">
        <v>45292</v>
      </c>
      <c r="H1701" s="1">
        <v>46226</v>
      </c>
      <c r="I1701" t="s">
        <v>665</v>
      </c>
      <c r="J1701" t="s">
        <v>6418</v>
      </c>
      <c r="K1701" t="s">
        <v>958</v>
      </c>
      <c r="L1701" t="s">
        <v>6419</v>
      </c>
      <c r="M1701" t="s">
        <v>6553</v>
      </c>
      <c r="N1701" t="s">
        <v>6554</v>
      </c>
      <c r="O1701" t="s">
        <v>6446</v>
      </c>
      <c r="P1701" t="s">
        <v>6447</v>
      </c>
      <c r="Q1701" t="s">
        <v>6424</v>
      </c>
      <c r="R1701" t="s">
        <v>6425</v>
      </c>
      <c r="S1701" t="s">
        <v>6466</v>
      </c>
      <c r="T1701" t="s">
        <v>550</v>
      </c>
      <c r="U1701" t="s">
        <v>550</v>
      </c>
      <c r="V1701" t="s">
        <v>6562</v>
      </c>
      <c r="W1701" t="s">
        <v>6450</v>
      </c>
      <c r="X1701" t="s">
        <v>6468</v>
      </c>
      <c r="Z1701" t="s">
        <v>6561</v>
      </c>
    </row>
    <row r="1702" spans="1:26" x14ac:dyDescent="0.3">
      <c r="A1702" t="s">
        <v>330</v>
      </c>
      <c r="B1702" t="s">
        <v>6563</v>
      </c>
      <c r="C1702" t="s">
        <v>6564</v>
      </c>
      <c r="D1702" t="s">
        <v>6463</v>
      </c>
      <c r="E1702" t="s">
        <v>6417</v>
      </c>
      <c r="F1702" t="s">
        <v>1040</v>
      </c>
      <c r="G1702" s="1">
        <v>45292</v>
      </c>
      <c r="H1702" s="1">
        <v>45292</v>
      </c>
      <c r="I1702" t="s">
        <v>665</v>
      </c>
      <c r="J1702" t="s">
        <v>6418</v>
      </c>
      <c r="K1702" t="s">
        <v>958</v>
      </c>
      <c r="L1702" t="s">
        <v>6419</v>
      </c>
      <c r="M1702" t="s">
        <v>6565</v>
      </c>
      <c r="N1702" t="s">
        <v>6566</v>
      </c>
      <c r="O1702" t="s">
        <v>6446</v>
      </c>
      <c r="P1702" t="s">
        <v>6447</v>
      </c>
      <c r="Q1702" t="s">
        <v>6424</v>
      </c>
      <c r="R1702" t="s">
        <v>6425</v>
      </c>
      <c r="S1702" t="s">
        <v>6466</v>
      </c>
      <c r="T1702" t="s">
        <v>550</v>
      </c>
      <c r="U1702" t="s">
        <v>550</v>
      </c>
      <c r="V1702" t="s">
        <v>6567</v>
      </c>
      <c r="W1702" t="s">
        <v>6450</v>
      </c>
      <c r="X1702" t="s">
        <v>6468</v>
      </c>
      <c r="Z1702" t="s">
        <v>6563</v>
      </c>
    </row>
    <row r="1703" spans="1:26" x14ac:dyDescent="0.3">
      <c r="A1703" t="s">
        <v>330</v>
      </c>
      <c r="B1703" t="s">
        <v>6568</v>
      </c>
      <c r="C1703" t="s">
        <v>6540</v>
      </c>
      <c r="D1703" t="s">
        <v>6443</v>
      </c>
      <c r="E1703" t="s">
        <v>6417</v>
      </c>
      <c r="F1703" t="s">
        <v>1040</v>
      </c>
      <c r="G1703" s="1">
        <v>44927</v>
      </c>
      <c r="H1703" s="1">
        <v>45760</v>
      </c>
      <c r="I1703" t="s">
        <v>665</v>
      </c>
      <c r="J1703" t="s">
        <v>6418</v>
      </c>
      <c r="K1703" t="s">
        <v>958</v>
      </c>
      <c r="L1703" t="s">
        <v>6419</v>
      </c>
      <c r="M1703" t="s">
        <v>6569</v>
      </c>
      <c r="N1703" t="s">
        <v>6570</v>
      </c>
      <c r="O1703" t="s">
        <v>6446</v>
      </c>
      <c r="P1703" t="s">
        <v>6447</v>
      </c>
      <c r="Q1703" t="s">
        <v>6424</v>
      </c>
      <c r="R1703" t="s">
        <v>6425</v>
      </c>
      <c r="S1703" t="s">
        <v>6448</v>
      </c>
      <c r="T1703" t="s">
        <v>550</v>
      </c>
      <c r="U1703" t="s">
        <v>550</v>
      </c>
      <c r="V1703" t="s">
        <v>6571</v>
      </c>
      <c r="W1703" t="s">
        <v>6450</v>
      </c>
      <c r="X1703" t="s">
        <v>6451</v>
      </c>
      <c r="Y1703" t="s">
        <v>6452</v>
      </c>
      <c r="Z1703" t="s">
        <v>6568</v>
      </c>
    </row>
    <row r="1704" spans="1:26" x14ac:dyDescent="0.3">
      <c r="A1704" t="s">
        <v>330</v>
      </c>
      <c r="B1704" t="s">
        <v>6572</v>
      </c>
      <c r="C1704" t="s">
        <v>6470</v>
      </c>
      <c r="D1704" t="s">
        <v>6443</v>
      </c>
      <c r="E1704" t="s">
        <v>6417</v>
      </c>
      <c r="F1704" t="s">
        <v>1040</v>
      </c>
      <c r="G1704" s="1">
        <v>44927</v>
      </c>
      <c r="H1704" s="1">
        <v>45918</v>
      </c>
      <c r="I1704" t="s">
        <v>665</v>
      </c>
      <c r="J1704" t="s">
        <v>6418</v>
      </c>
      <c r="K1704" t="s">
        <v>958</v>
      </c>
      <c r="L1704" t="s">
        <v>6419</v>
      </c>
      <c r="M1704" t="s">
        <v>6573</v>
      </c>
      <c r="N1704" t="s">
        <v>6574</v>
      </c>
      <c r="O1704" t="s">
        <v>6446</v>
      </c>
      <c r="P1704" t="s">
        <v>6447</v>
      </c>
      <c r="Q1704" t="s">
        <v>6424</v>
      </c>
      <c r="R1704" t="s">
        <v>6425</v>
      </c>
      <c r="S1704" t="s">
        <v>6448</v>
      </c>
      <c r="T1704" t="s">
        <v>550</v>
      </c>
      <c r="U1704" t="s">
        <v>550</v>
      </c>
      <c r="V1704" t="s">
        <v>6575</v>
      </c>
      <c r="W1704" t="s">
        <v>6450</v>
      </c>
      <c r="X1704" t="s">
        <v>6451</v>
      </c>
      <c r="Y1704" t="s">
        <v>6452</v>
      </c>
      <c r="Z1704" t="s">
        <v>6572</v>
      </c>
    </row>
    <row r="1705" spans="1:26" x14ac:dyDescent="0.3">
      <c r="A1705" t="s">
        <v>525</v>
      </c>
      <c r="B1705" t="s">
        <v>6576</v>
      </c>
      <c r="C1705" t="s">
        <v>6577</v>
      </c>
      <c r="D1705" t="s">
        <v>4404</v>
      </c>
      <c r="E1705" t="s">
        <v>664</v>
      </c>
      <c r="F1705" t="s">
        <v>27</v>
      </c>
      <c r="G1705" s="1">
        <v>45292</v>
      </c>
      <c r="H1705" s="1">
        <v>45302</v>
      </c>
      <c r="I1705" t="s">
        <v>665</v>
      </c>
      <c r="J1705" t="s">
        <v>666</v>
      </c>
      <c r="K1705" t="s">
        <v>958</v>
      </c>
      <c r="L1705" t="s">
        <v>217</v>
      </c>
      <c r="M1705" t="s">
        <v>6578</v>
      </c>
      <c r="N1705" t="s">
        <v>6579</v>
      </c>
      <c r="O1705" t="s">
        <v>6580</v>
      </c>
      <c r="P1705" t="s">
        <v>6581</v>
      </c>
      <c r="Q1705" t="s">
        <v>6424</v>
      </c>
      <c r="R1705" t="s">
        <v>6425</v>
      </c>
      <c r="S1705" t="s">
        <v>783</v>
      </c>
      <c r="T1705" t="s">
        <v>550</v>
      </c>
      <c r="U1705" t="s">
        <v>550</v>
      </c>
      <c r="V1705" t="s">
        <v>6582</v>
      </c>
      <c r="W1705" t="s">
        <v>561</v>
      </c>
      <c r="X1705" t="s">
        <v>234</v>
      </c>
      <c r="Z1705" t="s">
        <v>6576</v>
      </c>
    </row>
    <row r="1706" spans="1:26" x14ac:dyDescent="0.3">
      <c r="A1706" t="s">
        <v>525</v>
      </c>
      <c r="B1706" t="s">
        <v>6583</v>
      </c>
      <c r="C1706" t="s">
        <v>6584</v>
      </c>
      <c r="D1706" t="s">
        <v>1778</v>
      </c>
      <c r="E1706" t="s">
        <v>664</v>
      </c>
      <c r="F1706" t="s">
        <v>27</v>
      </c>
      <c r="G1706" s="1">
        <v>45292</v>
      </c>
      <c r="H1706" s="1">
        <v>45312</v>
      </c>
      <c r="I1706" t="s">
        <v>665</v>
      </c>
      <c r="J1706" t="s">
        <v>666</v>
      </c>
      <c r="K1706" t="s">
        <v>24</v>
      </c>
      <c r="L1706" t="s">
        <v>217</v>
      </c>
      <c r="M1706" t="s">
        <v>6578</v>
      </c>
      <c r="N1706" t="s">
        <v>6579</v>
      </c>
      <c r="O1706" t="s">
        <v>6580</v>
      </c>
      <c r="P1706" t="s">
        <v>6581</v>
      </c>
      <c r="Q1706" t="s">
        <v>6424</v>
      </c>
      <c r="R1706" t="s">
        <v>6425</v>
      </c>
      <c r="S1706" t="s">
        <v>783</v>
      </c>
      <c r="T1706" t="s">
        <v>550</v>
      </c>
      <c r="U1706" t="s">
        <v>550</v>
      </c>
      <c r="V1706" t="s">
        <v>6585</v>
      </c>
      <c r="W1706" t="s">
        <v>554</v>
      </c>
      <c r="X1706" t="s">
        <v>226</v>
      </c>
      <c r="Z1706" t="s">
        <v>6583</v>
      </c>
    </row>
    <row r="1707" spans="1:26" x14ac:dyDescent="0.3">
      <c r="A1707" t="s">
        <v>525</v>
      </c>
      <c r="B1707" t="s">
        <v>6586</v>
      </c>
      <c r="C1707" t="s">
        <v>6587</v>
      </c>
      <c r="D1707" t="s">
        <v>1778</v>
      </c>
      <c r="E1707" t="s">
        <v>664</v>
      </c>
      <c r="F1707" t="s">
        <v>27</v>
      </c>
      <c r="G1707" s="1">
        <v>45292</v>
      </c>
      <c r="H1707" s="1">
        <v>45312</v>
      </c>
      <c r="I1707" t="s">
        <v>665</v>
      </c>
      <c r="J1707" t="s">
        <v>666</v>
      </c>
      <c r="K1707" t="s">
        <v>24</v>
      </c>
      <c r="L1707" t="s">
        <v>217</v>
      </c>
      <c r="M1707" t="s">
        <v>6578</v>
      </c>
      <c r="N1707" t="s">
        <v>6579</v>
      </c>
      <c r="O1707" t="s">
        <v>6580</v>
      </c>
      <c r="P1707" t="s">
        <v>6581</v>
      </c>
      <c r="Q1707" t="s">
        <v>6424</v>
      </c>
      <c r="R1707" t="s">
        <v>6425</v>
      </c>
      <c r="S1707" t="s">
        <v>783</v>
      </c>
      <c r="T1707" t="s">
        <v>550</v>
      </c>
      <c r="U1707" t="s">
        <v>550</v>
      </c>
      <c r="V1707" t="s">
        <v>6588</v>
      </c>
      <c r="W1707" t="s">
        <v>554</v>
      </c>
      <c r="X1707" t="s">
        <v>241</v>
      </c>
      <c r="Z1707" t="s">
        <v>6586</v>
      </c>
    </row>
    <row r="1708" spans="1:26" x14ac:dyDescent="0.3">
      <c r="A1708" t="s">
        <v>330</v>
      </c>
      <c r="B1708" t="s">
        <v>6589</v>
      </c>
      <c r="C1708" t="s">
        <v>6590</v>
      </c>
      <c r="D1708" t="s">
        <v>6463</v>
      </c>
      <c r="E1708" t="s">
        <v>6417</v>
      </c>
      <c r="F1708" t="s">
        <v>1040</v>
      </c>
      <c r="G1708" s="1">
        <v>45292</v>
      </c>
      <c r="H1708" s="1">
        <v>45933</v>
      </c>
      <c r="I1708" t="s">
        <v>665</v>
      </c>
      <c r="J1708" t="s">
        <v>6418</v>
      </c>
      <c r="K1708" t="s">
        <v>958</v>
      </c>
      <c r="L1708" t="s">
        <v>6419</v>
      </c>
      <c r="M1708" t="s">
        <v>6591</v>
      </c>
      <c r="N1708" t="s">
        <v>6592</v>
      </c>
      <c r="O1708" t="s">
        <v>6593</v>
      </c>
      <c r="P1708" t="s">
        <v>6594</v>
      </c>
      <c r="Q1708" t="s">
        <v>6424</v>
      </c>
      <c r="R1708" t="s">
        <v>6425</v>
      </c>
      <c r="S1708" t="s">
        <v>6466</v>
      </c>
      <c r="T1708" t="s">
        <v>550</v>
      </c>
      <c r="U1708" t="s">
        <v>550</v>
      </c>
      <c r="V1708" t="s">
        <v>6595</v>
      </c>
      <c r="W1708" t="s">
        <v>6450</v>
      </c>
      <c r="X1708" t="s">
        <v>6468</v>
      </c>
      <c r="Z1708" t="s">
        <v>6589</v>
      </c>
    </row>
    <row r="1709" spans="1:26" x14ac:dyDescent="0.3">
      <c r="A1709" t="s">
        <v>330</v>
      </c>
      <c r="B1709" t="s">
        <v>6596</v>
      </c>
      <c r="C1709" t="s">
        <v>6590</v>
      </c>
      <c r="D1709" t="s">
        <v>6443</v>
      </c>
      <c r="E1709" t="s">
        <v>6417</v>
      </c>
      <c r="F1709" t="s">
        <v>1040</v>
      </c>
      <c r="G1709" s="1">
        <v>44927</v>
      </c>
      <c r="H1709" s="1">
        <v>45762</v>
      </c>
      <c r="I1709" t="s">
        <v>665</v>
      </c>
      <c r="J1709" t="s">
        <v>6418</v>
      </c>
      <c r="K1709" t="s">
        <v>958</v>
      </c>
      <c r="L1709" t="s">
        <v>6419</v>
      </c>
      <c r="M1709" t="s">
        <v>6591</v>
      </c>
      <c r="N1709" t="s">
        <v>6592</v>
      </c>
      <c r="O1709" t="s">
        <v>6593</v>
      </c>
      <c r="P1709" t="s">
        <v>6594</v>
      </c>
      <c r="Q1709" t="s">
        <v>6424</v>
      </c>
      <c r="R1709" t="s">
        <v>6425</v>
      </c>
      <c r="S1709" t="s">
        <v>6448</v>
      </c>
      <c r="T1709" t="s">
        <v>550</v>
      </c>
      <c r="U1709" t="s">
        <v>550</v>
      </c>
      <c r="V1709" t="s">
        <v>6597</v>
      </c>
      <c r="W1709" t="s">
        <v>6450</v>
      </c>
      <c r="X1709" t="s">
        <v>6451</v>
      </c>
      <c r="Y1709" t="s">
        <v>6452</v>
      </c>
      <c r="Z1709" t="s">
        <v>6596</v>
      </c>
    </row>
    <row r="1710" spans="1:26" x14ac:dyDescent="0.3">
      <c r="A1710" t="s">
        <v>330</v>
      </c>
      <c r="B1710" t="s">
        <v>6598</v>
      </c>
      <c r="C1710" t="s">
        <v>6599</v>
      </c>
      <c r="D1710" t="s">
        <v>6600</v>
      </c>
      <c r="E1710" t="s">
        <v>6417</v>
      </c>
      <c r="F1710" t="s">
        <v>1040</v>
      </c>
      <c r="G1710" s="1">
        <v>44927</v>
      </c>
      <c r="H1710" s="1">
        <v>45258</v>
      </c>
      <c r="I1710" t="s">
        <v>665</v>
      </c>
      <c r="J1710" t="s">
        <v>6418</v>
      </c>
      <c r="K1710" t="s">
        <v>958</v>
      </c>
      <c r="L1710" t="s">
        <v>6419</v>
      </c>
      <c r="M1710" t="s">
        <v>6422</v>
      </c>
      <c r="N1710" t="s">
        <v>6423</v>
      </c>
      <c r="O1710" t="s">
        <v>6601</v>
      </c>
      <c r="P1710" t="s">
        <v>6602</v>
      </c>
      <c r="Q1710" t="s">
        <v>6424</v>
      </c>
      <c r="R1710" t="s">
        <v>6425</v>
      </c>
      <c r="S1710" t="s">
        <v>6603</v>
      </c>
      <c r="T1710" t="s">
        <v>550</v>
      </c>
      <c r="U1710" t="s">
        <v>550</v>
      </c>
      <c r="V1710" t="s">
        <v>6604</v>
      </c>
      <c r="W1710" t="s">
        <v>6428</v>
      </c>
      <c r="X1710" t="s">
        <v>6451</v>
      </c>
      <c r="Y1710" t="s">
        <v>6452</v>
      </c>
      <c r="Z1710" t="s">
        <v>6598</v>
      </c>
    </row>
    <row r="1711" spans="1:26" x14ac:dyDescent="0.3">
      <c r="A1711" t="s">
        <v>330</v>
      </c>
      <c r="B1711" t="s">
        <v>6605</v>
      </c>
      <c r="C1711" t="s">
        <v>6606</v>
      </c>
      <c r="D1711" t="s">
        <v>6600</v>
      </c>
      <c r="E1711" t="s">
        <v>6417</v>
      </c>
      <c r="F1711" t="s">
        <v>1040</v>
      </c>
      <c r="G1711" s="1">
        <v>44927</v>
      </c>
      <c r="H1711" s="1">
        <v>45099</v>
      </c>
      <c r="I1711" t="s">
        <v>665</v>
      </c>
      <c r="J1711" t="s">
        <v>6418</v>
      </c>
      <c r="K1711" t="s">
        <v>958</v>
      </c>
      <c r="L1711" t="s">
        <v>6419</v>
      </c>
      <c r="M1711" t="s">
        <v>6422</v>
      </c>
      <c r="N1711" t="s">
        <v>6423</v>
      </c>
      <c r="O1711" t="s">
        <v>6601</v>
      </c>
      <c r="P1711" t="s">
        <v>6602</v>
      </c>
      <c r="Q1711" t="s">
        <v>6424</v>
      </c>
      <c r="R1711" t="s">
        <v>6425</v>
      </c>
      <c r="S1711" t="s">
        <v>6603</v>
      </c>
      <c r="T1711" t="s">
        <v>550</v>
      </c>
      <c r="U1711" t="s">
        <v>550</v>
      </c>
      <c r="V1711" t="s">
        <v>6607</v>
      </c>
      <c r="W1711" t="s">
        <v>6428</v>
      </c>
      <c r="X1711" t="s">
        <v>6451</v>
      </c>
      <c r="Y1711" t="s">
        <v>6452</v>
      </c>
      <c r="Z1711" t="s">
        <v>6605</v>
      </c>
    </row>
    <row r="1712" spans="1:26" x14ac:dyDescent="0.3">
      <c r="A1712" t="s">
        <v>525</v>
      </c>
      <c r="B1712" t="s">
        <v>6608</v>
      </c>
      <c r="C1712" t="s">
        <v>6609</v>
      </c>
      <c r="D1712" t="s">
        <v>550</v>
      </c>
      <c r="E1712" t="s">
        <v>664</v>
      </c>
      <c r="F1712" t="s">
        <v>27</v>
      </c>
      <c r="G1712" s="1">
        <v>44927</v>
      </c>
      <c r="H1712" s="1">
        <v>45291</v>
      </c>
      <c r="I1712" t="s">
        <v>665</v>
      </c>
      <c r="J1712" t="s">
        <v>666</v>
      </c>
      <c r="K1712" t="s">
        <v>24</v>
      </c>
      <c r="L1712" t="s">
        <v>667</v>
      </c>
      <c r="M1712" t="s">
        <v>797</v>
      </c>
      <c r="N1712" t="s">
        <v>313</v>
      </c>
      <c r="O1712" t="s">
        <v>797</v>
      </c>
      <c r="P1712" t="s">
        <v>313</v>
      </c>
      <c r="Q1712" t="s">
        <v>6424</v>
      </c>
      <c r="R1712" t="s">
        <v>6425</v>
      </c>
      <c r="S1712" t="s">
        <v>783</v>
      </c>
      <c r="T1712" t="s">
        <v>550</v>
      </c>
      <c r="U1712" t="s">
        <v>6610</v>
      </c>
      <c r="V1712" t="s">
        <v>6611</v>
      </c>
      <c r="W1712" t="s">
        <v>565</v>
      </c>
      <c r="X1712" t="s">
        <v>669</v>
      </c>
      <c r="Y1712" t="s">
        <v>803</v>
      </c>
      <c r="Z1712" t="s">
        <v>6608</v>
      </c>
    </row>
    <row r="1713" spans="1:26" x14ac:dyDescent="0.3">
      <c r="A1713" t="s">
        <v>525</v>
      </c>
      <c r="B1713" t="s">
        <v>6612</v>
      </c>
      <c r="C1713" t="s">
        <v>6613</v>
      </c>
      <c r="D1713" t="s">
        <v>6608</v>
      </c>
      <c r="E1713" t="s">
        <v>664</v>
      </c>
      <c r="F1713" t="s">
        <v>27</v>
      </c>
      <c r="G1713" s="1">
        <v>44927</v>
      </c>
      <c r="H1713" s="1">
        <v>44931</v>
      </c>
      <c r="I1713" t="s">
        <v>665</v>
      </c>
      <c r="J1713" t="s">
        <v>666</v>
      </c>
      <c r="K1713" t="s">
        <v>24</v>
      </c>
      <c r="L1713" t="s">
        <v>667</v>
      </c>
      <c r="M1713" t="s">
        <v>797</v>
      </c>
      <c r="N1713" t="s">
        <v>313</v>
      </c>
      <c r="O1713" t="s">
        <v>797</v>
      </c>
      <c r="P1713" t="s">
        <v>313</v>
      </c>
      <c r="Q1713" t="s">
        <v>6424</v>
      </c>
      <c r="R1713" t="s">
        <v>6425</v>
      </c>
      <c r="S1713" t="s">
        <v>783</v>
      </c>
      <c r="T1713" t="s">
        <v>550</v>
      </c>
      <c r="U1713" t="s">
        <v>6610</v>
      </c>
      <c r="V1713" t="s">
        <v>6614</v>
      </c>
      <c r="W1713" t="s">
        <v>565</v>
      </c>
      <c r="X1713" t="s">
        <v>669</v>
      </c>
      <c r="Y1713" t="s">
        <v>803</v>
      </c>
      <c r="Z1713" t="s">
        <v>6612</v>
      </c>
    </row>
    <row r="1714" spans="1:26" x14ac:dyDescent="0.3">
      <c r="A1714" t="s">
        <v>330</v>
      </c>
      <c r="B1714" t="s">
        <v>6615</v>
      </c>
      <c r="C1714" t="s">
        <v>6616</v>
      </c>
      <c r="D1714" t="s">
        <v>6617</v>
      </c>
      <c r="E1714" t="s">
        <v>6417</v>
      </c>
      <c r="F1714" t="s">
        <v>1040</v>
      </c>
      <c r="G1714" s="1">
        <v>44927</v>
      </c>
      <c r="H1714" s="1">
        <v>45083</v>
      </c>
      <c r="I1714" t="s">
        <v>665</v>
      </c>
      <c r="J1714" t="s">
        <v>6418</v>
      </c>
      <c r="K1714" t="s">
        <v>958</v>
      </c>
      <c r="L1714" t="s">
        <v>6419</v>
      </c>
      <c r="M1714" t="s">
        <v>6618</v>
      </c>
      <c r="N1714" t="s">
        <v>6619</v>
      </c>
      <c r="O1714" t="s">
        <v>6601</v>
      </c>
      <c r="P1714" t="s">
        <v>6602</v>
      </c>
      <c r="Q1714" t="s">
        <v>6424</v>
      </c>
      <c r="R1714" t="s">
        <v>6425</v>
      </c>
      <c r="S1714" t="s">
        <v>6620</v>
      </c>
      <c r="T1714" t="s">
        <v>550</v>
      </c>
      <c r="U1714" t="s">
        <v>550</v>
      </c>
      <c r="V1714" t="s">
        <v>6621</v>
      </c>
      <c r="W1714" t="s">
        <v>6428</v>
      </c>
      <c r="X1714" t="s">
        <v>6451</v>
      </c>
      <c r="Y1714" t="s">
        <v>6452</v>
      </c>
      <c r="Z1714" t="s">
        <v>6615</v>
      </c>
    </row>
    <row r="1715" spans="1:26" x14ac:dyDescent="0.3">
      <c r="A1715" t="s">
        <v>330</v>
      </c>
      <c r="B1715" t="s">
        <v>6622</v>
      </c>
      <c r="C1715" t="s">
        <v>6623</v>
      </c>
      <c r="D1715" t="s">
        <v>6617</v>
      </c>
      <c r="E1715" t="s">
        <v>6417</v>
      </c>
      <c r="F1715" t="s">
        <v>1040</v>
      </c>
      <c r="G1715" s="1">
        <v>44927</v>
      </c>
      <c r="H1715" s="1">
        <v>45099</v>
      </c>
      <c r="I1715" t="s">
        <v>665</v>
      </c>
      <c r="J1715" t="s">
        <v>6418</v>
      </c>
      <c r="K1715" t="s">
        <v>958</v>
      </c>
      <c r="L1715" t="s">
        <v>6419</v>
      </c>
      <c r="M1715" t="s">
        <v>6618</v>
      </c>
      <c r="N1715" t="s">
        <v>6619</v>
      </c>
      <c r="O1715" t="s">
        <v>6601</v>
      </c>
      <c r="P1715" t="s">
        <v>6602</v>
      </c>
      <c r="Q1715" t="s">
        <v>6424</v>
      </c>
      <c r="R1715" t="s">
        <v>6425</v>
      </c>
      <c r="S1715" t="s">
        <v>6620</v>
      </c>
      <c r="T1715" t="s">
        <v>550</v>
      </c>
      <c r="U1715" t="s">
        <v>550</v>
      </c>
      <c r="V1715" t="s">
        <v>6624</v>
      </c>
      <c r="W1715" t="s">
        <v>6428</v>
      </c>
      <c r="X1715" t="s">
        <v>6451</v>
      </c>
      <c r="Y1715" t="s">
        <v>6452</v>
      </c>
      <c r="Z1715" t="s">
        <v>6622</v>
      </c>
    </row>
    <row r="1716" spans="1:26" x14ac:dyDescent="0.3">
      <c r="A1716" t="s">
        <v>330</v>
      </c>
      <c r="B1716" t="s">
        <v>6625</v>
      </c>
      <c r="C1716" t="s">
        <v>6626</v>
      </c>
      <c r="D1716" t="s">
        <v>6617</v>
      </c>
      <c r="E1716" t="s">
        <v>6417</v>
      </c>
      <c r="F1716" t="s">
        <v>1040</v>
      </c>
      <c r="G1716" s="1">
        <v>44927</v>
      </c>
      <c r="H1716" s="1">
        <v>45188</v>
      </c>
      <c r="I1716" t="s">
        <v>665</v>
      </c>
      <c r="J1716" t="s">
        <v>6418</v>
      </c>
      <c r="K1716" t="s">
        <v>958</v>
      </c>
      <c r="L1716" t="s">
        <v>6419</v>
      </c>
      <c r="M1716" t="s">
        <v>6618</v>
      </c>
      <c r="N1716" t="s">
        <v>6619</v>
      </c>
      <c r="O1716" t="s">
        <v>6601</v>
      </c>
      <c r="P1716" t="s">
        <v>6602</v>
      </c>
      <c r="Q1716" t="s">
        <v>6424</v>
      </c>
      <c r="R1716" t="s">
        <v>6425</v>
      </c>
      <c r="S1716" t="s">
        <v>6620</v>
      </c>
      <c r="T1716" t="s">
        <v>550</v>
      </c>
      <c r="U1716" t="s">
        <v>550</v>
      </c>
      <c r="V1716" t="s">
        <v>6627</v>
      </c>
      <c r="W1716" t="s">
        <v>6428</v>
      </c>
      <c r="X1716" t="s">
        <v>6451</v>
      </c>
      <c r="Y1716" t="s">
        <v>6452</v>
      </c>
      <c r="Z1716" t="s">
        <v>6625</v>
      </c>
    </row>
    <row r="1717" spans="1:26" x14ac:dyDescent="0.3">
      <c r="A1717" t="s">
        <v>525</v>
      </c>
      <c r="B1717" t="s">
        <v>6628</v>
      </c>
      <c r="C1717" t="s">
        <v>6629</v>
      </c>
      <c r="D1717" t="s">
        <v>2281</v>
      </c>
      <c r="E1717" t="s">
        <v>664</v>
      </c>
      <c r="F1717" t="s">
        <v>27</v>
      </c>
      <c r="G1717" s="1">
        <v>45658</v>
      </c>
      <c r="H1717" s="1">
        <v>45658</v>
      </c>
      <c r="I1717" t="s">
        <v>665</v>
      </c>
      <c r="J1717" t="s">
        <v>666</v>
      </c>
      <c r="K1717" t="s">
        <v>24</v>
      </c>
      <c r="L1717" t="s">
        <v>217</v>
      </c>
      <c r="M1717" t="s">
        <v>6630</v>
      </c>
      <c r="N1717" t="s">
        <v>6631</v>
      </c>
      <c r="O1717" t="s">
        <v>1031</v>
      </c>
      <c r="P1717" t="s">
        <v>239</v>
      </c>
      <c r="Q1717" t="s">
        <v>6424</v>
      </c>
      <c r="R1717" t="s">
        <v>6425</v>
      </c>
      <c r="S1717" t="s">
        <v>783</v>
      </c>
      <c r="T1717" t="s">
        <v>550</v>
      </c>
      <c r="U1717" t="s">
        <v>550</v>
      </c>
      <c r="V1717" t="s">
        <v>6632</v>
      </c>
      <c r="W1717" t="s">
        <v>2255</v>
      </c>
      <c r="Z1717" t="s">
        <v>6628</v>
      </c>
    </row>
    <row r="1718" spans="1:26" x14ac:dyDescent="0.3">
      <c r="A1718" t="s">
        <v>525</v>
      </c>
      <c r="B1718" t="s">
        <v>3333</v>
      </c>
      <c r="C1718" t="s">
        <v>6633</v>
      </c>
      <c r="D1718" t="s">
        <v>550</v>
      </c>
      <c r="E1718" t="s">
        <v>1318</v>
      </c>
      <c r="F1718" t="s">
        <v>1319</v>
      </c>
      <c r="G1718" s="1">
        <v>44927</v>
      </c>
      <c r="H1718" s="1">
        <v>45291</v>
      </c>
      <c r="I1718" t="s">
        <v>780</v>
      </c>
      <c r="J1718" t="s">
        <v>1320</v>
      </c>
      <c r="K1718" t="s">
        <v>958</v>
      </c>
      <c r="L1718" t="s">
        <v>216</v>
      </c>
      <c r="M1718" t="s">
        <v>4420</v>
      </c>
      <c r="N1718" t="s">
        <v>299</v>
      </c>
      <c r="O1718" t="s">
        <v>1031</v>
      </c>
      <c r="P1718" t="s">
        <v>239</v>
      </c>
      <c r="Q1718" t="s">
        <v>6424</v>
      </c>
      <c r="R1718" t="s">
        <v>6425</v>
      </c>
      <c r="S1718" t="s">
        <v>783</v>
      </c>
      <c r="T1718" t="s">
        <v>550</v>
      </c>
      <c r="U1718" t="s">
        <v>1807</v>
      </c>
      <c r="V1718" t="s">
        <v>6634</v>
      </c>
      <c r="W1718" t="s">
        <v>1809</v>
      </c>
      <c r="X1718" t="s">
        <v>74</v>
      </c>
      <c r="Y1718" t="s">
        <v>786</v>
      </c>
      <c r="Z1718" t="s">
        <v>3333</v>
      </c>
    </row>
    <row r="1719" spans="1:26" x14ac:dyDescent="0.3">
      <c r="A1719" t="s">
        <v>525</v>
      </c>
      <c r="B1719" t="s">
        <v>6635</v>
      </c>
      <c r="C1719" t="s">
        <v>6636</v>
      </c>
      <c r="D1719" t="s">
        <v>550</v>
      </c>
      <c r="E1719" t="s">
        <v>6637</v>
      </c>
      <c r="F1719" t="s">
        <v>6638</v>
      </c>
      <c r="G1719" s="1">
        <v>44927</v>
      </c>
      <c r="H1719" s="1">
        <v>45291</v>
      </c>
      <c r="I1719" t="s">
        <v>665</v>
      </c>
      <c r="J1719" t="s">
        <v>6639</v>
      </c>
      <c r="K1719" t="s">
        <v>24</v>
      </c>
      <c r="L1719" t="s">
        <v>216</v>
      </c>
      <c r="M1719" t="s">
        <v>1030</v>
      </c>
      <c r="N1719" t="s">
        <v>255</v>
      </c>
      <c r="O1719" t="s">
        <v>1031</v>
      </c>
      <c r="P1719" t="s">
        <v>239</v>
      </c>
      <c r="Q1719" t="s">
        <v>6424</v>
      </c>
      <c r="R1719" t="s">
        <v>6425</v>
      </c>
      <c r="S1719" t="s">
        <v>1471</v>
      </c>
      <c r="T1719" t="s">
        <v>550</v>
      </c>
      <c r="U1719" t="s">
        <v>4865</v>
      </c>
      <c r="V1719" t="s">
        <v>6640</v>
      </c>
      <c r="W1719" t="s">
        <v>613</v>
      </c>
      <c r="X1719" t="s">
        <v>74</v>
      </c>
      <c r="Y1719" t="s">
        <v>1281</v>
      </c>
      <c r="Z1719" t="s">
        <v>6635</v>
      </c>
    </row>
    <row r="1720" spans="1:26" x14ac:dyDescent="0.3">
      <c r="A1720" t="s">
        <v>525</v>
      </c>
      <c r="B1720" t="s">
        <v>6641</v>
      </c>
      <c r="C1720" t="s">
        <v>6642</v>
      </c>
      <c r="D1720" t="s">
        <v>6635</v>
      </c>
      <c r="E1720" t="s">
        <v>6637</v>
      </c>
      <c r="F1720" t="s">
        <v>6638</v>
      </c>
      <c r="G1720" s="1">
        <v>44927</v>
      </c>
      <c r="H1720" s="1">
        <v>44928</v>
      </c>
      <c r="I1720" t="s">
        <v>665</v>
      </c>
      <c r="J1720" t="s">
        <v>6639</v>
      </c>
      <c r="K1720" t="s">
        <v>24</v>
      </c>
      <c r="L1720" t="s">
        <v>216</v>
      </c>
      <c r="M1720" t="s">
        <v>1030</v>
      </c>
      <c r="N1720" t="s">
        <v>255</v>
      </c>
      <c r="O1720" t="s">
        <v>1031</v>
      </c>
      <c r="P1720" t="s">
        <v>239</v>
      </c>
      <c r="Q1720" t="s">
        <v>6424</v>
      </c>
      <c r="R1720" t="s">
        <v>6425</v>
      </c>
      <c r="S1720" t="s">
        <v>783</v>
      </c>
      <c r="T1720" t="s">
        <v>550</v>
      </c>
      <c r="U1720" t="s">
        <v>4865</v>
      </c>
      <c r="V1720" t="s">
        <v>6643</v>
      </c>
      <c r="W1720" t="s">
        <v>613</v>
      </c>
      <c r="X1720" t="s">
        <v>74</v>
      </c>
      <c r="Y1720" t="s">
        <v>1281</v>
      </c>
      <c r="Z1720" t="s">
        <v>6641</v>
      </c>
    </row>
    <row r="1721" spans="1:26" x14ac:dyDescent="0.3">
      <c r="A1721" t="s">
        <v>525</v>
      </c>
      <c r="B1721" t="s">
        <v>6644</v>
      </c>
      <c r="C1721" t="s">
        <v>6645</v>
      </c>
      <c r="D1721" t="s">
        <v>550</v>
      </c>
      <c r="E1721" t="s">
        <v>664</v>
      </c>
      <c r="F1721" t="s">
        <v>27</v>
      </c>
      <c r="G1721" s="1">
        <v>44927</v>
      </c>
      <c r="H1721" s="1">
        <v>45291</v>
      </c>
      <c r="I1721" t="s">
        <v>665</v>
      </c>
      <c r="J1721" t="s">
        <v>666</v>
      </c>
      <c r="K1721" t="s">
        <v>24</v>
      </c>
      <c r="L1721" t="s">
        <v>667</v>
      </c>
      <c r="M1721" t="s">
        <v>1222</v>
      </c>
      <c r="N1721" t="s">
        <v>231</v>
      </c>
      <c r="O1721" t="s">
        <v>1222</v>
      </c>
      <c r="P1721" t="s">
        <v>231</v>
      </c>
      <c r="Q1721" t="s">
        <v>6424</v>
      </c>
      <c r="R1721" t="s">
        <v>6425</v>
      </c>
      <c r="S1721" t="s">
        <v>783</v>
      </c>
      <c r="T1721" t="s">
        <v>550</v>
      </c>
      <c r="U1721" t="s">
        <v>6646</v>
      </c>
      <c r="V1721" t="s">
        <v>6647</v>
      </c>
      <c r="W1721" t="s">
        <v>835</v>
      </c>
      <c r="X1721" t="s">
        <v>979</v>
      </c>
      <c r="Y1721" t="s">
        <v>803</v>
      </c>
      <c r="Z1721" t="s">
        <v>6644</v>
      </c>
    </row>
    <row r="1722" spans="1:26" x14ac:dyDescent="0.3">
      <c r="A1722" t="s">
        <v>525</v>
      </c>
      <c r="B1722" t="s">
        <v>6648</v>
      </c>
      <c r="C1722" t="s">
        <v>6649</v>
      </c>
      <c r="D1722" t="s">
        <v>6644</v>
      </c>
      <c r="E1722" t="s">
        <v>664</v>
      </c>
      <c r="F1722" t="s">
        <v>27</v>
      </c>
      <c r="G1722" s="1">
        <v>44927</v>
      </c>
      <c r="H1722" s="1">
        <v>45406</v>
      </c>
      <c r="I1722" t="s">
        <v>665</v>
      </c>
      <c r="J1722" t="s">
        <v>666</v>
      </c>
      <c r="K1722" t="s">
        <v>24</v>
      </c>
      <c r="L1722" t="s">
        <v>667</v>
      </c>
      <c r="M1722" t="s">
        <v>1222</v>
      </c>
      <c r="N1722" t="s">
        <v>231</v>
      </c>
      <c r="O1722" t="s">
        <v>1222</v>
      </c>
      <c r="P1722" t="s">
        <v>231</v>
      </c>
      <c r="Q1722" t="s">
        <v>6424</v>
      </c>
      <c r="R1722" t="s">
        <v>6425</v>
      </c>
      <c r="S1722" t="s">
        <v>783</v>
      </c>
      <c r="T1722" t="s">
        <v>550</v>
      </c>
      <c r="U1722" t="s">
        <v>6646</v>
      </c>
      <c r="V1722" t="s">
        <v>6650</v>
      </c>
      <c r="W1722" t="s">
        <v>835</v>
      </c>
      <c r="X1722" t="s">
        <v>979</v>
      </c>
      <c r="Y1722" t="s">
        <v>803</v>
      </c>
      <c r="Z1722" t="s">
        <v>6648</v>
      </c>
    </row>
    <row r="1723" spans="1:26" x14ac:dyDescent="0.3">
      <c r="A1723" t="s">
        <v>525</v>
      </c>
      <c r="B1723" t="s">
        <v>6651</v>
      </c>
      <c r="C1723" t="s">
        <v>6652</v>
      </c>
      <c r="D1723" t="s">
        <v>6644</v>
      </c>
      <c r="E1723" t="s">
        <v>664</v>
      </c>
      <c r="F1723" t="s">
        <v>27</v>
      </c>
      <c r="G1723" s="1">
        <v>44927</v>
      </c>
      <c r="H1723" s="1">
        <v>45406</v>
      </c>
      <c r="I1723" t="s">
        <v>665</v>
      </c>
      <c r="J1723" t="s">
        <v>666</v>
      </c>
      <c r="K1723" t="s">
        <v>24</v>
      </c>
      <c r="L1723" t="s">
        <v>667</v>
      </c>
      <c r="M1723" t="s">
        <v>1222</v>
      </c>
      <c r="N1723" t="s">
        <v>231</v>
      </c>
      <c r="O1723" t="s">
        <v>1222</v>
      </c>
      <c r="P1723" t="s">
        <v>231</v>
      </c>
      <c r="Q1723" t="s">
        <v>6424</v>
      </c>
      <c r="R1723" t="s">
        <v>6425</v>
      </c>
      <c r="S1723" t="s">
        <v>783</v>
      </c>
      <c r="T1723" t="s">
        <v>550</v>
      </c>
      <c r="U1723" t="s">
        <v>6646</v>
      </c>
      <c r="V1723" t="s">
        <v>6653</v>
      </c>
      <c r="W1723" t="s">
        <v>835</v>
      </c>
      <c r="X1723" t="s">
        <v>979</v>
      </c>
      <c r="Y1723" t="s">
        <v>803</v>
      </c>
      <c r="Z1723" t="s">
        <v>6651</v>
      </c>
    </row>
    <row r="1724" spans="1:26" x14ac:dyDescent="0.3">
      <c r="A1724" t="s">
        <v>525</v>
      </c>
      <c r="B1724" t="s">
        <v>6654</v>
      </c>
      <c r="C1724" t="s">
        <v>6655</v>
      </c>
      <c r="D1724" t="s">
        <v>6644</v>
      </c>
      <c r="E1724" t="s">
        <v>664</v>
      </c>
      <c r="F1724" t="s">
        <v>27</v>
      </c>
      <c r="G1724" s="1">
        <v>44927</v>
      </c>
      <c r="H1724" s="1">
        <v>45166</v>
      </c>
      <c r="I1724" t="s">
        <v>665</v>
      </c>
      <c r="J1724" t="s">
        <v>666</v>
      </c>
      <c r="K1724" t="s">
        <v>24</v>
      </c>
      <c r="L1724" t="s">
        <v>667</v>
      </c>
      <c r="M1724" t="s">
        <v>1222</v>
      </c>
      <c r="N1724" t="s">
        <v>231</v>
      </c>
      <c r="O1724" t="s">
        <v>1222</v>
      </c>
      <c r="P1724" t="s">
        <v>231</v>
      </c>
      <c r="Q1724" t="s">
        <v>6424</v>
      </c>
      <c r="R1724" t="s">
        <v>6425</v>
      </c>
      <c r="S1724" t="s">
        <v>783</v>
      </c>
      <c r="T1724" t="s">
        <v>550</v>
      </c>
      <c r="U1724" t="s">
        <v>6646</v>
      </c>
      <c r="V1724" t="s">
        <v>6656</v>
      </c>
      <c r="W1724" t="s">
        <v>835</v>
      </c>
      <c r="X1724" t="s">
        <v>979</v>
      </c>
      <c r="Y1724" t="s">
        <v>803</v>
      </c>
      <c r="Z1724" t="s">
        <v>6654</v>
      </c>
    </row>
    <row r="1725" spans="1:26" x14ac:dyDescent="0.3">
      <c r="A1725" t="s">
        <v>525</v>
      </c>
      <c r="B1725" t="s">
        <v>6657</v>
      </c>
      <c r="C1725" t="s">
        <v>6658</v>
      </c>
      <c r="D1725" t="s">
        <v>550</v>
      </c>
      <c r="E1725" t="s">
        <v>664</v>
      </c>
      <c r="F1725" t="s">
        <v>27</v>
      </c>
      <c r="G1725" s="1">
        <v>44927</v>
      </c>
      <c r="H1725" s="1">
        <v>45291</v>
      </c>
      <c r="I1725" t="s">
        <v>665</v>
      </c>
      <c r="J1725" t="s">
        <v>666</v>
      </c>
      <c r="K1725" t="s">
        <v>24</v>
      </c>
      <c r="L1725" t="s">
        <v>667</v>
      </c>
      <c r="M1725" t="s">
        <v>1222</v>
      </c>
      <c r="N1725" t="s">
        <v>231</v>
      </c>
      <c r="O1725" t="s">
        <v>1222</v>
      </c>
      <c r="P1725" t="s">
        <v>231</v>
      </c>
      <c r="Q1725" t="s">
        <v>6424</v>
      </c>
      <c r="R1725" t="s">
        <v>6425</v>
      </c>
      <c r="S1725" t="s">
        <v>783</v>
      </c>
      <c r="T1725" t="s">
        <v>550</v>
      </c>
      <c r="U1725" t="s">
        <v>4237</v>
      </c>
      <c r="V1725" t="s">
        <v>6659</v>
      </c>
      <c r="W1725" t="s">
        <v>835</v>
      </c>
      <c r="X1725" t="s">
        <v>979</v>
      </c>
      <c r="Y1725" t="s">
        <v>803</v>
      </c>
      <c r="Z1725" t="s">
        <v>6657</v>
      </c>
    </row>
    <row r="1726" spans="1:26" x14ac:dyDescent="0.3">
      <c r="A1726" t="s">
        <v>525</v>
      </c>
      <c r="B1726" t="s">
        <v>6660</v>
      </c>
      <c r="C1726" t="s">
        <v>6661</v>
      </c>
      <c r="D1726" t="s">
        <v>6657</v>
      </c>
      <c r="E1726" t="s">
        <v>664</v>
      </c>
      <c r="F1726" t="s">
        <v>27</v>
      </c>
      <c r="G1726" s="1">
        <v>44927</v>
      </c>
      <c r="H1726" s="1">
        <v>45114</v>
      </c>
      <c r="I1726" t="s">
        <v>665</v>
      </c>
      <c r="J1726" t="s">
        <v>666</v>
      </c>
      <c r="K1726" t="s">
        <v>24</v>
      </c>
      <c r="L1726" t="s">
        <v>667</v>
      </c>
      <c r="M1726" t="s">
        <v>1222</v>
      </c>
      <c r="N1726" t="s">
        <v>231</v>
      </c>
      <c r="O1726" t="s">
        <v>1222</v>
      </c>
      <c r="P1726" t="s">
        <v>231</v>
      </c>
      <c r="Q1726" t="s">
        <v>6424</v>
      </c>
      <c r="R1726" t="s">
        <v>6425</v>
      </c>
      <c r="S1726" t="s">
        <v>783</v>
      </c>
      <c r="T1726" t="s">
        <v>550</v>
      </c>
      <c r="U1726" t="s">
        <v>6610</v>
      </c>
      <c r="V1726" t="s">
        <v>6662</v>
      </c>
      <c r="W1726" t="s">
        <v>835</v>
      </c>
      <c r="X1726" t="s">
        <v>979</v>
      </c>
      <c r="Y1726" t="s">
        <v>803</v>
      </c>
      <c r="Z1726" t="s">
        <v>6660</v>
      </c>
    </row>
    <row r="1727" spans="1:26" x14ac:dyDescent="0.3">
      <c r="A1727" t="s">
        <v>525</v>
      </c>
      <c r="B1727" t="s">
        <v>6663</v>
      </c>
      <c r="C1727" t="s">
        <v>6664</v>
      </c>
      <c r="D1727" t="s">
        <v>550</v>
      </c>
      <c r="E1727" t="s">
        <v>664</v>
      </c>
      <c r="F1727" t="s">
        <v>27</v>
      </c>
      <c r="G1727" s="1">
        <v>44927</v>
      </c>
      <c r="H1727" s="1">
        <v>45291</v>
      </c>
      <c r="I1727" t="s">
        <v>665</v>
      </c>
      <c r="J1727" t="s">
        <v>666</v>
      </c>
      <c r="K1727" t="s">
        <v>958</v>
      </c>
      <c r="L1727" t="s">
        <v>667</v>
      </c>
      <c r="M1727" t="s">
        <v>1222</v>
      </c>
      <c r="N1727" t="s">
        <v>231</v>
      </c>
      <c r="O1727" t="s">
        <v>1222</v>
      </c>
      <c r="P1727" t="s">
        <v>231</v>
      </c>
      <c r="Q1727" t="s">
        <v>6424</v>
      </c>
      <c r="R1727" t="s">
        <v>6425</v>
      </c>
      <c r="S1727" t="s">
        <v>783</v>
      </c>
      <c r="T1727" t="s">
        <v>550</v>
      </c>
      <c r="U1727" t="s">
        <v>4237</v>
      </c>
      <c r="V1727" t="s">
        <v>6665</v>
      </c>
      <c r="W1727" t="s">
        <v>835</v>
      </c>
      <c r="X1727" t="s">
        <v>979</v>
      </c>
      <c r="Y1727" t="s">
        <v>803</v>
      </c>
      <c r="Z1727" t="s">
        <v>6663</v>
      </c>
    </row>
    <row r="1728" spans="1:26" x14ac:dyDescent="0.3">
      <c r="A1728" t="s">
        <v>525</v>
      </c>
      <c r="B1728" t="s">
        <v>6666</v>
      </c>
      <c r="C1728" t="s">
        <v>6667</v>
      </c>
      <c r="D1728" t="s">
        <v>6663</v>
      </c>
      <c r="E1728" t="s">
        <v>664</v>
      </c>
      <c r="F1728" t="s">
        <v>27</v>
      </c>
      <c r="G1728" s="1">
        <v>44927</v>
      </c>
      <c r="H1728" s="1">
        <v>44983</v>
      </c>
      <c r="I1728" t="s">
        <v>665</v>
      </c>
      <c r="J1728" t="s">
        <v>666</v>
      </c>
      <c r="K1728" t="s">
        <v>958</v>
      </c>
      <c r="L1728" t="s">
        <v>667</v>
      </c>
      <c r="M1728" t="s">
        <v>1222</v>
      </c>
      <c r="N1728" t="s">
        <v>231</v>
      </c>
      <c r="O1728" t="s">
        <v>1222</v>
      </c>
      <c r="P1728" t="s">
        <v>231</v>
      </c>
      <c r="Q1728" t="s">
        <v>6424</v>
      </c>
      <c r="R1728" t="s">
        <v>6425</v>
      </c>
      <c r="S1728" t="s">
        <v>783</v>
      </c>
      <c r="T1728" t="s">
        <v>893</v>
      </c>
      <c r="U1728" t="s">
        <v>4237</v>
      </c>
      <c r="V1728" t="s">
        <v>6668</v>
      </c>
      <c r="W1728" t="s">
        <v>835</v>
      </c>
      <c r="X1728" t="s">
        <v>979</v>
      </c>
      <c r="Y1728" t="s">
        <v>803</v>
      </c>
      <c r="Z1728" t="s">
        <v>6666</v>
      </c>
    </row>
    <row r="1729" spans="1:26" x14ac:dyDescent="0.3">
      <c r="A1729" t="s">
        <v>525</v>
      </c>
      <c r="B1729" t="s">
        <v>6669</v>
      </c>
      <c r="C1729" t="s">
        <v>6670</v>
      </c>
      <c r="D1729" t="s">
        <v>6663</v>
      </c>
      <c r="E1729" t="s">
        <v>664</v>
      </c>
      <c r="F1729" t="s">
        <v>27</v>
      </c>
      <c r="G1729" s="1">
        <v>44927</v>
      </c>
      <c r="H1729" s="1">
        <v>45239</v>
      </c>
      <c r="I1729" t="s">
        <v>665</v>
      </c>
      <c r="J1729" t="s">
        <v>666</v>
      </c>
      <c r="K1729" t="s">
        <v>958</v>
      </c>
      <c r="L1729" t="s">
        <v>667</v>
      </c>
      <c r="M1729" t="s">
        <v>1222</v>
      </c>
      <c r="N1729" t="s">
        <v>231</v>
      </c>
      <c r="O1729" t="s">
        <v>1222</v>
      </c>
      <c r="P1729" t="s">
        <v>231</v>
      </c>
      <c r="Q1729" t="s">
        <v>6424</v>
      </c>
      <c r="R1729" t="s">
        <v>6425</v>
      </c>
      <c r="S1729" t="s">
        <v>783</v>
      </c>
      <c r="T1729" t="s">
        <v>893</v>
      </c>
      <c r="U1729" t="s">
        <v>4237</v>
      </c>
      <c r="V1729" t="s">
        <v>6671</v>
      </c>
      <c r="W1729" t="s">
        <v>835</v>
      </c>
      <c r="X1729" t="s">
        <v>979</v>
      </c>
      <c r="Y1729" t="s">
        <v>803</v>
      </c>
      <c r="Z1729" t="s">
        <v>6669</v>
      </c>
    </row>
    <row r="1730" spans="1:26" x14ac:dyDescent="0.3">
      <c r="A1730" t="s">
        <v>525</v>
      </c>
      <c r="B1730" t="s">
        <v>6672</v>
      </c>
      <c r="C1730" t="s">
        <v>6673</v>
      </c>
      <c r="D1730" t="s">
        <v>6663</v>
      </c>
      <c r="E1730" t="s">
        <v>664</v>
      </c>
      <c r="F1730" t="s">
        <v>27</v>
      </c>
      <c r="G1730" s="1">
        <v>44927</v>
      </c>
      <c r="H1730" s="1">
        <v>44983</v>
      </c>
      <c r="I1730" t="s">
        <v>665</v>
      </c>
      <c r="J1730" t="s">
        <v>666</v>
      </c>
      <c r="K1730" t="s">
        <v>958</v>
      </c>
      <c r="L1730" t="s">
        <v>667</v>
      </c>
      <c r="M1730" t="s">
        <v>1222</v>
      </c>
      <c r="N1730" t="s">
        <v>231</v>
      </c>
      <c r="O1730" t="s">
        <v>1222</v>
      </c>
      <c r="P1730" t="s">
        <v>231</v>
      </c>
      <c r="Q1730" t="s">
        <v>6424</v>
      </c>
      <c r="R1730" t="s">
        <v>6425</v>
      </c>
      <c r="S1730" t="s">
        <v>783</v>
      </c>
      <c r="T1730" t="s">
        <v>893</v>
      </c>
      <c r="U1730" t="s">
        <v>4237</v>
      </c>
      <c r="V1730" t="s">
        <v>6674</v>
      </c>
      <c r="W1730" t="s">
        <v>835</v>
      </c>
      <c r="X1730" t="s">
        <v>979</v>
      </c>
      <c r="Y1730" t="s">
        <v>803</v>
      </c>
      <c r="Z1730" t="s">
        <v>6672</v>
      </c>
    </row>
    <row r="1731" spans="1:26" x14ac:dyDescent="0.3">
      <c r="A1731" t="s">
        <v>525</v>
      </c>
      <c r="B1731" t="s">
        <v>6675</v>
      </c>
      <c r="C1731" t="s">
        <v>6676</v>
      </c>
      <c r="D1731" t="s">
        <v>6663</v>
      </c>
      <c r="E1731" t="s">
        <v>664</v>
      </c>
      <c r="F1731" t="s">
        <v>27</v>
      </c>
      <c r="G1731" s="1">
        <v>44927</v>
      </c>
      <c r="H1731" s="1">
        <v>45039</v>
      </c>
      <c r="I1731" t="s">
        <v>665</v>
      </c>
      <c r="J1731" t="s">
        <v>666</v>
      </c>
      <c r="K1731" t="s">
        <v>958</v>
      </c>
      <c r="L1731" t="s">
        <v>667</v>
      </c>
      <c r="M1731" t="s">
        <v>1222</v>
      </c>
      <c r="N1731" t="s">
        <v>231</v>
      </c>
      <c r="O1731" t="s">
        <v>1222</v>
      </c>
      <c r="P1731" t="s">
        <v>231</v>
      </c>
      <c r="Q1731" t="s">
        <v>6424</v>
      </c>
      <c r="R1731" t="s">
        <v>6425</v>
      </c>
      <c r="S1731" t="s">
        <v>783</v>
      </c>
      <c r="T1731" t="s">
        <v>893</v>
      </c>
      <c r="U1731" t="s">
        <v>4237</v>
      </c>
      <c r="V1731" t="s">
        <v>6677</v>
      </c>
      <c r="W1731" t="s">
        <v>835</v>
      </c>
      <c r="X1731" t="s">
        <v>979</v>
      </c>
      <c r="Y1731" t="s">
        <v>803</v>
      </c>
      <c r="Z1731" t="s">
        <v>6675</v>
      </c>
    </row>
    <row r="1732" spans="1:26" x14ac:dyDescent="0.3">
      <c r="A1732" t="s">
        <v>525</v>
      </c>
      <c r="B1732" t="s">
        <v>6678</v>
      </c>
      <c r="C1732" t="s">
        <v>6679</v>
      </c>
      <c r="D1732" t="s">
        <v>6663</v>
      </c>
      <c r="E1732" t="s">
        <v>664</v>
      </c>
      <c r="F1732" t="s">
        <v>27</v>
      </c>
      <c r="G1732" s="1">
        <v>44927</v>
      </c>
      <c r="H1732" s="1">
        <v>45101</v>
      </c>
      <c r="I1732" t="s">
        <v>665</v>
      </c>
      <c r="J1732" t="s">
        <v>666</v>
      </c>
      <c r="K1732" t="s">
        <v>958</v>
      </c>
      <c r="L1732" t="s">
        <v>667</v>
      </c>
      <c r="M1732" t="s">
        <v>1222</v>
      </c>
      <c r="N1732" t="s">
        <v>231</v>
      </c>
      <c r="O1732" t="s">
        <v>1222</v>
      </c>
      <c r="P1732" t="s">
        <v>231</v>
      </c>
      <c r="Q1732" t="s">
        <v>6424</v>
      </c>
      <c r="R1732" t="s">
        <v>6425</v>
      </c>
      <c r="S1732" t="s">
        <v>783</v>
      </c>
      <c r="T1732" t="s">
        <v>893</v>
      </c>
      <c r="U1732" t="s">
        <v>4237</v>
      </c>
      <c r="V1732" t="s">
        <v>6680</v>
      </c>
      <c r="W1732" t="s">
        <v>835</v>
      </c>
      <c r="X1732" t="s">
        <v>979</v>
      </c>
      <c r="Y1732" t="s">
        <v>803</v>
      </c>
      <c r="Z1732" t="s">
        <v>6678</v>
      </c>
    </row>
    <row r="1733" spans="1:26" x14ac:dyDescent="0.3">
      <c r="A1733" t="s">
        <v>525</v>
      </c>
      <c r="B1733" t="s">
        <v>6681</v>
      </c>
      <c r="C1733" t="s">
        <v>6682</v>
      </c>
      <c r="D1733" t="s">
        <v>6663</v>
      </c>
      <c r="E1733" t="s">
        <v>664</v>
      </c>
      <c r="F1733" t="s">
        <v>27</v>
      </c>
      <c r="G1733" s="1">
        <v>44927</v>
      </c>
      <c r="H1733" s="1">
        <v>45026</v>
      </c>
      <c r="I1733" t="s">
        <v>665</v>
      </c>
      <c r="J1733" t="s">
        <v>666</v>
      </c>
      <c r="K1733" t="s">
        <v>958</v>
      </c>
      <c r="L1733" t="s">
        <v>667</v>
      </c>
      <c r="M1733" t="s">
        <v>1222</v>
      </c>
      <c r="N1733" t="s">
        <v>231</v>
      </c>
      <c r="O1733" t="s">
        <v>1222</v>
      </c>
      <c r="P1733" t="s">
        <v>231</v>
      </c>
      <c r="Q1733" t="s">
        <v>6424</v>
      </c>
      <c r="R1733" t="s">
        <v>6425</v>
      </c>
      <c r="S1733" t="s">
        <v>783</v>
      </c>
      <c r="T1733" t="s">
        <v>893</v>
      </c>
      <c r="U1733" t="s">
        <v>4237</v>
      </c>
      <c r="V1733" t="s">
        <v>6683</v>
      </c>
      <c r="W1733" t="s">
        <v>835</v>
      </c>
      <c r="X1733" t="s">
        <v>979</v>
      </c>
      <c r="Y1733" t="s">
        <v>803</v>
      </c>
      <c r="Z1733" t="s">
        <v>6681</v>
      </c>
    </row>
    <row r="1734" spans="1:26" x14ac:dyDescent="0.3">
      <c r="A1734" t="s">
        <v>525</v>
      </c>
      <c r="B1734" t="s">
        <v>6684</v>
      </c>
      <c r="C1734" t="s">
        <v>6685</v>
      </c>
      <c r="D1734" t="s">
        <v>6663</v>
      </c>
      <c r="E1734" t="s">
        <v>664</v>
      </c>
      <c r="F1734" t="s">
        <v>27</v>
      </c>
      <c r="G1734" s="1">
        <v>44927</v>
      </c>
      <c r="H1734" s="1">
        <v>44951</v>
      </c>
      <c r="I1734" t="s">
        <v>665</v>
      </c>
      <c r="J1734" t="s">
        <v>666</v>
      </c>
      <c r="K1734" t="s">
        <v>958</v>
      </c>
      <c r="L1734" t="s">
        <v>667</v>
      </c>
      <c r="M1734" t="s">
        <v>1222</v>
      </c>
      <c r="N1734" t="s">
        <v>231</v>
      </c>
      <c r="O1734" t="s">
        <v>1222</v>
      </c>
      <c r="P1734" t="s">
        <v>231</v>
      </c>
      <c r="Q1734" t="s">
        <v>6424</v>
      </c>
      <c r="R1734" t="s">
        <v>6425</v>
      </c>
      <c r="S1734" t="s">
        <v>783</v>
      </c>
      <c r="T1734" t="s">
        <v>893</v>
      </c>
      <c r="U1734" t="s">
        <v>4237</v>
      </c>
      <c r="V1734" t="s">
        <v>6686</v>
      </c>
      <c r="W1734" t="s">
        <v>835</v>
      </c>
      <c r="X1734" t="s">
        <v>979</v>
      </c>
      <c r="Y1734" t="s">
        <v>803</v>
      </c>
      <c r="Z1734" t="s">
        <v>6684</v>
      </c>
    </row>
    <row r="1735" spans="1:26" x14ac:dyDescent="0.3">
      <c r="A1735" t="s">
        <v>525</v>
      </c>
      <c r="B1735" t="s">
        <v>6687</v>
      </c>
      <c r="C1735" t="s">
        <v>6688</v>
      </c>
      <c r="D1735" t="s">
        <v>6663</v>
      </c>
      <c r="E1735" t="s">
        <v>664</v>
      </c>
      <c r="F1735" t="s">
        <v>27</v>
      </c>
      <c r="G1735" s="1">
        <v>44927</v>
      </c>
      <c r="H1735" s="1">
        <v>45026</v>
      </c>
      <c r="I1735" t="s">
        <v>665</v>
      </c>
      <c r="J1735" t="s">
        <v>666</v>
      </c>
      <c r="K1735" t="s">
        <v>958</v>
      </c>
      <c r="L1735" t="s">
        <v>667</v>
      </c>
      <c r="M1735" t="s">
        <v>1222</v>
      </c>
      <c r="N1735" t="s">
        <v>231</v>
      </c>
      <c r="O1735" t="s">
        <v>1222</v>
      </c>
      <c r="P1735" t="s">
        <v>231</v>
      </c>
      <c r="Q1735" t="s">
        <v>6424</v>
      </c>
      <c r="R1735" t="s">
        <v>6425</v>
      </c>
      <c r="S1735" t="s">
        <v>783</v>
      </c>
      <c r="T1735" t="s">
        <v>893</v>
      </c>
      <c r="U1735" t="s">
        <v>4237</v>
      </c>
      <c r="V1735" t="s">
        <v>6689</v>
      </c>
      <c r="W1735" t="s">
        <v>835</v>
      </c>
      <c r="X1735" t="s">
        <v>979</v>
      </c>
      <c r="Y1735" t="s">
        <v>803</v>
      </c>
      <c r="Z1735" t="s">
        <v>6687</v>
      </c>
    </row>
    <row r="1736" spans="1:26" x14ac:dyDescent="0.3">
      <c r="A1736" t="s">
        <v>525</v>
      </c>
      <c r="B1736" t="s">
        <v>6690</v>
      </c>
      <c r="C1736" t="s">
        <v>6691</v>
      </c>
      <c r="D1736" t="s">
        <v>6663</v>
      </c>
      <c r="E1736" t="s">
        <v>664</v>
      </c>
      <c r="F1736" t="s">
        <v>27</v>
      </c>
      <c r="G1736" s="1">
        <v>44927</v>
      </c>
      <c r="H1736" s="1">
        <v>45026</v>
      </c>
      <c r="I1736" t="s">
        <v>665</v>
      </c>
      <c r="J1736" t="s">
        <v>666</v>
      </c>
      <c r="K1736" t="s">
        <v>958</v>
      </c>
      <c r="L1736" t="s">
        <v>667</v>
      </c>
      <c r="M1736" t="s">
        <v>1222</v>
      </c>
      <c r="N1736" t="s">
        <v>231</v>
      </c>
      <c r="O1736" t="s">
        <v>1222</v>
      </c>
      <c r="P1736" t="s">
        <v>231</v>
      </c>
      <c r="Q1736" t="s">
        <v>6424</v>
      </c>
      <c r="R1736" t="s">
        <v>6425</v>
      </c>
      <c r="S1736" t="s">
        <v>783</v>
      </c>
      <c r="T1736" t="s">
        <v>893</v>
      </c>
      <c r="U1736" t="s">
        <v>4237</v>
      </c>
      <c r="V1736" t="s">
        <v>6692</v>
      </c>
      <c r="W1736" t="s">
        <v>835</v>
      </c>
      <c r="X1736" t="s">
        <v>979</v>
      </c>
      <c r="Y1736" t="s">
        <v>803</v>
      </c>
      <c r="Z1736" t="s">
        <v>6690</v>
      </c>
    </row>
    <row r="1737" spans="1:26" x14ac:dyDescent="0.3">
      <c r="A1737" t="s">
        <v>525</v>
      </c>
      <c r="B1737" t="s">
        <v>6693</v>
      </c>
      <c r="C1737" t="s">
        <v>6694</v>
      </c>
      <c r="D1737" t="s">
        <v>6663</v>
      </c>
      <c r="E1737" t="s">
        <v>664</v>
      </c>
      <c r="F1737" t="s">
        <v>27</v>
      </c>
      <c r="G1737" s="1">
        <v>44927</v>
      </c>
      <c r="H1737" s="1">
        <v>45395</v>
      </c>
      <c r="I1737" t="s">
        <v>665</v>
      </c>
      <c r="J1737" t="s">
        <v>666</v>
      </c>
      <c r="K1737" t="s">
        <v>958</v>
      </c>
      <c r="L1737" t="s">
        <v>667</v>
      </c>
      <c r="M1737" t="s">
        <v>1222</v>
      </c>
      <c r="N1737" t="s">
        <v>231</v>
      </c>
      <c r="O1737" t="s">
        <v>1222</v>
      </c>
      <c r="P1737" t="s">
        <v>231</v>
      </c>
      <c r="Q1737" t="s">
        <v>6424</v>
      </c>
      <c r="R1737" t="s">
        <v>6425</v>
      </c>
      <c r="S1737" t="s">
        <v>783</v>
      </c>
      <c r="T1737" t="s">
        <v>893</v>
      </c>
      <c r="U1737" t="s">
        <v>4237</v>
      </c>
      <c r="V1737" t="s">
        <v>6695</v>
      </c>
      <c r="W1737" t="s">
        <v>835</v>
      </c>
      <c r="X1737" t="s">
        <v>979</v>
      </c>
      <c r="Y1737" t="s">
        <v>803</v>
      </c>
      <c r="Z1737" t="s">
        <v>6693</v>
      </c>
    </row>
    <row r="1738" spans="1:26" x14ac:dyDescent="0.3">
      <c r="A1738" t="s">
        <v>525</v>
      </c>
      <c r="B1738" t="s">
        <v>6696</v>
      </c>
      <c r="C1738" t="s">
        <v>6697</v>
      </c>
      <c r="D1738" t="s">
        <v>6663</v>
      </c>
      <c r="E1738" t="s">
        <v>664</v>
      </c>
      <c r="F1738" t="s">
        <v>27</v>
      </c>
      <c r="G1738" s="1">
        <v>45017</v>
      </c>
      <c r="H1738" s="1">
        <v>45066</v>
      </c>
      <c r="I1738" t="s">
        <v>665</v>
      </c>
      <c r="J1738" t="s">
        <v>666</v>
      </c>
      <c r="K1738" t="s">
        <v>958</v>
      </c>
      <c r="L1738" t="s">
        <v>667</v>
      </c>
      <c r="M1738" t="s">
        <v>1222</v>
      </c>
      <c r="N1738" t="s">
        <v>231</v>
      </c>
      <c r="O1738" t="s">
        <v>1222</v>
      </c>
      <c r="P1738" t="s">
        <v>231</v>
      </c>
      <c r="Q1738" t="s">
        <v>6424</v>
      </c>
      <c r="R1738" t="s">
        <v>6425</v>
      </c>
      <c r="S1738" t="s">
        <v>783</v>
      </c>
      <c r="T1738" t="s">
        <v>893</v>
      </c>
      <c r="U1738" t="s">
        <v>4237</v>
      </c>
      <c r="V1738" t="s">
        <v>6698</v>
      </c>
      <c r="W1738" t="s">
        <v>835</v>
      </c>
      <c r="X1738" t="s">
        <v>979</v>
      </c>
      <c r="Y1738" t="s">
        <v>803</v>
      </c>
      <c r="Z1738" t="s">
        <v>6696</v>
      </c>
    </row>
    <row r="1739" spans="1:26" x14ac:dyDescent="0.3">
      <c r="A1739" t="s">
        <v>525</v>
      </c>
      <c r="B1739" t="s">
        <v>6699</v>
      </c>
      <c r="C1739" t="s">
        <v>6700</v>
      </c>
      <c r="D1739" t="s">
        <v>6663</v>
      </c>
      <c r="E1739" t="s">
        <v>664</v>
      </c>
      <c r="F1739" t="s">
        <v>27</v>
      </c>
      <c r="G1739" s="1">
        <v>45017</v>
      </c>
      <c r="H1739" s="1">
        <v>45023</v>
      </c>
      <c r="I1739" t="s">
        <v>665</v>
      </c>
      <c r="J1739" t="s">
        <v>666</v>
      </c>
      <c r="K1739" t="s">
        <v>958</v>
      </c>
      <c r="L1739" t="s">
        <v>667</v>
      </c>
      <c r="M1739" t="s">
        <v>1222</v>
      </c>
      <c r="N1739" t="s">
        <v>231</v>
      </c>
      <c r="O1739" t="s">
        <v>1222</v>
      </c>
      <c r="P1739" t="s">
        <v>231</v>
      </c>
      <c r="Q1739" t="s">
        <v>6424</v>
      </c>
      <c r="R1739" t="s">
        <v>6425</v>
      </c>
      <c r="S1739" t="s">
        <v>783</v>
      </c>
      <c r="T1739" t="s">
        <v>893</v>
      </c>
      <c r="U1739" t="s">
        <v>4237</v>
      </c>
      <c r="V1739" t="s">
        <v>6701</v>
      </c>
      <c r="W1739" t="s">
        <v>835</v>
      </c>
      <c r="X1739" t="s">
        <v>979</v>
      </c>
      <c r="Y1739" t="s">
        <v>803</v>
      </c>
      <c r="Z1739" t="s">
        <v>6699</v>
      </c>
    </row>
    <row r="1740" spans="1:26" x14ac:dyDescent="0.3">
      <c r="A1740" t="s">
        <v>525</v>
      </c>
      <c r="B1740" t="s">
        <v>6702</v>
      </c>
      <c r="C1740" t="s">
        <v>6703</v>
      </c>
      <c r="D1740" t="s">
        <v>6663</v>
      </c>
      <c r="E1740" t="s">
        <v>664</v>
      </c>
      <c r="F1740" t="s">
        <v>27</v>
      </c>
      <c r="G1740" s="1">
        <v>45017</v>
      </c>
      <c r="H1740" s="1">
        <v>45041</v>
      </c>
      <c r="I1740" t="s">
        <v>665</v>
      </c>
      <c r="J1740" t="s">
        <v>666</v>
      </c>
      <c r="K1740" t="s">
        <v>958</v>
      </c>
      <c r="L1740" t="s">
        <v>667</v>
      </c>
      <c r="M1740" t="s">
        <v>1222</v>
      </c>
      <c r="N1740" t="s">
        <v>231</v>
      </c>
      <c r="O1740" t="s">
        <v>1222</v>
      </c>
      <c r="P1740" t="s">
        <v>231</v>
      </c>
      <c r="Q1740" t="s">
        <v>6424</v>
      </c>
      <c r="R1740" t="s">
        <v>6425</v>
      </c>
      <c r="S1740" t="s">
        <v>783</v>
      </c>
      <c r="T1740" t="s">
        <v>893</v>
      </c>
      <c r="U1740" t="s">
        <v>4237</v>
      </c>
      <c r="V1740" t="s">
        <v>6704</v>
      </c>
      <c r="W1740" t="s">
        <v>835</v>
      </c>
      <c r="X1740" t="s">
        <v>979</v>
      </c>
      <c r="Y1740" t="s">
        <v>803</v>
      </c>
      <c r="Z1740" t="s">
        <v>6702</v>
      </c>
    </row>
    <row r="1741" spans="1:26" x14ac:dyDescent="0.3">
      <c r="A1741" t="s">
        <v>525</v>
      </c>
      <c r="B1741" t="s">
        <v>6705</v>
      </c>
      <c r="C1741" t="s">
        <v>6706</v>
      </c>
      <c r="D1741" t="s">
        <v>6663</v>
      </c>
      <c r="E1741" t="s">
        <v>664</v>
      </c>
      <c r="F1741" t="s">
        <v>27</v>
      </c>
      <c r="G1741" s="1">
        <v>45017</v>
      </c>
      <c r="H1741" s="1">
        <v>45041</v>
      </c>
      <c r="I1741" t="s">
        <v>665</v>
      </c>
      <c r="J1741" t="s">
        <v>666</v>
      </c>
      <c r="K1741" t="s">
        <v>958</v>
      </c>
      <c r="L1741" t="s">
        <v>667</v>
      </c>
      <c r="M1741" t="s">
        <v>1222</v>
      </c>
      <c r="N1741" t="s">
        <v>231</v>
      </c>
      <c r="O1741" t="s">
        <v>1222</v>
      </c>
      <c r="P1741" t="s">
        <v>231</v>
      </c>
      <c r="Q1741" t="s">
        <v>6424</v>
      </c>
      <c r="R1741" t="s">
        <v>6425</v>
      </c>
      <c r="S1741" t="s">
        <v>783</v>
      </c>
      <c r="T1741" t="s">
        <v>893</v>
      </c>
      <c r="U1741" t="s">
        <v>4237</v>
      </c>
      <c r="V1741" t="s">
        <v>6707</v>
      </c>
      <c r="W1741" t="s">
        <v>835</v>
      </c>
      <c r="X1741" t="s">
        <v>979</v>
      </c>
      <c r="Y1741" t="s">
        <v>803</v>
      </c>
      <c r="Z1741" t="s">
        <v>6705</v>
      </c>
    </row>
    <row r="1742" spans="1:26" x14ac:dyDescent="0.3">
      <c r="A1742" t="s">
        <v>525</v>
      </c>
      <c r="B1742" t="s">
        <v>6708</v>
      </c>
      <c r="C1742" t="s">
        <v>6709</v>
      </c>
      <c r="D1742" t="s">
        <v>6663</v>
      </c>
      <c r="E1742" t="s">
        <v>664</v>
      </c>
      <c r="F1742" t="s">
        <v>27</v>
      </c>
      <c r="G1742" s="1">
        <v>44927</v>
      </c>
      <c r="H1742" s="1">
        <v>44927</v>
      </c>
      <c r="I1742" t="s">
        <v>665</v>
      </c>
      <c r="J1742" t="s">
        <v>666</v>
      </c>
      <c r="K1742" t="s">
        <v>958</v>
      </c>
      <c r="L1742" t="s">
        <v>667</v>
      </c>
      <c r="M1742" t="s">
        <v>1222</v>
      </c>
      <c r="N1742" t="s">
        <v>231</v>
      </c>
      <c r="O1742" t="s">
        <v>1222</v>
      </c>
      <c r="P1742" t="s">
        <v>231</v>
      </c>
      <c r="Q1742" t="s">
        <v>6424</v>
      </c>
      <c r="R1742" t="s">
        <v>6425</v>
      </c>
      <c r="S1742" t="s">
        <v>783</v>
      </c>
      <c r="T1742" t="s">
        <v>893</v>
      </c>
      <c r="U1742" t="s">
        <v>4237</v>
      </c>
      <c r="V1742" t="s">
        <v>6710</v>
      </c>
      <c r="W1742" t="s">
        <v>835</v>
      </c>
      <c r="X1742" t="s">
        <v>979</v>
      </c>
      <c r="Y1742" t="s">
        <v>803</v>
      </c>
      <c r="Z1742" t="s">
        <v>6708</v>
      </c>
    </row>
    <row r="1743" spans="1:26" x14ac:dyDescent="0.3">
      <c r="A1743" t="s">
        <v>525</v>
      </c>
      <c r="B1743" t="s">
        <v>6711</v>
      </c>
      <c r="C1743" t="s">
        <v>6712</v>
      </c>
      <c r="D1743" t="s">
        <v>550</v>
      </c>
      <c r="E1743" t="s">
        <v>664</v>
      </c>
      <c r="F1743" t="s">
        <v>27</v>
      </c>
      <c r="G1743" s="1">
        <v>44927</v>
      </c>
      <c r="H1743" s="1">
        <v>45291</v>
      </c>
      <c r="I1743" t="s">
        <v>665</v>
      </c>
      <c r="J1743" t="s">
        <v>666</v>
      </c>
      <c r="K1743" t="s">
        <v>24</v>
      </c>
      <c r="L1743" t="s">
        <v>667</v>
      </c>
      <c r="M1743" t="s">
        <v>1222</v>
      </c>
      <c r="N1743" t="s">
        <v>231</v>
      </c>
      <c r="O1743" t="s">
        <v>1222</v>
      </c>
      <c r="P1743" t="s">
        <v>231</v>
      </c>
      <c r="Q1743" t="s">
        <v>6424</v>
      </c>
      <c r="R1743" t="s">
        <v>6425</v>
      </c>
      <c r="S1743" t="s">
        <v>783</v>
      </c>
      <c r="T1743" t="s">
        <v>550</v>
      </c>
      <c r="U1743" t="s">
        <v>6610</v>
      </c>
      <c r="V1743" t="s">
        <v>6713</v>
      </c>
      <c r="W1743" t="s">
        <v>835</v>
      </c>
      <c r="X1743" t="s">
        <v>979</v>
      </c>
      <c r="Y1743" t="s">
        <v>803</v>
      </c>
      <c r="Z1743" t="s">
        <v>6711</v>
      </c>
    </row>
    <row r="1744" spans="1:26" x14ac:dyDescent="0.3">
      <c r="A1744" t="s">
        <v>525</v>
      </c>
      <c r="B1744" t="s">
        <v>6714</v>
      </c>
      <c r="C1744" t="s">
        <v>6715</v>
      </c>
      <c r="D1744" t="s">
        <v>6711</v>
      </c>
      <c r="E1744" t="s">
        <v>664</v>
      </c>
      <c r="F1744" t="s">
        <v>27</v>
      </c>
      <c r="G1744" s="1">
        <v>44927</v>
      </c>
      <c r="H1744" s="1">
        <v>46258</v>
      </c>
      <c r="I1744" t="s">
        <v>665</v>
      </c>
      <c r="J1744" t="s">
        <v>666</v>
      </c>
      <c r="K1744" t="s">
        <v>24</v>
      </c>
      <c r="L1744" t="s">
        <v>667</v>
      </c>
      <c r="M1744" t="s">
        <v>1222</v>
      </c>
      <c r="N1744" t="s">
        <v>231</v>
      </c>
      <c r="O1744" t="s">
        <v>1222</v>
      </c>
      <c r="P1744" t="s">
        <v>231</v>
      </c>
      <c r="Q1744" t="s">
        <v>6424</v>
      </c>
      <c r="R1744" t="s">
        <v>6425</v>
      </c>
      <c r="S1744" t="s">
        <v>783</v>
      </c>
      <c r="T1744" t="s">
        <v>550</v>
      </c>
      <c r="U1744" t="s">
        <v>6610</v>
      </c>
      <c r="V1744" t="s">
        <v>6716</v>
      </c>
      <c r="W1744" t="s">
        <v>835</v>
      </c>
      <c r="X1744" t="s">
        <v>979</v>
      </c>
      <c r="Y1744" t="s">
        <v>803</v>
      </c>
      <c r="Z1744" t="s">
        <v>6714</v>
      </c>
    </row>
    <row r="1745" spans="1:26" x14ac:dyDescent="0.3">
      <c r="A1745" t="s">
        <v>525</v>
      </c>
      <c r="B1745" t="s">
        <v>6717</v>
      </c>
      <c r="C1745" t="s">
        <v>6718</v>
      </c>
      <c r="D1745" t="s">
        <v>550</v>
      </c>
      <c r="E1745" t="s">
        <v>664</v>
      </c>
      <c r="F1745" t="s">
        <v>27</v>
      </c>
      <c r="G1745" s="1">
        <v>44927</v>
      </c>
      <c r="H1745" s="1">
        <v>45291</v>
      </c>
      <c r="I1745" t="s">
        <v>665</v>
      </c>
      <c r="J1745" t="s">
        <v>666</v>
      </c>
      <c r="K1745" t="s">
        <v>24</v>
      </c>
      <c r="L1745" t="s">
        <v>667</v>
      </c>
      <c r="M1745" t="s">
        <v>1222</v>
      </c>
      <c r="N1745" t="s">
        <v>231</v>
      </c>
      <c r="O1745" t="s">
        <v>1222</v>
      </c>
      <c r="P1745" t="s">
        <v>231</v>
      </c>
      <c r="Q1745" t="s">
        <v>6424</v>
      </c>
      <c r="R1745" t="s">
        <v>6425</v>
      </c>
      <c r="S1745" t="s">
        <v>783</v>
      </c>
      <c r="T1745" t="s">
        <v>550</v>
      </c>
      <c r="U1745" t="s">
        <v>6646</v>
      </c>
      <c r="V1745" t="s">
        <v>6719</v>
      </c>
      <c r="W1745" t="s">
        <v>835</v>
      </c>
      <c r="X1745" t="s">
        <v>979</v>
      </c>
      <c r="Y1745" t="s">
        <v>803</v>
      </c>
      <c r="Z1745" t="s">
        <v>6717</v>
      </c>
    </row>
    <row r="1746" spans="1:26" x14ac:dyDescent="0.3">
      <c r="A1746" t="s">
        <v>525</v>
      </c>
      <c r="B1746" t="s">
        <v>6720</v>
      </c>
      <c r="C1746" t="s">
        <v>6721</v>
      </c>
      <c r="D1746" t="s">
        <v>6717</v>
      </c>
      <c r="E1746" t="s">
        <v>664</v>
      </c>
      <c r="F1746" t="s">
        <v>27</v>
      </c>
      <c r="G1746" s="1">
        <v>44927</v>
      </c>
      <c r="H1746" s="1">
        <v>44927</v>
      </c>
      <c r="I1746" t="s">
        <v>665</v>
      </c>
      <c r="J1746" t="s">
        <v>666</v>
      </c>
      <c r="K1746" t="s">
        <v>24</v>
      </c>
      <c r="L1746" t="s">
        <v>667</v>
      </c>
      <c r="M1746" t="s">
        <v>1222</v>
      </c>
      <c r="N1746" t="s">
        <v>231</v>
      </c>
      <c r="O1746" t="s">
        <v>1222</v>
      </c>
      <c r="P1746" t="s">
        <v>231</v>
      </c>
      <c r="Q1746" t="s">
        <v>6424</v>
      </c>
      <c r="R1746" t="s">
        <v>6425</v>
      </c>
      <c r="S1746" t="s">
        <v>783</v>
      </c>
      <c r="T1746" t="s">
        <v>550</v>
      </c>
      <c r="U1746" t="s">
        <v>6646</v>
      </c>
      <c r="V1746" t="s">
        <v>6722</v>
      </c>
      <c r="W1746" t="s">
        <v>835</v>
      </c>
      <c r="X1746" t="s">
        <v>979</v>
      </c>
      <c r="Y1746" t="s">
        <v>803</v>
      </c>
      <c r="Z1746" t="s">
        <v>6720</v>
      </c>
    </row>
    <row r="1747" spans="1:26" x14ac:dyDescent="0.3">
      <c r="A1747" t="s">
        <v>525</v>
      </c>
      <c r="B1747" t="s">
        <v>6723</v>
      </c>
      <c r="C1747" t="s">
        <v>6724</v>
      </c>
      <c r="D1747" t="s">
        <v>550</v>
      </c>
      <c r="E1747" t="s">
        <v>664</v>
      </c>
      <c r="F1747" t="s">
        <v>27</v>
      </c>
      <c r="G1747" s="1">
        <v>44927</v>
      </c>
      <c r="H1747" s="1">
        <v>45291</v>
      </c>
      <c r="I1747" t="s">
        <v>665</v>
      </c>
      <c r="J1747" t="s">
        <v>666</v>
      </c>
      <c r="K1747" t="s">
        <v>24</v>
      </c>
      <c r="L1747" t="s">
        <v>667</v>
      </c>
      <c r="M1747" t="s">
        <v>1222</v>
      </c>
      <c r="N1747" t="s">
        <v>231</v>
      </c>
      <c r="O1747" t="s">
        <v>1222</v>
      </c>
      <c r="P1747" t="s">
        <v>231</v>
      </c>
      <c r="Q1747" t="s">
        <v>6424</v>
      </c>
      <c r="R1747" t="s">
        <v>6425</v>
      </c>
      <c r="S1747" t="s">
        <v>783</v>
      </c>
      <c r="T1747" t="s">
        <v>550</v>
      </c>
      <c r="U1747" t="s">
        <v>6610</v>
      </c>
      <c r="V1747" t="s">
        <v>6725</v>
      </c>
      <c r="W1747" t="s">
        <v>835</v>
      </c>
      <c r="X1747" t="s">
        <v>979</v>
      </c>
      <c r="Y1747" t="s">
        <v>803</v>
      </c>
      <c r="Z1747" t="s">
        <v>6723</v>
      </c>
    </row>
    <row r="1748" spans="1:26" x14ac:dyDescent="0.3">
      <c r="A1748" t="s">
        <v>525</v>
      </c>
      <c r="B1748" t="s">
        <v>6726</v>
      </c>
      <c r="C1748" t="s">
        <v>6727</v>
      </c>
      <c r="D1748" t="s">
        <v>6723</v>
      </c>
      <c r="E1748" t="s">
        <v>664</v>
      </c>
      <c r="F1748" t="s">
        <v>27</v>
      </c>
      <c r="G1748" s="1">
        <v>44927</v>
      </c>
      <c r="H1748" s="1">
        <v>44964</v>
      </c>
      <c r="I1748" t="s">
        <v>665</v>
      </c>
      <c r="J1748" t="s">
        <v>666</v>
      </c>
      <c r="K1748" t="s">
        <v>24</v>
      </c>
      <c r="L1748" t="s">
        <v>667</v>
      </c>
      <c r="M1748" t="s">
        <v>1222</v>
      </c>
      <c r="N1748" t="s">
        <v>231</v>
      </c>
      <c r="O1748" t="s">
        <v>1222</v>
      </c>
      <c r="P1748" t="s">
        <v>231</v>
      </c>
      <c r="Q1748" t="s">
        <v>6424</v>
      </c>
      <c r="R1748" t="s">
        <v>6425</v>
      </c>
      <c r="S1748" t="s">
        <v>783</v>
      </c>
      <c r="T1748" t="s">
        <v>550</v>
      </c>
      <c r="U1748" t="s">
        <v>6610</v>
      </c>
      <c r="V1748" t="s">
        <v>6728</v>
      </c>
      <c r="W1748" t="s">
        <v>835</v>
      </c>
      <c r="X1748" t="s">
        <v>979</v>
      </c>
      <c r="Y1748" t="s">
        <v>803</v>
      </c>
      <c r="Z1748" t="s">
        <v>6726</v>
      </c>
    </row>
    <row r="1749" spans="1:26" x14ac:dyDescent="0.3">
      <c r="A1749" t="s">
        <v>525</v>
      </c>
      <c r="B1749" t="s">
        <v>6729</v>
      </c>
      <c r="C1749" t="s">
        <v>6730</v>
      </c>
      <c r="D1749" t="s">
        <v>550</v>
      </c>
      <c r="E1749" t="s">
        <v>664</v>
      </c>
      <c r="F1749" t="s">
        <v>27</v>
      </c>
      <c r="G1749" s="1">
        <v>44927</v>
      </c>
      <c r="H1749" s="1">
        <v>45291</v>
      </c>
      <c r="I1749" t="s">
        <v>665</v>
      </c>
      <c r="J1749" t="s">
        <v>666</v>
      </c>
      <c r="K1749" t="s">
        <v>24</v>
      </c>
      <c r="L1749" t="s">
        <v>667</v>
      </c>
      <c r="M1749" t="s">
        <v>1222</v>
      </c>
      <c r="N1749" t="s">
        <v>231</v>
      </c>
      <c r="O1749" t="s">
        <v>1222</v>
      </c>
      <c r="P1749" t="s">
        <v>231</v>
      </c>
      <c r="Q1749" t="s">
        <v>6424</v>
      </c>
      <c r="R1749" t="s">
        <v>6425</v>
      </c>
      <c r="S1749" t="s">
        <v>783</v>
      </c>
      <c r="T1749" t="s">
        <v>550</v>
      </c>
      <c r="U1749" t="s">
        <v>6646</v>
      </c>
      <c r="V1749" t="s">
        <v>6731</v>
      </c>
      <c r="W1749" t="s">
        <v>613</v>
      </c>
      <c r="X1749" t="s">
        <v>74</v>
      </c>
      <c r="Y1749" t="s">
        <v>803</v>
      </c>
      <c r="Z1749" t="s">
        <v>6729</v>
      </c>
    </row>
    <row r="1750" spans="1:26" x14ac:dyDescent="0.3">
      <c r="A1750" t="s">
        <v>525</v>
      </c>
      <c r="B1750" t="s">
        <v>6732</v>
      </c>
      <c r="C1750" t="s">
        <v>6733</v>
      </c>
      <c r="D1750" t="s">
        <v>6729</v>
      </c>
      <c r="E1750" t="s">
        <v>664</v>
      </c>
      <c r="F1750" t="s">
        <v>27</v>
      </c>
      <c r="G1750" s="1">
        <v>44927</v>
      </c>
      <c r="H1750" s="1">
        <v>44989</v>
      </c>
      <c r="I1750" t="s">
        <v>665</v>
      </c>
      <c r="J1750" t="s">
        <v>666</v>
      </c>
      <c r="K1750" t="s">
        <v>24</v>
      </c>
      <c r="L1750" t="s">
        <v>667</v>
      </c>
      <c r="M1750" t="s">
        <v>1222</v>
      </c>
      <c r="N1750" t="s">
        <v>231</v>
      </c>
      <c r="O1750" t="s">
        <v>1222</v>
      </c>
      <c r="P1750" t="s">
        <v>231</v>
      </c>
      <c r="Q1750" t="s">
        <v>6424</v>
      </c>
      <c r="R1750" t="s">
        <v>6425</v>
      </c>
      <c r="S1750" t="s">
        <v>783</v>
      </c>
      <c r="T1750" t="s">
        <v>550</v>
      </c>
      <c r="U1750" t="s">
        <v>6646</v>
      </c>
      <c r="V1750" t="s">
        <v>6734</v>
      </c>
      <c r="W1750" t="s">
        <v>613</v>
      </c>
      <c r="X1750" t="s">
        <v>74</v>
      </c>
      <c r="Y1750" t="s">
        <v>803</v>
      </c>
      <c r="Z1750" t="s">
        <v>6732</v>
      </c>
    </row>
    <row r="1751" spans="1:26" x14ac:dyDescent="0.3">
      <c r="A1751" t="s">
        <v>525</v>
      </c>
      <c r="B1751" t="s">
        <v>6735</v>
      </c>
      <c r="C1751" t="s">
        <v>6736</v>
      </c>
      <c r="D1751" t="s">
        <v>550</v>
      </c>
      <c r="E1751" t="s">
        <v>664</v>
      </c>
      <c r="F1751" t="s">
        <v>27</v>
      </c>
      <c r="G1751" s="1">
        <v>44927</v>
      </c>
      <c r="H1751" s="1">
        <v>45291</v>
      </c>
      <c r="I1751" t="s">
        <v>665</v>
      </c>
      <c r="J1751" t="s">
        <v>666</v>
      </c>
      <c r="K1751" t="s">
        <v>24</v>
      </c>
      <c r="L1751" t="s">
        <v>667</v>
      </c>
      <c r="M1751" t="s">
        <v>1222</v>
      </c>
      <c r="N1751" t="s">
        <v>231</v>
      </c>
      <c r="O1751" t="s">
        <v>1222</v>
      </c>
      <c r="P1751" t="s">
        <v>231</v>
      </c>
      <c r="Q1751" t="s">
        <v>6424</v>
      </c>
      <c r="R1751" t="s">
        <v>6425</v>
      </c>
      <c r="S1751" t="s">
        <v>783</v>
      </c>
      <c r="T1751" t="s">
        <v>550</v>
      </c>
      <c r="U1751" t="s">
        <v>6610</v>
      </c>
      <c r="V1751" t="s">
        <v>6737</v>
      </c>
      <c r="W1751" t="s">
        <v>613</v>
      </c>
      <c r="X1751" t="s">
        <v>74</v>
      </c>
      <c r="Y1751" t="s">
        <v>803</v>
      </c>
      <c r="Z1751" t="s">
        <v>6735</v>
      </c>
    </row>
    <row r="1752" spans="1:26" x14ac:dyDescent="0.3">
      <c r="A1752" t="s">
        <v>525</v>
      </c>
      <c r="B1752" t="s">
        <v>6738</v>
      </c>
      <c r="C1752" t="s">
        <v>6736</v>
      </c>
      <c r="D1752" t="s">
        <v>6735</v>
      </c>
      <c r="E1752" t="s">
        <v>664</v>
      </c>
      <c r="F1752" t="s">
        <v>27</v>
      </c>
      <c r="G1752" s="1">
        <v>44927</v>
      </c>
      <c r="H1752" s="1">
        <v>44933</v>
      </c>
      <c r="I1752" t="s">
        <v>665</v>
      </c>
      <c r="J1752" t="s">
        <v>666</v>
      </c>
      <c r="K1752" t="s">
        <v>24</v>
      </c>
      <c r="L1752" t="s">
        <v>667</v>
      </c>
      <c r="M1752" t="s">
        <v>1222</v>
      </c>
      <c r="N1752" t="s">
        <v>231</v>
      </c>
      <c r="O1752" t="s">
        <v>1222</v>
      </c>
      <c r="P1752" t="s">
        <v>231</v>
      </c>
      <c r="Q1752" t="s">
        <v>6424</v>
      </c>
      <c r="R1752" t="s">
        <v>6425</v>
      </c>
      <c r="S1752" t="s">
        <v>783</v>
      </c>
      <c r="T1752" t="s">
        <v>550</v>
      </c>
      <c r="U1752" t="s">
        <v>6610</v>
      </c>
      <c r="V1752" t="s">
        <v>6739</v>
      </c>
      <c r="W1752" t="s">
        <v>613</v>
      </c>
      <c r="X1752" t="s">
        <v>74</v>
      </c>
      <c r="Y1752" t="s">
        <v>803</v>
      </c>
      <c r="Z1752" t="s">
        <v>6738</v>
      </c>
    </row>
    <row r="1753" spans="1:26" x14ac:dyDescent="0.3">
      <c r="A1753" t="s">
        <v>525</v>
      </c>
      <c r="B1753" t="s">
        <v>6740</v>
      </c>
      <c r="C1753" t="s">
        <v>6741</v>
      </c>
      <c r="D1753" t="s">
        <v>6742</v>
      </c>
      <c r="E1753" t="s">
        <v>664</v>
      </c>
      <c r="F1753" t="s">
        <v>27</v>
      </c>
      <c r="G1753" s="1">
        <v>44927</v>
      </c>
      <c r="H1753" s="1">
        <v>44931</v>
      </c>
      <c r="I1753" t="s">
        <v>665</v>
      </c>
      <c r="J1753" t="s">
        <v>666</v>
      </c>
      <c r="K1753" t="s">
        <v>24</v>
      </c>
      <c r="L1753" t="s">
        <v>667</v>
      </c>
      <c r="M1753" t="s">
        <v>797</v>
      </c>
      <c r="N1753" t="s">
        <v>313</v>
      </c>
      <c r="O1753" t="s">
        <v>1222</v>
      </c>
      <c r="P1753" t="s">
        <v>231</v>
      </c>
      <c r="Q1753" t="s">
        <v>6424</v>
      </c>
      <c r="R1753" t="s">
        <v>6425</v>
      </c>
      <c r="S1753" t="s">
        <v>783</v>
      </c>
      <c r="T1753" t="s">
        <v>550</v>
      </c>
      <c r="U1753" t="s">
        <v>6610</v>
      </c>
      <c r="V1753" t="s">
        <v>6743</v>
      </c>
      <c r="W1753" t="s">
        <v>554</v>
      </c>
      <c r="X1753" t="s">
        <v>669</v>
      </c>
      <c r="Y1753" t="s">
        <v>803</v>
      </c>
      <c r="Z1753" t="s">
        <v>6740</v>
      </c>
    </row>
    <row r="1754" spans="1:26" x14ac:dyDescent="0.3">
      <c r="A1754" t="s">
        <v>525</v>
      </c>
      <c r="B1754" t="s">
        <v>6744</v>
      </c>
      <c r="C1754" t="s">
        <v>6745</v>
      </c>
      <c r="D1754" t="s">
        <v>1043</v>
      </c>
      <c r="E1754" t="s">
        <v>664</v>
      </c>
      <c r="F1754" t="s">
        <v>27</v>
      </c>
      <c r="G1754" s="1">
        <v>45292</v>
      </c>
      <c r="H1754" s="1">
        <v>45292</v>
      </c>
      <c r="I1754" t="s">
        <v>665</v>
      </c>
      <c r="J1754" t="s">
        <v>666</v>
      </c>
      <c r="K1754" t="s">
        <v>24</v>
      </c>
      <c r="L1754" t="s">
        <v>216</v>
      </c>
      <c r="M1754" t="s">
        <v>1095</v>
      </c>
      <c r="N1754" t="s">
        <v>298</v>
      </c>
      <c r="O1754" t="s">
        <v>1031</v>
      </c>
      <c r="P1754" t="s">
        <v>239</v>
      </c>
      <c r="Q1754" t="s">
        <v>6424</v>
      </c>
      <c r="R1754" t="s">
        <v>6425</v>
      </c>
      <c r="S1754" t="s">
        <v>783</v>
      </c>
      <c r="T1754" t="s">
        <v>550</v>
      </c>
      <c r="U1754" t="s">
        <v>550</v>
      </c>
      <c r="V1754" t="s">
        <v>6746</v>
      </c>
      <c r="W1754" t="s">
        <v>613</v>
      </c>
      <c r="X1754" t="s">
        <v>281</v>
      </c>
      <c r="Z1754" t="s">
        <v>6744</v>
      </c>
    </row>
    <row r="1755" spans="1:26" x14ac:dyDescent="0.3">
      <c r="A1755" t="s">
        <v>525</v>
      </c>
      <c r="B1755" t="s">
        <v>3337</v>
      </c>
      <c r="C1755" t="s">
        <v>6747</v>
      </c>
      <c r="D1755" t="s">
        <v>550</v>
      </c>
      <c r="E1755" t="s">
        <v>2825</v>
      </c>
      <c r="F1755" t="s">
        <v>2826</v>
      </c>
      <c r="G1755" s="1">
        <v>44927</v>
      </c>
      <c r="H1755" s="1">
        <v>45291</v>
      </c>
      <c r="I1755" t="s">
        <v>780</v>
      </c>
      <c r="J1755" t="s">
        <v>2827</v>
      </c>
      <c r="K1755" t="s">
        <v>958</v>
      </c>
      <c r="L1755" t="s">
        <v>216</v>
      </c>
      <c r="M1755" t="s">
        <v>4130</v>
      </c>
      <c r="N1755" t="s">
        <v>238</v>
      </c>
      <c r="O1755" t="s">
        <v>1031</v>
      </c>
      <c r="P1755" t="s">
        <v>239</v>
      </c>
      <c r="Q1755" t="s">
        <v>6424</v>
      </c>
      <c r="R1755" t="s">
        <v>6425</v>
      </c>
      <c r="S1755" t="s">
        <v>783</v>
      </c>
      <c r="T1755" t="s">
        <v>550</v>
      </c>
      <c r="U1755" t="s">
        <v>1807</v>
      </c>
      <c r="V1755" t="s">
        <v>6748</v>
      </c>
      <c r="W1755" t="s">
        <v>1809</v>
      </c>
      <c r="X1755" t="s">
        <v>74</v>
      </c>
      <c r="Y1755" t="s">
        <v>786</v>
      </c>
      <c r="Z1755" t="s">
        <v>3337</v>
      </c>
    </row>
    <row r="1756" spans="1:26" x14ac:dyDescent="0.3">
      <c r="A1756" t="s">
        <v>525</v>
      </c>
      <c r="B1756" t="s">
        <v>6749</v>
      </c>
      <c r="C1756" t="s">
        <v>6747</v>
      </c>
      <c r="D1756" t="s">
        <v>3337</v>
      </c>
      <c r="E1756" t="s">
        <v>2825</v>
      </c>
      <c r="F1756" t="s">
        <v>2826</v>
      </c>
      <c r="G1756" s="1">
        <v>44927</v>
      </c>
      <c r="H1756" s="1">
        <v>44936</v>
      </c>
      <c r="I1756" t="s">
        <v>665</v>
      </c>
      <c r="J1756" t="s">
        <v>2827</v>
      </c>
      <c r="K1756" t="s">
        <v>958</v>
      </c>
      <c r="L1756" t="s">
        <v>216</v>
      </c>
      <c r="M1756" t="s">
        <v>4130</v>
      </c>
      <c r="N1756" t="s">
        <v>238</v>
      </c>
      <c r="O1756" t="s">
        <v>1031</v>
      </c>
      <c r="P1756" t="s">
        <v>239</v>
      </c>
      <c r="Q1756" t="s">
        <v>6424</v>
      </c>
      <c r="R1756" t="s">
        <v>6425</v>
      </c>
      <c r="S1756" t="s">
        <v>783</v>
      </c>
      <c r="T1756" t="s">
        <v>550</v>
      </c>
      <c r="U1756" t="s">
        <v>1807</v>
      </c>
      <c r="V1756" t="s">
        <v>6750</v>
      </c>
      <c r="W1756" t="s">
        <v>1809</v>
      </c>
      <c r="X1756" t="s">
        <v>74</v>
      </c>
      <c r="Y1756" t="s">
        <v>786</v>
      </c>
      <c r="Z1756" t="s">
        <v>6749</v>
      </c>
    </row>
    <row r="1757" spans="1:26" x14ac:dyDescent="0.3">
      <c r="A1757" t="s">
        <v>525</v>
      </c>
      <c r="B1757" t="s">
        <v>2312</v>
      </c>
      <c r="C1757" t="s">
        <v>6751</v>
      </c>
      <c r="D1757" t="s">
        <v>550</v>
      </c>
      <c r="E1757" t="s">
        <v>2313</v>
      </c>
      <c r="F1757" t="s">
        <v>2314</v>
      </c>
      <c r="G1757" s="1">
        <v>44927</v>
      </c>
      <c r="H1757" s="1">
        <v>45291</v>
      </c>
      <c r="I1757" t="s">
        <v>665</v>
      </c>
      <c r="J1757" t="s">
        <v>2315</v>
      </c>
      <c r="K1757" t="s">
        <v>24</v>
      </c>
      <c r="L1757" t="s">
        <v>216</v>
      </c>
      <c r="M1757" t="s">
        <v>1293</v>
      </c>
      <c r="N1757" t="s">
        <v>256</v>
      </c>
      <c r="O1757" t="s">
        <v>1031</v>
      </c>
      <c r="P1757" t="s">
        <v>239</v>
      </c>
      <c r="Q1757" t="s">
        <v>6424</v>
      </c>
      <c r="R1757" t="s">
        <v>6425</v>
      </c>
      <c r="S1757" t="s">
        <v>1471</v>
      </c>
      <c r="T1757" t="s">
        <v>550</v>
      </c>
      <c r="U1757" t="s">
        <v>4393</v>
      </c>
      <c r="V1757" t="s">
        <v>6752</v>
      </c>
      <c r="W1757" t="s">
        <v>1021</v>
      </c>
      <c r="X1757" t="s">
        <v>74</v>
      </c>
      <c r="Y1757" t="s">
        <v>1033</v>
      </c>
      <c r="Z1757" t="s">
        <v>2312</v>
      </c>
    </row>
    <row r="1758" spans="1:26" x14ac:dyDescent="0.3">
      <c r="A1758" t="s">
        <v>525</v>
      </c>
      <c r="B1758" t="s">
        <v>6753</v>
      </c>
      <c r="C1758" t="s">
        <v>6754</v>
      </c>
      <c r="D1758" t="s">
        <v>1274</v>
      </c>
      <c r="E1758" t="s">
        <v>1275</v>
      </c>
      <c r="F1758" t="s">
        <v>1276</v>
      </c>
      <c r="G1758" s="1">
        <v>44927</v>
      </c>
      <c r="H1758" s="1">
        <v>44939</v>
      </c>
      <c r="I1758" t="s">
        <v>665</v>
      </c>
      <c r="J1758" t="s">
        <v>1277</v>
      </c>
      <c r="K1758" t="s">
        <v>24</v>
      </c>
      <c r="L1758" t="s">
        <v>1045</v>
      </c>
      <c r="M1758" t="s">
        <v>1030</v>
      </c>
      <c r="N1758" t="s">
        <v>255</v>
      </c>
      <c r="O1758" t="s">
        <v>1031</v>
      </c>
      <c r="P1758" t="s">
        <v>239</v>
      </c>
      <c r="Q1758" t="s">
        <v>6424</v>
      </c>
      <c r="R1758" t="s">
        <v>6425</v>
      </c>
      <c r="S1758" t="s">
        <v>1471</v>
      </c>
      <c r="T1758" t="s">
        <v>550</v>
      </c>
      <c r="U1758" t="s">
        <v>4865</v>
      </c>
      <c r="V1758" t="s">
        <v>6755</v>
      </c>
      <c r="W1758" t="s">
        <v>613</v>
      </c>
      <c r="X1758" t="s">
        <v>74</v>
      </c>
      <c r="Y1758" t="s">
        <v>1281</v>
      </c>
      <c r="Z1758" t="s">
        <v>6753</v>
      </c>
    </row>
    <row r="1759" spans="1:26" x14ac:dyDescent="0.3">
      <c r="A1759" t="s">
        <v>525</v>
      </c>
      <c r="B1759" t="s">
        <v>6756</v>
      </c>
      <c r="C1759" t="s">
        <v>6757</v>
      </c>
      <c r="D1759" t="s">
        <v>4686</v>
      </c>
      <c r="E1759" t="s">
        <v>982</v>
      </c>
      <c r="F1759" t="s">
        <v>983</v>
      </c>
      <c r="G1759" s="1">
        <v>45658</v>
      </c>
      <c r="H1759" s="1">
        <v>45739</v>
      </c>
      <c r="I1759" t="s">
        <v>665</v>
      </c>
      <c r="J1759" t="s">
        <v>666</v>
      </c>
      <c r="K1759" t="s">
        <v>900</v>
      </c>
      <c r="L1759" t="s">
        <v>217</v>
      </c>
      <c r="M1759" t="s">
        <v>2266</v>
      </c>
      <c r="N1759" t="s">
        <v>307</v>
      </c>
      <c r="O1759" t="s">
        <v>2266</v>
      </c>
      <c r="P1759" t="s">
        <v>307</v>
      </c>
      <c r="Q1759" t="s">
        <v>6424</v>
      </c>
      <c r="R1759" t="s">
        <v>6425</v>
      </c>
      <c r="S1759" t="s">
        <v>783</v>
      </c>
      <c r="T1759" t="s">
        <v>550</v>
      </c>
      <c r="U1759" t="s">
        <v>550</v>
      </c>
      <c r="V1759" t="s">
        <v>6758</v>
      </c>
      <c r="W1759" t="s">
        <v>2255</v>
      </c>
      <c r="Z1759" t="s">
        <v>6756</v>
      </c>
    </row>
    <row r="1760" spans="1:26" x14ac:dyDescent="0.3">
      <c r="A1760" t="s">
        <v>525</v>
      </c>
      <c r="B1760" t="s">
        <v>6759</v>
      </c>
      <c r="C1760" t="s">
        <v>6760</v>
      </c>
      <c r="D1760" t="s">
        <v>980</v>
      </c>
      <c r="E1760" t="s">
        <v>982</v>
      </c>
      <c r="F1760" t="s">
        <v>983</v>
      </c>
      <c r="G1760" s="1">
        <v>45658</v>
      </c>
      <c r="H1760" s="1">
        <v>45720</v>
      </c>
      <c r="I1760" t="s">
        <v>665</v>
      </c>
      <c r="J1760" t="s">
        <v>666</v>
      </c>
      <c r="K1760" t="s">
        <v>24</v>
      </c>
      <c r="L1760" t="s">
        <v>217</v>
      </c>
      <c r="M1760" t="s">
        <v>2266</v>
      </c>
      <c r="N1760" t="s">
        <v>307</v>
      </c>
      <c r="O1760" t="s">
        <v>2266</v>
      </c>
      <c r="P1760" t="s">
        <v>307</v>
      </c>
      <c r="Q1760" t="s">
        <v>6424</v>
      </c>
      <c r="R1760" t="s">
        <v>6425</v>
      </c>
      <c r="S1760" t="s">
        <v>783</v>
      </c>
      <c r="T1760" t="s">
        <v>550</v>
      </c>
      <c r="U1760" t="s">
        <v>550</v>
      </c>
      <c r="V1760" t="s">
        <v>6761</v>
      </c>
      <c r="W1760" t="s">
        <v>2255</v>
      </c>
      <c r="Z1760" t="s">
        <v>6759</v>
      </c>
    </row>
    <row r="1761" spans="1:26" x14ac:dyDescent="0.3">
      <c r="A1761" t="s">
        <v>525</v>
      </c>
      <c r="B1761" t="s">
        <v>6762</v>
      </c>
      <c r="C1761" t="s">
        <v>6763</v>
      </c>
      <c r="D1761" t="s">
        <v>2312</v>
      </c>
      <c r="E1761" t="s">
        <v>2313</v>
      </c>
      <c r="F1761" t="s">
        <v>2314</v>
      </c>
      <c r="G1761" s="1">
        <v>44927</v>
      </c>
      <c r="H1761" s="1">
        <v>44929</v>
      </c>
      <c r="I1761" t="s">
        <v>665</v>
      </c>
      <c r="J1761" t="s">
        <v>2315</v>
      </c>
      <c r="K1761" t="s">
        <v>24</v>
      </c>
      <c r="L1761" t="s">
        <v>216</v>
      </c>
      <c r="M1761" t="s">
        <v>1804</v>
      </c>
      <c r="N1761" t="s">
        <v>315</v>
      </c>
      <c r="O1761" t="s">
        <v>1031</v>
      </c>
      <c r="P1761" t="s">
        <v>239</v>
      </c>
      <c r="Q1761" t="s">
        <v>6424</v>
      </c>
      <c r="R1761" t="s">
        <v>6425</v>
      </c>
      <c r="S1761" t="s">
        <v>1471</v>
      </c>
      <c r="T1761" t="s">
        <v>550</v>
      </c>
      <c r="U1761" t="s">
        <v>4393</v>
      </c>
      <c r="V1761" t="s">
        <v>6764</v>
      </c>
      <c r="W1761" t="s">
        <v>1021</v>
      </c>
      <c r="X1761" t="s">
        <v>74</v>
      </c>
      <c r="Y1761" t="s">
        <v>1033</v>
      </c>
      <c r="Z1761" t="s">
        <v>6762</v>
      </c>
    </row>
    <row r="1762" spans="1:26" x14ac:dyDescent="0.3">
      <c r="A1762" t="s">
        <v>525</v>
      </c>
      <c r="B1762" t="s">
        <v>6765</v>
      </c>
      <c r="C1762" t="s">
        <v>6766</v>
      </c>
      <c r="D1762" t="s">
        <v>6767</v>
      </c>
      <c r="E1762" t="s">
        <v>664</v>
      </c>
      <c r="F1762" t="s">
        <v>27</v>
      </c>
      <c r="G1762" s="1">
        <v>45672</v>
      </c>
      <c r="H1762" s="1">
        <v>45784</v>
      </c>
      <c r="I1762" t="s">
        <v>665</v>
      </c>
      <c r="J1762" t="s">
        <v>666</v>
      </c>
      <c r="K1762" t="s">
        <v>24</v>
      </c>
      <c r="L1762" t="s">
        <v>217</v>
      </c>
      <c r="M1762" t="s">
        <v>797</v>
      </c>
      <c r="N1762" t="s">
        <v>313</v>
      </c>
      <c r="O1762" t="s">
        <v>6521</v>
      </c>
      <c r="P1762" t="s">
        <v>302</v>
      </c>
      <c r="Q1762" t="s">
        <v>6424</v>
      </c>
      <c r="R1762" t="s">
        <v>6425</v>
      </c>
      <c r="S1762" t="s">
        <v>783</v>
      </c>
      <c r="T1762" t="s">
        <v>550</v>
      </c>
      <c r="U1762" t="s">
        <v>550</v>
      </c>
      <c r="V1762" t="s">
        <v>6768</v>
      </c>
      <c r="W1762" t="s">
        <v>6769</v>
      </c>
      <c r="Z1762" t="s">
        <v>6765</v>
      </c>
    </row>
    <row r="1763" spans="1:26" x14ac:dyDescent="0.3">
      <c r="A1763" t="s">
        <v>525</v>
      </c>
      <c r="B1763" t="s">
        <v>6767</v>
      </c>
      <c r="C1763" t="s">
        <v>6770</v>
      </c>
      <c r="D1763" t="s">
        <v>550</v>
      </c>
      <c r="E1763" t="s">
        <v>664</v>
      </c>
      <c r="F1763" t="s">
        <v>27</v>
      </c>
      <c r="G1763" s="1">
        <v>45672</v>
      </c>
      <c r="H1763" s="1">
        <v>45672</v>
      </c>
      <c r="I1763" t="s">
        <v>780</v>
      </c>
      <c r="J1763" t="s">
        <v>666</v>
      </c>
      <c r="K1763" t="s">
        <v>24</v>
      </c>
      <c r="L1763" t="s">
        <v>217</v>
      </c>
      <c r="M1763" t="s">
        <v>6521</v>
      </c>
      <c r="N1763" t="s">
        <v>302</v>
      </c>
      <c r="O1763" t="s">
        <v>6521</v>
      </c>
      <c r="P1763" t="s">
        <v>302</v>
      </c>
      <c r="Q1763" t="s">
        <v>6424</v>
      </c>
      <c r="R1763" t="s">
        <v>6425</v>
      </c>
      <c r="S1763" t="s">
        <v>550</v>
      </c>
      <c r="T1763" t="s">
        <v>550</v>
      </c>
      <c r="U1763" t="s">
        <v>550</v>
      </c>
      <c r="V1763" t="s">
        <v>6771</v>
      </c>
      <c r="W1763" t="s">
        <v>6772</v>
      </c>
      <c r="Z1763" t="s">
        <v>6767</v>
      </c>
    </row>
    <row r="1764" spans="1:26" x14ac:dyDescent="0.3">
      <c r="A1764" t="s">
        <v>525</v>
      </c>
      <c r="B1764" t="s">
        <v>6773</v>
      </c>
      <c r="C1764" t="s">
        <v>6774</v>
      </c>
      <c r="D1764" t="s">
        <v>550</v>
      </c>
      <c r="E1764" t="s">
        <v>664</v>
      </c>
      <c r="F1764" t="s">
        <v>27</v>
      </c>
      <c r="G1764" s="1">
        <v>45659</v>
      </c>
      <c r="H1764" s="1">
        <v>45659</v>
      </c>
      <c r="I1764" t="s">
        <v>780</v>
      </c>
      <c r="J1764" t="s">
        <v>666</v>
      </c>
      <c r="K1764" t="s">
        <v>24</v>
      </c>
      <c r="L1764" t="s">
        <v>217</v>
      </c>
      <c r="M1764" t="s">
        <v>873</v>
      </c>
      <c r="N1764" t="s">
        <v>244</v>
      </c>
      <c r="O1764" t="s">
        <v>2253</v>
      </c>
      <c r="P1764" t="s">
        <v>291</v>
      </c>
      <c r="Q1764" t="s">
        <v>6424</v>
      </c>
      <c r="R1764" t="s">
        <v>6425</v>
      </c>
      <c r="S1764" t="s">
        <v>783</v>
      </c>
      <c r="T1764" t="s">
        <v>550</v>
      </c>
      <c r="U1764" t="s">
        <v>550</v>
      </c>
      <c r="V1764" t="s">
        <v>6775</v>
      </c>
      <c r="W1764" t="s">
        <v>565</v>
      </c>
      <c r="Z1764" t="s">
        <v>6773</v>
      </c>
    </row>
    <row r="1765" spans="1:26" x14ac:dyDescent="0.3">
      <c r="A1765" t="s">
        <v>525</v>
      </c>
      <c r="B1765" t="s">
        <v>6776</v>
      </c>
      <c r="C1765" t="s">
        <v>6777</v>
      </c>
      <c r="D1765" t="s">
        <v>6773</v>
      </c>
      <c r="E1765" t="s">
        <v>664</v>
      </c>
      <c r="F1765" t="s">
        <v>27</v>
      </c>
      <c r="G1765" s="1">
        <v>45658</v>
      </c>
      <c r="H1765" s="1">
        <v>45677</v>
      </c>
      <c r="I1765" t="s">
        <v>665</v>
      </c>
      <c r="J1765" t="s">
        <v>666</v>
      </c>
      <c r="K1765" t="s">
        <v>24</v>
      </c>
      <c r="L1765" t="s">
        <v>217</v>
      </c>
      <c r="M1765" t="s">
        <v>873</v>
      </c>
      <c r="N1765" t="s">
        <v>244</v>
      </c>
      <c r="O1765" t="s">
        <v>2253</v>
      </c>
      <c r="P1765" t="s">
        <v>291</v>
      </c>
      <c r="Q1765" t="s">
        <v>6424</v>
      </c>
      <c r="R1765" t="s">
        <v>6425</v>
      </c>
      <c r="S1765" t="s">
        <v>783</v>
      </c>
      <c r="T1765" t="s">
        <v>550</v>
      </c>
      <c r="U1765" t="s">
        <v>550</v>
      </c>
      <c r="V1765" t="s">
        <v>6778</v>
      </c>
      <c r="W1765" t="s">
        <v>565</v>
      </c>
      <c r="Z1765" t="s">
        <v>6776</v>
      </c>
    </row>
    <row r="1766" spans="1:26" x14ac:dyDescent="0.3">
      <c r="A1766" t="s">
        <v>525</v>
      </c>
      <c r="B1766" t="s">
        <v>6779</v>
      </c>
      <c r="C1766" t="s">
        <v>6780</v>
      </c>
      <c r="D1766" t="s">
        <v>550</v>
      </c>
      <c r="E1766" t="s">
        <v>664</v>
      </c>
      <c r="F1766" t="s">
        <v>27</v>
      </c>
      <c r="G1766" s="1">
        <v>45659</v>
      </c>
      <c r="H1766" s="1">
        <v>45659</v>
      </c>
      <c r="I1766" t="s">
        <v>780</v>
      </c>
      <c r="J1766" t="s">
        <v>666</v>
      </c>
      <c r="K1766" t="s">
        <v>24</v>
      </c>
      <c r="L1766" t="s">
        <v>217</v>
      </c>
      <c r="M1766" t="s">
        <v>873</v>
      </c>
      <c r="N1766" t="s">
        <v>244</v>
      </c>
      <c r="O1766" t="s">
        <v>2253</v>
      </c>
      <c r="P1766" t="s">
        <v>291</v>
      </c>
      <c r="Q1766" t="s">
        <v>6424</v>
      </c>
      <c r="R1766" t="s">
        <v>6425</v>
      </c>
      <c r="S1766" t="s">
        <v>783</v>
      </c>
      <c r="T1766" t="s">
        <v>550</v>
      </c>
      <c r="U1766" t="s">
        <v>550</v>
      </c>
      <c r="V1766" t="s">
        <v>6781</v>
      </c>
      <c r="W1766" t="s">
        <v>554</v>
      </c>
      <c r="Z1766" t="s">
        <v>6779</v>
      </c>
    </row>
    <row r="1767" spans="1:26" x14ac:dyDescent="0.3">
      <c r="A1767" t="s">
        <v>525</v>
      </c>
      <c r="B1767" t="s">
        <v>6782</v>
      </c>
      <c r="C1767" t="s">
        <v>6783</v>
      </c>
      <c r="D1767" t="s">
        <v>6779</v>
      </c>
      <c r="E1767" t="s">
        <v>664</v>
      </c>
      <c r="F1767" t="s">
        <v>27</v>
      </c>
      <c r="G1767" s="1">
        <v>45658</v>
      </c>
      <c r="H1767" s="1">
        <v>45677</v>
      </c>
      <c r="I1767" t="s">
        <v>665</v>
      </c>
      <c r="J1767" t="s">
        <v>666</v>
      </c>
      <c r="K1767" t="s">
        <v>24</v>
      </c>
      <c r="L1767" t="s">
        <v>217</v>
      </c>
      <c r="M1767" t="s">
        <v>873</v>
      </c>
      <c r="N1767" t="s">
        <v>244</v>
      </c>
      <c r="O1767" t="s">
        <v>2253</v>
      </c>
      <c r="P1767" t="s">
        <v>291</v>
      </c>
      <c r="Q1767" t="s">
        <v>6424</v>
      </c>
      <c r="R1767" t="s">
        <v>6425</v>
      </c>
      <c r="S1767" t="s">
        <v>783</v>
      </c>
      <c r="T1767" t="s">
        <v>550</v>
      </c>
      <c r="U1767" t="s">
        <v>550</v>
      </c>
      <c r="V1767" t="s">
        <v>6784</v>
      </c>
      <c r="W1767" t="s">
        <v>554</v>
      </c>
      <c r="Z1767" t="s">
        <v>6782</v>
      </c>
    </row>
    <row r="1768" spans="1:26" x14ac:dyDescent="0.3">
      <c r="A1768" t="s">
        <v>525</v>
      </c>
      <c r="B1768" t="s">
        <v>6785</v>
      </c>
      <c r="C1768" t="s">
        <v>6786</v>
      </c>
      <c r="D1768" t="s">
        <v>4553</v>
      </c>
      <c r="E1768" t="s">
        <v>4554</v>
      </c>
      <c r="F1768" t="s">
        <v>4555</v>
      </c>
      <c r="G1768" s="1">
        <v>45658</v>
      </c>
      <c r="H1768" s="1">
        <v>45672</v>
      </c>
      <c r="I1768" t="s">
        <v>665</v>
      </c>
      <c r="J1768" t="s">
        <v>4556</v>
      </c>
      <c r="K1768" t="s">
        <v>958</v>
      </c>
      <c r="L1768" t="s">
        <v>216</v>
      </c>
      <c r="M1768" t="s">
        <v>873</v>
      </c>
      <c r="N1768" t="s">
        <v>244</v>
      </c>
      <c r="O1768" t="s">
        <v>2253</v>
      </c>
      <c r="P1768" t="s">
        <v>291</v>
      </c>
      <c r="Q1768" t="s">
        <v>6424</v>
      </c>
      <c r="R1768" t="s">
        <v>6425</v>
      </c>
      <c r="S1768" t="s">
        <v>783</v>
      </c>
      <c r="T1768" t="s">
        <v>550</v>
      </c>
      <c r="U1768" t="s">
        <v>550</v>
      </c>
      <c r="V1768" t="s">
        <v>6787</v>
      </c>
      <c r="W1768" t="s">
        <v>2292</v>
      </c>
      <c r="X1768" t="s">
        <v>263</v>
      </c>
      <c r="Z1768" t="s">
        <v>6785</v>
      </c>
    </row>
    <row r="1769" spans="1:26" x14ac:dyDescent="0.3">
      <c r="A1769" t="s">
        <v>525</v>
      </c>
      <c r="B1769" t="s">
        <v>6788</v>
      </c>
      <c r="C1769" t="s">
        <v>6789</v>
      </c>
      <c r="D1769" t="s">
        <v>2286</v>
      </c>
      <c r="E1769" t="s">
        <v>2287</v>
      </c>
      <c r="F1769" t="s">
        <v>2288</v>
      </c>
      <c r="G1769" s="1">
        <v>45658</v>
      </c>
      <c r="H1769" s="1">
        <v>45957</v>
      </c>
      <c r="I1769" t="s">
        <v>665</v>
      </c>
      <c r="J1769" t="s">
        <v>2289</v>
      </c>
      <c r="K1769" t="s">
        <v>958</v>
      </c>
      <c r="L1769" t="s">
        <v>216</v>
      </c>
      <c r="M1769" t="s">
        <v>2290</v>
      </c>
      <c r="N1769" t="s">
        <v>317</v>
      </c>
      <c r="O1769" t="s">
        <v>2253</v>
      </c>
      <c r="P1769" t="s">
        <v>291</v>
      </c>
      <c r="Q1769" t="s">
        <v>6424</v>
      </c>
      <c r="R1769" t="s">
        <v>6425</v>
      </c>
      <c r="S1769" t="s">
        <v>783</v>
      </c>
      <c r="T1769" t="s">
        <v>550</v>
      </c>
      <c r="U1769" t="s">
        <v>550</v>
      </c>
      <c r="V1769" t="s">
        <v>6790</v>
      </c>
      <c r="W1769" t="s">
        <v>2292</v>
      </c>
      <c r="X1769" t="s">
        <v>263</v>
      </c>
      <c r="Z1769" t="s">
        <v>6788</v>
      </c>
    </row>
    <row r="1770" spans="1:26" x14ac:dyDescent="0.3">
      <c r="A1770" t="s">
        <v>525</v>
      </c>
      <c r="B1770" t="s">
        <v>6791</v>
      </c>
      <c r="C1770" t="s">
        <v>6792</v>
      </c>
      <c r="D1770" t="s">
        <v>3333</v>
      </c>
      <c r="E1770" t="s">
        <v>1318</v>
      </c>
      <c r="F1770" t="s">
        <v>1319</v>
      </c>
      <c r="G1770" s="1">
        <v>44927</v>
      </c>
      <c r="H1770" s="1">
        <v>44939</v>
      </c>
      <c r="I1770" t="s">
        <v>665</v>
      </c>
      <c r="J1770" t="s">
        <v>1320</v>
      </c>
      <c r="K1770" t="s">
        <v>958</v>
      </c>
      <c r="L1770" t="s">
        <v>216</v>
      </c>
      <c r="M1770" t="s">
        <v>1804</v>
      </c>
      <c r="N1770" t="s">
        <v>315</v>
      </c>
      <c r="O1770" t="s">
        <v>1804</v>
      </c>
      <c r="P1770" t="s">
        <v>315</v>
      </c>
      <c r="Q1770" t="s">
        <v>6424</v>
      </c>
      <c r="R1770" t="s">
        <v>6425</v>
      </c>
      <c r="S1770" t="s">
        <v>783</v>
      </c>
      <c r="T1770" t="s">
        <v>550</v>
      </c>
      <c r="U1770" t="s">
        <v>1807</v>
      </c>
      <c r="V1770" t="s">
        <v>6793</v>
      </c>
      <c r="W1770" t="s">
        <v>1809</v>
      </c>
      <c r="X1770" t="s">
        <v>74</v>
      </c>
      <c r="Y1770" t="s">
        <v>786</v>
      </c>
      <c r="Z1770" t="s">
        <v>6791</v>
      </c>
    </row>
    <row r="1771" spans="1:26" x14ac:dyDescent="0.3">
      <c r="A1771" t="s">
        <v>525</v>
      </c>
      <c r="B1771" t="s">
        <v>6794</v>
      </c>
      <c r="C1771" t="s">
        <v>6795</v>
      </c>
      <c r="D1771" t="s">
        <v>1772</v>
      </c>
      <c r="E1771" t="s">
        <v>664</v>
      </c>
      <c r="F1771" t="s">
        <v>27</v>
      </c>
      <c r="G1771" s="1">
        <v>45292</v>
      </c>
      <c r="H1771" s="1">
        <v>45323</v>
      </c>
      <c r="I1771" t="s">
        <v>665</v>
      </c>
      <c r="J1771" t="s">
        <v>666</v>
      </c>
      <c r="K1771" t="s">
        <v>24</v>
      </c>
      <c r="L1771" t="s">
        <v>217</v>
      </c>
      <c r="M1771" t="s">
        <v>1770</v>
      </c>
      <c r="N1771" t="s">
        <v>283</v>
      </c>
      <c r="O1771" t="s">
        <v>1222</v>
      </c>
      <c r="P1771" t="s">
        <v>231</v>
      </c>
      <c r="Q1771" t="s">
        <v>6424</v>
      </c>
      <c r="R1771" t="s">
        <v>6425</v>
      </c>
      <c r="S1771" t="s">
        <v>783</v>
      </c>
      <c r="T1771" t="s">
        <v>550</v>
      </c>
      <c r="U1771" t="s">
        <v>550</v>
      </c>
      <c r="V1771" t="s">
        <v>6796</v>
      </c>
      <c r="W1771" t="s">
        <v>565</v>
      </c>
      <c r="X1771" t="s">
        <v>252</v>
      </c>
      <c r="Z1771" t="s">
        <v>6794</v>
      </c>
    </row>
    <row r="1772" spans="1:26" x14ac:dyDescent="0.3">
      <c r="A1772" t="s">
        <v>525</v>
      </c>
      <c r="B1772" t="s">
        <v>6797</v>
      </c>
      <c r="C1772" t="s">
        <v>6798</v>
      </c>
      <c r="D1772" t="s">
        <v>550</v>
      </c>
      <c r="E1772" t="s">
        <v>664</v>
      </c>
      <c r="F1772" t="s">
        <v>27</v>
      </c>
      <c r="G1772" s="1">
        <v>44927</v>
      </c>
      <c r="H1772" s="1">
        <v>45291</v>
      </c>
      <c r="I1772" t="s">
        <v>665</v>
      </c>
      <c r="J1772" t="s">
        <v>666</v>
      </c>
      <c r="K1772" t="s">
        <v>24</v>
      </c>
      <c r="L1772" t="s">
        <v>667</v>
      </c>
      <c r="M1772" t="s">
        <v>1884</v>
      </c>
      <c r="N1772" t="s">
        <v>223</v>
      </c>
      <c r="O1772" t="s">
        <v>1222</v>
      </c>
      <c r="P1772" t="s">
        <v>231</v>
      </c>
      <c r="Q1772" t="s">
        <v>6424</v>
      </c>
      <c r="R1772" t="s">
        <v>6425</v>
      </c>
      <c r="S1772" t="s">
        <v>783</v>
      </c>
      <c r="T1772" t="s">
        <v>550</v>
      </c>
      <c r="U1772" t="s">
        <v>6610</v>
      </c>
      <c r="V1772" t="s">
        <v>6799</v>
      </c>
      <c r="W1772" t="s">
        <v>565</v>
      </c>
      <c r="X1772" t="s">
        <v>669</v>
      </c>
      <c r="Y1772" t="s">
        <v>803</v>
      </c>
      <c r="Z1772" t="s">
        <v>6797</v>
      </c>
    </row>
    <row r="1773" spans="1:26" x14ac:dyDescent="0.3">
      <c r="A1773" t="s">
        <v>525</v>
      </c>
      <c r="B1773" t="s">
        <v>6800</v>
      </c>
      <c r="C1773" t="s">
        <v>6801</v>
      </c>
      <c r="D1773" t="s">
        <v>6797</v>
      </c>
      <c r="E1773" t="s">
        <v>664</v>
      </c>
      <c r="F1773" t="s">
        <v>27</v>
      </c>
      <c r="G1773" s="1">
        <v>44927</v>
      </c>
      <c r="H1773" s="1">
        <v>44933</v>
      </c>
      <c r="I1773" t="s">
        <v>665</v>
      </c>
      <c r="J1773" t="s">
        <v>666</v>
      </c>
      <c r="K1773" t="s">
        <v>24</v>
      </c>
      <c r="L1773" t="s">
        <v>667</v>
      </c>
      <c r="M1773" t="s">
        <v>1884</v>
      </c>
      <c r="N1773" t="s">
        <v>223</v>
      </c>
      <c r="O1773" t="s">
        <v>1222</v>
      </c>
      <c r="P1773" t="s">
        <v>231</v>
      </c>
      <c r="Q1773" t="s">
        <v>6424</v>
      </c>
      <c r="R1773" t="s">
        <v>6425</v>
      </c>
      <c r="S1773" t="s">
        <v>783</v>
      </c>
      <c r="T1773" t="s">
        <v>550</v>
      </c>
      <c r="U1773" t="s">
        <v>6610</v>
      </c>
      <c r="V1773" t="s">
        <v>6802</v>
      </c>
      <c r="W1773" t="s">
        <v>565</v>
      </c>
      <c r="X1773" t="s">
        <v>669</v>
      </c>
      <c r="Y1773" t="s">
        <v>803</v>
      </c>
      <c r="Z1773" t="s">
        <v>6800</v>
      </c>
    </row>
    <row r="1774" spans="1:26" x14ac:dyDescent="0.3">
      <c r="A1774" t="s">
        <v>525</v>
      </c>
      <c r="B1774" t="s">
        <v>6438</v>
      </c>
      <c r="C1774" t="s">
        <v>6803</v>
      </c>
      <c r="D1774" t="s">
        <v>550</v>
      </c>
      <c r="E1774" t="s">
        <v>664</v>
      </c>
      <c r="F1774" t="s">
        <v>27</v>
      </c>
      <c r="G1774" s="1">
        <v>45292</v>
      </c>
      <c r="H1774" s="1">
        <v>45292</v>
      </c>
      <c r="I1774" t="s">
        <v>780</v>
      </c>
      <c r="J1774" t="s">
        <v>666</v>
      </c>
      <c r="K1774" t="s">
        <v>24</v>
      </c>
      <c r="L1774" t="s">
        <v>217</v>
      </c>
      <c r="M1774" t="s">
        <v>6439</v>
      </c>
      <c r="N1774" t="s">
        <v>260</v>
      </c>
      <c r="O1774" t="s">
        <v>1222</v>
      </c>
      <c r="P1774" t="s">
        <v>231</v>
      </c>
      <c r="Q1774" t="s">
        <v>6424</v>
      </c>
      <c r="R1774" t="s">
        <v>6425</v>
      </c>
      <c r="S1774" t="s">
        <v>550</v>
      </c>
      <c r="T1774" t="s">
        <v>550</v>
      </c>
      <c r="U1774" t="s">
        <v>550</v>
      </c>
      <c r="V1774" t="s">
        <v>6804</v>
      </c>
      <c r="W1774" t="s">
        <v>835</v>
      </c>
      <c r="Z1774" t="s">
        <v>6438</v>
      </c>
    </row>
    <row r="1775" spans="1:26" x14ac:dyDescent="0.3">
      <c r="A1775" t="s">
        <v>525</v>
      </c>
      <c r="B1775" t="s">
        <v>6805</v>
      </c>
      <c r="C1775" t="s">
        <v>6806</v>
      </c>
      <c r="D1775" t="s">
        <v>550</v>
      </c>
      <c r="E1775" t="s">
        <v>664</v>
      </c>
      <c r="F1775" t="s">
        <v>27</v>
      </c>
      <c r="G1775" s="1">
        <v>44927</v>
      </c>
      <c r="H1775" s="1">
        <v>45291</v>
      </c>
      <c r="I1775" t="s">
        <v>665</v>
      </c>
      <c r="J1775" t="s">
        <v>666</v>
      </c>
      <c r="K1775" t="s">
        <v>24</v>
      </c>
      <c r="L1775" t="s">
        <v>667</v>
      </c>
      <c r="M1775" t="s">
        <v>1222</v>
      </c>
      <c r="N1775" t="s">
        <v>231</v>
      </c>
      <c r="O1775" t="s">
        <v>1222</v>
      </c>
      <c r="P1775" t="s">
        <v>231</v>
      </c>
      <c r="Q1775" t="s">
        <v>6424</v>
      </c>
      <c r="R1775" t="s">
        <v>6425</v>
      </c>
      <c r="S1775" t="s">
        <v>783</v>
      </c>
      <c r="T1775" t="s">
        <v>550</v>
      </c>
      <c r="U1775" t="s">
        <v>6646</v>
      </c>
      <c r="V1775" t="s">
        <v>6807</v>
      </c>
      <c r="W1775" t="s">
        <v>565</v>
      </c>
      <c r="X1775" t="s">
        <v>669</v>
      </c>
      <c r="Y1775" t="s">
        <v>803</v>
      </c>
      <c r="Z1775" t="s">
        <v>6805</v>
      </c>
    </row>
    <row r="1776" spans="1:26" x14ac:dyDescent="0.3">
      <c r="A1776" t="s">
        <v>525</v>
      </c>
      <c r="B1776" t="s">
        <v>6808</v>
      </c>
      <c r="C1776" t="s">
        <v>6809</v>
      </c>
      <c r="D1776" t="s">
        <v>6805</v>
      </c>
      <c r="E1776" t="s">
        <v>664</v>
      </c>
      <c r="F1776" t="s">
        <v>27</v>
      </c>
      <c r="G1776" s="1">
        <v>44927</v>
      </c>
      <c r="H1776" s="1">
        <v>45208</v>
      </c>
      <c r="I1776" t="s">
        <v>665</v>
      </c>
      <c r="J1776" t="s">
        <v>666</v>
      </c>
      <c r="K1776" t="s">
        <v>24</v>
      </c>
      <c r="L1776" t="s">
        <v>667</v>
      </c>
      <c r="M1776" t="s">
        <v>1222</v>
      </c>
      <c r="N1776" t="s">
        <v>231</v>
      </c>
      <c r="O1776" t="s">
        <v>1222</v>
      </c>
      <c r="P1776" t="s">
        <v>231</v>
      </c>
      <c r="Q1776" t="s">
        <v>6424</v>
      </c>
      <c r="R1776" t="s">
        <v>6425</v>
      </c>
      <c r="S1776" t="s">
        <v>783</v>
      </c>
      <c r="T1776" t="s">
        <v>550</v>
      </c>
      <c r="U1776" t="s">
        <v>6646</v>
      </c>
      <c r="V1776" t="s">
        <v>6810</v>
      </c>
      <c r="W1776" t="s">
        <v>565</v>
      </c>
      <c r="X1776" t="s">
        <v>669</v>
      </c>
      <c r="Y1776" t="s">
        <v>803</v>
      </c>
      <c r="Z1776" t="s">
        <v>6808</v>
      </c>
    </row>
    <row r="1777" spans="1:26" x14ac:dyDescent="0.3">
      <c r="A1777" t="s">
        <v>525</v>
      </c>
      <c r="B1777" t="s">
        <v>6811</v>
      </c>
      <c r="C1777" t="s">
        <v>6812</v>
      </c>
      <c r="D1777" t="s">
        <v>550</v>
      </c>
      <c r="E1777" t="s">
        <v>664</v>
      </c>
      <c r="F1777" t="s">
        <v>27</v>
      </c>
      <c r="G1777" s="1">
        <v>44927</v>
      </c>
      <c r="H1777" s="1">
        <v>45291</v>
      </c>
      <c r="I1777" t="s">
        <v>665</v>
      </c>
      <c r="J1777" t="s">
        <v>666</v>
      </c>
      <c r="K1777" t="s">
        <v>24</v>
      </c>
      <c r="L1777" t="s">
        <v>667</v>
      </c>
      <c r="M1777" t="s">
        <v>1222</v>
      </c>
      <c r="N1777" t="s">
        <v>231</v>
      </c>
      <c r="O1777" t="s">
        <v>1222</v>
      </c>
      <c r="P1777" t="s">
        <v>231</v>
      </c>
      <c r="Q1777" t="s">
        <v>6424</v>
      </c>
      <c r="R1777" t="s">
        <v>6425</v>
      </c>
      <c r="S1777" t="s">
        <v>783</v>
      </c>
      <c r="T1777" t="s">
        <v>550</v>
      </c>
      <c r="U1777" t="s">
        <v>6610</v>
      </c>
      <c r="V1777" t="s">
        <v>6813</v>
      </c>
      <c r="W1777" t="s">
        <v>565</v>
      </c>
      <c r="X1777" t="s">
        <v>669</v>
      </c>
      <c r="Y1777" t="s">
        <v>803</v>
      </c>
      <c r="Z1777" t="s">
        <v>6811</v>
      </c>
    </row>
    <row r="1778" spans="1:26" x14ac:dyDescent="0.3">
      <c r="A1778" t="s">
        <v>525</v>
      </c>
      <c r="B1778" t="s">
        <v>6814</v>
      </c>
      <c r="C1778" t="s">
        <v>6812</v>
      </c>
      <c r="D1778" t="s">
        <v>6811</v>
      </c>
      <c r="E1778" t="s">
        <v>664</v>
      </c>
      <c r="F1778" t="s">
        <v>27</v>
      </c>
      <c r="G1778" s="1">
        <v>44927</v>
      </c>
      <c r="H1778" s="1">
        <v>44942</v>
      </c>
      <c r="I1778" t="s">
        <v>665</v>
      </c>
      <c r="J1778" t="s">
        <v>666</v>
      </c>
      <c r="K1778" t="s">
        <v>24</v>
      </c>
      <c r="L1778" t="s">
        <v>667</v>
      </c>
      <c r="M1778" t="s">
        <v>1222</v>
      </c>
      <c r="N1778" t="s">
        <v>231</v>
      </c>
      <c r="O1778" t="s">
        <v>1222</v>
      </c>
      <c r="P1778" t="s">
        <v>231</v>
      </c>
      <c r="Q1778" t="s">
        <v>6424</v>
      </c>
      <c r="R1778" t="s">
        <v>6425</v>
      </c>
      <c r="S1778" t="s">
        <v>783</v>
      </c>
      <c r="T1778" t="s">
        <v>550</v>
      </c>
      <c r="U1778" t="s">
        <v>6610</v>
      </c>
      <c r="V1778" t="s">
        <v>6815</v>
      </c>
      <c r="W1778" t="s">
        <v>565</v>
      </c>
      <c r="X1778" t="s">
        <v>669</v>
      </c>
      <c r="Y1778" t="s">
        <v>803</v>
      </c>
      <c r="Z1778" t="s">
        <v>6814</v>
      </c>
    </row>
    <row r="1779" spans="1:26" x14ac:dyDescent="0.3">
      <c r="A1779" t="s">
        <v>525</v>
      </c>
      <c r="B1779" t="s">
        <v>6816</v>
      </c>
      <c r="C1779" t="s">
        <v>6817</v>
      </c>
      <c r="D1779" t="s">
        <v>550</v>
      </c>
      <c r="E1779" t="s">
        <v>664</v>
      </c>
      <c r="F1779" t="s">
        <v>27</v>
      </c>
      <c r="G1779" s="1">
        <v>44927</v>
      </c>
      <c r="H1779" s="1">
        <v>45291</v>
      </c>
      <c r="I1779" t="s">
        <v>665</v>
      </c>
      <c r="J1779" t="s">
        <v>666</v>
      </c>
      <c r="K1779" t="s">
        <v>24</v>
      </c>
      <c r="L1779" t="s">
        <v>667</v>
      </c>
      <c r="M1779" t="s">
        <v>1222</v>
      </c>
      <c r="N1779" t="s">
        <v>231</v>
      </c>
      <c r="O1779" t="s">
        <v>1222</v>
      </c>
      <c r="P1779" t="s">
        <v>231</v>
      </c>
      <c r="Q1779" t="s">
        <v>6424</v>
      </c>
      <c r="R1779" t="s">
        <v>6425</v>
      </c>
      <c r="S1779" t="s">
        <v>783</v>
      </c>
      <c r="T1779" t="s">
        <v>550</v>
      </c>
      <c r="U1779" t="s">
        <v>6646</v>
      </c>
      <c r="V1779" t="s">
        <v>6818</v>
      </c>
      <c r="W1779" t="s">
        <v>4287</v>
      </c>
      <c r="X1779" t="s">
        <v>669</v>
      </c>
      <c r="Y1779" t="s">
        <v>803</v>
      </c>
      <c r="Z1779" t="s">
        <v>6816</v>
      </c>
    </row>
    <row r="1780" spans="1:26" x14ac:dyDescent="0.3">
      <c r="A1780" t="s">
        <v>525</v>
      </c>
      <c r="B1780" t="s">
        <v>6819</v>
      </c>
      <c r="C1780" t="s">
        <v>6820</v>
      </c>
      <c r="D1780" t="s">
        <v>6816</v>
      </c>
      <c r="E1780" t="s">
        <v>664</v>
      </c>
      <c r="F1780" t="s">
        <v>27</v>
      </c>
      <c r="G1780" s="1">
        <v>44927</v>
      </c>
      <c r="H1780" s="1">
        <v>44989</v>
      </c>
      <c r="I1780" t="s">
        <v>665</v>
      </c>
      <c r="J1780" t="s">
        <v>666</v>
      </c>
      <c r="K1780" t="s">
        <v>24</v>
      </c>
      <c r="L1780" t="s">
        <v>667</v>
      </c>
      <c r="M1780" t="s">
        <v>1222</v>
      </c>
      <c r="N1780" t="s">
        <v>231</v>
      </c>
      <c r="O1780" t="s">
        <v>1222</v>
      </c>
      <c r="P1780" t="s">
        <v>231</v>
      </c>
      <c r="Q1780" t="s">
        <v>6424</v>
      </c>
      <c r="R1780" t="s">
        <v>6425</v>
      </c>
      <c r="S1780" t="s">
        <v>783</v>
      </c>
      <c r="T1780" t="s">
        <v>550</v>
      </c>
      <c r="U1780" t="s">
        <v>6646</v>
      </c>
      <c r="V1780" t="s">
        <v>6821</v>
      </c>
      <c r="W1780" t="s">
        <v>4287</v>
      </c>
      <c r="X1780" t="s">
        <v>669</v>
      </c>
      <c r="Y1780" t="s">
        <v>803</v>
      </c>
      <c r="Z1780" t="s">
        <v>6819</v>
      </c>
    </row>
    <row r="1781" spans="1:26" x14ac:dyDescent="0.3">
      <c r="A1781" t="s">
        <v>525</v>
      </c>
      <c r="B1781" t="s">
        <v>6822</v>
      </c>
      <c r="C1781" t="s">
        <v>6823</v>
      </c>
      <c r="D1781" t="s">
        <v>550</v>
      </c>
      <c r="E1781" t="s">
        <v>664</v>
      </c>
      <c r="F1781" t="s">
        <v>27</v>
      </c>
      <c r="G1781" s="1">
        <v>44927</v>
      </c>
      <c r="H1781" s="1">
        <v>45291</v>
      </c>
      <c r="I1781" t="s">
        <v>665</v>
      </c>
      <c r="J1781" t="s">
        <v>666</v>
      </c>
      <c r="K1781" t="s">
        <v>24</v>
      </c>
      <c r="L1781" t="s">
        <v>667</v>
      </c>
      <c r="M1781" t="s">
        <v>1222</v>
      </c>
      <c r="N1781" t="s">
        <v>231</v>
      </c>
      <c r="O1781" t="s">
        <v>1222</v>
      </c>
      <c r="P1781" t="s">
        <v>231</v>
      </c>
      <c r="Q1781" t="s">
        <v>6424</v>
      </c>
      <c r="R1781" t="s">
        <v>6425</v>
      </c>
      <c r="S1781" t="s">
        <v>783</v>
      </c>
      <c r="T1781" t="s">
        <v>550</v>
      </c>
      <c r="U1781" t="s">
        <v>6646</v>
      </c>
      <c r="V1781" t="s">
        <v>6824</v>
      </c>
      <c r="W1781" t="s">
        <v>554</v>
      </c>
      <c r="X1781" t="s">
        <v>669</v>
      </c>
      <c r="Y1781" t="s">
        <v>803</v>
      </c>
      <c r="Z1781" t="s">
        <v>6822</v>
      </c>
    </row>
    <row r="1782" spans="1:26" x14ac:dyDescent="0.3">
      <c r="A1782" t="s">
        <v>525</v>
      </c>
      <c r="B1782" t="s">
        <v>6825</v>
      </c>
      <c r="C1782" t="s">
        <v>6826</v>
      </c>
      <c r="D1782" t="s">
        <v>6822</v>
      </c>
      <c r="E1782" t="s">
        <v>664</v>
      </c>
      <c r="F1782" t="s">
        <v>27</v>
      </c>
      <c r="G1782" s="1">
        <v>44927</v>
      </c>
      <c r="H1782" s="1">
        <v>45226</v>
      </c>
      <c r="I1782" t="s">
        <v>665</v>
      </c>
      <c r="J1782" t="s">
        <v>666</v>
      </c>
      <c r="K1782" t="s">
        <v>24</v>
      </c>
      <c r="L1782" t="s">
        <v>667</v>
      </c>
      <c r="M1782" t="s">
        <v>1222</v>
      </c>
      <c r="N1782" t="s">
        <v>231</v>
      </c>
      <c r="O1782" t="s">
        <v>1222</v>
      </c>
      <c r="P1782" t="s">
        <v>231</v>
      </c>
      <c r="Q1782" t="s">
        <v>6424</v>
      </c>
      <c r="R1782" t="s">
        <v>6425</v>
      </c>
      <c r="S1782" t="s">
        <v>783</v>
      </c>
      <c r="T1782" t="s">
        <v>550</v>
      </c>
      <c r="U1782" t="s">
        <v>6646</v>
      </c>
      <c r="V1782" t="s">
        <v>6827</v>
      </c>
      <c r="W1782" t="s">
        <v>554</v>
      </c>
      <c r="X1782" t="s">
        <v>669</v>
      </c>
      <c r="Y1782" t="s">
        <v>803</v>
      </c>
      <c r="Z1782" t="s">
        <v>6825</v>
      </c>
    </row>
    <row r="1783" spans="1:26" x14ac:dyDescent="0.3">
      <c r="A1783" t="s">
        <v>525</v>
      </c>
      <c r="B1783" t="s">
        <v>6828</v>
      </c>
      <c r="C1783" t="s">
        <v>6829</v>
      </c>
      <c r="D1783" t="s">
        <v>550</v>
      </c>
      <c r="E1783" t="s">
        <v>664</v>
      </c>
      <c r="F1783" t="s">
        <v>27</v>
      </c>
      <c r="G1783" s="1">
        <v>44927</v>
      </c>
      <c r="H1783" s="1">
        <v>45291</v>
      </c>
      <c r="I1783" t="s">
        <v>665</v>
      </c>
      <c r="J1783" t="s">
        <v>666</v>
      </c>
      <c r="K1783" t="s">
        <v>24</v>
      </c>
      <c r="L1783" t="s">
        <v>667</v>
      </c>
      <c r="M1783" t="s">
        <v>1222</v>
      </c>
      <c r="N1783" t="s">
        <v>231</v>
      </c>
      <c r="O1783" t="s">
        <v>1222</v>
      </c>
      <c r="P1783" t="s">
        <v>231</v>
      </c>
      <c r="Q1783" t="s">
        <v>6424</v>
      </c>
      <c r="R1783" t="s">
        <v>6425</v>
      </c>
      <c r="S1783" t="s">
        <v>783</v>
      </c>
      <c r="T1783" t="s">
        <v>893</v>
      </c>
      <c r="U1783" t="s">
        <v>4237</v>
      </c>
      <c r="V1783" t="s">
        <v>6830</v>
      </c>
      <c r="W1783" t="s">
        <v>554</v>
      </c>
      <c r="X1783" t="s">
        <v>669</v>
      </c>
      <c r="Y1783" t="s">
        <v>803</v>
      </c>
      <c r="Z1783" t="s">
        <v>6828</v>
      </c>
    </row>
    <row r="1784" spans="1:26" x14ac:dyDescent="0.3">
      <c r="A1784" t="s">
        <v>525</v>
      </c>
      <c r="B1784" t="s">
        <v>6831</v>
      </c>
      <c r="C1784" t="s">
        <v>6832</v>
      </c>
      <c r="D1784" t="s">
        <v>6828</v>
      </c>
      <c r="E1784" t="s">
        <v>664</v>
      </c>
      <c r="F1784" t="s">
        <v>27</v>
      </c>
      <c r="G1784" s="1">
        <v>44927</v>
      </c>
      <c r="H1784" s="1">
        <v>44950</v>
      </c>
      <c r="I1784" t="s">
        <v>665</v>
      </c>
      <c r="J1784" t="s">
        <v>666</v>
      </c>
      <c r="K1784" t="s">
        <v>24</v>
      </c>
      <c r="L1784" t="s">
        <v>667</v>
      </c>
      <c r="M1784" t="s">
        <v>1222</v>
      </c>
      <c r="N1784" t="s">
        <v>231</v>
      </c>
      <c r="O1784" t="s">
        <v>1222</v>
      </c>
      <c r="P1784" t="s">
        <v>231</v>
      </c>
      <c r="Q1784" t="s">
        <v>6424</v>
      </c>
      <c r="R1784" t="s">
        <v>6425</v>
      </c>
      <c r="S1784" t="s">
        <v>783</v>
      </c>
      <c r="T1784" t="s">
        <v>893</v>
      </c>
      <c r="U1784" t="s">
        <v>4237</v>
      </c>
      <c r="V1784" t="s">
        <v>6833</v>
      </c>
      <c r="W1784" t="s">
        <v>554</v>
      </c>
      <c r="X1784" t="s">
        <v>669</v>
      </c>
      <c r="Y1784" t="s">
        <v>803</v>
      </c>
      <c r="Z1784" t="s">
        <v>6831</v>
      </c>
    </row>
    <row r="1785" spans="1:26" x14ac:dyDescent="0.3">
      <c r="A1785" t="s">
        <v>525</v>
      </c>
      <c r="B1785" t="s">
        <v>6834</v>
      </c>
      <c r="C1785" t="s">
        <v>6835</v>
      </c>
      <c r="D1785" t="s">
        <v>6828</v>
      </c>
      <c r="E1785" t="s">
        <v>664</v>
      </c>
      <c r="F1785" t="s">
        <v>27</v>
      </c>
      <c r="G1785" s="1">
        <v>44927</v>
      </c>
      <c r="H1785" s="1">
        <v>44964</v>
      </c>
      <c r="I1785" t="s">
        <v>665</v>
      </c>
      <c r="J1785" t="s">
        <v>666</v>
      </c>
      <c r="K1785" t="s">
        <v>24</v>
      </c>
      <c r="L1785" t="s">
        <v>667</v>
      </c>
      <c r="M1785" t="s">
        <v>1222</v>
      </c>
      <c r="N1785" t="s">
        <v>231</v>
      </c>
      <c r="O1785" t="s">
        <v>1222</v>
      </c>
      <c r="P1785" t="s">
        <v>231</v>
      </c>
      <c r="Q1785" t="s">
        <v>6424</v>
      </c>
      <c r="R1785" t="s">
        <v>6425</v>
      </c>
      <c r="S1785" t="s">
        <v>783</v>
      </c>
      <c r="T1785" t="s">
        <v>893</v>
      </c>
      <c r="U1785" t="s">
        <v>4237</v>
      </c>
      <c r="V1785" t="s">
        <v>6836</v>
      </c>
      <c r="W1785" t="s">
        <v>554</v>
      </c>
      <c r="X1785" t="s">
        <v>669</v>
      </c>
      <c r="Y1785" t="s">
        <v>803</v>
      </c>
      <c r="Z1785" t="s">
        <v>6834</v>
      </c>
    </row>
    <row r="1786" spans="1:26" x14ac:dyDescent="0.3">
      <c r="A1786" t="s">
        <v>525</v>
      </c>
      <c r="B1786" t="s">
        <v>6837</v>
      </c>
      <c r="C1786" t="s">
        <v>6838</v>
      </c>
      <c r="D1786" t="s">
        <v>6828</v>
      </c>
      <c r="E1786" t="s">
        <v>664</v>
      </c>
      <c r="F1786" t="s">
        <v>27</v>
      </c>
      <c r="G1786" s="1">
        <v>44927</v>
      </c>
      <c r="H1786" s="1">
        <v>44946</v>
      </c>
      <c r="I1786" t="s">
        <v>665</v>
      </c>
      <c r="J1786" t="s">
        <v>666</v>
      </c>
      <c r="K1786" t="s">
        <v>24</v>
      </c>
      <c r="L1786" t="s">
        <v>667</v>
      </c>
      <c r="M1786" t="s">
        <v>1222</v>
      </c>
      <c r="N1786" t="s">
        <v>231</v>
      </c>
      <c r="O1786" t="s">
        <v>1222</v>
      </c>
      <c r="P1786" t="s">
        <v>231</v>
      </c>
      <c r="Q1786" t="s">
        <v>6424</v>
      </c>
      <c r="R1786" t="s">
        <v>6425</v>
      </c>
      <c r="S1786" t="s">
        <v>783</v>
      </c>
      <c r="T1786" t="s">
        <v>893</v>
      </c>
      <c r="U1786" t="s">
        <v>4237</v>
      </c>
      <c r="V1786" t="s">
        <v>6839</v>
      </c>
      <c r="W1786" t="s">
        <v>554</v>
      </c>
      <c r="X1786" t="s">
        <v>669</v>
      </c>
      <c r="Y1786" t="s">
        <v>803</v>
      </c>
      <c r="Z1786" t="s">
        <v>6837</v>
      </c>
    </row>
    <row r="1787" spans="1:26" x14ac:dyDescent="0.3">
      <c r="A1787" t="s">
        <v>525</v>
      </c>
      <c r="B1787" t="s">
        <v>6840</v>
      </c>
      <c r="C1787" t="s">
        <v>6841</v>
      </c>
      <c r="D1787" t="s">
        <v>550</v>
      </c>
      <c r="E1787" t="s">
        <v>664</v>
      </c>
      <c r="F1787" t="s">
        <v>27</v>
      </c>
      <c r="G1787" s="1">
        <v>45017</v>
      </c>
      <c r="H1787" s="1">
        <v>45291</v>
      </c>
      <c r="I1787" t="s">
        <v>665</v>
      </c>
      <c r="J1787" t="s">
        <v>666</v>
      </c>
      <c r="K1787" t="s">
        <v>24</v>
      </c>
      <c r="L1787" t="s">
        <v>667</v>
      </c>
      <c r="M1787" t="s">
        <v>1222</v>
      </c>
      <c r="N1787" t="s">
        <v>231</v>
      </c>
      <c r="O1787" t="s">
        <v>1222</v>
      </c>
      <c r="P1787" t="s">
        <v>231</v>
      </c>
      <c r="Q1787" t="s">
        <v>6424</v>
      </c>
      <c r="R1787" t="s">
        <v>6425</v>
      </c>
      <c r="S1787" t="s">
        <v>783</v>
      </c>
      <c r="T1787" t="s">
        <v>550</v>
      </c>
      <c r="U1787" t="s">
        <v>6646</v>
      </c>
      <c r="V1787" t="s">
        <v>6842</v>
      </c>
      <c r="W1787" t="s">
        <v>554</v>
      </c>
      <c r="X1787" t="s">
        <v>669</v>
      </c>
      <c r="Y1787" t="s">
        <v>803</v>
      </c>
      <c r="Z1787" t="s">
        <v>6840</v>
      </c>
    </row>
    <row r="1788" spans="1:26" x14ac:dyDescent="0.3">
      <c r="A1788" t="s">
        <v>525</v>
      </c>
      <c r="B1788" t="s">
        <v>6843</v>
      </c>
      <c r="C1788" t="s">
        <v>6844</v>
      </c>
      <c r="D1788" t="s">
        <v>6840</v>
      </c>
      <c r="E1788" t="s">
        <v>664</v>
      </c>
      <c r="F1788" t="s">
        <v>27</v>
      </c>
      <c r="G1788" s="1">
        <v>45017</v>
      </c>
      <c r="H1788" s="1">
        <v>45891</v>
      </c>
      <c r="I1788" t="s">
        <v>665</v>
      </c>
      <c r="J1788" t="s">
        <v>666</v>
      </c>
      <c r="K1788" t="s">
        <v>24</v>
      </c>
      <c r="L1788" t="s">
        <v>667</v>
      </c>
      <c r="M1788" t="s">
        <v>1222</v>
      </c>
      <c r="N1788" t="s">
        <v>231</v>
      </c>
      <c r="O1788" t="s">
        <v>1222</v>
      </c>
      <c r="P1788" t="s">
        <v>231</v>
      </c>
      <c r="Q1788" t="s">
        <v>6424</v>
      </c>
      <c r="R1788" t="s">
        <v>6425</v>
      </c>
      <c r="S1788" t="s">
        <v>783</v>
      </c>
      <c r="T1788" t="s">
        <v>550</v>
      </c>
      <c r="U1788" t="s">
        <v>6646</v>
      </c>
      <c r="V1788" t="s">
        <v>6845</v>
      </c>
      <c r="W1788" t="s">
        <v>554</v>
      </c>
      <c r="X1788" t="s">
        <v>669</v>
      </c>
      <c r="Y1788" t="s">
        <v>803</v>
      </c>
      <c r="Z1788" t="s">
        <v>6843</v>
      </c>
    </row>
    <row r="1789" spans="1:26" x14ac:dyDescent="0.3">
      <c r="A1789" t="s">
        <v>525</v>
      </c>
      <c r="B1789" t="s">
        <v>6846</v>
      </c>
      <c r="C1789" t="s">
        <v>6847</v>
      </c>
      <c r="D1789" t="s">
        <v>4686</v>
      </c>
      <c r="E1789" t="s">
        <v>982</v>
      </c>
      <c r="F1789" t="s">
        <v>983</v>
      </c>
      <c r="G1789" s="1">
        <v>46023</v>
      </c>
      <c r="H1789" s="1">
        <v>46097</v>
      </c>
      <c r="I1789" t="s">
        <v>551</v>
      </c>
      <c r="J1789" t="s">
        <v>666</v>
      </c>
      <c r="K1789" t="s">
        <v>900</v>
      </c>
      <c r="L1789" t="s">
        <v>217</v>
      </c>
      <c r="M1789" t="s">
        <v>6848</v>
      </c>
      <c r="N1789" t="s">
        <v>318</v>
      </c>
      <c r="O1789" t="s">
        <v>2282</v>
      </c>
      <c r="P1789" t="s">
        <v>295</v>
      </c>
      <c r="Q1789" t="s">
        <v>6424</v>
      </c>
      <c r="R1789" t="s">
        <v>6425</v>
      </c>
      <c r="S1789" t="s">
        <v>783</v>
      </c>
      <c r="T1789" t="s">
        <v>550</v>
      </c>
      <c r="U1789" t="s">
        <v>550</v>
      </c>
      <c r="V1789" t="s">
        <v>6849</v>
      </c>
      <c r="W1789" t="s">
        <v>2255</v>
      </c>
      <c r="Z1789" t="s">
        <v>6846</v>
      </c>
    </row>
    <row r="1790" spans="1:26" x14ac:dyDescent="0.3">
      <c r="A1790" t="s">
        <v>525</v>
      </c>
      <c r="B1790" t="s">
        <v>6850</v>
      </c>
      <c r="C1790" t="s">
        <v>6851</v>
      </c>
      <c r="D1790" t="s">
        <v>980</v>
      </c>
      <c r="E1790" t="s">
        <v>982</v>
      </c>
      <c r="F1790" t="s">
        <v>983</v>
      </c>
      <c r="G1790" s="1">
        <v>46023</v>
      </c>
      <c r="H1790" s="1">
        <v>46085</v>
      </c>
      <c r="I1790" t="s">
        <v>551</v>
      </c>
      <c r="J1790" t="s">
        <v>666</v>
      </c>
      <c r="K1790" t="s">
        <v>24</v>
      </c>
      <c r="L1790" t="s">
        <v>217</v>
      </c>
      <c r="M1790" t="s">
        <v>6848</v>
      </c>
      <c r="N1790" t="s">
        <v>318</v>
      </c>
      <c r="O1790" t="s">
        <v>2282</v>
      </c>
      <c r="P1790" t="s">
        <v>295</v>
      </c>
      <c r="Q1790" t="s">
        <v>6424</v>
      </c>
      <c r="R1790" t="s">
        <v>6425</v>
      </c>
      <c r="S1790" t="s">
        <v>783</v>
      </c>
      <c r="T1790" t="s">
        <v>550</v>
      </c>
      <c r="U1790" t="s">
        <v>550</v>
      </c>
      <c r="V1790" t="s">
        <v>6852</v>
      </c>
      <c r="W1790" t="s">
        <v>2255</v>
      </c>
      <c r="Z1790" t="s">
        <v>6850</v>
      </c>
    </row>
    <row r="1791" spans="1:26" x14ac:dyDescent="0.3">
      <c r="A1791" t="s">
        <v>525</v>
      </c>
      <c r="B1791" t="s">
        <v>6853</v>
      </c>
      <c r="C1791" t="s">
        <v>6854</v>
      </c>
      <c r="D1791" t="s">
        <v>6453</v>
      </c>
      <c r="E1791" t="s">
        <v>1039</v>
      </c>
      <c r="F1791" t="s">
        <v>1040</v>
      </c>
      <c r="G1791" s="1">
        <v>45870</v>
      </c>
      <c r="H1791" s="1">
        <v>45915</v>
      </c>
      <c r="I1791" t="s">
        <v>665</v>
      </c>
      <c r="J1791" t="s">
        <v>3554</v>
      </c>
      <c r="K1791" t="s">
        <v>24</v>
      </c>
      <c r="L1791" t="s">
        <v>216</v>
      </c>
      <c r="M1791" t="s">
        <v>2213</v>
      </c>
      <c r="N1791" t="s">
        <v>237</v>
      </c>
      <c r="O1791" t="s">
        <v>2276</v>
      </c>
      <c r="P1791" t="s">
        <v>2277</v>
      </c>
      <c r="Q1791" t="s">
        <v>6424</v>
      </c>
      <c r="R1791" t="s">
        <v>6425</v>
      </c>
      <c r="S1791" t="s">
        <v>783</v>
      </c>
      <c r="T1791" t="s">
        <v>550</v>
      </c>
      <c r="U1791" t="s">
        <v>550</v>
      </c>
      <c r="V1791" t="s">
        <v>6855</v>
      </c>
      <c r="W1791" t="s">
        <v>565</v>
      </c>
      <c r="Z1791" t="s">
        <v>6853</v>
      </c>
    </row>
    <row r="1792" spans="1:26" x14ac:dyDescent="0.3">
      <c r="A1792" t="s">
        <v>525</v>
      </c>
      <c r="B1792" t="s">
        <v>6856</v>
      </c>
      <c r="C1792" t="s">
        <v>6857</v>
      </c>
      <c r="D1792" t="s">
        <v>550</v>
      </c>
      <c r="E1792" t="s">
        <v>664</v>
      </c>
      <c r="F1792" t="s">
        <v>27</v>
      </c>
      <c r="G1792" s="1">
        <v>44927</v>
      </c>
      <c r="H1792" s="1">
        <v>45291</v>
      </c>
      <c r="I1792" t="s">
        <v>665</v>
      </c>
      <c r="J1792" t="s">
        <v>666</v>
      </c>
      <c r="K1792" t="s">
        <v>24</v>
      </c>
      <c r="L1792" t="s">
        <v>667</v>
      </c>
      <c r="M1792" t="s">
        <v>6858</v>
      </c>
      <c r="N1792" t="s">
        <v>6859</v>
      </c>
      <c r="O1792" t="s">
        <v>6858</v>
      </c>
      <c r="P1792" t="s">
        <v>6859</v>
      </c>
      <c r="Q1792" t="s">
        <v>6424</v>
      </c>
      <c r="R1792" t="s">
        <v>6425</v>
      </c>
      <c r="S1792" t="s">
        <v>783</v>
      </c>
      <c r="T1792" t="s">
        <v>550</v>
      </c>
      <c r="U1792" t="s">
        <v>6610</v>
      </c>
      <c r="V1792" t="s">
        <v>6860</v>
      </c>
      <c r="W1792" t="s">
        <v>554</v>
      </c>
      <c r="X1792" t="s">
        <v>669</v>
      </c>
      <c r="Y1792" t="s">
        <v>803</v>
      </c>
      <c r="Z1792" t="s">
        <v>6856</v>
      </c>
    </row>
    <row r="1793" spans="1:26" x14ac:dyDescent="0.3">
      <c r="A1793" t="s">
        <v>525</v>
      </c>
      <c r="B1793" t="s">
        <v>6861</v>
      </c>
      <c r="C1793" t="s">
        <v>6862</v>
      </c>
      <c r="D1793" t="s">
        <v>6856</v>
      </c>
      <c r="E1793" t="s">
        <v>664</v>
      </c>
      <c r="F1793" t="s">
        <v>27</v>
      </c>
      <c r="G1793" s="1">
        <v>44927</v>
      </c>
      <c r="H1793" s="1">
        <v>44927</v>
      </c>
      <c r="I1793" t="s">
        <v>665</v>
      </c>
      <c r="J1793" t="s">
        <v>666</v>
      </c>
      <c r="K1793" t="s">
        <v>24</v>
      </c>
      <c r="L1793" t="s">
        <v>667</v>
      </c>
      <c r="M1793" t="s">
        <v>6858</v>
      </c>
      <c r="N1793" t="s">
        <v>6859</v>
      </c>
      <c r="O1793" t="s">
        <v>6858</v>
      </c>
      <c r="P1793" t="s">
        <v>6859</v>
      </c>
      <c r="Q1793" t="s">
        <v>6424</v>
      </c>
      <c r="R1793" t="s">
        <v>6425</v>
      </c>
      <c r="S1793" t="s">
        <v>783</v>
      </c>
      <c r="T1793" t="s">
        <v>550</v>
      </c>
      <c r="U1793" t="s">
        <v>6610</v>
      </c>
      <c r="V1793" t="s">
        <v>6863</v>
      </c>
      <c r="W1793" t="s">
        <v>554</v>
      </c>
      <c r="X1793" t="s">
        <v>669</v>
      </c>
      <c r="Y1793" t="s">
        <v>803</v>
      </c>
      <c r="Z1793" t="s">
        <v>6861</v>
      </c>
    </row>
    <row r="1794" spans="1:26" x14ac:dyDescent="0.3">
      <c r="A1794" t="s">
        <v>330</v>
      </c>
      <c r="B1794" t="s">
        <v>6864</v>
      </c>
      <c r="C1794" t="s">
        <v>6865</v>
      </c>
      <c r="D1794" t="s">
        <v>6866</v>
      </c>
      <c r="E1794" t="s">
        <v>6417</v>
      </c>
      <c r="F1794" t="s">
        <v>1040</v>
      </c>
      <c r="G1794" s="1">
        <v>45292</v>
      </c>
      <c r="H1794" s="1">
        <v>46333</v>
      </c>
      <c r="I1794" t="s">
        <v>665</v>
      </c>
      <c r="J1794" t="s">
        <v>6418</v>
      </c>
      <c r="K1794" t="s">
        <v>958</v>
      </c>
      <c r="L1794" t="s">
        <v>6419</v>
      </c>
      <c r="M1794" t="s">
        <v>6867</v>
      </c>
      <c r="N1794" t="s">
        <v>6868</v>
      </c>
      <c r="O1794" t="s">
        <v>6422</v>
      </c>
      <c r="P1794" t="s">
        <v>6423</v>
      </c>
      <c r="Q1794" t="s">
        <v>6424</v>
      </c>
      <c r="R1794" t="s">
        <v>6425</v>
      </c>
      <c r="S1794" t="s">
        <v>6869</v>
      </c>
      <c r="T1794" t="s">
        <v>550</v>
      </c>
      <c r="U1794" t="s">
        <v>550</v>
      </c>
      <c r="V1794" t="s">
        <v>6870</v>
      </c>
      <c r="W1794" t="s">
        <v>6428</v>
      </c>
      <c r="X1794" t="s">
        <v>6871</v>
      </c>
      <c r="Z1794" t="s">
        <v>6864</v>
      </c>
    </row>
    <row r="1795" spans="1:26" x14ac:dyDescent="0.3">
      <c r="A1795" t="s">
        <v>330</v>
      </c>
      <c r="B1795" t="s">
        <v>6872</v>
      </c>
      <c r="C1795" t="s">
        <v>6873</v>
      </c>
      <c r="D1795" t="s">
        <v>6866</v>
      </c>
      <c r="E1795" t="s">
        <v>6417</v>
      </c>
      <c r="F1795" t="s">
        <v>1040</v>
      </c>
      <c r="G1795" s="1">
        <v>45292</v>
      </c>
      <c r="H1795" s="1">
        <v>45832</v>
      </c>
      <c r="I1795" t="s">
        <v>665</v>
      </c>
      <c r="J1795" t="s">
        <v>6418</v>
      </c>
      <c r="K1795" t="s">
        <v>958</v>
      </c>
      <c r="L1795" t="s">
        <v>6419</v>
      </c>
      <c r="M1795" t="s">
        <v>6867</v>
      </c>
      <c r="N1795" t="s">
        <v>6868</v>
      </c>
      <c r="O1795" t="s">
        <v>6422</v>
      </c>
      <c r="P1795" t="s">
        <v>6423</v>
      </c>
      <c r="Q1795" t="s">
        <v>6424</v>
      </c>
      <c r="R1795" t="s">
        <v>6425</v>
      </c>
      <c r="S1795" t="s">
        <v>6869</v>
      </c>
      <c r="T1795" t="s">
        <v>550</v>
      </c>
      <c r="U1795" t="s">
        <v>550</v>
      </c>
      <c r="V1795" t="s">
        <v>6874</v>
      </c>
      <c r="W1795" t="s">
        <v>6428</v>
      </c>
      <c r="X1795" t="s">
        <v>6871</v>
      </c>
      <c r="Z1795" t="s">
        <v>6872</v>
      </c>
    </row>
    <row r="1796" spans="1:26" x14ac:dyDescent="0.3">
      <c r="A1796" t="s">
        <v>330</v>
      </c>
      <c r="B1796" t="s">
        <v>6875</v>
      </c>
      <c r="C1796" t="s">
        <v>6599</v>
      </c>
      <c r="D1796" t="s">
        <v>6876</v>
      </c>
      <c r="E1796" t="s">
        <v>6417</v>
      </c>
      <c r="F1796" t="s">
        <v>1040</v>
      </c>
      <c r="G1796" s="1">
        <v>45292</v>
      </c>
      <c r="H1796" s="1">
        <v>45534</v>
      </c>
      <c r="I1796" t="s">
        <v>665</v>
      </c>
      <c r="J1796" t="s">
        <v>6418</v>
      </c>
      <c r="K1796" t="s">
        <v>958</v>
      </c>
      <c r="L1796" t="s">
        <v>6419</v>
      </c>
      <c r="M1796" t="s">
        <v>6877</v>
      </c>
      <c r="N1796" t="s">
        <v>6878</v>
      </c>
      <c r="O1796" t="s">
        <v>6422</v>
      </c>
      <c r="P1796" t="s">
        <v>6423</v>
      </c>
      <c r="Q1796" t="s">
        <v>6424</v>
      </c>
      <c r="R1796" t="s">
        <v>6425</v>
      </c>
      <c r="S1796" t="s">
        <v>6879</v>
      </c>
      <c r="T1796" t="s">
        <v>550</v>
      </c>
      <c r="U1796" t="s">
        <v>550</v>
      </c>
      <c r="V1796" t="s">
        <v>6880</v>
      </c>
      <c r="W1796" t="s">
        <v>6428</v>
      </c>
      <c r="X1796" t="s">
        <v>6881</v>
      </c>
      <c r="Z1796" t="s">
        <v>6875</v>
      </c>
    </row>
    <row r="1797" spans="1:26" x14ac:dyDescent="0.3">
      <c r="A1797" t="s">
        <v>525</v>
      </c>
      <c r="B1797" t="s">
        <v>6882</v>
      </c>
      <c r="C1797" t="s">
        <v>6883</v>
      </c>
      <c r="D1797" t="s">
        <v>550</v>
      </c>
      <c r="E1797" t="s">
        <v>664</v>
      </c>
      <c r="F1797" t="s">
        <v>27</v>
      </c>
      <c r="G1797" s="1">
        <v>46024</v>
      </c>
      <c r="H1797" s="1">
        <v>46024</v>
      </c>
      <c r="I1797" t="s">
        <v>780</v>
      </c>
      <c r="J1797" t="s">
        <v>666</v>
      </c>
      <c r="K1797" t="s">
        <v>24</v>
      </c>
      <c r="L1797" t="s">
        <v>217</v>
      </c>
      <c r="M1797" t="s">
        <v>797</v>
      </c>
      <c r="N1797" t="s">
        <v>313</v>
      </c>
      <c r="O1797" t="s">
        <v>6884</v>
      </c>
      <c r="P1797" t="s">
        <v>284</v>
      </c>
      <c r="Q1797" t="s">
        <v>6424</v>
      </c>
      <c r="R1797" t="s">
        <v>6425</v>
      </c>
      <c r="S1797" t="s">
        <v>783</v>
      </c>
      <c r="T1797" t="s">
        <v>550</v>
      </c>
      <c r="U1797" t="s">
        <v>550</v>
      </c>
      <c r="V1797" t="s">
        <v>6885</v>
      </c>
      <c r="W1797" t="s">
        <v>554</v>
      </c>
      <c r="Z1797" t="s">
        <v>6882</v>
      </c>
    </row>
    <row r="1798" spans="1:26" x14ac:dyDescent="0.3">
      <c r="A1798" t="s">
        <v>525</v>
      </c>
      <c r="B1798" t="s">
        <v>6886</v>
      </c>
      <c r="C1798" t="s">
        <v>6887</v>
      </c>
      <c r="D1798" t="s">
        <v>6882</v>
      </c>
      <c r="E1798" t="s">
        <v>664</v>
      </c>
      <c r="F1798" t="s">
        <v>27</v>
      </c>
      <c r="G1798" s="1">
        <v>46023</v>
      </c>
      <c r="H1798" s="1">
        <v>46147</v>
      </c>
      <c r="I1798" t="s">
        <v>551</v>
      </c>
      <c r="J1798" t="s">
        <v>666</v>
      </c>
      <c r="K1798" t="s">
        <v>24</v>
      </c>
      <c r="L1798" t="s">
        <v>217</v>
      </c>
      <c r="M1798" t="s">
        <v>797</v>
      </c>
      <c r="N1798" t="s">
        <v>313</v>
      </c>
      <c r="O1798" t="s">
        <v>6884</v>
      </c>
      <c r="P1798" t="s">
        <v>284</v>
      </c>
      <c r="Q1798" t="s">
        <v>6424</v>
      </c>
      <c r="R1798" t="s">
        <v>6425</v>
      </c>
      <c r="S1798" t="s">
        <v>783</v>
      </c>
      <c r="T1798" t="s">
        <v>550</v>
      </c>
      <c r="U1798" t="s">
        <v>550</v>
      </c>
      <c r="V1798" t="s">
        <v>6888</v>
      </c>
      <c r="W1798" t="s">
        <v>554</v>
      </c>
      <c r="Z1798" t="s">
        <v>6886</v>
      </c>
    </row>
    <row r="1799" spans="1:26" x14ac:dyDescent="0.3">
      <c r="A1799" t="s">
        <v>525</v>
      </c>
      <c r="B1799" t="s">
        <v>6889</v>
      </c>
      <c r="C1799" t="s">
        <v>6890</v>
      </c>
      <c r="D1799" t="s">
        <v>550</v>
      </c>
      <c r="E1799" t="s">
        <v>664</v>
      </c>
      <c r="F1799" t="s">
        <v>27</v>
      </c>
      <c r="G1799" s="1">
        <v>46024</v>
      </c>
      <c r="H1799" s="1">
        <v>46024</v>
      </c>
      <c r="I1799" t="s">
        <v>780</v>
      </c>
      <c r="J1799" t="s">
        <v>666</v>
      </c>
      <c r="K1799" t="s">
        <v>24</v>
      </c>
      <c r="L1799" t="s">
        <v>217</v>
      </c>
      <c r="M1799" t="s">
        <v>797</v>
      </c>
      <c r="N1799" t="s">
        <v>313</v>
      </c>
      <c r="O1799" t="s">
        <v>6884</v>
      </c>
      <c r="P1799" t="s">
        <v>284</v>
      </c>
      <c r="Q1799" t="s">
        <v>6424</v>
      </c>
      <c r="R1799" t="s">
        <v>6425</v>
      </c>
      <c r="S1799" t="s">
        <v>783</v>
      </c>
      <c r="T1799" t="s">
        <v>550</v>
      </c>
      <c r="U1799" t="s">
        <v>550</v>
      </c>
      <c r="V1799" t="s">
        <v>6891</v>
      </c>
      <c r="W1799" t="s">
        <v>554</v>
      </c>
      <c r="Z1799" t="s">
        <v>6889</v>
      </c>
    </row>
    <row r="1800" spans="1:26" x14ac:dyDescent="0.3">
      <c r="A1800" t="s">
        <v>525</v>
      </c>
      <c r="B1800" t="s">
        <v>6892</v>
      </c>
      <c r="C1800" t="s">
        <v>6893</v>
      </c>
      <c r="D1800" t="s">
        <v>6889</v>
      </c>
      <c r="E1800" t="s">
        <v>664</v>
      </c>
      <c r="F1800" t="s">
        <v>27</v>
      </c>
      <c r="G1800" s="1">
        <v>46023</v>
      </c>
      <c r="H1800" s="1">
        <v>46179</v>
      </c>
      <c r="I1800" t="s">
        <v>551</v>
      </c>
      <c r="J1800" t="s">
        <v>666</v>
      </c>
      <c r="K1800" t="s">
        <v>24</v>
      </c>
      <c r="L1800" t="s">
        <v>217</v>
      </c>
      <c r="M1800" t="s">
        <v>797</v>
      </c>
      <c r="N1800" t="s">
        <v>313</v>
      </c>
      <c r="O1800" t="s">
        <v>6884</v>
      </c>
      <c r="P1800" t="s">
        <v>284</v>
      </c>
      <c r="Q1800" t="s">
        <v>6424</v>
      </c>
      <c r="R1800" t="s">
        <v>6425</v>
      </c>
      <c r="S1800" t="s">
        <v>783</v>
      </c>
      <c r="T1800" t="s">
        <v>550</v>
      </c>
      <c r="U1800" t="s">
        <v>550</v>
      </c>
      <c r="V1800" t="s">
        <v>6894</v>
      </c>
      <c r="W1800" t="s">
        <v>554</v>
      </c>
      <c r="Z1800" t="s">
        <v>6892</v>
      </c>
    </row>
    <row r="1801" spans="1:26" x14ac:dyDescent="0.3">
      <c r="A1801" t="s">
        <v>525</v>
      </c>
      <c r="B1801" t="s">
        <v>6895</v>
      </c>
      <c r="C1801" t="s">
        <v>1205</v>
      </c>
      <c r="D1801" t="s">
        <v>550</v>
      </c>
      <c r="E1801" t="s">
        <v>664</v>
      </c>
      <c r="F1801" t="s">
        <v>27</v>
      </c>
      <c r="G1801" s="1">
        <v>46024</v>
      </c>
      <c r="H1801" s="1">
        <v>46024</v>
      </c>
      <c r="I1801" t="s">
        <v>780</v>
      </c>
      <c r="J1801" t="s">
        <v>666</v>
      </c>
      <c r="K1801" t="s">
        <v>24</v>
      </c>
      <c r="L1801" t="s">
        <v>217</v>
      </c>
      <c r="M1801" t="s">
        <v>843</v>
      </c>
      <c r="N1801" t="s">
        <v>319</v>
      </c>
      <c r="O1801" t="s">
        <v>6884</v>
      </c>
      <c r="P1801" t="s">
        <v>284</v>
      </c>
      <c r="Q1801" t="s">
        <v>6424</v>
      </c>
      <c r="R1801" t="s">
        <v>6425</v>
      </c>
      <c r="S1801" t="s">
        <v>783</v>
      </c>
      <c r="T1801" t="s">
        <v>550</v>
      </c>
      <c r="U1801" t="s">
        <v>550</v>
      </c>
      <c r="V1801" t="s">
        <v>6896</v>
      </c>
      <c r="W1801" t="s">
        <v>554</v>
      </c>
      <c r="Z1801" t="s">
        <v>6895</v>
      </c>
    </row>
    <row r="1802" spans="1:26" x14ac:dyDescent="0.3">
      <c r="A1802" t="s">
        <v>525</v>
      </c>
      <c r="B1802" t="s">
        <v>6897</v>
      </c>
      <c r="C1802" t="s">
        <v>6898</v>
      </c>
      <c r="D1802" t="s">
        <v>6895</v>
      </c>
      <c r="E1802" t="s">
        <v>664</v>
      </c>
      <c r="F1802" t="s">
        <v>27</v>
      </c>
      <c r="G1802" s="1">
        <v>46023</v>
      </c>
      <c r="H1802" s="1">
        <v>46056</v>
      </c>
      <c r="I1802" t="s">
        <v>551</v>
      </c>
      <c r="J1802" t="s">
        <v>666</v>
      </c>
      <c r="K1802" t="s">
        <v>24</v>
      </c>
      <c r="L1802" t="s">
        <v>217</v>
      </c>
      <c r="M1802" t="s">
        <v>843</v>
      </c>
      <c r="N1802" t="s">
        <v>319</v>
      </c>
      <c r="O1802" t="s">
        <v>6884</v>
      </c>
      <c r="P1802" t="s">
        <v>284</v>
      </c>
      <c r="Q1802" t="s">
        <v>6424</v>
      </c>
      <c r="R1802" t="s">
        <v>6425</v>
      </c>
      <c r="S1802" t="s">
        <v>783</v>
      </c>
      <c r="T1802" t="s">
        <v>550</v>
      </c>
      <c r="U1802" t="s">
        <v>550</v>
      </c>
      <c r="V1802" t="s">
        <v>6899</v>
      </c>
      <c r="W1802" t="s">
        <v>554</v>
      </c>
      <c r="Z1802" t="s">
        <v>6897</v>
      </c>
    </row>
    <row r="1803" spans="1:26" x14ac:dyDescent="0.3">
      <c r="A1803" t="s">
        <v>525</v>
      </c>
      <c r="B1803" t="s">
        <v>6900</v>
      </c>
      <c r="C1803" t="s">
        <v>6901</v>
      </c>
      <c r="D1803" t="s">
        <v>550</v>
      </c>
      <c r="E1803" t="s">
        <v>664</v>
      </c>
      <c r="F1803" t="s">
        <v>27</v>
      </c>
      <c r="G1803" s="1">
        <v>45658</v>
      </c>
      <c r="H1803" s="1">
        <v>45658</v>
      </c>
      <c r="I1803" t="s">
        <v>780</v>
      </c>
      <c r="J1803" t="s">
        <v>666</v>
      </c>
      <c r="K1803" t="s">
        <v>24</v>
      </c>
      <c r="L1803" t="s">
        <v>217</v>
      </c>
      <c r="M1803" t="s">
        <v>797</v>
      </c>
      <c r="N1803" t="s">
        <v>313</v>
      </c>
      <c r="O1803" t="s">
        <v>6902</v>
      </c>
      <c r="P1803" t="s">
        <v>303</v>
      </c>
      <c r="Q1803" t="s">
        <v>6424</v>
      </c>
      <c r="R1803" t="s">
        <v>6425</v>
      </c>
      <c r="S1803" t="s">
        <v>550</v>
      </c>
      <c r="T1803" t="s">
        <v>550</v>
      </c>
      <c r="U1803" t="s">
        <v>550</v>
      </c>
      <c r="V1803" t="s">
        <v>6903</v>
      </c>
      <c r="W1803" t="s">
        <v>554</v>
      </c>
      <c r="Z1803" t="s">
        <v>6900</v>
      </c>
    </row>
    <row r="1804" spans="1:26" x14ac:dyDescent="0.3">
      <c r="A1804" t="s">
        <v>525</v>
      </c>
      <c r="B1804" t="s">
        <v>6904</v>
      </c>
      <c r="C1804" t="s">
        <v>6905</v>
      </c>
      <c r="D1804" t="s">
        <v>6900</v>
      </c>
      <c r="E1804" t="s">
        <v>664</v>
      </c>
      <c r="F1804" t="s">
        <v>27</v>
      </c>
      <c r="G1804" s="1">
        <v>45658</v>
      </c>
      <c r="H1804" s="1">
        <v>45945</v>
      </c>
      <c r="I1804" t="s">
        <v>665</v>
      </c>
      <c r="J1804" t="s">
        <v>666</v>
      </c>
      <c r="K1804" t="s">
        <v>24</v>
      </c>
      <c r="L1804" t="s">
        <v>217</v>
      </c>
      <c r="M1804" t="s">
        <v>797</v>
      </c>
      <c r="N1804" t="s">
        <v>313</v>
      </c>
      <c r="O1804" t="s">
        <v>6902</v>
      </c>
      <c r="P1804" t="s">
        <v>303</v>
      </c>
      <c r="Q1804" t="s">
        <v>6424</v>
      </c>
      <c r="R1804" t="s">
        <v>6425</v>
      </c>
      <c r="S1804" t="s">
        <v>783</v>
      </c>
      <c r="T1804" t="s">
        <v>550</v>
      </c>
      <c r="U1804" t="s">
        <v>550</v>
      </c>
      <c r="V1804" t="s">
        <v>6906</v>
      </c>
      <c r="W1804" t="s">
        <v>554</v>
      </c>
      <c r="Z1804" t="s">
        <v>6904</v>
      </c>
    </row>
    <row r="1805" spans="1:26" x14ac:dyDescent="0.3">
      <c r="A1805" t="s">
        <v>525</v>
      </c>
      <c r="B1805" t="s">
        <v>6907</v>
      </c>
      <c r="C1805" t="s">
        <v>6908</v>
      </c>
      <c r="D1805" t="s">
        <v>550</v>
      </c>
      <c r="E1805" t="s">
        <v>664</v>
      </c>
      <c r="F1805" t="s">
        <v>27</v>
      </c>
      <c r="G1805" s="1">
        <v>45810</v>
      </c>
      <c r="H1805" s="1">
        <v>45810</v>
      </c>
      <c r="I1805" t="s">
        <v>780</v>
      </c>
      <c r="J1805" t="s">
        <v>666</v>
      </c>
      <c r="K1805" t="s">
        <v>24</v>
      </c>
      <c r="L1805" t="s">
        <v>217</v>
      </c>
      <c r="M1805" t="s">
        <v>797</v>
      </c>
      <c r="N1805" t="s">
        <v>313</v>
      </c>
      <c r="O1805" t="s">
        <v>6902</v>
      </c>
      <c r="P1805" t="s">
        <v>303</v>
      </c>
      <c r="Q1805" t="s">
        <v>6424</v>
      </c>
      <c r="R1805" t="s">
        <v>6425</v>
      </c>
      <c r="S1805" t="s">
        <v>550</v>
      </c>
      <c r="T1805" t="s">
        <v>550</v>
      </c>
      <c r="U1805" t="s">
        <v>550</v>
      </c>
      <c r="V1805" t="s">
        <v>6909</v>
      </c>
      <c r="W1805" t="s">
        <v>554</v>
      </c>
      <c r="Z1805" t="s">
        <v>6907</v>
      </c>
    </row>
    <row r="1806" spans="1:26" x14ac:dyDescent="0.3">
      <c r="A1806" t="s">
        <v>525</v>
      </c>
      <c r="B1806" t="s">
        <v>6910</v>
      </c>
      <c r="C1806" t="s">
        <v>6911</v>
      </c>
      <c r="D1806" t="s">
        <v>6907</v>
      </c>
      <c r="E1806" t="s">
        <v>664</v>
      </c>
      <c r="F1806" t="s">
        <v>27</v>
      </c>
      <c r="G1806" s="1">
        <v>45810</v>
      </c>
      <c r="H1806" s="1">
        <v>45834</v>
      </c>
      <c r="I1806" t="s">
        <v>665</v>
      </c>
      <c r="J1806" t="s">
        <v>666</v>
      </c>
      <c r="K1806" t="s">
        <v>24</v>
      </c>
      <c r="L1806" t="s">
        <v>217</v>
      </c>
      <c r="M1806" t="s">
        <v>797</v>
      </c>
      <c r="N1806" t="s">
        <v>313</v>
      </c>
      <c r="O1806" t="s">
        <v>6902</v>
      </c>
      <c r="P1806" t="s">
        <v>303</v>
      </c>
      <c r="Q1806" t="s">
        <v>6424</v>
      </c>
      <c r="R1806" t="s">
        <v>6425</v>
      </c>
      <c r="S1806" t="s">
        <v>783</v>
      </c>
      <c r="T1806" t="s">
        <v>550</v>
      </c>
      <c r="U1806" t="s">
        <v>550</v>
      </c>
      <c r="V1806" t="s">
        <v>6912</v>
      </c>
      <c r="W1806" t="s">
        <v>554</v>
      </c>
      <c r="Z1806" t="s">
        <v>6910</v>
      </c>
    </row>
    <row r="1807" spans="1:26" x14ac:dyDescent="0.3">
      <c r="A1807" t="s">
        <v>525</v>
      </c>
      <c r="B1807" t="s">
        <v>6913</v>
      </c>
      <c r="C1807" t="s">
        <v>6914</v>
      </c>
      <c r="D1807" t="s">
        <v>6907</v>
      </c>
      <c r="E1807" t="s">
        <v>664</v>
      </c>
      <c r="F1807" t="s">
        <v>27</v>
      </c>
      <c r="G1807" s="1">
        <v>46023</v>
      </c>
      <c r="H1807" s="1">
        <v>46035</v>
      </c>
      <c r="I1807" t="s">
        <v>551</v>
      </c>
      <c r="J1807" t="s">
        <v>666</v>
      </c>
      <c r="K1807" t="s">
        <v>24</v>
      </c>
      <c r="L1807" t="s">
        <v>217</v>
      </c>
      <c r="M1807" t="s">
        <v>797</v>
      </c>
      <c r="N1807" t="s">
        <v>313</v>
      </c>
      <c r="O1807" t="s">
        <v>6902</v>
      </c>
      <c r="P1807" t="s">
        <v>303</v>
      </c>
      <c r="Q1807" t="s">
        <v>6424</v>
      </c>
      <c r="R1807" t="s">
        <v>6425</v>
      </c>
      <c r="S1807" t="s">
        <v>783</v>
      </c>
      <c r="T1807" t="s">
        <v>550</v>
      </c>
      <c r="U1807" t="s">
        <v>550</v>
      </c>
      <c r="V1807" t="s">
        <v>6915</v>
      </c>
      <c r="W1807" t="s">
        <v>554</v>
      </c>
      <c r="Z1807" t="s">
        <v>6913</v>
      </c>
    </row>
    <row r="1808" spans="1:26" x14ac:dyDescent="0.3">
      <c r="A1808" t="s">
        <v>525</v>
      </c>
      <c r="B1808" t="s">
        <v>6916</v>
      </c>
      <c r="C1808" t="s">
        <v>6917</v>
      </c>
      <c r="D1808" t="s">
        <v>550</v>
      </c>
      <c r="E1808" t="s">
        <v>2558</v>
      </c>
      <c r="F1808" t="s">
        <v>2559</v>
      </c>
      <c r="G1808" s="1">
        <v>45702</v>
      </c>
      <c r="H1808" s="1">
        <v>45702</v>
      </c>
      <c r="I1808" t="s">
        <v>780</v>
      </c>
      <c r="J1808" t="s">
        <v>2560</v>
      </c>
      <c r="K1808" t="s">
        <v>24</v>
      </c>
      <c r="L1808" t="s">
        <v>216</v>
      </c>
      <c r="M1808" t="s">
        <v>1899</v>
      </c>
      <c r="N1808" t="s">
        <v>245</v>
      </c>
      <c r="O1808" t="s">
        <v>6902</v>
      </c>
      <c r="P1808" t="s">
        <v>303</v>
      </c>
      <c r="Q1808" t="s">
        <v>6424</v>
      </c>
      <c r="R1808" t="s">
        <v>6425</v>
      </c>
      <c r="S1808" t="s">
        <v>550</v>
      </c>
      <c r="T1808" t="s">
        <v>550</v>
      </c>
      <c r="U1808" t="s">
        <v>550</v>
      </c>
      <c r="V1808" t="s">
        <v>6918</v>
      </c>
      <c r="W1808" t="s">
        <v>554</v>
      </c>
      <c r="Z1808" t="s">
        <v>6916</v>
      </c>
    </row>
    <row r="1809" spans="1:26" x14ac:dyDescent="0.3">
      <c r="A1809" t="s">
        <v>525</v>
      </c>
      <c r="B1809" t="s">
        <v>6919</v>
      </c>
      <c r="C1809" t="s">
        <v>6917</v>
      </c>
      <c r="D1809" t="s">
        <v>6916</v>
      </c>
      <c r="E1809" t="s">
        <v>2558</v>
      </c>
      <c r="F1809" t="s">
        <v>2559</v>
      </c>
      <c r="G1809" s="1">
        <v>45702</v>
      </c>
      <c r="H1809" s="1">
        <v>45711</v>
      </c>
      <c r="I1809" t="s">
        <v>665</v>
      </c>
      <c r="J1809" t="s">
        <v>2560</v>
      </c>
      <c r="K1809" t="s">
        <v>24</v>
      </c>
      <c r="L1809" t="s">
        <v>216</v>
      </c>
      <c r="M1809" t="s">
        <v>1899</v>
      </c>
      <c r="N1809" t="s">
        <v>245</v>
      </c>
      <c r="O1809" t="s">
        <v>6902</v>
      </c>
      <c r="P1809" t="s">
        <v>303</v>
      </c>
      <c r="Q1809" t="s">
        <v>6424</v>
      </c>
      <c r="R1809" t="s">
        <v>6425</v>
      </c>
      <c r="S1809" t="s">
        <v>783</v>
      </c>
      <c r="T1809" t="s">
        <v>550</v>
      </c>
      <c r="U1809" t="s">
        <v>550</v>
      </c>
      <c r="V1809" t="s">
        <v>6920</v>
      </c>
      <c r="W1809" t="s">
        <v>554</v>
      </c>
      <c r="Z1809" t="s">
        <v>6919</v>
      </c>
    </row>
    <row r="1810" spans="1:26" x14ac:dyDescent="0.3">
      <c r="A1810" t="s">
        <v>525</v>
      </c>
      <c r="B1810" t="s">
        <v>6921</v>
      </c>
      <c r="C1810" t="s">
        <v>6922</v>
      </c>
      <c r="D1810" t="s">
        <v>6919</v>
      </c>
      <c r="E1810" t="s">
        <v>6923</v>
      </c>
      <c r="F1810" t="s">
        <v>6924</v>
      </c>
      <c r="G1810" s="1">
        <v>45658</v>
      </c>
      <c r="H1810" s="1">
        <v>45658</v>
      </c>
      <c r="I1810" t="s">
        <v>665</v>
      </c>
      <c r="J1810" t="s">
        <v>6925</v>
      </c>
      <c r="K1810" t="s">
        <v>635</v>
      </c>
      <c r="L1810" t="s">
        <v>216</v>
      </c>
      <c r="M1810" t="s">
        <v>1899</v>
      </c>
      <c r="N1810" t="s">
        <v>245</v>
      </c>
      <c r="O1810" t="s">
        <v>6902</v>
      </c>
      <c r="P1810" t="s">
        <v>303</v>
      </c>
      <c r="Q1810" t="s">
        <v>6424</v>
      </c>
      <c r="R1810" t="s">
        <v>6425</v>
      </c>
      <c r="S1810" t="s">
        <v>783</v>
      </c>
      <c r="T1810" t="s">
        <v>550</v>
      </c>
      <c r="U1810" t="s">
        <v>550</v>
      </c>
      <c r="V1810" t="s">
        <v>6926</v>
      </c>
      <c r="W1810" t="s">
        <v>554</v>
      </c>
      <c r="Z1810" t="s">
        <v>6921</v>
      </c>
    </row>
    <row r="1811" spans="1:26" x14ac:dyDescent="0.3">
      <c r="A1811" t="s">
        <v>525</v>
      </c>
      <c r="B1811" t="s">
        <v>2281</v>
      </c>
      <c r="C1811" t="s">
        <v>6927</v>
      </c>
      <c r="D1811" t="s">
        <v>550</v>
      </c>
      <c r="E1811" t="s">
        <v>664</v>
      </c>
      <c r="F1811" t="s">
        <v>27</v>
      </c>
      <c r="G1811" s="1">
        <v>45658</v>
      </c>
      <c r="H1811" s="1">
        <v>45658</v>
      </c>
      <c r="I1811" t="s">
        <v>780</v>
      </c>
      <c r="J1811" t="s">
        <v>666</v>
      </c>
      <c r="K1811" t="s">
        <v>24</v>
      </c>
      <c r="L1811" t="s">
        <v>217</v>
      </c>
      <c r="M1811" t="s">
        <v>6928</v>
      </c>
      <c r="N1811" t="s">
        <v>6929</v>
      </c>
      <c r="O1811" t="s">
        <v>6928</v>
      </c>
      <c r="P1811" t="s">
        <v>6929</v>
      </c>
      <c r="Q1811" t="s">
        <v>6424</v>
      </c>
      <c r="R1811" t="s">
        <v>6425</v>
      </c>
      <c r="S1811" t="s">
        <v>550</v>
      </c>
      <c r="T1811" t="s">
        <v>550</v>
      </c>
      <c r="U1811" t="s">
        <v>550</v>
      </c>
      <c r="V1811" t="s">
        <v>6930</v>
      </c>
      <c r="W1811" t="s">
        <v>2255</v>
      </c>
      <c r="Z1811" t="s">
        <v>2281</v>
      </c>
    </row>
    <row r="1812" spans="1:26" x14ac:dyDescent="0.3">
      <c r="A1812" t="s">
        <v>525</v>
      </c>
      <c r="B1812" t="s">
        <v>6931</v>
      </c>
      <c r="C1812" t="s">
        <v>6932</v>
      </c>
      <c r="D1812" t="s">
        <v>550</v>
      </c>
      <c r="E1812" t="s">
        <v>664</v>
      </c>
      <c r="F1812" t="s">
        <v>27</v>
      </c>
      <c r="G1812" s="1">
        <v>45659</v>
      </c>
      <c r="H1812" s="1">
        <v>45659</v>
      </c>
      <c r="I1812" t="s">
        <v>780</v>
      </c>
      <c r="J1812" t="s">
        <v>666</v>
      </c>
      <c r="K1812" t="s">
        <v>24</v>
      </c>
      <c r="L1812" t="s">
        <v>217</v>
      </c>
      <c r="M1812" t="s">
        <v>891</v>
      </c>
      <c r="N1812" t="s">
        <v>892</v>
      </c>
      <c r="O1812" t="s">
        <v>2276</v>
      </c>
      <c r="P1812" t="s">
        <v>2277</v>
      </c>
      <c r="Q1812" t="s">
        <v>6424</v>
      </c>
      <c r="R1812" t="s">
        <v>6425</v>
      </c>
      <c r="S1812" t="s">
        <v>783</v>
      </c>
      <c r="T1812" t="s">
        <v>550</v>
      </c>
      <c r="U1812" t="s">
        <v>550</v>
      </c>
      <c r="V1812" t="s">
        <v>6933</v>
      </c>
      <c r="W1812" t="s">
        <v>6934</v>
      </c>
      <c r="Z1812" t="s">
        <v>6931</v>
      </c>
    </row>
    <row r="1813" spans="1:26" x14ac:dyDescent="0.3">
      <c r="A1813" t="s">
        <v>525</v>
      </c>
      <c r="B1813" t="s">
        <v>6935</v>
      </c>
      <c r="C1813" t="s">
        <v>6936</v>
      </c>
      <c r="D1813" t="s">
        <v>6931</v>
      </c>
      <c r="E1813" t="s">
        <v>664</v>
      </c>
      <c r="F1813" t="s">
        <v>27</v>
      </c>
      <c r="G1813" s="1">
        <v>45658</v>
      </c>
      <c r="H1813" s="1">
        <v>45734</v>
      </c>
      <c r="I1813" t="s">
        <v>665</v>
      </c>
      <c r="J1813" t="s">
        <v>666</v>
      </c>
      <c r="K1813" t="s">
        <v>24</v>
      </c>
      <c r="L1813" t="s">
        <v>217</v>
      </c>
      <c r="M1813" t="s">
        <v>891</v>
      </c>
      <c r="N1813" t="s">
        <v>892</v>
      </c>
      <c r="O1813" t="s">
        <v>2276</v>
      </c>
      <c r="P1813" t="s">
        <v>2277</v>
      </c>
      <c r="Q1813" t="s">
        <v>6424</v>
      </c>
      <c r="R1813" t="s">
        <v>6425</v>
      </c>
      <c r="S1813" t="s">
        <v>783</v>
      </c>
      <c r="T1813" t="s">
        <v>550</v>
      </c>
      <c r="U1813" t="s">
        <v>550</v>
      </c>
      <c r="V1813" t="s">
        <v>6937</v>
      </c>
      <c r="W1813" t="s">
        <v>6934</v>
      </c>
      <c r="Z1813" t="s">
        <v>6935</v>
      </c>
    </row>
    <row r="1814" spans="1:26" x14ac:dyDescent="0.3">
      <c r="A1814" t="s">
        <v>525</v>
      </c>
      <c r="B1814" t="s">
        <v>2201</v>
      </c>
      <c r="C1814" t="s">
        <v>6938</v>
      </c>
      <c r="D1814" t="s">
        <v>550</v>
      </c>
      <c r="E1814" t="s">
        <v>664</v>
      </c>
      <c r="F1814" t="s">
        <v>27</v>
      </c>
      <c r="G1814" s="1">
        <v>44927</v>
      </c>
      <c r="H1814" s="1">
        <v>44927</v>
      </c>
      <c r="I1814" t="s">
        <v>665</v>
      </c>
      <c r="J1814" t="s">
        <v>666</v>
      </c>
      <c r="K1814" t="s">
        <v>958</v>
      </c>
      <c r="L1814" t="s">
        <v>667</v>
      </c>
      <c r="M1814" t="s">
        <v>1230</v>
      </c>
      <c r="N1814" t="s">
        <v>1231</v>
      </c>
      <c r="O1814" t="s">
        <v>550</v>
      </c>
      <c r="Q1814" t="s">
        <v>6424</v>
      </c>
      <c r="R1814" t="s">
        <v>6425</v>
      </c>
      <c r="S1814" t="s">
        <v>783</v>
      </c>
      <c r="T1814" t="s">
        <v>550</v>
      </c>
      <c r="U1814" t="s">
        <v>5127</v>
      </c>
      <c r="V1814" t="s">
        <v>6939</v>
      </c>
      <c r="W1814" t="s">
        <v>554</v>
      </c>
      <c r="X1814" t="s">
        <v>669</v>
      </c>
      <c r="Y1814" t="s">
        <v>799</v>
      </c>
      <c r="Z1814" t="s">
        <v>2201</v>
      </c>
    </row>
    <row r="1815" spans="1:26" x14ac:dyDescent="0.3">
      <c r="A1815" t="s">
        <v>525</v>
      </c>
      <c r="B1815" t="s">
        <v>6940</v>
      </c>
      <c r="C1815" t="s">
        <v>6941</v>
      </c>
      <c r="D1815" t="s">
        <v>2201</v>
      </c>
      <c r="E1815" t="s">
        <v>664</v>
      </c>
      <c r="F1815" t="s">
        <v>27</v>
      </c>
      <c r="G1815" s="1">
        <v>44927</v>
      </c>
      <c r="H1815" s="1">
        <v>44950</v>
      </c>
      <c r="I1815" t="s">
        <v>665</v>
      </c>
      <c r="J1815" t="s">
        <v>666</v>
      </c>
      <c r="K1815" t="s">
        <v>958</v>
      </c>
      <c r="L1815" t="s">
        <v>667</v>
      </c>
      <c r="M1815" t="s">
        <v>1230</v>
      </c>
      <c r="N1815" t="s">
        <v>1231</v>
      </c>
      <c r="O1815" t="s">
        <v>550</v>
      </c>
      <c r="Q1815" t="s">
        <v>6424</v>
      </c>
      <c r="R1815" t="s">
        <v>6425</v>
      </c>
      <c r="S1815" t="s">
        <v>783</v>
      </c>
      <c r="T1815" t="s">
        <v>550</v>
      </c>
      <c r="U1815" t="s">
        <v>5127</v>
      </c>
      <c r="V1815" t="s">
        <v>6942</v>
      </c>
      <c r="W1815" t="s">
        <v>554</v>
      </c>
      <c r="X1815" t="s">
        <v>669</v>
      </c>
      <c r="Y1815" t="s">
        <v>799</v>
      </c>
      <c r="Z1815" t="s">
        <v>6940</v>
      </c>
    </row>
    <row r="1816" spans="1:26" x14ac:dyDescent="0.3">
      <c r="A1816" t="s">
        <v>525</v>
      </c>
      <c r="B1816" t="s">
        <v>6742</v>
      </c>
      <c r="C1816" t="s">
        <v>6943</v>
      </c>
      <c r="D1816" t="s">
        <v>550</v>
      </c>
      <c r="E1816" t="s">
        <v>664</v>
      </c>
      <c r="F1816" t="s">
        <v>27</v>
      </c>
      <c r="G1816" s="1">
        <v>44927</v>
      </c>
      <c r="H1816" s="1">
        <v>45291</v>
      </c>
      <c r="I1816" t="s">
        <v>665</v>
      </c>
      <c r="J1816" t="s">
        <v>666</v>
      </c>
      <c r="K1816" t="s">
        <v>24</v>
      </c>
      <c r="L1816" t="s">
        <v>667</v>
      </c>
      <c r="M1816" t="s">
        <v>797</v>
      </c>
      <c r="N1816" t="s">
        <v>313</v>
      </c>
      <c r="O1816" t="s">
        <v>550</v>
      </c>
      <c r="Q1816" t="s">
        <v>6424</v>
      </c>
      <c r="R1816" t="s">
        <v>6425</v>
      </c>
      <c r="S1816" t="s">
        <v>783</v>
      </c>
      <c r="T1816" t="s">
        <v>550</v>
      </c>
      <c r="U1816" t="s">
        <v>6610</v>
      </c>
      <c r="V1816" t="s">
        <v>6944</v>
      </c>
      <c r="W1816" t="s">
        <v>554</v>
      </c>
      <c r="X1816" t="s">
        <v>669</v>
      </c>
      <c r="Y1816" t="s">
        <v>803</v>
      </c>
      <c r="Z1816" t="s">
        <v>6742</v>
      </c>
    </row>
    <row r="1817" spans="1:26" x14ac:dyDescent="0.3">
      <c r="A1817" t="s">
        <v>525</v>
      </c>
      <c r="B1817" t="s">
        <v>6945</v>
      </c>
      <c r="C1817" t="s">
        <v>6946</v>
      </c>
      <c r="D1817" t="s">
        <v>3061</v>
      </c>
      <c r="E1817" t="s">
        <v>664</v>
      </c>
      <c r="F1817" t="s">
        <v>27</v>
      </c>
      <c r="G1817" s="1">
        <v>45292</v>
      </c>
      <c r="H1817" s="1">
        <v>45441</v>
      </c>
      <c r="I1817" t="s">
        <v>665</v>
      </c>
      <c r="J1817" t="s">
        <v>666</v>
      </c>
      <c r="K1817" t="s">
        <v>24</v>
      </c>
      <c r="L1817" t="s">
        <v>19</v>
      </c>
      <c r="M1817" t="s">
        <v>873</v>
      </c>
      <c r="N1817" t="s">
        <v>244</v>
      </c>
      <c r="O1817" t="s">
        <v>1884</v>
      </c>
      <c r="P1817" t="s">
        <v>223</v>
      </c>
      <c r="Q1817" t="s">
        <v>6424</v>
      </c>
      <c r="R1817" t="s">
        <v>6425</v>
      </c>
      <c r="S1817" t="s">
        <v>550</v>
      </c>
      <c r="T1817" t="s">
        <v>893</v>
      </c>
      <c r="U1817" t="s">
        <v>550</v>
      </c>
      <c r="V1817" t="s">
        <v>6947</v>
      </c>
      <c r="W1817" t="s">
        <v>565</v>
      </c>
      <c r="Z1817" t="s">
        <v>6945</v>
      </c>
    </row>
    <row r="1818" spans="1:26" x14ac:dyDescent="0.3">
      <c r="A1818" t="s">
        <v>525</v>
      </c>
      <c r="B1818" t="s">
        <v>6948</v>
      </c>
      <c r="C1818" t="s">
        <v>6949</v>
      </c>
      <c r="D1818" t="s">
        <v>3061</v>
      </c>
      <c r="E1818" t="s">
        <v>664</v>
      </c>
      <c r="F1818" t="s">
        <v>27</v>
      </c>
      <c r="G1818" s="1">
        <v>45658</v>
      </c>
      <c r="H1818" s="1">
        <v>45927</v>
      </c>
      <c r="I1818" t="s">
        <v>665</v>
      </c>
      <c r="J1818" t="s">
        <v>666</v>
      </c>
      <c r="K1818" t="s">
        <v>24</v>
      </c>
      <c r="L1818" t="s">
        <v>19</v>
      </c>
      <c r="M1818" t="s">
        <v>873</v>
      </c>
      <c r="N1818" t="s">
        <v>244</v>
      </c>
      <c r="O1818" t="s">
        <v>1884</v>
      </c>
      <c r="P1818" t="s">
        <v>223</v>
      </c>
      <c r="Q1818" t="s">
        <v>6424</v>
      </c>
      <c r="R1818" t="s">
        <v>6425</v>
      </c>
      <c r="S1818" t="s">
        <v>783</v>
      </c>
      <c r="T1818" t="s">
        <v>550</v>
      </c>
      <c r="U1818" t="s">
        <v>550</v>
      </c>
      <c r="V1818" t="s">
        <v>6950</v>
      </c>
      <c r="W1818" t="s">
        <v>565</v>
      </c>
      <c r="Z1818" t="s">
        <v>6948</v>
      </c>
    </row>
    <row r="1819" spans="1:26" x14ac:dyDescent="0.3">
      <c r="A1819" t="s">
        <v>525</v>
      </c>
      <c r="B1819" t="s">
        <v>6951</v>
      </c>
      <c r="C1819" t="s">
        <v>6952</v>
      </c>
      <c r="D1819" t="s">
        <v>550</v>
      </c>
      <c r="E1819" t="s">
        <v>664</v>
      </c>
      <c r="F1819" t="s">
        <v>27</v>
      </c>
      <c r="G1819" s="1">
        <v>45292</v>
      </c>
      <c r="H1819" s="1">
        <v>45292</v>
      </c>
      <c r="I1819" t="s">
        <v>780</v>
      </c>
      <c r="J1819" t="s">
        <v>666</v>
      </c>
      <c r="K1819" t="s">
        <v>24</v>
      </c>
      <c r="L1819" t="s">
        <v>217</v>
      </c>
      <c r="M1819" t="s">
        <v>873</v>
      </c>
      <c r="N1819" t="s">
        <v>244</v>
      </c>
      <c r="O1819" t="s">
        <v>1884</v>
      </c>
      <c r="P1819" t="s">
        <v>223</v>
      </c>
      <c r="Q1819" t="s">
        <v>6424</v>
      </c>
      <c r="R1819" t="s">
        <v>6425</v>
      </c>
      <c r="S1819" t="s">
        <v>550</v>
      </c>
      <c r="T1819" t="s">
        <v>550</v>
      </c>
      <c r="U1819" t="s">
        <v>550</v>
      </c>
      <c r="V1819" t="s">
        <v>6953</v>
      </c>
      <c r="W1819" t="s">
        <v>565</v>
      </c>
      <c r="Z1819" t="s">
        <v>6951</v>
      </c>
    </row>
    <row r="1820" spans="1:26" x14ac:dyDescent="0.3">
      <c r="A1820" t="s">
        <v>525</v>
      </c>
      <c r="B1820" t="s">
        <v>6954</v>
      </c>
      <c r="C1820" t="s">
        <v>6955</v>
      </c>
      <c r="D1820" t="s">
        <v>6951</v>
      </c>
      <c r="E1820" t="s">
        <v>664</v>
      </c>
      <c r="F1820" t="s">
        <v>27</v>
      </c>
      <c r="G1820" s="1">
        <v>45292</v>
      </c>
      <c r="H1820" s="1">
        <v>45666</v>
      </c>
      <c r="I1820" t="s">
        <v>665</v>
      </c>
      <c r="J1820" t="s">
        <v>666</v>
      </c>
      <c r="K1820" t="s">
        <v>24</v>
      </c>
      <c r="L1820" t="s">
        <v>217</v>
      </c>
      <c r="M1820" t="s">
        <v>873</v>
      </c>
      <c r="N1820" t="s">
        <v>244</v>
      </c>
      <c r="O1820" t="s">
        <v>1884</v>
      </c>
      <c r="P1820" t="s">
        <v>223</v>
      </c>
      <c r="Q1820" t="s">
        <v>6424</v>
      </c>
      <c r="R1820" t="s">
        <v>6425</v>
      </c>
      <c r="S1820" t="s">
        <v>550</v>
      </c>
      <c r="T1820" t="s">
        <v>550</v>
      </c>
      <c r="U1820" t="s">
        <v>550</v>
      </c>
      <c r="V1820" t="s">
        <v>6956</v>
      </c>
      <c r="W1820" t="s">
        <v>565</v>
      </c>
      <c r="Z1820" t="s">
        <v>6954</v>
      </c>
    </row>
    <row r="1821" spans="1:26" x14ac:dyDescent="0.3">
      <c r="A1821" t="s">
        <v>525</v>
      </c>
      <c r="B1821" t="s">
        <v>3061</v>
      </c>
      <c r="C1821" t="s">
        <v>6957</v>
      </c>
      <c r="D1821" t="s">
        <v>550</v>
      </c>
      <c r="E1821" t="s">
        <v>664</v>
      </c>
      <c r="F1821" t="s">
        <v>27</v>
      </c>
      <c r="G1821" s="1">
        <v>45292</v>
      </c>
      <c r="H1821" s="1">
        <v>45292</v>
      </c>
      <c r="I1821" t="s">
        <v>780</v>
      </c>
      <c r="J1821" t="s">
        <v>666</v>
      </c>
      <c r="K1821" t="s">
        <v>24</v>
      </c>
      <c r="L1821" t="s">
        <v>19</v>
      </c>
      <c r="M1821" t="s">
        <v>6521</v>
      </c>
      <c r="N1821" t="s">
        <v>302</v>
      </c>
      <c r="O1821" t="s">
        <v>1884</v>
      </c>
      <c r="P1821" t="s">
        <v>223</v>
      </c>
      <c r="Q1821" t="s">
        <v>6424</v>
      </c>
      <c r="R1821" t="s">
        <v>6425</v>
      </c>
      <c r="S1821" t="s">
        <v>550</v>
      </c>
      <c r="T1821" t="s">
        <v>893</v>
      </c>
      <c r="U1821" t="s">
        <v>550</v>
      </c>
      <c r="V1821" t="s">
        <v>6958</v>
      </c>
      <c r="W1821" t="s">
        <v>565</v>
      </c>
      <c r="Z1821" t="s">
        <v>3061</v>
      </c>
    </row>
    <row r="1822" spans="1:26" x14ac:dyDescent="0.3">
      <c r="A1822" t="s">
        <v>330</v>
      </c>
      <c r="B1822" t="s">
        <v>6959</v>
      </c>
      <c r="C1822" t="s">
        <v>6960</v>
      </c>
      <c r="D1822" t="s">
        <v>6463</v>
      </c>
      <c r="E1822" t="s">
        <v>6417</v>
      </c>
      <c r="F1822" t="s">
        <v>1040</v>
      </c>
      <c r="G1822" s="1">
        <v>45293</v>
      </c>
      <c r="H1822" s="1">
        <v>45293</v>
      </c>
      <c r="I1822" t="s">
        <v>665</v>
      </c>
      <c r="J1822" t="s">
        <v>6418</v>
      </c>
      <c r="K1822" t="s">
        <v>958</v>
      </c>
      <c r="L1822" t="s">
        <v>6419</v>
      </c>
      <c r="M1822" t="s">
        <v>1324</v>
      </c>
      <c r="N1822" t="s">
        <v>1325</v>
      </c>
      <c r="O1822" t="s">
        <v>6961</v>
      </c>
      <c r="P1822" t="s">
        <v>6962</v>
      </c>
      <c r="Q1822" t="s">
        <v>6424</v>
      </c>
      <c r="R1822" t="s">
        <v>6425</v>
      </c>
      <c r="S1822" t="s">
        <v>6466</v>
      </c>
      <c r="T1822" t="s">
        <v>550</v>
      </c>
      <c r="U1822" t="s">
        <v>550</v>
      </c>
      <c r="V1822" t="s">
        <v>6963</v>
      </c>
      <c r="W1822" t="s">
        <v>6964</v>
      </c>
      <c r="X1822" t="s">
        <v>6468</v>
      </c>
      <c r="Z1822" t="s">
        <v>6959</v>
      </c>
    </row>
    <row r="1823" spans="1:26" x14ac:dyDescent="0.3">
      <c r="A1823" t="s">
        <v>330</v>
      </c>
      <c r="B1823" t="s">
        <v>6965</v>
      </c>
      <c r="C1823" t="s">
        <v>6966</v>
      </c>
      <c r="D1823" t="s">
        <v>6967</v>
      </c>
      <c r="E1823" t="s">
        <v>6417</v>
      </c>
      <c r="F1823" t="s">
        <v>1040</v>
      </c>
      <c r="G1823" s="1">
        <v>44927</v>
      </c>
      <c r="H1823" s="1">
        <v>45021</v>
      </c>
      <c r="I1823" t="s">
        <v>665</v>
      </c>
      <c r="J1823" t="s">
        <v>6418</v>
      </c>
      <c r="K1823" t="s">
        <v>958</v>
      </c>
      <c r="L1823" t="s">
        <v>6502</v>
      </c>
      <c r="M1823" t="s">
        <v>6968</v>
      </c>
      <c r="N1823" t="s">
        <v>6969</v>
      </c>
      <c r="O1823" t="s">
        <v>6961</v>
      </c>
      <c r="P1823" t="s">
        <v>6962</v>
      </c>
      <c r="Q1823" t="s">
        <v>6424</v>
      </c>
      <c r="R1823" t="s">
        <v>6425</v>
      </c>
      <c r="S1823" t="s">
        <v>6970</v>
      </c>
      <c r="T1823" t="s">
        <v>550</v>
      </c>
      <c r="U1823" t="s">
        <v>550</v>
      </c>
      <c r="V1823" t="s">
        <v>6971</v>
      </c>
      <c r="W1823" t="s">
        <v>6972</v>
      </c>
      <c r="X1823" t="s">
        <v>6451</v>
      </c>
      <c r="Y1823" t="s">
        <v>6452</v>
      </c>
      <c r="Z1823" t="s">
        <v>6965</v>
      </c>
    </row>
    <row r="1824" spans="1:26" x14ac:dyDescent="0.3">
      <c r="A1824" t="s">
        <v>330</v>
      </c>
      <c r="B1824" t="s">
        <v>6973</v>
      </c>
      <c r="C1824" t="s">
        <v>6974</v>
      </c>
      <c r="D1824" t="s">
        <v>6975</v>
      </c>
      <c r="E1824" t="s">
        <v>6417</v>
      </c>
      <c r="F1824" t="s">
        <v>1040</v>
      </c>
      <c r="G1824" s="1">
        <v>45292</v>
      </c>
      <c r="H1824" s="1">
        <v>45468</v>
      </c>
      <c r="I1824" t="s">
        <v>665</v>
      </c>
      <c r="J1824" t="s">
        <v>6418</v>
      </c>
      <c r="K1824" t="s">
        <v>958</v>
      </c>
      <c r="L1824" t="s">
        <v>6502</v>
      </c>
      <c r="M1824" t="s">
        <v>6464</v>
      </c>
      <c r="N1824" t="s">
        <v>6465</v>
      </c>
      <c r="O1824" t="s">
        <v>6961</v>
      </c>
      <c r="P1824" t="s">
        <v>6962</v>
      </c>
      <c r="Q1824" t="s">
        <v>6424</v>
      </c>
      <c r="R1824" t="s">
        <v>6425</v>
      </c>
      <c r="S1824" t="s">
        <v>6976</v>
      </c>
      <c r="T1824" t="s">
        <v>550</v>
      </c>
      <c r="U1824" t="s">
        <v>550</v>
      </c>
      <c r="V1824" t="s">
        <v>6977</v>
      </c>
      <c r="W1824" t="s">
        <v>6978</v>
      </c>
      <c r="X1824" t="s">
        <v>6979</v>
      </c>
      <c r="Z1824" t="s">
        <v>6973</v>
      </c>
    </row>
    <row r="1825" spans="1:26" x14ac:dyDescent="0.3">
      <c r="A1825" t="s">
        <v>330</v>
      </c>
      <c r="B1825" t="s">
        <v>6617</v>
      </c>
      <c r="C1825" t="s">
        <v>6980</v>
      </c>
      <c r="D1825" t="s">
        <v>550</v>
      </c>
      <c r="E1825" t="s">
        <v>6417</v>
      </c>
      <c r="F1825" t="s">
        <v>1040</v>
      </c>
      <c r="G1825" s="1">
        <v>44928</v>
      </c>
      <c r="H1825" s="1">
        <v>44928</v>
      </c>
      <c r="I1825" t="s">
        <v>665</v>
      </c>
      <c r="J1825" t="s">
        <v>6418</v>
      </c>
      <c r="K1825" t="s">
        <v>958</v>
      </c>
      <c r="L1825" t="s">
        <v>6419</v>
      </c>
      <c r="M1825" t="s">
        <v>6601</v>
      </c>
      <c r="N1825" t="s">
        <v>6602</v>
      </c>
      <c r="O1825" t="s">
        <v>6961</v>
      </c>
      <c r="P1825" t="s">
        <v>6962</v>
      </c>
      <c r="Q1825" t="s">
        <v>6424</v>
      </c>
      <c r="R1825" t="s">
        <v>6425</v>
      </c>
      <c r="S1825" t="s">
        <v>6620</v>
      </c>
      <c r="T1825" t="s">
        <v>550</v>
      </c>
      <c r="U1825" t="s">
        <v>550</v>
      </c>
      <c r="V1825" t="s">
        <v>6981</v>
      </c>
      <c r="W1825" t="s">
        <v>6428</v>
      </c>
      <c r="X1825" t="s">
        <v>6451</v>
      </c>
      <c r="Y1825" t="s">
        <v>6452</v>
      </c>
      <c r="Z1825" t="s">
        <v>6617</v>
      </c>
    </row>
    <row r="1826" spans="1:26" x14ac:dyDescent="0.3">
      <c r="A1826" t="s">
        <v>330</v>
      </c>
      <c r="B1826" t="s">
        <v>6982</v>
      </c>
      <c r="C1826" t="s">
        <v>6983</v>
      </c>
      <c r="D1826" t="s">
        <v>550</v>
      </c>
      <c r="E1826" t="s">
        <v>6417</v>
      </c>
      <c r="F1826" t="s">
        <v>1040</v>
      </c>
      <c r="G1826" s="1">
        <v>44928</v>
      </c>
      <c r="H1826" s="1">
        <v>44928</v>
      </c>
      <c r="I1826" t="s">
        <v>665</v>
      </c>
      <c r="J1826" t="s">
        <v>6418</v>
      </c>
      <c r="K1826" t="s">
        <v>958</v>
      </c>
      <c r="L1826" t="s">
        <v>6419</v>
      </c>
      <c r="M1826" t="s">
        <v>6984</v>
      </c>
      <c r="N1826" t="s">
        <v>6985</v>
      </c>
      <c r="O1826" t="s">
        <v>6961</v>
      </c>
      <c r="P1826" t="s">
        <v>6962</v>
      </c>
      <c r="Q1826" t="s">
        <v>6424</v>
      </c>
      <c r="R1826" t="s">
        <v>6425</v>
      </c>
      <c r="S1826" t="s">
        <v>6986</v>
      </c>
      <c r="T1826" t="s">
        <v>550</v>
      </c>
      <c r="U1826" t="s">
        <v>550</v>
      </c>
      <c r="V1826" t="s">
        <v>6987</v>
      </c>
      <c r="W1826" t="s">
        <v>6988</v>
      </c>
      <c r="X1826" t="s">
        <v>6451</v>
      </c>
      <c r="Y1826" t="s">
        <v>6452</v>
      </c>
      <c r="Z1826" t="s">
        <v>6982</v>
      </c>
    </row>
    <row r="1827" spans="1:26" x14ac:dyDescent="0.3">
      <c r="A1827" t="s">
        <v>330</v>
      </c>
      <c r="B1827" t="s">
        <v>6989</v>
      </c>
      <c r="C1827" t="s">
        <v>6990</v>
      </c>
      <c r="D1827" t="s">
        <v>6982</v>
      </c>
      <c r="E1827" t="s">
        <v>6417</v>
      </c>
      <c r="F1827" t="s">
        <v>1040</v>
      </c>
      <c r="G1827" s="1">
        <v>44927</v>
      </c>
      <c r="H1827" s="1">
        <v>45861</v>
      </c>
      <c r="I1827" t="s">
        <v>665</v>
      </c>
      <c r="J1827" t="s">
        <v>6418</v>
      </c>
      <c r="K1827" t="s">
        <v>958</v>
      </c>
      <c r="L1827" t="s">
        <v>6419</v>
      </c>
      <c r="M1827" t="s">
        <v>6984</v>
      </c>
      <c r="N1827" t="s">
        <v>6985</v>
      </c>
      <c r="O1827" t="s">
        <v>6961</v>
      </c>
      <c r="P1827" t="s">
        <v>6962</v>
      </c>
      <c r="Q1827" t="s">
        <v>6424</v>
      </c>
      <c r="R1827" t="s">
        <v>6425</v>
      </c>
      <c r="S1827" t="s">
        <v>6986</v>
      </c>
      <c r="T1827" t="s">
        <v>550</v>
      </c>
      <c r="U1827" t="s">
        <v>550</v>
      </c>
      <c r="V1827" t="s">
        <v>6991</v>
      </c>
      <c r="W1827" t="s">
        <v>6988</v>
      </c>
      <c r="X1827" t="s">
        <v>6451</v>
      </c>
      <c r="Y1827" t="s">
        <v>6452</v>
      </c>
      <c r="Z1827" t="s">
        <v>6989</v>
      </c>
    </row>
    <row r="1828" spans="1:26" x14ac:dyDescent="0.3">
      <c r="A1828" t="s">
        <v>330</v>
      </c>
      <c r="B1828" t="s">
        <v>6992</v>
      </c>
      <c r="C1828" t="s">
        <v>6993</v>
      </c>
      <c r="D1828" t="s">
        <v>6982</v>
      </c>
      <c r="E1828" t="s">
        <v>6417</v>
      </c>
      <c r="F1828" t="s">
        <v>1040</v>
      </c>
      <c r="G1828" s="1">
        <v>44927</v>
      </c>
      <c r="H1828" s="1">
        <v>45993</v>
      </c>
      <c r="I1828" t="s">
        <v>665</v>
      </c>
      <c r="J1828" t="s">
        <v>6418</v>
      </c>
      <c r="K1828" t="s">
        <v>958</v>
      </c>
      <c r="L1828" t="s">
        <v>6419</v>
      </c>
      <c r="M1828" t="s">
        <v>6984</v>
      </c>
      <c r="N1828" t="s">
        <v>6985</v>
      </c>
      <c r="O1828" t="s">
        <v>6961</v>
      </c>
      <c r="P1828" t="s">
        <v>6962</v>
      </c>
      <c r="Q1828" t="s">
        <v>6424</v>
      </c>
      <c r="R1828" t="s">
        <v>6425</v>
      </c>
      <c r="S1828" t="s">
        <v>6986</v>
      </c>
      <c r="T1828" t="s">
        <v>550</v>
      </c>
      <c r="U1828" t="s">
        <v>550</v>
      </c>
      <c r="V1828" t="s">
        <v>6994</v>
      </c>
      <c r="W1828" t="s">
        <v>6988</v>
      </c>
      <c r="X1828" t="s">
        <v>6451</v>
      </c>
      <c r="Y1828" t="s">
        <v>6452</v>
      </c>
      <c r="Z1828" t="s">
        <v>6992</v>
      </c>
    </row>
    <row r="1829" spans="1:26" x14ac:dyDescent="0.3">
      <c r="A1829" t="s">
        <v>330</v>
      </c>
      <c r="B1829" t="s">
        <v>6995</v>
      </c>
      <c r="C1829" t="s">
        <v>6996</v>
      </c>
      <c r="D1829" t="s">
        <v>6982</v>
      </c>
      <c r="E1829" t="s">
        <v>6417</v>
      </c>
      <c r="F1829" t="s">
        <v>1040</v>
      </c>
      <c r="G1829" s="1">
        <v>44928</v>
      </c>
      <c r="H1829" s="1">
        <v>44928</v>
      </c>
      <c r="I1829" t="s">
        <v>665</v>
      </c>
      <c r="J1829" t="s">
        <v>6418</v>
      </c>
      <c r="K1829" t="s">
        <v>958</v>
      </c>
      <c r="L1829" t="s">
        <v>6419</v>
      </c>
      <c r="M1829" t="s">
        <v>6984</v>
      </c>
      <c r="N1829" t="s">
        <v>6985</v>
      </c>
      <c r="O1829" t="s">
        <v>6961</v>
      </c>
      <c r="P1829" t="s">
        <v>6962</v>
      </c>
      <c r="Q1829" t="s">
        <v>6424</v>
      </c>
      <c r="R1829" t="s">
        <v>6425</v>
      </c>
      <c r="S1829" t="s">
        <v>6986</v>
      </c>
      <c r="T1829" t="s">
        <v>550</v>
      </c>
      <c r="U1829" t="s">
        <v>550</v>
      </c>
      <c r="V1829" t="s">
        <v>6997</v>
      </c>
      <c r="W1829" t="s">
        <v>6988</v>
      </c>
      <c r="X1829" t="s">
        <v>6451</v>
      </c>
      <c r="Y1829" t="s">
        <v>6452</v>
      </c>
      <c r="Z1829" t="s">
        <v>6995</v>
      </c>
    </row>
    <row r="1830" spans="1:26" x14ac:dyDescent="0.3">
      <c r="A1830" t="s">
        <v>330</v>
      </c>
      <c r="B1830" t="s">
        <v>6998</v>
      </c>
      <c r="C1830" t="s">
        <v>6999</v>
      </c>
      <c r="D1830" t="s">
        <v>6995</v>
      </c>
      <c r="E1830" t="s">
        <v>6417</v>
      </c>
      <c r="F1830" t="s">
        <v>1040</v>
      </c>
      <c r="G1830" s="1">
        <v>44927</v>
      </c>
      <c r="H1830" s="1">
        <v>45194</v>
      </c>
      <c r="I1830" t="s">
        <v>665</v>
      </c>
      <c r="J1830" t="s">
        <v>6418</v>
      </c>
      <c r="K1830" t="s">
        <v>958</v>
      </c>
      <c r="L1830" t="s">
        <v>6419</v>
      </c>
      <c r="M1830" t="s">
        <v>6984</v>
      </c>
      <c r="N1830" t="s">
        <v>6985</v>
      </c>
      <c r="O1830" t="s">
        <v>6961</v>
      </c>
      <c r="P1830" t="s">
        <v>6962</v>
      </c>
      <c r="Q1830" t="s">
        <v>6424</v>
      </c>
      <c r="R1830" t="s">
        <v>6425</v>
      </c>
      <c r="S1830" t="s">
        <v>6986</v>
      </c>
      <c r="T1830" t="s">
        <v>550</v>
      </c>
      <c r="U1830" t="s">
        <v>550</v>
      </c>
      <c r="V1830" t="s">
        <v>7000</v>
      </c>
      <c r="W1830" t="s">
        <v>6988</v>
      </c>
      <c r="X1830" t="s">
        <v>6451</v>
      </c>
      <c r="Y1830" t="s">
        <v>6452</v>
      </c>
      <c r="Z1830" t="s">
        <v>6998</v>
      </c>
    </row>
    <row r="1831" spans="1:26" x14ac:dyDescent="0.3">
      <c r="A1831" t="s">
        <v>330</v>
      </c>
      <c r="B1831" t="s">
        <v>7001</v>
      </c>
      <c r="C1831" t="s">
        <v>7002</v>
      </c>
      <c r="D1831" t="s">
        <v>6995</v>
      </c>
      <c r="E1831" t="s">
        <v>6417</v>
      </c>
      <c r="F1831" t="s">
        <v>1040</v>
      </c>
      <c r="G1831" s="1">
        <v>44927</v>
      </c>
      <c r="H1831" s="1">
        <v>45128</v>
      </c>
      <c r="I1831" t="s">
        <v>665</v>
      </c>
      <c r="J1831" t="s">
        <v>6418</v>
      </c>
      <c r="K1831" t="s">
        <v>958</v>
      </c>
      <c r="L1831" t="s">
        <v>6419</v>
      </c>
      <c r="M1831" t="s">
        <v>6984</v>
      </c>
      <c r="N1831" t="s">
        <v>6985</v>
      </c>
      <c r="O1831" t="s">
        <v>6961</v>
      </c>
      <c r="P1831" t="s">
        <v>6962</v>
      </c>
      <c r="Q1831" t="s">
        <v>6424</v>
      </c>
      <c r="R1831" t="s">
        <v>6425</v>
      </c>
      <c r="S1831" t="s">
        <v>6986</v>
      </c>
      <c r="T1831" t="s">
        <v>550</v>
      </c>
      <c r="U1831" t="s">
        <v>550</v>
      </c>
      <c r="V1831" t="s">
        <v>7003</v>
      </c>
      <c r="W1831" t="s">
        <v>6988</v>
      </c>
      <c r="X1831" t="s">
        <v>6451</v>
      </c>
      <c r="Y1831" t="s">
        <v>6452</v>
      </c>
      <c r="Z1831" t="s">
        <v>7001</v>
      </c>
    </row>
    <row r="1832" spans="1:26" x14ac:dyDescent="0.3">
      <c r="A1832" t="s">
        <v>330</v>
      </c>
      <c r="B1832" t="s">
        <v>6463</v>
      </c>
      <c r="C1832" t="s">
        <v>7004</v>
      </c>
      <c r="D1832" t="s">
        <v>550</v>
      </c>
      <c r="E1832" t="s">
        <v>6417</v>
      </c>
      <c r="F1832" t="s">
        <v>1040</v>
      </c>
      <c r="G1832" s="1">
        <v>45293</v>
      </c>
      <c r="H1832" s="1">
        <v>45293</v>
      </c>
      <c r="I1832" t="s">
        <v>665</v>
      </c>
      <c r="J1832" t="s">
        <v>6418</v>
      </c>
      <c r="K1832" t="s">
        <v>958</v>
      </c>
      <c r="L1832" t="s">
        <v>6419</v>
      </c>
      <c r="M1832" t="s">
        <v>6446</v>
      </c>
      <c r="N1832" t="s">
        <v>6447</v>
      </c>
      <c r="O1832" t="s">
        <v>6961</v>
      </c>
      <c r="P1832" t="s">
        <v>6962</v>
      </c>
      <c r="Q1832" t="s">
        <v>6424</v>
      </c>
      <c r="R1832" t="s">
        <v>6425</v>
      </c>
      <c r="S1832" t="s">
        <v>6466</v>
      </c>
      <c r="T1832" t="s">
        <v>550</v>
      </c>
      <c r="U1832" t="s">
        <v>550</v>
      </c>
      <c r="V1832" t="s">
        <v>7005</v>
      </c>
      <c r="W1832" t="s">
        <v>6450</v>
      </c>
      <c r="X1832" t="s">
        <v>6468</v>
      </c>
      <c r="Z1832" t="s">
        <v>6463</v>
      </c>
    </row>
    <row r="1833" spans="1:26" x14ac:dyDescent="0.3">
      <c r="A1833" t="s">
        <v>330</v>
      </c>
      <c r="B1833" t="s">
        <v>7006</v>
      </c>
      <c r="C1833" t="s">
        <v>7007</v>
      </c>
      <c r="D1833" t="s">
        <v>6463</v>
      </c>
      <c r="E1833" t="s">
        <v>6417</v>
      </c>
      <c r="F1833" t="s">
        <v>1040</v>
      </c>
      <c r="G1833" s="1">
        <v>45292</v>
      </c>
      <c r="H1833" s="1">
        <v>45343</v>
      </c>
      <c r="I1833" t="s">
        <v>665</v>
      </c>
      <c r="J1833" t="s">
        <v>6418</v>
      </c>
      <c r="K1833" t="s">
        <v>958</v>
      </c>
      <c r="L1833" t="s">
        <v>6419</v>
      </c>
      <c r="M1833" t="s">
        <v>6446</v>
      </c>
      <c r="N1833" t="s">
        <v>6447</v>
      </c>
      <c r="O1833" t="s">
        <v>6961</v>
      </c>
      <c r="P1833" t="s">
        <v>6962</v>
      </c>
      <c r="Q1833" t="s">
        <v>6424</v>
      </c>
      <c r="R1833" t="s">
        <v>6425</v>
      </c>
      <c r="S1833" t="s">
        <v>6466</v>
      </c>
      <c r="T1833" t="s">
        <v>550</v>
      </c>
      <c r="U1833" t="s">
        <v>550</v>
      </c>
      <c r="V1833" t="s">
        <v>7008</v>
      </c>
      <c r="W1833" t="s">
        <v>6450</v>
      </c>
      <c r="X1833" t="s">
        <v>6468</v>
      </c>
      <c r="Z1833" t="s">
        <v>7006</v>
      </c>
    </row>
    <row r="1834" spans="1:26" x14ac:dyDescent="0.3">
      <c r="A1834" t="s">
        <v>330</v>
      </c>
      <c r="B1834" t="s">
        <v>6491</v>
      </c>
      <c r="C1834" t="s">
        <v>7009</v>
      </c>
      <c r="D1834" t="s">
        <v>6463</v>
      </c>
      <c r="E1834" t="s">
        <v>6417</v>
      </c>
      <c r="F1834" t="s">
        <v>1040</v>
      </c>
      <c r="G1834" s="1">
        <v>45293</v>
      </c>
      <c r="H1834" s="1">
        <v>45293</v>
      </c>
      <c r="I1834" t="s">
        <v>665</v>
      </c>
      <c r="J1834" t="s">
        <v>6418</v>
      </c>
      <c r="K1834" t="s">
        <v>958</v>
      </c>
      <c r="L1834" t="s">
        <v>6419</v>
      </c>
      <c r="M1834" t="s">
        <v>6446</v>
      </c>
      <c r="N1834" t="s">
        <v>6447</v>
      </c>
      <c r="O1834" t="s">
        <v>6961</v>
      </c>
      <c r="P1834" t="s">
        <v>6962</v>
      </c>
      <c r="Q1834" t="s">
        <v>6424</v>
      </c>
      <c r="R1834" t="s">
        <v>6425</v>
      </c>
      <c r="S1834" t="s">
        <v>6466</v>
      </c>
      <c r="T1834" t="s">
        <v>550</v>
      </c>
      <c r="U1834" t="s">
        <v>550</v>
      </c>
      <c r="V1834" t="s">
        <v>7010</v>
      </c>
      <c r="W1834" t="s">
        <v>6450</v>
      </c>
      <c r="X1834" t="s">
        <v>6468</v>
      </c>
      <c r="Z1834" t="s">
        <v>6491</v>
      </c>
    </row>
    <row r="1835" spans="1:26" x14ac:dyDescent="0.3">
      <c r="A1835" t="s">
        <v>330</v>
      </c>
      <c r="B1835" t="s">
        <v>7011</v>
      </c>
      <c r="C1835" t="s">
        <v>7009</v>
      </c>
      <c r="D1835" t="s">
        <v>6491</v>
      </c>
      <c r="E1835" t="s">
        <v>6417</v>
      </c>
      <c r="F1835" t="s">
        <v>1040</v>
      </c>
      <c r="G1835" s="1">
        <v>45292</v>
      </c>
      <c r="H1835" s="1">
        <v>46696</v>
      </c>
      <c r="I1835" t="s">
        <v>665</v>
      </c>
      <c r="J1835" t="s">
        <v>6418</v>
      </c>
      <c r="K1835" t="s">
        <v>958</v>
      </c>
      <c r="L1835" t="s">
        <v>6419</v>
      </c>
      <c r="M1835" t="s">
        <v>6446</v>
      </c>
      <c r="N1835" t="s">
        <v>6447</v>
      </c>
      <c r="O1835" t="s">
        <v>6961</v>
      </c>
      <c r="P1835" t="s">
        <v>6962</v>
      </c>
      <c r="Q1835" t="s">
        <v>6424</v>
      </c>
      <c r="R1835" t="s">
        <v>6425</v>
      </c>
      <c r="S1835" t="s">
        <v>6466</v>
      </c>
      <c r="T1835" t="s">
        <v>550</v>
      </c>
      <c r="U1835" t="s">
        <v>550</v>
      </c>
      <c r="V1835" t="s">
        <v>7012</v>
      </c>
      <c r="W1835" t="s">
        <v>6450</v>
      </c>
      <c r="X1835" t="s">
        <v>6468</v>
      </c>
      <c r="Z1835" t="s">
        <v>7011</v>
      </c>
    </row>
    <row r="1836" spans="1:26" x14ac:dyDescent="0.3">
      <c r="A1836" t="s">
        <v>330</v>
      </c>
      <c r="B1836" t="s">
        <v>7013</v>
      </c>
      <c r="C1836" t="s">
        <v>7014</v>
      </c>
      <c r="D1836" t="s">
        <v>6491</v>
      </c>
      <c r="E1836" t="s">
        <v>6417</v>
      </c>
      <c r="F1836" t="s">
        <v>1040</v>
      </c>
      <c r="G1836" s="1">
        <v>45292</v>
      </c>
      <c r="H1836" s="1">
        <v>45292</v>
      </c>
      <c r="I1836" t="s">
        <v>665</v>
      </c>
      <c r="J1836" t="s">
        <v>6418</v>
      </c>
      <c r="K1836" t="s">
        <v>958</v>
      </c>
      <c r="L1836" t="s">
        <v>6419</v>
      </c>
      <c r="M1836" t="s">
        <v>6446</v>
      </c>
      <c r="N1836" t="s">
        <v>6447</v>
      </c>
      <c r="O1836" t="s">
        <v>6961</v>
      </c>
      <c r="P1836" t="s">
        <v>6962</v>
      </c>
      <c r="Q1836" t="s">
        <v>6424</v>
      </c>
      <c r="R1836" t="s">
        <v>6425</v>
      </c>
      <c r="S1836" t="s">
        <v>6466</v>
      </c>
      <c r="T1836" t="s">
        <v>550</v>
      </c>
      <c r="U1836" t="s">
        <v>550</v>
      </c>
      <c r="V1836" t="s">
        <v>7015</v>
      </c>
      <c r="W1836" t="s">
        <v>6450</v>
      </c>
      <c r="X1836" t="s">
        <v>6468</v>
      </c>
      <c r="Z1836" t="s">
        <v>7013</v>
      </c>
    </row>
    <row r="1837" spans="1:26" x14ac:dyDescent="0.3">
      <c r="A1837" t="s">
        <v>330</v>
      </c>
      <c r="B1837" t="s">
        <v>6443</v>
      </c>
      <c r="C1837" t="s">
        <v>7004</v>
      </c>
      <c r="D1837" t="s">
        <v>550</v>
      </c>
      <c r="E1837" t="s">
        <v>6417</v>
      </c>
      <c r="F1837" t="s">
        <v>1040</v>
      </c>
      <c r="G1837" s="1">
        <v>44928</v>
      </c>
      <c r="H1837" s="1">
        <v>44928</v>
      </c>
      <c r="I1837" t="s">
        <v>665</v>
      </c>
      <c r="J1837" t="s">
        <v>6418</v>
      </c>
      <c r="K1837" t="s">
        <v>958</v>
      </c>
      <c r="L1837" t="s">
        <v>6419</v>
      </c>
      <c r="M1837" t="s">
        <v>6446</v>
      </c>
      <c r="N1837" t="s">
        <v>6447</v>
      </c>
      <c r="O1837" t="s">
        <v>6961</v>
      </c>
      <c r="P1837" t="s">
        <v>6962</v>
      </c>
      <c r="Q1837" t="s">
        <v>6424</v>
      </c>
      <c r="R1837" t="s">
        <v>6425</v>
      </c>
      <c r="S1837" t="s">
        <v>6448</v>
      </c>
      <c r="T1837" t="s">
        <v>550</v>
      </c>
      <c r="U1837" t="s">
        <v>550</v>
      </c>
      <c r="V1837" t="s">
        <v>7016</v>
      </c>
      <c r="W1837" t="s">
        <v>6450</v>
      </c>
      <c r="X1837" t="s">
        <v>6451</v>
      </c>
      <c r="Y1837" t="s">
        <v>6452</v>
      </c>
      <c r="Z1837" t="s">
        <v>6443</v>
      </c>
    </row>
    <row r="1838" spans="1:26" x14ac:dyDescent="0.3">
      <c r="A1838" t="s">
        <v>330</v>
      </c>
      <c r="B1838" t="s">
        <v>7017</v>
      </c>
      <c r="C1838" t="s">
        <v>7009</v>
      </c>
      <c r="D1838" t="s">
        <v>6443</v>
      </c>
      <c r="E1838" t="s">
        <v>6417</v>
      </c>
      <c r="F1838" t="s">
        <v>1040</v>
      </c>
      <c r="G1838" s="1">
        <v>44928</v>
      </c>
      <c r="H1838" s="1">
        <v>44928</v>
      </c>
      <c r="I1838" t="s">
        <v>665</v>
      </c>
      <c r="J1838" t="s">
        <v>6418</v>
      </c>
      <c r="K1838" t="s">
        <v>958</v>
      </c>
      <c r="L1838" t="s">
        <v>6419</v>
      </c>
      <c r="M1838" t="s">
        <v>6446</v>
      </c>
      <c r="N1838" t="s">
        <v>6447</v>
      </c>
      <c r="O1838" t="s">
        <v>6961</v>
      </c>
      <c r="P1838" t="s">
        <v>6962</v>
      </c>
      <c r="Q1838" t="s">
        <v>6424</v>
      </c>
      <c r="R1838" t="s">
        <v>6425</v>
      </c>
      <c r="S1838" t="s">
        <v>6448</v>
      </c>
      <c r="T1838" t="s">
        <v>550</v>
      </c>
      <c r="U1838" t="s">
        <v>550</v>
      </c>
      <c r="V1838" t="s">
        <v>7018</v>
      </c>
      <c r="W1838" t="s">
        <v>6450</v>
      </c>
      <c r="X1838" t="s">
        <v>6451</v>
      </c>
      <c r="Y1838" t="s">
        <v>6452</v>
      </c>
      <c r="Z1838" t="s">
        <v>7017</v>
      </c>
    </row>
    <row r="1839" spans="1:26" x14ac:dyDescent="0.3">
      <c r="A1839" t="s">
        <v>330</v>
      </c>
      <c r="B1839" t="s">
        <v>7019</v>
      </c>
      <c r="C1839" t="s">
        <v>7009</v>
      </c>
      <c r="D1839" t="s">
        <v>7017</v>
      </c>
      <c r="E1839" t="s">
        <v>6417</v>
      </c>
      <c r="F1839" t="s">
        <v>1040</v>
      </c>
      <c r="G1839" s="1">
        <v>44927</v>
      </c>
      <c r="H1839" s="1">
        <v>46888</v>
      </c>
      <c r="I1839" t="s">
        <v>665</v>
      </c>
      <c r="J1839" t="s">
        <v>6418</v>
      </c>
      <c r="K1839" t="s">
        <v>958</v>
      </c>
      <c r="L1839" t="s">
        <v>6419</v>
      </c>
      <c r="M1839" t="s">
        <v>6446</v>
      </c>
      <c r="N1839" t="s">
        <v>6447</v>
      </c>
      <c r="O1839" t="s">
        <v>6961</v>
      </c>
      <c r="P1839" t="s">
        <v>6962</v>
      </c>
      <c r="Q1839" t="s">
        <v>6424</v>
      </c>
      <c r="R1839" t="s">
        <v>6425</v>
      </c>
      <c r="S1839" t="s">
        <v>6448</v>
      </c>
      <c r="T1839" t="s">
        <v>550</v>
      </c>
      <c r="U1839" t="s">
        <v>550</v>
      </c>
      <c r="V1839" t="s">
        <v>7020</v>
      </c>
      <c r="W1839" t="s">
        <v>6450</v>
      </c>
      <c r="X1839" t="s">
        <v>6451</v>
      </c>
      <c r="Y1839" t="s">
        <v>6452</v>
      </c>
      <c r="Z1839" t="s">
        <v>7019</v>
      </c>
    </row>
    <row r="1840" spans="1:26" x14ac:dyDescent="0.3">
      <c r="A1840" t="s">
        <v>330</v>
      </c>
      <c r="B1840" t="s">
        <v>7021</v>
      </c>
      <c r="C1840" t="s">
        <v>7022</v>
      </c>
      <c r="D1840" t="s">
        <v>7023</v>
      </c>
      <c r="E1840" t="s">
        <v>6417</v>
      </c>
      <c r="F1840" t="s">
        <v>1040</v>
      </c>
      <c r="G1840" s="1">
        <v>44928</v>
      </c>
      <c r="H1840" s="1">
        <v>44928</v>
      </c>
      <c r="I1840" t="s">
        <v>665</v>
      </c>
      <c r="J1840" t="s">
        <v>6418</v>
      </c>
      <c r="K1840" t="s">
        <v>958</v>
      </c>
      <c r="L1840" t="s">
        <v>6502</v>
      </c>
      <c r="M1840" t="s">
        <v>6446</v>
      </c>
      <c r="N1840" t="s">
        <v>6447</v>
      </c>
      <c r="O1840" t="s">
        <v>6961</v>
      </c>
      <c r="P1840" t="s">
        <v>6962</v>
      </c>
      <c r="Q1840" t="s">
        <v>6424</v>
      </c>
      <c r="R1840" t="s">
        <v>6425</v>
      </c>
      <c r="S1840" t="s">
        <v>7024</v>
      </c>
      <c r="T1840" t="s">
        <v>550</v>
      </c>
      <c r="U1840" t="s">
        <v>550</v>
      </c>
      <c r="V1840" t="s">
        <v>7025</v>
      </c>
      <c r="W1840" t="s">
        <v>6450</v>
      </c>
      <c r="X1840" t="s">
        <v>6451</v>
      </c>
      <c r="Y1840" t="s">
        <v>6452</v>
      </c>
      <c r="Z1840" t="s">
        <v>7021</v>
      </c>
    </row>
    <row r="1841" spans="1:26" x14ac:dyDescent="0.3">
      <c r="A1841" t="s">
        <v>330</v>
      </c>
      <c r="B1841" t="s">
        <v>7026</v>
      </c>
      <c r="C1841" t="s">
        <v>7027</v>
      </c>
      <c r="D1841" t="s">
        <v>7021</v>
      </c>
      <c r="E1841" t="s">
        <v>6417</v>
      </c>
      <c r="F1841" t="s">
        <v>1040</v>
      </c>
      <c r="G1841" s="1">
        <v>44927</v>
      </c>
      <c r="H1841" s="1">
        <v>45628</v>
      </c>
      <c r="I1841" t="s">
        <v>665</v>
      </c>
      <c r="J1841" t="s">
        <v>6418</v>
      </c>
      <c r="K1841" t="s">
        <v>958</v>
      </c>
      <c r="L1841" t="s">
        <v>6502</v>
      </c>
      <c r="M1841" t="s">
        <v>6446</v>
      </c>
      <c r="N1841" t="s">
        <v>6447</v>
      </c>
      <c r="O1841" t="s">
        <v>6961</v>
      </c>
      <c r="P1841" t="s">
        <v>6962</v>
      </c>
      <c r="Q1841" t="s">
        <v>6424</v>
      </c>
      <c r="R1841" t="s">
        <v>6425</v>
      </c>
      <c r="S1841" t="s">
        <v>7024</v>
      </c>
      <c r="T1841" t="s">
        <v>550</v>
      </c>
      <c r="U1841" t="s">
        <v>550</v>
      </c>
      <c r="V1841" t="s">
        <v>7028</v>
      </c>
      <c r="W1841" t="s">
        <v>6450</v>
      </c>
      <c r="X1841" t="s">
        <v>6451</v>
      </c>
      <c r="Y1841" t="s">
        <v>6452</v>
      </c>
      <c r="Z1841" t="s">
        <v>7026</v>
      </c>
    </row>
    <row r="1842" spans="1:26" x14ac:dyDescent="0.3">
      <c r="A1842" t="s">
        <v>330</v>
      </c>
      <c r="B1842" t="s">
        <v>7029</v>
      </c>
      <c r="C1842" t="s">
        <v>7030</v>
      </c>
      <c r="D1842" t="s">
        <v>7021</v>
      </c>
      <c r="E1842" t="s">
        <v>6417</v>
      </c>
      <c r="F1842" t="s">
        <v>1040</v>
      </c>
      <c r="G1842" s="1">
        <v>45110</v>
      </c>
      <c r="H1842" s="1">
        <v>45161</v>
      </c>
      <c r="I1842" t="s">
        <v>665</v>
      </c>
      <c r="J1842" t="s">
        <v>6418</v>
      </c>
      <c r="K1842" t="s">
        <v>958</v>
      </c>
      <c r="L1842" t="s">
        <v>6502</v>
      </c>
      <c r="M1842" t="s">
        <v>6593</v>
      </c>
      <c r="N1842" t="s">
        <v>6594</v>
      </c>
      <c r="O1842" t="s">
        <v>6961</v>
      </c>
      <c r="P1842" t="s">
        <v>6962</v>
      </c>
      <c r="Q1842" t="s">
        <v>6424</v>
      </c>
      <c r="R1842" t="s">
        <v>6425</v>
      </c>
      <c r="S1842" t="s">
        <v>7024</v>
      </c>
      <c r="T1842" t="s">
        <v>550</v>
      </c>
      <c r="U1842" t="s">
        <v>550</v>
      </c>
      <c r="V1842" t="s">
        <v>7025</v>
      </c>
      <c r="W1842" t="s">
        <v>6450</v>
      </c>
      <c r="X1842" t="s">
        <v>6451</v>
      </c>
      <c r="Y1842" t="s">
        <v>6452</v>
      </c>
      <c r="Z1842" t="s">
        <v>7021</v>
      </c>
    </row>
    <row r="1843" spans="1:26" x14ac:dyDescent="0.3">
      <c r="A1843" t="s">
        <v>330</v>
      </c>
      <c r="B1843" t="s">
        <v>7031</v>
      </c>
      <c r="C1843" t="s">
        <v>7032</v>
      </c>
      <c r="D1843" t="s">
        <v>7021</v>
      </c>
      <c r="E1843" t="s">
        <v>6417</v>
      </c>
      <c r="F1843" t="s">
        <v>1040</v>
      </c>
      <c r="G1843" s="1">
        <v>44927</v>
      </c>
      <c r="H1843" s="1">
        <v>45013</v>
      </c>
      <c r="I1843" t="s">
        <v>665</v>
      </c>
      <c r="J1843" t="s">
        <v>6418</v>
      </c>
      <c r="K1843" t="s">
        <v>958</v>
      </c>
      <c r="L1843" t="s">
        <v>6502</v>
      </c>
      <c r="M1843" t="s">
        <v>6593</v>
      </c>
      <c r="N1843" t="s">
        <v>6594</v>
      </c>
      <c r="O1843" t="s">
        <v>6961</v>
      </c>
      <c r="P1843" t="s">
        <v>6962</v>
      </c>
      <c r="Q1843" t="s">
        <v>6424</v>
      </c>
      <c r="R1843" t="s">
        <v>6425</v>
      </c>
      <c r="S1843" t="s">
        <v>7024</v>
      </c>
      <c r="T1843" t="s">
        <v>550</v>
      </c>
      <c r="U1843" t="s">
        <v>550</v>
      </c>
      <c r="V1843" t="s">
        <v>7033</v>
      </c>
      <c r="W1843" t="s">
        <v>6450</v>
      </c>
      <c r="X1843" t="s">
        <v>6451</v>
      </c>
      <c r="Y1843" t="s">
        <v>6452</v>
      </c>
      <c r="Z1843" t="s">
        <v>7031</v>
      </c>
    </row>
    <row r="1844" spans="1:26" x14ac:dyDescent="0.3">
      <c r="A1844" t="s">
        <v>330</v>
      </c>
      <c r="B1844" t="s">
        <v>6876</v>
      </c>
      <c r="C1844" t="s">
        <v>6599</v>
      </c>
      <c r="D1844" t="s">
        <v>550</v>
      </c>
      <c r="E1844" t="s">
        <v>6417</v>
      </c>
      <c r="F1844" t="s">
        <v>1040</v>
      </c>
      <c r="G1844" s="1">
        <v>45293</v>
      </c>
      <c r="H1844" s="1">
        <v>45293</v>
      </c>
      <c r="I1844" t="s">
        <v>665</v>
      </c>
      <c r="J1844" t="s">
        <v>6418</v>
      </c>
      <c r="K1844" t="s">
        <v>958</v>
      </c>
      <c r="L1844" t="s">
        <v>6419</v>
      </c>
      <c r="M1844" t="s">
        <v>6422</v>
      </c>
      <c r="N1844" t="s">
        <v>6423</v>
      </c>
      <c r="O1844" t="s">
        <v>6961</v>
      </c>
      <c r="P1844" t="s">
        <v>6962</v>
      </c>
      <c r="Q1844" t="s">
        <v>6424</v>
      </c>
      <c r="R1844" t="s">
        <v>6425</v>
      </c>
      <c r="S1844" t="s">
        <v>6879</v>
      </c>
      <c r="T1844" t="s">
        <v>550</v>
      </c>
      <c r="U1844" t="s">
        <v>550</v>
      </c>
      <c r="V1844" t="s">
        <v>7034</v>
      </c>
      <c r="W1844" t="s">
        <v>6428</v>
      </c>
      <c r="X1844" t="s">
        <v>6881</v>
      </c>
      <c r="Z1844" t="s">
        <v>6876</v>
      </c>
    </row>
    <row r="1845" spans="1:26" x14ac:dyDescent="0.3">
      <c r="A1845" t="s">
        <v>330</v>
      </c>
      <c r="B1845" t="s">
        <v>6866</v>
      </c>
      <c r="C1845" t="s">
        <v>7035</v>
      </c>
      <c r="D1845" t="s">
        <v>550</v>
      </c>
      <c r="E1845" t="s">
        <v>6417</v>
      </c>
      <c r="F1845" t="s">
        <v>1040</v>
      </c>
      <c r="G1845" s="1">
        <v>45293</v>
      </c>
      <c r="H1845" s="1">
        <v>45293</v>
      </c>
      <c r="I1845" t="s">
        <v>665</v>
      </c>
      <c r="J1845" t="s">
        <v>6418</v>
      </c>
      <c r="K1845" t="s">
        <v>958</v>
      </c>
      <c r="L1845" t="s">
        <v>6419</v>
      </c>
      <c r="M1845" t="s">
        <v>6422</v>
      </c>
      <c r="N1845" t="s">
        <v>6423</v>
      </c>
      <c r="O1845" t="s">
        <v>6961</v>
      </c>
      <c r="P1845" t="s">
        <v>6962</v>
      </c>
      <c r="Q1845" t="s">
        <v>6424</v>
      </c>
      <c r="R1845" t="s">
        <v>6425</v>
      </c>
      <c r="S1845" t="s">
        <v>6869</v>
      </c>
      <c r="T1845" t="s">
        <v>550</v>
      </c>
      <c r="U1845" t="s">
        <v>550</v>
      </c>
      <c r="V1845" t="s">
        <v>7036</v>
      </c>
      <c r="W1845" t="s">
        <v>6428</v>
      </c>
      <c r="X1845" t="s">
        <v>6871</v>
      </c>
      <c r="Z1845" t="s">
        <v>6866</v>
      </c>
    </row>
    <row r="1846" spans="1:26" x14ac:dyDescent="0.3">
      <c r="A1846" t="s">
        <v>525</v>
      </c>
      <c r="B1846" t="s">
        <v>7037</v>
      </c>
      <c r="C1846" t="s">
        <v>793</v>
      </c>
      <c r="D1846" t="s">
        <v>792</v>
      </c>
      <c r="E1846" t="s">
        <v>794</v>
      </c>
      <c r="F1846" t="s">
        <v>795</v>
      </c>
      <c r="G1846" s="1">
        <v>45195</v>
      </c>
      <c r="H1846" s="1">
        <v>45231</v>
      </c>
      <c r="I1846" t="s">
        <v>665</v>
      </c>
      <c r="J1846" t="s">
        <v>796</v>
      </c>
      <c r="K1846" t="s">
        <v>24</v>
      </c>
      <c r="L1846" t="s">
        <v>216</v>
      </c>
      <c r="M1846" t="s">
        <v>797</v>
      </c>
      <c r="N1846" t="s">
        <v>313</v>
      </c>
      <c r="O1846" t="s">
        <v>5980</v>
      </c>
      <c r="P1846" t="s">
        <v>288</v>
      </c>
      <c r="Q1846" t="s">
        <v>6424</v>
      </c>
      <c r="R1846" t="s">
        <v>6425</v>
      </c>
      <c r="S1846" t="s">
        <v>1471</v>
      </c>
      <c r="T1846" t="s">
        <v>550</v>
      </c>
      <c r="U1846" t="s">
        <v>1472</v>
      </c>
      <c r="V1846" t="s">
        <v>7038</v>
      </c>
      <c r="W1846" t="s">
        <v>554</v>
      </c>
      <c r="X1846" t="s">
        <v>669</v>
      </c>
      <c r="Y1846" t="s">
        <v>799</v>
      </c>
      <c r="Z1846" t="s">
        <v>7037</v>
      </c>
    </row>
    <row r="1847" spans="1:26" x14ac:dyDescent="0.3">
      <c r="A1847" t="s">
        <v>330</v>
      </c>
      <c r="B1847" t="s">
        <v>7039</v>
      </c>
      <c r="C1847" t="s">
        <v>7007</v>
      </c>
      <c r="D1847" t="s">
        <v>6443</v>
      </c>
      <c r="E1847" t="s">
        <v>6417</v>
      </c>
      <c r="F1847" t="s">
        <v>1040</v>
      </c>
      <c r="G1847" s="1">
        <v>44927</v>
      </c>
      <c r="H1847" s="1">
        <v>44978</v>
      </c>
      <c r="I1847" t="s">
        <v>665</v>
      </c>
      <c r="J1847" t="s">
        <v>6418</v>
      </c>
      <c r="K1847" t="s">
        <v>958</v>
      </c>
      <c r="L1847" t="s">
        <v>6419</v>
      </c>
      <c r="M1847" t="s">
        <v>7040</v>
      </c>
      <c r="N1847" t="s">
        <v>7041</v>
      </c>
      <c r="O1847" t="s">
        <v>1324</v>
      </c>
      <c r="P1847" t="s">
        <v>1325</v>
      </c>
      <c r="Q1847" t="s">
        <v>6424</v>
      </c>
      <c r="R1847" t="s">
        <v>6425</v>
      </c>
      <c r="S1847" t="s">
        <v>6448</v>
      </c>
      <c r="T1847" t="s">
        <v>550</v>
      </c>
      <c r="U1847" t="s">
        <v>550</v>
      </c>
      <c r="V1847" t="s">
        <v>7042</v>
      </c>
      <c r="W1847" t="s">
        <v>6450</v>
      </c>
      <c r="X1847" t="s">
        <v>6451</v>
      </c>
      <c r="Y1847" t="s">
        <v>6452</v>
      </c>
      <c r="Z1847" t="s">
        <v>7039</v>
      </c>
    </row>
    <row r="1848" spans="1:26" x14ac:dyDescent="0.3">
      <c r="A1848" t="s">
        <v>330</v>
      </c>
      <c r="B1848" t="s">
        <v>7043</v>
      </c>
      <c r="C1848" t="s">
        <v>7044</v>
      </c>
      <c r="D1848" t="s">
        <v>6959</v>
      </c>
      <c r="E1848" t="s">
        <v>6417</v>
      </c>
      <c r="F1848" t="s">
        <v>1040</v>
      </c>
      <c r="G1848" s="1">
        <v>45292</v>
      </c>
      <c r="H1848" s="1">
        <v>45639</v>
      </c>
      <c r="I1848" t="s">
        <v>665</v>
      </c>
      <c r="J1848" t="s">
        <v>6418</v>
      </c>
      <c r="K1848" t="s">
        <v>958</v>
      </c>
      <c r="L1848" t="s">
        <v>6419</v>
      </c>
      <c r="M1848" t="s">
        <v>6446</v>
      </c>
      <c r="N1848" t="s">
        <v>6447</v>
      </c>
      <c r="O1848" t="s">
        <v>1324</v>
      </c>
      <c r="P1848" t="s">
        <v>1325</v>
      </c>
      <c r="Q1848" t="s">
        <v>6424</v>
      </c>
      <c r="R1848" t="s">
        <v>6425</v>
      </c>
      <c r="S1848" t="s">
        <v>6466</v>
      </c>
      <c r="T1848" t="s">
        <v>550</v>
      </c>
      <c r="U1848" t="s">
        <v>550</v>
      </c>
      <c r="V1848" t="s">
        <v>7045</v>
      </c>
      <c r="W1848" t="s">
        <v>6964</v>
      </c>
      <c r="X1848" t="s">
        <v>6468</v>
      </c>
      <c r="Z1848" t="s">
        <v>7043</v>
      </c>
    </row>
    <row r="1849" spans="1:26" x14ac:dyDescent="0.3">
      <c r="A1849" t="s">
        <v>330</v>
      </c>
      <c r="B1849" t="s">
        <v>7046</v>
      </c>
      <c r="C1849" t="s">
        <v>7047</v>
      </c>
      <c r="D1849" t="s">
        <v>6959</v>
      </c>
      <c r="E1849" t="s">
        <v>6417</v>
      </c>
      <c r="F1849" t="s">
        <v>1040</v>
      </c>
      <c r="G1849" s="1">
        <v>45292</v>
      </c>
      <c r="H1849" s="1">
        <v>46483</v>
      </c>
      <c r="I1849" t="s">
        <v>665</v>
      </c>
      <c r="J1849" t="s">
        <v>6418</v>
      </c>
      <c r="K1849" t="s">
        <v>958</v>
      </c>
      <c r="L1849" t="s">
        <v>6419</v>
      </c>
      <c r="M1849" t="s">
        <v>6446</v>
      </c>
      <c r="N1849" t="s">
        <v>6447</v>
      </c>
      <c r="O1849" t="s">
        <v>1324</v>
      </c>
      <c r="P1849" t="s">
        <v>1325</v>
      </c>
      <c r="Q1849" t="s">
        <v>6424</v>
      </c>
      <c r="R1849" t="s">
        <v>6425</v>
      </c>
      <c r="S1849" t="s">
        <v>6466</v>
      </c>
      <c r="T1849" t="s">
        <v>550</v>
      </c>
      <c r="U1849" t="s">
        <v>550</v>
      </c>
      <c r="V1849" t="s">
        <v>7048</v>
      </c>
      <c r="W1849" t="s">
        <v>6964</v>
      </c>
      <c r="X1849" t="s">
        <v>6468</v>
      </c>
      <c r="Z1849" t="s">
        <v>7046</v>
      </c>
    </row>
    <row r="1850" spans="1:26" x14ac:dyDescent="0.3">
      <c r="A1850" t="s">
        <v>525</v>
      </c>
      <c r="B1850" t="s">
        <v>7049</v>
      </c>
      <c r="C1850" t="s">
        <v>7050</v>
      </c>
      <c r="D1850" t="s">
        <v>1336</v>
      </c>
      <c r="E1850" t="s">
        <v>1338</v>
      </c>
      <c r="F1850" t="s">
        <v>1339</v>
      </c>
      <c r="G1850" s="1">
        <v>45673</v>
      </c>
      <c r="H1850" s="1">
        <v>45673</v>
      </c>
      <c r="I1850" t="s">
        <v>665</v>
      </c>
      <c r="J1850" t="s">
        <v>1340</v>
      </c>
      <c r="K1850" t="s">
        <v>958</v>
      </c>
      <c r="L1850" t="s">
        <v>216</v>
      </c>
      <c r="M1850" t="s">
        <v>3329</v>
      </c>
      <c r="N1850" t="s">
        <v>269</v>
      </c>
      <c r="O1850" t="s">
        <v>1293</v>
      </c>
      <c r="P1850" t="s">
        <v>256</v>
      </c>
      <c r="Q1850" t="s">
        <v>6424</v>
      </c>
      <c r="R1850" t="s">
        <v>6425</v>
      </c>
      <c r="S1850" t="s">
        <v>783</v>
      </c>
      <c r="T1850" t="s">
        <v>550</v>
      </c>
      <c r="U1850" t="s">
        <v>550</v>
      </c>
      <c r="V1850" t="s">
        <v>7051</v>
      </c>
      <c r="W1850" t="s">
        <v>1809</v>
      </c>
      <c r="X1850" t="s">
        <v>272</v>
      </c>
      <c r="Y1850" t="s">
        <v>273</v>
      </c>
      <c r="Z1850" t="s">
        <v>7049</v>
      </c>
    </row>
    <row r="1851" spans="1:26" x14ac:dyDescent="0.3">
      <c r="A1851" t="s">
        <v>525</v>
      </c>
      <c r="B1851" t="s">
        <v>7052</v>
      </c>
      <c r="C1851" t="s">
        <v>7053</v>
      </c>
      <c r="D1851" t="s">
        <v>1085</v>
      </c>
      <c r="E1851" t="s">
        <v>664</v>
      </c>
      <c r="F1851" t="s">
        <v>27</v>
      </c>
      <c r="G1851" s="1">
        <v>45292</v>
      </c>
      <c r="H1851" s="1">
        <v>45292</v>
      </c>
      <c r="I1851" t="s">
        <v>665</v>
      </c>
      <c r="J1851" t="s">
        <v>666</v>
      </c>
      <c r="K1851" t="s">
        <v>24</v>
      </c>
      <c r="L1851" t="s">
        <v>216</v>
      </c>
      <c r="M1851" t="s">
        <v>1031</v>
      </c>
      <c r="N1851" t="s">
        <v>239</v>
      </c>
      <c r="O1851" t="s">
        <v>1293</v>
      </c>
      <c r="P1851" t="s">
        <v>256</v>
      </c>
      <c r="Q1851" t="s">
        <v>6424</v>
      </c>
      <c r="R1851" t="s">
        <v>6425</v>
      </c>
      <c r="S1851" t="s">
        <v>1471</v>
      </c>
      <c r="T1851" t="s">
        <v>550</v>
      </c>
      <c r="U1851" t="s">
        <v>550</v>
      </c>
      <c r="V1851" t="s">
        <v>7054</v>
      </c>
      <c r="W1851" t="s">
        <v>1809</v>
      </c>
      <c r="X1851" t="s">
        <v>272</v>
      </c>
      <c r="Y1851" t="s">
        <v>273</v>
      </c>
      <c r="Z1851" t="s">
        <v>7052</v>
      </c>
    </row>
    <row r="1852" spans="1:26" x14ac:dyDescent="0.3">
      <c r="A1852" t="s">
        <v>330</v>
      </c>
      <c r="B1852" t="s">
        <v>7055</v>
      </c>
      <c r="C1852" t="s">
        <v>935</v>
      </c>
      <c r="D1852" t="s">
        <v>550</v>
      </c>
      <c r="E1852" t="s">
        <v>816</v>
      </c>
      <c r="F1852" t="s">
        <v>817</v>
      </c>
      <c r="G1852" s="1">
        <v>44928</v>
      </c>
      <c r="H1852" s="1">
        <v>44928</v>
      </c>
      <c r="I1852" t="s">
        <v>665</v>
      </c>
      <c r="J1852" t="s">
        <v>816</v>
      </c>
      <c r="K1852" t="s">
        <v>900</v>
      </c>
      <c r="L1852" t="s">
        <v>901</v>
      </c>
      <c r="M1852" t="s">
        <v>936</v>
      </c>
      <c r="N1852" t="s">
        <v>937</v>
      </c>
      <c r="O1852" t="s">
        <v>883</v>
      </c>
      <c r="P1852" t="s">
        <v>884</v>
      </c>
      <c r="Q1852" t="s">
        <v>6424</v>
      </c>
      <c r="R1852" t="s">
        <v>6425</v>
      </c>
      <c r="S1852" t="s">
        <v>550</v>
      </c>
      <c r="T1852" t="s">
        <v>550</v>
      </c>
      <c r="U1852" t="s">
        <v>550</v>
      </c>
      <c r="V1852" t="s">
        <v>7056</v>
      </c>
      <c r="W1852" t="s">
        <v>941</v>
      </c>
      <c r="X1852" t="s">
        <v>6451</v>
      </c>
      <c r="Y1852" t="s">
        <v>6452</v>
      </c>
      <c r="Z1852" t="s">
        <v>7055</v>
      </c>
    </row>
    <row r="1853" spans="1:26" x14ac:dyDescent="0.3">
      <c r="A1853" t="s">
        <v>330</v>
      </c>
      <c r="B1853" t="s">
        <v>7057</v>
      </c>
      <c r="C1853" t="s">
        <v>7058</v>
      </c>
      <c r="D1853" t="s">
        <v>7055</v>
      </c>
      <c r="E1853" t="s">
        <v>816</v>
      </c>
      <c r="F1853" t="s">
        <v>817</v>
      </c>
      <c r="G1853" s="1">
        <v>44927</v>
      </c>
      <c r="H1853" s="1">
        <v>44946</v>
      </c>
      <c r="I1853" t="s">
        <v>665</v>
      </c>
      <c r="J1853" t="s">
        <v>816</v>
      </c>
      <c r="K1853" t="s">
        <v>900</v>
      </c>
      <c r="L1853" t="s">
        <v>901</v>
      </c>
      <c r="M1853" t="s">
        <v>936</v>
      </c>
      <c r="N1853" t="s">
        <v>937</v>
      </c>
      <c r="O1853" t="s">
        <v>883</v>
      </c>
      <c r="P1853" t="s">
        <v>884</v>
      </c>
      <c r="Q1853" t="s">
        <v>6424</v>
      </c>
      <c r="R1853" t="s">
        <v>6425</v>
      </c>
      <c r="S1853" t="s">
        <v>550</v>
      </c>
      <c r="T1853" t="s">
        <v>550</v>
      </c>
      <c r="U1853" t="s">
        <v>550</v>
      </c>
      <c r="V1853" t="s">
        <v>7059</v>
      </c>
      <c r="W1853" t="s">
        <v>941</v>
      </c>
      <c r="X1853" t="s">
        <v>6451</v>
      </c>
      <c r="Y1853" t="s">
        <v>6452</v>
      </c>
      <c r="Z1853" t="s">
        <v>7057</v>
      </c>
    </row>
    <row r="1854" spans="1:26" x14ac:dyDescent="0.3">
      <c r="A1854" t="s">
        <v>330</v>
      </c>
      <c r="B1854" t="s">
        <v>7060</v>
      </c>
      <c r="C1854" t="s">
        <v>7061</v>
      </c>
      <c r="D1854" t="s">
        <v>7055</v>
      </c>
      <c r="E1854" t="s">
        <v>816</v>
      </c>
      <c r="F1854" t="s">
        <v>817</v>
      </c>
      <c r="G1854" s="1">
        <v>44927</v>
      </c>
      <c r="H1854" s="1">
        <v>44952</v>
      </c>
      <c r="I1854" t="s">
        <v>665</v>
      </c>
      <c r="J1854" t="s">
        <v>816</v>
      </c>
      <c r="K1854" t="s">
        <v>900</v>
      </c>
      <c r="L1854" t="s">
        <v>901</v>
      </c>
      <c r="M1854" t="s">
        <v>936</v>
      </c>
      <c r="N1854" t="s">
        <v>937</v>
      </c>
      <c r="O1854" t="s">
        <v>883</v>
      </c>
      <c r="P1854" t="s">
        <v>884</v>
      </c>
      <c r="Q1854" t="s">
        <v>6424</v>
      </c>
      <c r="R1854" t="s">
        <v>6425</v>
      </c>
      <c r="S1854" t="s">
        <v>550</v>
      </c>
      <c r="T1854" t="s">
        <v>550</v>
      </c>
      <c r="U1854" t="s">
        <v>550</v>
      </c>
      <c r="V1854" t="s">
        <v>7062</v>
      </c>
      <c r="W1854" t="s">
        <v>941</v>
      </c>
      <c r="X1854" t="s">
        <v>6451</v>
      </c>
      <c r="Y1854" t="s">
        <v>6452</v>
      </c>
      <c r="Z1854" t="s">
        <v>7060</v>
      </c>
    </row>
    <row r="1855" spans="1:26" x14ac:dyDescent="0.3">
      <c r="A1855" t="s">
        <v>330</v>
      </c>
      <c r="B1855" t="s">
        <v>7063</v>
      </c>
      <c r="C1855" t="s">
        <v>7064</v>
      </c>
      <c r="D1855" t="s">
        <v>7055</v>
      </c>
      <c r="E1855" t="s">
        <v>816</v>
      </c>
      <c r="F1855" t="s">
        <v>817</v>
      </c>
      <c r="G1855" s="1">
        <v>44927</v>
      </c>
      <c r="H1855" s="1">
        <v>44953</v>
      </c>
      <c r="I1855" t="s">
        <v>665</v>
      </c>
      <c r="J1855" t="s">
        <v>816</v>
      </c>
      <c r="K1855" t="s">
        <v>900</v>
      </c>
      <c r="L1855" t="s">
        <v>901</v>
      </c>
      <c r="M1855" t="s">
        <v>936</v>
      </c>
      <c r="N1855" t="s">
        <v>937</v>
      </c>
      <c r="O1855" t="s">
        <v>883</v>
      </c>
      <c r="P1855" t="s">
        <v>884</v>
      </c>
      <c r="Q1855" t="s">
        <v>6424</v>
      </c>
      <c r="R1855" t="s">
        <v>6425</v>
      </c>
      <c r="S1855" t="s">
        <v>550</v>
      </c>
      <c r="T1855" t="s">
        <v>550</v>
      </c>
      <c r="U1855" t="s">
        <v>550</v>
      </c>
      <c r="V1855" t="s">
        <v>7065</v>
      </c>
      <c r="W1855" t="s">
        <v>941</v>
      </c>
      <c r="X1855" t="s">
        <v>6451</v>
      </c>
      <c r="Y1855" t="s">
        <v>6452</v>
      </c>
      <c r="Z1855" t="s">
        <v>7063</v>
      </c>
    </row>
    <row r="1856" spans="1:26" x14ac:dyDescent="0.3">
      <c r="A1856" t="s">
        <v>330</v>
      </c>
      <c r="B1856" t="s">
        <v>7066</v>
      </c>
      <c r="C1856" t="s">
        <v>7067</v>
      </c>
      <c r="D1856" t="s">
        <v>6975</v>
      </c>
      <c r="E1856" t="s">
        <v>6417</v>
      </c>
      <c r="F1856" t="s">
        <v>1040</v>
      </c>
      <c r="G1856" s="1">
        <v>45292</v>
      </c>
      <c r="H1856" s="1">
        <v>46676</v>
      </c>
      <c r="I1856" t="s">
        <v>665</v>
      </c>
      <c r="J1856" t="s">
        <v>6418</v>
      </c>
      <c r="K1856" t="s">
        <v>958</v>
      </c>
      <c r="L1856" t="s">
        <v>6502</v>
      </c>
      <c r="M1856" t="s">
        <v>7068</v>
      </c>
      <c r="N1856" t="s">
        <v>7069</v>
      </c>
      <c r="O1856" t="s">
        <v>6961</v>
      </c>
      <c r="P1856" t="s">
        <v>6962</v>
      </c>
      <c r="Q1856" t="s">
        <v>6424</v>
      </c>
      <c r="R1856" t="s">
        <v>6425</v>
      </c>
      <c r="S1856" t="s">
        <v>6976</v>
      </c>
      <c r="T1856" t="s">
        <v>550</v>
      </c>
      <c r="U1856" t="s">
        <v>550</v>
      </c>
      <c r="V1856" t="s">
        <v>7070</v>
      </c>
      <c r="W1856" t="s">
        <v>6978</v>
      </c>
      <c r="X1856" t="s">
        <v>6979</v>
      </c>
      <c r="Z1856" t="s">
        <v>7066</v>
      </c>
    </row>
    <row r="1857" spans="1:26" x14ac:dyDescent="0.3">
      <c r="A1857" t="s">
        <v>330</v>
      </c>
      <c r="B1857" t="s">
        <v>7071</v>
      </c>
      <c r="C1857" t="s">
        <v>7072</v>
      </c>
      <c r="D1857" t="s">
        <v>550</v>
      </c>
      <c r="E1857" t="s">
        <v>6417</v>
      </c>
      <c r="F1857" t="s">
        <v>1040</v>
      </c>
      <c r="G1857" s="1">
        <v>44928</v>
      </c>
      <c r="H1857" s="1">
        <v>44928</v>
      </c>
      <c r="I1857" t="s">
        <v>665</v>
      </c>
      <c r="J1857" t="s">
        <v>6418</v>
      </c>
      <c r="K1857" t="s">
        <v>958</v>
      </c>
      <c r="L1857" t="s">
        <v>6502</v>
      </c>
      <c r="M1857" t="s">
        <v>7073</v>
      </c>
      <c r="N1857" t="s">
        <v>7074</v>
      </c>
      <c r="O1857" t="s">
        <v>7068</v>
      </c>
      <c r="P1857" t="s">
        <v>7069</v>
      </c>
      <c r="Q1857" t="s">
        <v>6424</v>
      </c>
      <c r="R1857" t="s">
        <v>6425</v>
      </c>
      <c r="S1857" t="s">
        <v>7075</v>
      </c>
      <c r="T1857" t="s">
        <v>550</v>
      </c>
      <c r="U1857" t="s">
        <v>550</v>
      </c>
      <c r="V1857" t="s">
        <v>7076</v>
      </c>
      <c r="W1857" t="s">
        <v>6978</v>
      </c>
      <c r="X1857" t="s">
        <v>6451</v>
      </c>
      <c r="Y1857" t="s">
        <v>6452</v>
      </c>
      <c r="Z1857" t="s">
        <v>7071</v>
      </c>
    </row>
    <row r="1858" spans="1:26" x14ac:dyDescent="0.3">
      <c r="A1858" t="s">
        <v>330</v>
      </c>
      <c r="B1858" t="s">
        <v>7077</v>
      </c>
      <c r="C1858" t="s">
        <v>7078</v>
      </c>
      <c r="D1858" t="s">
        <v>7071</v>
      </c>
      <c r="E1858" t="s">
        <v>6417</v>
      </c>
      <c r="F1858" t="s">
        <v>1040</v>
      </c>
      <c r="G1858" s="1">
        <v>44927</v>
      </c>
      <c r="H1858" s="1">
        <v>45239</v>
      </c>
      <c r="I1858" t="s">
        <v>665</v>
      </c>
      <c r="J1858" t="s">
        <v>6418</v>
      </c>
      <c r="K1858" t="s">
        <v>958</v>
      </c>
      <c r="L1858" t="s">
        <v>6502</v>
      </c>
      <c r="M1858" t="s">
        <v>7073</v>
      </c>
      <c r="N1858" t="s">
        <v>7074</v>
      </c>
      <c r="O1858" t="s">
        <v>7068</v>
      </c>
      <c r="P1858" t="s">
        <v>7069</v>
      </c>
      <c r="Q1858" t="s">
        <v>6424</v>
      </c>
      <c r="R1858" t="s">
        <v>6425</v>
      </c>
      <c r="S1858" t="s">
        <v>7075</v>
      </c>
      <c r="T1858" t="s">
        <v>550</v>
      </c>
      <c r="U1858" t="s">
        <v>550</v>
      </c>
      <c r="V1858" t="s">
        <v>7079</v>
      </c>
      <c r="W1858" t="s">
        <v>6978</v>
      </c>
      <c r="X1858" t="s">
        <v>6451</v>
      </c>
      <c r="Y1858" t="s">
        <v>6452</v>
      </c>
      <c r="Z1858" t="s">
        <v>7077</v>
      </c>
    </row>
    <row r="1859" spans="1:26" x14ac:dyDescent="0.3">
      <c r="A1859" t="s">
        <v>330</v>
      </c>
      <c r="B1859" t="s">
        <v>7080</v>
      </c>
      <c r="C1859" t="s">
        <v>7081</v>
      </c>
      <c r="D1859" t="s">
        <v>7071</v>
      </c>
      <c r="E1859" t="s">
        <v>6417</v>
      </c>
      <c r="F1859" t="s">
        <v>1040</v>
      </c>
      <c r="G1859" s="1">
        <v>44927</v>
      </c>
      <c r="H1859" s="1">
        <v>45082</v>
      </c>
      <c r="I1859" t="s">
        <v>665</v>
      </c>
      <c r="J1859" t="s">
        <v>6418</v>
      </c>
      <c r="K1859" t="s">
        <v>958</v>
      </c>
      <c r="L1859" t="s">
        <v>6502</v>
      </c>
      <c r="M1859" t="s">
        <v>7073</v>
      </c>
      <c r="N1859" t="s">
        <v>7074</v>
      </c>
      <c r="O1859" t="s">
        <v>7068</v>
      </c>
      <c r="P1859" t="s">
        <v>7069</v>
      </c>
      <c r="Q1859" t="s">
        <v>6424</v>
      </c>
      <c r="R1859" t="s">
        <v>6425</v>
      </c>
      <c r="S1859" t="s">
        <v>7075</v>
      </c>
      <c r="T1859" t="s">
        <v>550</v>
      </c>
      <c r="U1859" t="s">
        <v>550</v>
      </c>
      <c r="V1859" t="s">
        <v>7082</v>
      </c>
      <c r="W1859" t="s">
        <v>6978</v>
      </c>
      <c r="X1859" t="s">
        <v>6451</v>
      </c>
      <c r="Y1859" t="s">
        <v>6452</v>
      </c>
      <c r="Z1859" t="s">
        <v>7080</v>
      </c>
    </row>
    <row r="1860" spans="1:26" x14ac:dyDescent="0.3">
      <c r="A1860" t="s">
        <v>330</v>
      </c>
      <c r="B1860" t="s">
        <v>7083</v>
      </c>
      <c r="C1860" t="s">
        <v>6490</v>
      </c>
      <c r="D1860" t="s">
        <v>7017</v>
      </c>
      <c r="E1860" t="s">
        <v>6417</v>
      </c>
      <c r="F1860" t="s">
        <v>1040</v>
      </c>
      <c r="G1860" s="1">
        <v>44927</v>
      </c>
      <c r="H1860" s="1">
        <v>45393</v>
      </c>
      <c r="I1860" t="s">
        <v>665</v>
      </c>
      <c r="J1860" t="s">
        <v>6418</v>
      </c>
      <c r="K1860" t="s">
        <v>958</v>
      </c>
      <c r="L1860" t="s">
        <v>6419</v>
      </c>
      <c r="M1860" t="s">
        <v>6420</v>
      </c>
      <c r="N1860" t="s">
        <v>6421</v>
      </c>
      <c r="O1860" t="s">
        <v>7068</v>
      </c>
      <c r="P1860" t="s">
        <v>7069</v>
      </c>
      <c r="Q1860" t="s">
        <v>6424</v>
      </c>
      <c r="R1860" t="s">
        <v>6425</v>
      </c>
      <c r="S1860" t="s">
        <v>6448</v>
      </c>
      <c r="T1860" t="s">
        <v>550</v>
      </c>
      <c r="U1860" t="s">
        <v>550</v>
      </c>
      <c r="V1860" t="s">
        <v>7084</v>
      </c>
      <c r="W1860" t="s">
        <v>6450</v>
      </c>
      <c r="X1860" t="s">
        <v>6451</v>
      </c>
      <c r="Y1860" t="s">
        <v>6452</v>
      </c>
      <c r="Z1860" t="s">
        <v>7083</v>
      </c>
    </row>
    <row r="1861" spans="1:26" x14ac:dyDescent="0.3">
      <c r="A1861" t="s">
        <v>330</v>
      </c>
      <c r="B1861" t="s">
        <v>7085</v>
      </c>
      <c r="C1861" t="s">
        <v>7086</v>
      </c>
      <c r="D1861" t="s">
        <v>7087</v>
      </c>
      <c r="E1861" t="s">
        <v>7088</v>
      </c>
      <c r="F1861" t="s">
        <v>7089</v>
      </c>
      <c r="G1861" s="1">
        <v>44378</v>
      </c>
      <c r="H1861" s="1">
        <v>44392</v>
      </c>
      <c r="I1861" t="s">
        <v>665</v>
      </c>
      <c r="J1861" t="s">
        <v>7090</v>
      </c>
      <c r="K1861" t="s">
        <v>958</v>
      </c>
      <c r="L1861" t="s">
        <v>809</v>
      </c>
      <c r="M1861" t="s">
        <v>810</v>
      </c>
      <c r="N1861" t="s">
        <v>811</v>
      </c>
      <c r="O1861" t="s">
        <v>883</v>
      </c>
      <c r="P1861" t="s">
        <v>884</v>
      </c>
      <c r="Q1861" t="s">
        <v>6565</v>
      </c>
      <c r="R1861" t="s">
        <v>6566</v>
      </c>
      <c r="S1861" t="s">
        <v>803</v>
      </c>
      <c r="T1861" t="s">
        <v>550</v>
      </c>
      <c r="U1861" t="s">
        <v>550</v>
      </c>
      <c r="V1861" t="s">
        <v>7091</v>
      </c>
      <c r="W1861" t="s">
        <v>7092</v>
      </c>
      <c r="X1861" t="s">
        <v>809</v>
      </c>
      <c r="Y1861" t="s">
        <v>803</v>
      </c>
      <c r="Z1861" t="s">
        <v>7085</v>
      </c>
    </row>
    <row r="1862" spans="1:26" x14ac:dyDescent="0.3">
      <c r="A1862" t="s">
        <v>330</v>
      </c>
      <c r="B1862" t="s">
        <v>7093</v>
      </c>
      <c r="C1862" t="s">
        <v>7094</v>
      </c>
      <c r="D1862" t="s">
        <v>550</v>
      </c>
      <c r="E1862" t="s">
        <v>7095</v>
      </c>
      <c r="F1862" t="s">
        <v>7096</v>
      </c>
      <c r="G1862" s="1">
        <v>43864</v>
      </c>
      <c r="H1862" s="1">
        <v>43871</v>
      </c>
      <c r="I1862" t="s">
        <v>665</v>
      </c>
      <c r="J1862" t="s">
        <v>7097</v>
      </c>
      <c r="K1862" t="s">
        <v>841</v>
      </c>
      <c r="L1862" t="s">
        <v>809</v>
      </c>
      <c r="M1862" t="s">
        <v>810</v>
      </c>
      <c r="N1862" t="s">
        <v>811</v>
      </c>
      <c r="O1862" t="s">
        <v>883</v>
      </c>
      <c r="P1862" t="s">
        <v>884</v>
      </c>
      <c r="Q1862" t="s">
        <v>6565</v>
      </c>
      <c r="R1862" t="s">
        <v>6566</v>
      </c>
      <c r="S1862" t="s">
        <v>803</v>
      </c>
      <c r="T1862" t="s">
        <v>550</v>
      </c>
      <c r="U1862" t="s">
        <v>550</v>
      </c>
      <c r="V1862" t="s">
        <v>7098</v>
      </c>
      <c r="W1862" t="s">
        <v>7092</v>
      </c>
      <c r="X1862" t="s">
        <v>809</v>
      </c>
      <c r="Y1862" t="s">
        <v>7099</v>
      </c>
      <c r="Z1862" t="s">
        <v>7093</v>
      </c>
    </row>
    <row r="1863" spans="1:26" x14ac:dyDescent="0.3">
      <c r="A1863" t="s">
        <v>330</v>
      </c>
      <c r="B1863" t="s">
        <v>7100</v>
      </c>
      <c r="C1863" t="s">
        <v>7101</v>
      </c>
      <c r="D1863" t="s">
        <v>550</v>
      </c>
      <c r="E1863" t="s">
        <v>7102</v>
      </c>
      <c r="F1863" t="s">
        <v>7103</v>
      </c>
      <c r="G1863" s="1">
        <v>44197</v>
      </c>
      <c r="H1863" s="1">
        <v>44249</v>
      </c>
      <c r="I1863" t="s">
        <v>665</v>
      </c>
      <c r="J1863" t="s">
        <v>7104</v>
      </c>
      <c r="K1863" t="s">
        <v>808</v>
      </c>
      <c r="L1863" t="s">
        <v>809</v>
      </c>
      <c r="M1863" t="s">
        <v>810</v>
      </c>
      <c r="N1863" t="s">
        <v>811</v>
      </c>
      <c r="O1863" t="s">
        <v>883</v>
      </c>
      <c r="P1863" t="s">
        <v>884</v>
      </c>
      <c r="Q1863" t="s">
        <v>6565</v>
      </c>
      <c r="R1863" t="s">
        <v>6566</v>
      </c>
      <c r="S1863" t="s">
        <v>803</v>
      </c>
      <c r="T1863" t="s">
        <v>550</v>
      </c>
      <c r="U1863" t="s">
        <v>550</v>
      </c>
      <c r="V1863" t="s">
        <v>7105</v>
      </c>
      <c r="W1863" t="s">
        <v>7092</v>
      </c>
      <c r="X1863" t="s">
        <v>809</v>
      </c>
      <c r="Y1863" t="s">
        <v>7099</v>
      </c>
      <c r="Z1863" t="s">
        <v>7100</v>
      </c>
    </row>
    <row r="1864" spans="1:26" x14ac:dyDescent="0.3">
      <c r="A1864" t="s">
        <v>330</v>
      </c>
      <c r="B1864" t="s">
        <v>7106</v>
      </c>
      <c r="C1864" t="s">
        <v>7107</v>
      </c>
      <c r="D1864" t="s">
        <v>550</v>
      </c>
      <c r="E1864" t="s">
        <v>7108</v>
      </c>
      <c r="F1864" t="s">
        <v>1333</v>
      </c>
      <c r="G1864" s="1">
        <v>44197</v>
      </c>
      <c r="H1864" s="1">
        <v>44231</v>
      </c>
      <c r="I1864" t="s">
        <v>665</v>
      </c>
      <c r="J1864" t="s">
        <v>7109</v>
      </c>
      <c r="K1864" t="s">
        <v>24</v>
      </c>
      <c r="L1864" t="s">
        <v>809</v>
      </c>
      <c r="M1864" t="s">
        <v>810</v>
      </c>
      <c r="N1864" t="s">
        <v>811</v>
      </c>
      <c r="O1864" t="s">
        <v>883</v>
      </c>
      <c r="P1864" t="s">
        <v>884</v>
      </c>
      <c r="Q1864" t="s">
        <v>6565</v>
      </c>
      <c r="R1864" t="s">
        <v>6566</v>
      </c>
      <c r="S1864" t="s">
        <v>803</v>
      </c>
      <c r="T1864" t="s">
        <v>550</v>
      </c>
      <c r="U1864" t="s">
        <v>550</v>
      </c>
      <c r="V1864" t="s">
        <v>7110</v>
      </c>
      <c r="W1864" t="s">
        <v>7092</v>
      </c>
      <c r="X1864" t="s">
        <v>809</v>
      </c>
      <c r="Y1864" t="s">
        <v>7099</v>
      </c>
      <c r="Z1864" t="s">
        <v>7106</v>
      </c>
    </row>
    <row r="1865" spans="1:26" x14ac:dyDescent="0.3">
      <c r="A1865" t="s">
        <v>330</v>
      </c>
      <c r="B1865" t="s">
        <v>7111</v>
      </c>
      <c r="C1865" t="s">
        <v>7112</v>
      </c>
      <c r="D1865" t="s">
        <v>550</v>
      </c>
      <c r="E1865" t="s">
        <v>6417</v>
      </c>
      <c r="F1865" t="s">
        <v>1040</v>
      </c>
      <c r="G1865" s="1">
        <v>44287</v>
      </c>
      <c r="H1865" s="1">
        <v>44327</v>
      </c>
      <c r="I1865" t="s">
        <v>665</v>
      </c>
      <c r="J1865" t="s">
        <v>6418</v>
      </c>
      <c r="K1865" t="s">
        <v>24</v>
      </c>
      <c r="L1865" t="s">
        <v>809</v>
      </c>
      <c r="M1865" t="s">
        <v>810</v>
      </c>
      <c r="N1865" t="s">
        <v>811</v>
      </c>
      <c r="O1865" t="s">
        <v>883</v>
      </c>
      <c r="P1865" t="s">
        <v>884</v>
      </c>
      <c r="Q1865" t="s">
        <v>6565</v>
      </c>
      <c r="R1865" t="s">
        <v>6566</v>
      </c>
      <c r="S1865" t="s">
        <v>803</v>
      </c>
      <c r="T1865" t="s">
        <v>550</v>
      </c>
      <c r="U1865" t="s">
        <v>550</v>
      </c>
      <c r="V1865" t="s">
        <v>7113</v>
      </c>
      <c r="W1865" t="s">
        <v>7092</v>
      </c>
      <c r="X1865" t="s">
        <v>809</v>
      </c>
      <c r="Y1865" t="s">
        <v>7099</v>
      </c>
      <c r="Z1865" t="s">
        <v>7111</v>
      </c>
    </row>
    <row r="1866" spans="1:26" x14ac:dyDescent="0.3">
      <c r="A1866" t="s">
        <v>330</v>
      </c>
      <c r="B1866" t="s">
        <v>7114</v>
      </c>
      <c r="C1866" t="s">
        <v>7115</v>
      </c>
      <c r="D1866" t="s">
        <v>550</v>
      </c>
      <c r="E1866" t="s">
        <v>7102</v>
      </c>
      <c r="F1866" t="s">
        <v>7103</v>
      </c>
      <c r="G1866" s="1">
        <v>44013</v>
      </c>
      <c r="H1866" s="1">
        <v>44117</v>
      </c>
      <c r="I1866" t="s">
        <v>665</v>
      </c>
      <c r="J1866" t="s">
        <v>7104</v>
      </c>
      <c r="K1866" t="s">
        <v>808</v>
      </c>
      <c r="L1866" t="s">
        <v>809</v>
      </c>
      <c r="M1866" t="s">
        <v>810</v>
      </c>
      <c r="N1866" t="s">
        <v>811</v>
      </c>
      <c r="O1866" t="s">
        <v>883</v>
      </c>
      <c r="P1866" t="s">
        <v>884</v>
      </c>
      <c r="Q1866" t="s">
        <v>6565</v>
      </c>
      <c r="R1866" t="s">
        <v>6566</v>
      </c>
      <c r="S1866" t="s">
        <v>803</v>
      </c>
      <c r="T1866" t="s">
        <v>550</v>
      </c>
      <c r="U1866" t="s">
        <v>550</v>
      </c>
      <c r="V1866" t="s">
        <v>7116</v>
      </c>
      <c r="W1866" t="s">
        <v>7092</v>
      </c>
      <c r="X1866" t="s">
        <v>809</v>
      </c>
      <c r="Y1866" t="s">
        <v>7099</v>
      </c>
      <c r="Z1866" t="s">
        <v>7114</v>
      </c>
    </row>
    <row r="1867" spans="1:26" x14ac:dyDescent="0.3">
      <c r="A1867" t="s">
        <v>330</v>
      </c>
      <c r="B1867" t="s">
        <v>7117</v>
      </c>
      <c r="C1867" t="s">
        <v>7118</v>
      </c>
      <c r="D1867" t="s">
        <v>7087</v>
      </c>
      <c r="E1867" t="s">
        <v>7088</v>
      </c>
      <c r="F1867" t="s">
        <v>7089</v>
      </c>
      <c r="G1867" s="1">
        <v>44562</v>
      </c>
      <c r="H1867" s="1">
        <v>44576</v>
      </c>
      <c r="I1867" t="s">
        <v>665</v>
      </c>
      <c r="J1867" t="s">
        <v>7090</v>
      </c>
      <c r="K1867" t="s">
        <v>958</v>
      </c>
      <c r="L1867" t="s">
        <v>809</v>
      </c>
      <c r="M1867" t="s">
        <v>810</v>
      </c>
      <c r="N1867" t="s">
        <v>811</v>
      </c>
      <c r="O1867" t="s">
        <v>883</v>
      </c>
      <c r="P1867" t="s">
        <v>884</v>
      </c>
      <c r="Q1867" t="s">
        <v>6565</v>
      </c>
      <c r="R1867" t="s">
        <v>6566</v>
      </c>
      <c r="S1867" t="s">
        <v>803</v>
      </c>
      <c r="T1867" t="s">
        <v>550</v>
      </c>
      <c r="U1867" t="s">
        <v>550</v>
      </c>
      <c r="V1867" t="s">
        <v>7119</v>
      </c>
      <c r="W1867" t="s">
        <v>813</v>
      </c>
      <c r="X1867" t="s">
        <v>809</v>
      </c>
      <c r="Y1867" t="s">
        <v>803</v>
      </c>
      <c r="Z1867" t="s">
        <v>7117</v>
      </c>
    </row>
    <row r="1868" spans="1:26" x14ac:dyDescent="0.3">
      <c r="A1868" t="s">
        <v>330</v>
      </c>
      <c r="B1868" t="s">
        <v>7120</v>
      </c>
      <c r="C1868" t="s">
        <v>7121</v>
      </c>
      <c r="D1868" t="s">
        <v>550</v>
      </c>
      <c r="E1868" t="s">
        <v>7122</v>
      </c>
      <c r="F1868" t="s">
        <v>7123</v>
      </c>
      <c r="G1868" s="1">
        <v>44562</v>
      </c>
      <c r="H1868" s="1">
        <v>44595</v>
      </c>
      <c r="I1868" t="s">
        <v>665</v>
      </c>
      <c r="J1868" t="s">
        <v>7124</v>
      </c>
      <c r="K1868" t="s">
        <v>24</v>
      </c>
      <c r="L1868" t="s">
        <v>809</v>
      </c>
      <c r="M1868" t="s">
        <v>810</v>
      </c>
      <c r="N1868" t="s">
        <v>811</v>
      </c>
      <c r="O1868" t="s">
        <v>883</v>
      </c>
      <c r="P1868" t="s">
        <v>884</v>
      </c>
      <c r="Q1868" t="s">
        <v>6565</v>
      </c>
      <c r="R1868" t="s">
        <v>6566</v>
      </c>
      <c r="S1868" t="s">
        <v>803</v>
      </c>
      <c r="T1868" t="s">
        <v>550</v>
      </c>
      <c r="U1868" t="s">
        <v>550</v>
      </c>
      <c r="V1868" t="s">
        <v>7125</v>
      </c>
      <c r="W1868" t="s">
        <v>813</v>
      </c>
      <c r="X1868" t="s">
        <v>809</v>
      </c>
      <c r="Y1868" t="s">
        <v>803</v>
      </c>
      <c r="Z1868" t="s">
        <v>7120</v>
      </c>
    </row>
    <row r="1869" spans="1:26" x14ac:dyDescent="0.3">
      <c r="A1869" t="s">
        <v>330</v>
      </c>
      <c r="B1869" t="s">
        <v>7126</v>
      </c>
      <c r="C1869" t="s">
        <v>7127</v>
      </c>
      <c r="D1869" t="s">
        <v>550</v>
      </c>
      <c r="E1869" t="s">
        <v>880</v>
      </c>
      <c r="F1869" t="s">
        <v>7128</v>
      </c>
      <c r="G1869" s="1">
        <v>44562</v>
      </c>
      <c r="H1869" s="1">
        <v>44584</v>
      </c>
      <c r="I1869" t="s">
        <v>665</v>
      </c>
      <c r="J1869" t="s">
        <v>7129</v>
      </c>
      <c r="K1869" t="s">
        <v>24</v>
      </c>
      <c r="L1869" t="s">
        <v>809</v>
      </c>
      <c r="M1869" t="s">
        <v>810</v>
      </c>
      <c r="N1869" t="s">
        <v>811</v>
      </c>
      <c r="O1869" t="s">
        <v>883</v>
      </c>
      <c r="P1869" t="s">
        <v>884</v>
      </c>
      <c r="Q1869" t="s">
        <v>6565</v>
      </c>
      <c r="R1869" t="s">
        <v>6566</v>
      </c>
      <c r="S1869" t="s">
        <v>803</v>
      </c>
      <c r="T1869" t="s">
        <v>550</v>
      </c>
      <c r="U1869" t="s">
        <v>550</v>
      </c>
      <c r="V1869" t="s">
        <v>7130</v>
      </c>
      <c r="W1869" t="s">
        <v>813</v>
      </c>
      <c r="X1869" t="s">
        <v>809</v>
      </c>
      <c r="Y1869" t="s">
        <v>803</v>
      </c>
      <c r="Z1869" t="s">
        <v>7126</v>
      </c>
    </row>
    <row r="1870" spans="1:26" x14ac:dyDescent="0.3">
      <c r="A1870" t="s">
        <v>330</v>
      </c>
      <c r="B1870" t="s">
        <v>7131</v>
      </c>
      <c r="C1870" t="s">
        <v>7132</v>
      </c>
      <c r="D1870" t="s">
        <v>7133</v>
      </c>
      <c r="E1870" t="s">
        <v>807</v>
      </c>
      <c r="F1870" t="s">
        <v>7134</v>
      </c>
      <c r="G1870" s="1">
        <v>44562</v>
      </c>
      <c r="H1870" s="1">
        <v>44624</v>
      </c>
      <c r="I1870" t="s">
        <v>665</v>
      </c>
      <c r="J1870" t="s">
        <v>7135</v>
      </c>
      <c r="K1870" t="s">
        <v>808</v>
      </c>
      <c r="L1870" t="s">
        <v>809</v>
      </c>
      <c r="M1870" t="s">
        <v>810</v>
      </c>
      <c r="N1870" t="s">
        <v>811</v>
      </c>
      <c r="O1870" t="s">
        <v>883</v>
      </c>
      <c r="P1870" t="s">
        <v>884</v>
      </c>
      <c r="Q1870" t="s">
        <v>6565</v>
      </c>
      <c r="R1870" t="s">
        <v>6566</v>
      </c>
      <c r="S1870" t="s">
        <v>803</v>
      </c>
      <c r="T1870" t="s">
        <v>550</v>
      </c>
      <c r="U1870" t="s">
        <v>550</v>
      </c>
      <c r="V1870" t="s">
        <v>7136</v>
      </c>
      <c r="W1870" t="s">
        <v>813</v>
      </c>
      <c r="X1870" t="s">
        <v>809</v>
      </c>
      <c r="Y1870" t="s">
        <v>803</v>
      </c>
      <c r="Z1870" t="s">
        <v>7131</v>
      </c>
    </row>
    <row r="1871" spans="1:26" x14ac:dyDescent="0.3">
      <c r="A1871" t="s">
        <v>330</v>
      </c>
      <c r="B1871" t="s">
        <v>7137</v>
      </c>
      <c r="C1871" t="s">
        <v>7138</v>
      </c>
      <c r="D1871" t="s">
        <v>550</v>
      </c>
      <c r="E1871" t="s">
        <v>7108</v>
      </c>
      <c r="F1871" t="s">
        <v>1333</v>
      </c>
      <c r="G1871" s="1">
        <v>44562</v>
      </c>
      <c r="H1871" s="1">
        <v>44576</v>
      </c>
      <c r="I1871" t="s">
        <v>665</v>
      </c>
      <c r="J1871" t="s">
        <v>7109</v>
      </c>
      <c r="K1871" t="s">
        <v>24</v>
      </c>
      <c r="L1871" t="s">
        <v>809</v>
      </c>
      <c r="M1871" t="s">
        <v>810</v>
      </c>
      <c r="N1871" t="s">
        <v>811</v>
      </c>
      <c r="O1871" t="s">
        <v>883</v>
      </c>
      <c r="P1871" t="s">
        <v>884</v>
      </c>
      <c r="Q1871" t="s">
        <v>6565</v>
      </c>
      <c r="R1871" t="s">
        <v>6566</v>
      </c>
      <c r="S1871" t="s">
        <v>803</v>
      </c>
      <c r="T1871" t="s">
        <v>550</v>
      </c>
      <c r="U1871" t="s">
        <v>550</v>
      </c>
      <c r="V1871" t="s">
        <v>7139</v>
      </c>
      <c r="W1871" t="s">
        <v>813</v>
      </c>
      <c r="X1871" t="s">
        <v>809</v>
      </c>
      <c r="Y1871" t="s">
        <v>803</v>
      </c>
      <c r="Z1871" t="s">
        <v>7137</v>
      </c>
    </row>
    <row r="1872" spans="1:26" x14ac:dyDescent="0.3">
      <c r="A1872" t="s">
        <v>330</v>
      </c>
      <c r="B1872" t="s">
        <v>7140</v>
      </c>
      <c r="C1872" t="s">
        <v>7141</v>
      </c>
      <c r="D1872" t="s">
        <v>550</v>
      </c>
      <c r="E1872" t="s">
        <v>7142</v>
      </c>
      <c r="F1872" t="s">
        <v>7143</v>
      </c>
      <c r="G1872" s="1">
        <v>44652</v>
      </c>
      <c r="H1872" s="1">
        <v>44657</v>
      </c>
      <c r="I1872" t="s">
        <v>665</v>
      </c>
      <c r="J1872" t="s">
        <v>7144</v>
      </c>
      <c r="K1872" t="s">
        <v>24</v>
      </c>
      <c r="L1872" t="s">
        <v>809</v>
      </c>
      <c r="M1872" t="s">
        <v>810</v>
      </c>
      <c r="N1872" t="s">
        <v>811</v>
      </c>
      <c r="O1872" t="s">
        <v>883</v>
      </c>
      <c r="P1872" t="s">
        <v>884</v>
      </c>
      <c r="Q1872" t="s">
        <v>6565</v>
      </c>
      <c r="R1872" t="s">
        <v>6566</v>
      </c>
      <c r="S1872" t="s">
        <v>803</v>
      </c>
      <c r="T1872" t="s">
        <v>550</v>
      </c>
      <c r="U1872" t="s">
        <v>550</v>
      </c>
      <c r="V1872" t="s">
        <v>7145</v>
      </c>
      <c r="W1872" t="s">
        <v>813</v>
      </c>
      <c r="X1872" t="s">
        <v>809</v>
      </c>
      <c r="Y1872" t="s">
        <v>803</v>
      </c>
      <c r="Z1872" t="s">
        <v>7140</v>
      </c>
    </row>
    <row r="1873" spans="1:26" x14ac:dyDescent="0.3">
      <c r="A1873" t="s">
        <v>330</v>
      </c>
      <c r="B1873" t="s">
        <v>7146</v>
      </c>
      <c r="C1873" t="s">
        <v>7147</v>
      </c>
      <c r="D1873" t="s">
        <v>550</v>
      </c>
      <c r="E1873" t="s">
        <v>7129</v>
      </c>
      <c r="F1873" t="s">
        <v>7148</v>
      </c>
      <c r="G1873" s="1">
        <v>44593</v>
      </c>
      <c r="H1873" s="1">
        <v>44615</v>
      </c>
      <c r="I1873" t="s">
        <v>665</v>
      </c>
      <c r="J1873" t="s">
        <v>7149</v>
      </c>
      <c r="K1873" t="s">
        <v>24</v>
      </c>
      <c r="L1873" t="s">
        <v>809</v>
      </c>
      <c r="M1873" t="s">
        <v>810</v>
      </c>
      <c r="N1873" t="s">
        <v>811</v>
      </c>
      <c r="O1873" t="s">
        <v>883</v>
      </c>
      <c r="P1873" t="s">
        <v>884</v>
      </c>
      <c r="Q1873" t="s">
        <v>6565</v>
      </c>
      <c r="R1873" t="s">
        <v>6566</v>
      </c>
      <c r="S1873" t="s">
        <v>803</v>
      </c>
      <c r="T1873" t="s">
        <v>550</v>
      </c>
      <c r="U1873" t="s">
        <v>550</v>
      </c>
      <c r="V1873" t="s">
        <v>7150</v>
      </c>
      <c r="W1873" t="s">
        <v>813</v>
      </c>
      <c r="X1873" t="s">
        <v>809</v>
      </c>
      <c r="Y1873" t="s">
        <v>803</v>
      </c>
      <c r="Z1873" t="s">
        <v>7146</v>
      </c>
    </row>
    <row r="1874" spans="1:26" x14ac:dyDescent="0.3">
      <c r="A1874" t="s">
        <v>330</v>
      </c>
      <c r="B1874" t="s">
        <v>7151</v>
      </c>
      <c r="C1874" t="s">
        <v>7152</v>
      </c>
      <c r="D1874" t="s">
        <v>550</v>
      </c>
      <c r="E1874" t="s">
        <v>7153</v>
      </c>
      <c r="F1874" t="s">
        <v>7154</v>
      </c>
      <c r="G1874" s="1">
        <v>44713</v>
      </c>
      <c r="H1874" s="1">
        <v>44713</v>
      </c>
      <c r="I1874" t="s">
        <v>665</v>
      </c>
      <c r="J1874" t="s">
        <v>7155</v>
      </c>
      <c r="K1874" t="s">
        <v>24</v>
      </c>
      <c r="L1874" t="s">
        <v>809</v>
      </c>
      <c r="M1874" t="s">
        <v>810</v>
      </c>
      <c r="N1874" t="s">
        <v>811</v>
      </c>
      <c r="O1874" t="s">
        <v>883</v>
      </c>
      <c r="P1874" t="s">
        <v>884</v>
      </c>
      <c r="Q1874" t="s">
        <v>6565</v>
      </c>
      <c r="R1874" t="s">
        <v>6566</v>
      </c>
      <c r="S1874" t="s">
        <v>803</v>
      </c>
      <c r="T1874" t="s">
        <v>550</v>
      </c>
      <c r="U1874" t="s">
        <v>550</v>
      </c>
      <c r="V1874" t="s">
        <v>7156</v>
      </c>
      <c r="W1874" t="s">
        <v>813</v>
      </c>
      <c r="X1874" t="s">
        <v>809</v>
      </c>
      <c r="Y1874" t="s">
        <v>803</v>
      </c>
      <c r="Z1874" t="s">
        <v>7151</v>
      </c>
    </row>
    <row r="1875" spans="1:26" x14ac:dyDescent="0.3">
      <c r="A1875" t="s">
        <v>330</v>
      </c>
      <c r="B1875" t="s">
        <v>7157</v>
      </c>
      <c r="C1875" t="s">
        <v>7158</v>
      </c>
      <c r="D1875" t="s">
        <v>7151</v>
      </c>
      <c r="E1875" t="s">
        <v>7153</v>
      </c>
      <c r="F1875" t="s">
        <v>7154</v>
      </c>
      <c r="G1875" s="1">
        <v>44713</v>
      </c>
      <c r="H1875" s="1">
        <v>44720</v>
      </c>
      <c r="I1875" t="s">
        <v>665</v>
      </c>
      <c r="J1875" t="s">
        <v>7155</v>
      </c>
      <c r="K1875" t="s">
        <v>24</v>
      </c>
      <c r="L1875" t="s">
        <v>809</v>
      </c>
      <c r="M1875" t="s">
        <v>810</v>
      </c>
      <c r="N1875" t="s">
        <v>811</v>
      </c>
      <c r="O1875" t="s">
        <v>883</v>
      </c>
      <c r="P1875" t="s">
        <v>884</v>
      </c>
      <c r="Q1875" t="s">
        <v>6565</v>
      </c>
      <c r="R1875" t="s">
        <v>6566</v>
      </c>
      <c r="S1875" t="s">
        <v>803</v>
      </c>
      <c r="T1875" t="s">
        <v>550</v>
      </c>
      <c r="U1875" t="s">
        <v>550</v>
      </c>
      <c r="V1875" t="s">
        <v>7159</v>
      </c>
      <c r="W1875" t="s">
        <v>813</v>
      </c>
      <c r="X1875" t="s">
        <v>809</v>
      </c>
      <c r="Y1875" t="s">
        <v>803</v>
      </c>
      <c r="Z1875" t="s">
        <v>7157</v>
      </c>
    </row>
    <row r="1876" spans="1:26" x14ac:dyDescent="0.3">
      <c r="A1876" t="s">
        <v>330</v>
      </c>
      <c r="B1876" t="s">
        <v>7160</v>
      </c>
      <c r="C1876" t="s">
        <v>7161</v>
      </c>
      <c r="D1876" t="s">
        <v>550</v>
      </c>
      <c r="E1876" t="s">
        <v>7162</v>
      </c>
      <c r="F1876" t="s">
        <v>7163</v>
      </c>
      <c r="G1876" s="1">
        <v>44713</v>
      </c>
      <c r="H1876" s="1">
        <v>44727</v>
      </c>
      <c r="I1876" t="s">
        <v>665</v>
      </c>
      <c r="J1876" t="s">
        <v>7164</v>
      </c>
      <c r="K1876" t="s">
        <v>24</v>
      </c>
      <c r="L1876" t="s">
        <v>809</v>
      </c>
      <c r="M1876" t="s">
        <v>810</v>
      </c>
      <c r="N1876" t="s">
        <v>811</v>
      </c>
      <c r="O1876" t="s">
        <v>883</v>
      </c>
      <c r="P1876" t="s">
        <v>884</v>
      </c>
      <c r="Q1876" t="s">
        <v>6565</v>
      </c>
      <c r="R1876" t="s">
        <v>6566</v>
      </c>
      <c r="S1876" t="s">
        <v>803</v>
      </c>
      <c r="T1876" t="s">
        <v>550</v>
      </c>
      <c r="U1876" t="s">
        <v>550</v>
      </c>
      <c r="V1876" t="s">
        <v>7165</v>
      </c>
      <c r="W1876" t="s">
        <v>813</v>
      </c>
      <c r="X1876" t="s">
        <v>809</v>
      </c>
      <c r="Y1876" t="s">
        <v>803</v>
      </c>
      <c r="Z1876" t="s">
        <v>7160</v>
      </c>
    </row>
    <row r="1877" spans="1:26" x14ac:dyDescent="0.3">
      <c r="A1877" t="s">
        <v>330</v>
      </c>
      <c r="B1877" t="s">
        <v>7166</v>
      </c>
      <c r="C1877" t="s">
        <v>7167</v>
      </c>
      <c r="D1877" t="s">
        <v>7168</v>
      </c>
      <c r="E1877" t="s">
        <v>6417</v>
      </c>
      <c r="F1877" t="s">
        <v>1040</v>
      </c>
      <c r="G1877" s="1">
        <v>44197</v>
      </c>
      <c r="H1877" s="1">
        <v>47270</v>
      </c>
      <c r="I1877" t="s">
        <v>665</v>
      </c>
      <c r="J1877" t="s">
        <v>6418</v>
      </c>
      <c r="K1877" t="s">
        <v>958</v>
      </c>
      <c r="L1877" t="s">
        <v>6419</v>
      </c>
      <c r="M1877" t="s">
        <v>6593</v>
      </c>
      <c r="N1877" t="s">
        <v>6594</v>
      </c>
      <c r="O1877" t="s">
        <v>6961</v>
      </c>
      <c r="P1877" t="s">
        <v>6962</v>
      </c>
      <c r="Q1877" t="s">
        <v>6565</v>
      </c>
      <c r="R1877" t="s">
        <v>6566</v>
      </c>
      <c r="S1877" t="s">
        <v>7169</v>
      </c>
      <c r="T1877" t="s">
        <v>550</v>
      </c>
      <c r="U1877" t="s">
        <v>550</v>
      </c>
      <c r="V1877" t="s">
        <v>7170</v>
      </c>
      <c r="W1877" t="s">
        <v>7171</v>
      </c>
      <c r="X1877" t="s">
        <v>6451</v>
      </c>
      <c r="Y1877" t="s">
        <v>6452</v>
      </c>
      <c r="Z1877" t="s">
        <v>7166</v>
      </c>
    </row>
    <row r="1878" spans="1:26" x14ac:dyDescent="0.3">
      <c r="A1878" t="s">
        <v>330</v>
      </c>
      <c r="B1878" t="s">
        <v>7172</v>
      </c>
      <c r="C1878" t="s">
        <v>6475</v>
      </c>
      <c r="D1878" t="s">
        <v>7168</v>
      </c>
      <c r="E1878" t="s">
        <v>6417</v>
      </c>
      <c r="F1878" t="s">
        <v>1040</v>
      </c>
      <c r="G1878" s="1">
        <v>44197</v>
      </c>
      <c r="H1878" s="1">
        <v>44266</v>
      </c>
      <c r="I1878" t="s">
        <v>665</v>
      </c>
      <c r="J1878" t="s">
        <v>6418</v>
      </c>
      <c r="K1878" t="s">
        <v>958</v>
      </c>
      <c r="L1878" t="s">
        <v>6419</v>
      </c>
      <c r="M1878" t="s">
        <v>6593</v>
      </c>
      <c r="N1878" t="s">
        <v>6594</v>
      </c>
      <c r="O1878" t="s">
        <v>6961</v>
      </c>
      <c r="P1878" t="s">
        <v>6962</v>
      </c>
      <c r="Q1878" t="s">
        <v>6565</v>
      </c>
      <c r="R1878" t="s">
        <v>6566</v>
      </c>
      <c r="S1878" t="s">
        <v>7169</v>
      </c>
      <c r="T1878" t="s">
        <v>550</v>
      </c>
      <c r="U1878" t="s">
        <v>550</v>
      </c>
      <c r="V1878" t="s">
        <v>7173</v>
      </c>
      <c r="W1878" t="s">
        <v>7171</v>
      </c>
      <c r="X1878" t="s">
        <v>6451</v>
      </c>
      <c r="Y1878" t="s">
        <v>6452</v>
      </c>
      <c r="Z1878" t="s">
        <v>7172</v>
      </c>
    </row>
    <row r="1879" spans="1:26" x14ac:dyDescent="0.3">
      <c r="A1879" t="s">
        <v>330</v>
      </c>
      <c r="B1879" t="s">
        <v>7174</v>
      </c>
      <c r="C1879" t="s">
        <v>7175</v>
      </c>
      <c r="D1879" t="s">
        <v>7176</v>
      </c>
      <c r="E1879" t="s">
        <v>7177</v>
      </c>
      <c r="F1879" t="s">
        <v>3223</v>
      </c>
      <c r="G1879" s="1">
        <v>44743</v>
      </c>
      <c r="H1879" s="1">
        <v>44749</v>
      </c>
      <c r="I1879" t="s">
        <v>665</v>
      </c>
      <c r="J1879" t="s">
        <v>7178</v>
      </c>
      <c r="K1879" t="s">
        <v>4782</v>
      </c>
      <c r="L1879" t="s">
        <v>809</v>
      </c>
      <c r="M1879" t="s">
        <v>810</v>
      </c>
      <c r="N1879" t="s">
        <v>811</v>
      </c>
      <c r="O1879" t="s">
        <v>883</v>
      </c>
      <c r="P1879" t="s">
        <v>884</v>
      </c>
      <c r="Q1879" t="s">
        <v>6565</v>
      </c>
      <c r="R1879" t="s">
        <v>6566</v>
      </c>
      <c r="S1879" t="s">
        <v>803</v>
      </c>
      <c r="T1879" t="s">
        <v>550</v>
      </c>
      <c r="U1879" t="s">
        <v>550</v>
      </c>
      <c r="V1879" t="s">
        <v>7179</v>
      </c>
      <c r="W1879" t="s">
        <v>813</v>
      </c>
      <c r="X1879" t="s">
        <v>809</v>
      </c>
      <c r="Y1879" t="s">
        <v>803</v>
      </c>
      <c r="Z1879" t="s">
        <v>7174</v>
      </c>
    </row>
    <row r="1880" spans="1:26" x14ac:dyDescent="0.3">
      <c r="A1880" t="s">
        <v>330</v>
      </c>
      <c r="B1880" t="s">
        <v>7180</v>
      </c>
      <c r="C1880" t="s">
        <v>7181</v>
      </c>
      <c r="D1880" t="s">
        <v>550</v>
      </c>
      <c r="E1880" t="s">
        <v>7142</v>
      </c>
      <c r="F1880" t="s">
        <v>7143</v>
      </c>
      <c r="G1880" s="1">
        <v>44830</v>
      </c>
      <c r="H1880" s="1">
        <v>44845</v>
      </c>
      <c r="I1880" t="s">
        <v>665</v>
      </c>
      <c r="J1880" t="s">
        <v>7144</v>
      </c>
      <c r="K1880" t="s">
        <v>24</v>
      </c>
      <c r="L1880" t="s">
        <v>809</v>
      </c>
      <c r="M1880" t="s">
        <v>810</v>
      </c>
      <c r="N1880" t="s">
        <v>811</v>
      </c>
      <c r="O1880" t="s">
        <v>883</v>
      </c>
      <c r="P1880" t="s">
        <v>884</v>
      </c>
      <c r="Q1880" t="s">
        <v>6565</v>
      </c>
      <c r="R1880" t="s">
        <v>6566</v>
      </c>
      <c r="S1880" t="s">
        <v>803</v>
      </c>
      <c r="T1880" t="s">
        <v>550</v>
      </c>
      <c r="U1880" t="s">
        <v>550</v>
      </c>
      <c r="V1880" t="s">
        <v>7182</v>
      </c>
      <c r="W1880" t="s">
        <v>813</v>
      </c>
      <c r="X1880" t="s">
        <v>809</v>
      </c>
      <c r="Y1880" t="s">
        <v>803</v>
      </c>
      <c r="Z1880" t="s">
        <v>7180</v>
      </c>
    </row>
    <row r="1881" spans="1:26" x14ac:dyDescent="0.3">
      <c r="A1881" t="s">
        <v>330</v>
      </c>
      <c r="B1881" t="s">
        <v>7183</v>
      </c>
      <c r="C1881" t="s">
        <v>7184</v>
      </c>
      <c r="D1881" t="s">
        <v>550</v>
      </c>
      <c r="E1881" t="s">
        <v>7185</v>
      </c>
      <c r="F1881" t="s">
        <v>2129</v>
      </c>
      <c r="G1881" s="1">
        <v>44837</v>
      </c>
      <c r="H1881" s="1">
        <v>44838</v>
      </c>
      <c r="I1881" t="s">
        <v>665</v>
      </c>
      <c r="J1881" t="s">
        <v>7186</v>
      </c>
      <c r="K1881" t="s">
        <v>862</v>
      </c>
      <c r="L1881" t="s">
        <v>809</v>
      </c>
      <c r="M1881" t="s">
        <v>810</v>
      </c>
      <c r="N1881" t="s">
        <v>811</v>
      </c>
      <c r="O1881" t="s">
        <v>883</v>
      </c>
      <c r="P1881" t="s">
        <v>884</v>
      </c>
      <c r="Q1881" t="s">
        <v>6565</v>
      </c>
      <c r="R1881" t="s">
        <v>6566</v>
      </c>
      <c r="S1881" t="s">
        <v>803</v>
      </c>
      <c r="T1881" t="s">
        <v>550</v>
      </c>
      <c r="U1881" t="s">
        <v>550</v>
      </c>
      <c r="V1881" t="s">
        <v>7187</v>
      </c>
      <c r="W1881" t="s">
        <v>813</v>
      </c>
      <c r="X1881" t="s">
        <v>809</v>
      </c>
      <c r="Y1881" t="s">
        <v>803</v>
      </c>
      <c r="Z1881" t="s">
        <v>7183</v>
      </c>
    </row>
    <row r="1882" spans="1:26" x14ac:dyDescent="0.3">
      <c r="A1882" t="s">
        <v>330</v>
      </c>
      <c r="B1882" t="s">
        <v>7188</v>
      </c>
      <c r="C1882" t="s">
        <v>7189</v>
      </c>
      <c r="D1882" t="s">
        <v>550</v>
      </c>
      <c r="E1882" t="s">
        <v>7190</v>
      </c>
      <c r="F1882" t="s">
        <v>7191</v>
      </c>
      <c r="G1882" s="1">
        <v>44805</v>
      </c>
      <c r="H1882" s="1">
        <v>44805</v>
      </c>
      <c r="I1882" t="s">
        <v>665</v>
      </c>
      <c r="J1882" t="s">
        <v>7192</v>
      </c>
      <c r="K1882" t="s">
        <v>958</v>
      </c>
      <c r="L1882" t="s">
        <v>809</v>
      </c>
      <c r="M1882" t="s">
        <v>881</v>
      </c>
      <c r="N1882" t="s">
        <v>882</v>
      </c>
      <c r="O1882" t="s">
        <v>883</v>
      </c>
      <c r="P1882" t="s">
        <v>884</v>
      </c>
      <c r="Q1882" t="s">
        <v>6565</v>
      </c>
      <c r="R1882" t="s">
        <v>6566</v>
      </c>
      <c r="S1882" t="s">
        <v>803</v>
      </c>
      <c r="T1882" t="s">
        <v>550</v>
      </c>
      <c r="U1882" t="s">
        <v>550</v>
      </c>
      <c r="V1882" t="s">
        <v>7193</v>
      </c>
      <c r="W1882" t="s">
        <v>7194</v>
      </c>
      <c r="X1882" t="s">
        <v>809</v>
      </c>
      <c r="Y1882" t="s">
        <v>7099</v>
      </c>
      <c r="Z1882" t="s">
        <v>7188</v>
      </c>
    </row>
    <row r="1883" spans="1:26" x14ac:dyDescent="0.3">
      <c r="A1883" t="s">
        <v>330</v>
      </c>
      <c r="B1883" t="s">
        <v>7195</v>
      </c>
      <c r="C1883" t="s">
        <v>7196</v>
      </c>
      <c r="D1883" t="s">
        <v>550</v>
      </c>
      <c r="E1883" t="s">
        <v>816</v>
      </c>
      <c r="F1883" t="s">
        <v>817</v>
      </c>
      <c r="G1883" s="1">
        <v>45292</v>
      </c>
      <c r="H1883" s="1">
        <v>45292</v>
      </c>
      <c r="I1883" t="s">
        <v>665</v>
      </c>
      <c r="J1883" t="s">
        <v>816</v>
      </c>
      <c r="K1883" t="s">
        <v>900</v>
      </c>
      <c r="L1883" t="s">
        <v>217</v>
      </c>
      <c r="M1883" t="s">
        <v>936</v>
      </c>
      <c r="N1883" t="s">
        <v>937</v>
      </c>
      <c r="O1883" t="s">
        <v>883</v>
      </c>
      <c r="P1883" t="s">
        <v>884</v>
      </c>
      <c r="Q1883" t="s">
        <v>6565</v>
      </c>
      <c r="R1883" t="s">
        <v>6566</v>
      </c>
      <c r="S1883" t="s">
        <v>550</v>
      </c>
      <c r="T1883" t="s">
        <v>550</v>
      </c>
      <c r="U1883" t="s">
        <v>550</v>
      </c>
      <c r="V1883" t="s">
        <v>7197</v>
      </c>
      <c r="W1883" t="s">
        <v>941</v>
      </c>
      <c r="Z1883" t="s">
        <v>7195</v>
      </c>
    </row>
    <row r="1884" spans="1:26" x14ac:dyDescent="0.3">
      <c r="A1884" t="s">
        <v>330</v>
      </c>
      <c r="B1884" t="s">
        <v>7198</v>
      </c>
      <c r="C1884" t="s">
        <v>943</v>
      </c>
      <c r="D1884" t="s">
        <v>7195</v>
      </c>
      <c r="E1884" t="s">
        <v>816</v>
      </c>
      <c r="F1884" t="s">
        <v>817</v>
      </c>
      <c r="G1884" s="1">
        <v>45292</v>
      </c>
      <c r="H1884" s="1">
        <v>45341</v>
      </c>
      <c r="I1884" t="s">
        <v>665</v>
      </c>
      <c r="J1884" t="s">
        <v>816</v>
      </c>
      <c r="K1884" t="s">
        <v>900</v>
      </c>
      <c r="L1884" t="s">
        <v>217</v>
      </c>
      <c r="M1884" t="s">
        <v>936</v>
      </c>
      <c r="N1884" t="s">
        <v>937</v>
      </c>
      <c r="O1884" t="s">
        <v>883</v>
      </c>
      <c r="P1884" t="s">
        <v>884</v>
      </c>
      <c r="Q1884" t="s">
        <v>6565</v>
      </c>
      <c r="R1884" t="s">
        <v>6566</v>
      </c>
      <c r="S1884" t="s">
        <v>550</v>
      </c>
      <c r="T1884" t="s">
        <v>550</v>
      </c>
      <c r="U1884" t="s">
        <v>550</v>
      </c>
      <c r="V1884" t="s">
        <v>7199</v>
      </c>
      <c r="W1884" t="s">
        <v>941</v>
      </c>
      <c r="Z1884" t="s">
        <v>7198</v>
      </c>
    </row>
    <row r="1885" spans="1:26" x14ac:dyDescent="0.3">
      <c r="A1885" t="s">
        <v>330</v>
      </c>
      <c r="B1885" t="s">
        <v>7200</v>
      </c>
      <c r="C1885" t="s">
        <v>7201</v>
      </c>
      <c r="D1885" t="s">
        <v>550</v>
      </c>
      <c r="E1885" t="s">
        <v>7202</v>
      </c>
      <c r="F1885" t="s">
        <v>7203</v>
      </c>
      <c r="G1885" s="1">
        <v>43374</v>
      </c>
      <c r="H1885" s="1">
        <v>43433</v>
      </c>
      <c r="I1885" t="s">
        <v>665</v>
      </c>
      <c r="J1885" t="s">
        <v>7204</v>
      </c>
      <c r="K1885" t="s">
        <v>24</v>
      </c>
      <c r="L1885" t="s">
        <v>809</v>
      </c>
      <c r="M1885" t="s">
        <v>883</v>
      </c>
      <c r="N1885" t="s">
        <v>884</v>
      </c>
      <c r="O1885" t="s">
        <v>883</v>
      </c>
      <c r="P1885" t="s">
        <v>884</v>
      </c>
      <c r="Q1885" t="s">
        <v>6565</v>
      </c>
      <c r="R1885" t="s">
        <v>6566</v>
      </c>
      <c r="S1885" t="s">
        <v>803</v>
      </c>
      <c r="T1885" t="s">
        <v>550</v>
      </c>
      <c r="U1885" t="s">
        <v>550</v>
      </c>
      <c r="V1885" t="s">
        <v>7205</v>
      </c>
      <c r="W1885" t="s">
        <v>7092</v>
      </c>
      <c r="X1885" t="s">
        <v>809</v>
      </c>
      <c r="Y1885" t="s">
        <v>803</v>
      </c>
      <c r="Z1885" t="s">
        <v>7200</v>
      </c>
    </row>
    <row r="1886" spans="1:26" x14ac:dyDescent="0.3">
      <c r="A1886" t="s">
        <v>330</v>
      </c>
      <c r="B1886" t="s">
        <v>7206</v>
      </c>
      <c r="C1886" t="s">
        <v>7207</v>
      </c>
      <c r="D1886" t="s">
        <v>550</v>
      </c>
      <c r="E1886" t="s">
        <v>6417</v>
      </c>
      <c r="F1886" t="s">
        <v>1040</v>
      </c>
      <c r="G1886" s="1">
        <v>43467</v>
      </c>
      <c r="H1886" s="1">
        <v>43830</v>
      </c>
      <c r="I1886" t="s">
        <v>665</v>
      </c>
      <c r="J1886" t="s">
        <v>6418</v>
      </c>
      <c r="K1886" t="s">
        <v>24</v>
      </c>
      <c r="L1886" t="s">
        <v>809</v>
      </c>
      <c r="M1886" t="s">
        <v>883</v>
      </c>
      <c r="N1886" t="s">
        <v>884</v>
      </c>
      <c r="O1886" t="s">
        <v>883</v>
      </c>
      <c r="P1886" t="s">
        <v>884</v>
      </c>
      <c r="Q1886" t="s">
        <v>6565</v>
      </c>
      <c r="R1886" t="s">
        <v>6566</v>
      </c>
      <c r="S1886" t="s">
        <v>7208</v>
      </c>
      <c r="T1886" t="s">
        <v>550</v>
      </c>
      <c r="U1886" t="s">
        <v>550</v>
      </c>
      <c r="V1886" t="s">
        <v>7209</v>
      </c>
      <c r="W1886" t="s">
        <v>7092</v>
      </c>
      <c r="X1886" t="s">
        <v>809</v>
      </c>
      <c r="Y1886" t="s">
        <v>803</v>
      </c>
      <c r="Z1886" t="s">
        <v>7206</v>
      </c>
    </row>
    <row r="1887" spans="1:26" x14ac:dyDescent="0.3">
      <c r="A1887" t="s">
        <v>330</v>
      </c>
      <c r="B1887" t="s">
        <v>7210</v>
      </c>
      <c r="C1887" t="s">
        <v>7211</v>
      </c>
      <c r="D1887" t="s">
        <v>7212</v>
      </c>
      <c r="E1887" t="s">
        <v>6417</v>
      </c>
      <c r="F1887" t="s">
        <v>1040</v>
      </c>
      <c r="G1887" s="1">
        <v>43102</v>
      </c>
      <c r="H1887" s="1">
        <v>43465</v>
      </c>
      <c r="I1887" t="s">
        <v>665</v>
      </c>
      <c r="J1887" t="s">
        <v>6418</v>
      </c>
      <c r="K1887" t="s">
        <v>958</v>
      </c>
      <c r="L1887" t="s">
        <v>6419</v>
      </c>
      <c r="M1887" t="s">
        <v>883</v>
      </c>
      <c r="N1887" t="s">
        <v>884</v>
      </c>
      <c r="O1887" t="s">
        <v>883</v>
      </c>
      <c r="P1887" t="s">
        <v>884</v>
      </c>
      <c r="Q1887" t="s">
        <v>6565</v>
      </c>
      <c r="R1887" t="s">
        <v>6566</v>
      </c>
      <c r="S1887" t="s">
        <v>7213</v>
      </c>
      <c r="T1887" t="s">
        <v>550</v>
      </c>
      <c r="U1887" t="s">
        <v>550</v>
      </c>
      <c r="V1887" t="s">
        <v>7214</v>
      </c>
      <c r="W1887" t="s">
        <v>6972</v>
      </c>
      <c r="X1887" t="s">
        <v>6451</v>
      </c>
      <c r="Y1887" t="s">
        <v>6452</v>
      </c>
      <c r="Z1887" t="s">
        <v>7210</v>
      </c>
    </row>
    <row r="1888" spans="1:26" x14ac:dyDescent="0.3">
      <c r="A1888" t="s">
        <v>330</v>
      </c>
      <c r="B1888" t="s">
        <v>7133</v>
      </c>
      <c r="C1888" t="s">
        <v>7215</v>
      </c>
      <c r="D1888" t="s">
        <v>550</v>
      </c>
      <c r="E1888" t="s">
        <v>807</v>
      </c>
      <c r="F1888" t="s">
        <v>7134</v>
      </c>
      <c r="G1888" s="1">
        <v>44562</v>
      </c>
      <c r="H1888" s="1">
        <v>44562</v>
      </c>
      <c r="I1888" t="s">
        <v>665</v>
      </c>
      <c r="J1888" t="s">
        <v>7135</v>
      </c>
      <c r="K1888" t="s">
        <v>808</v>
      </c>
      <c r="L1888" t="s">
        <v>809</v>
      </c>
      <c r="M1888" t="s">
        <v>883</v>
      </c>
      <c r="N1888" t="s">
        <v>884</v>
      </c>
      <c r="O1888" t="s">
        <v>883</v>
      </c>
      <c r="P1888" t="s">
        <v>884</v>
      </c>
      <c r="Q1888" t="s">
        <v>6565</v>
      </c>
      <c r="R1888" t="s">
        <v>6566</v>
      </c>
      <c r="S1888" t="s">
        <v>803</v>
      </c>
      <c r="T1888" t="s">
        <v>550</v>
      </c>
      <c r="U1888" t="s">
        <v>550</v>
      </c>
      <c r="V1888" t="s">
        <v>7216</v>
      </c>
      <c r="W1888" t="s">
        <v>7092</v>
      </c>
      <c r="X1888" t="s">
        <v>809</v>
      </c>
      <c r="Y1888" t="s">
        <v>803</v>
      </c>
      <c r="Z1888" t="s">
        <v>7133</v>
      </c>
    </row>
    <row r="1889" spans="1:26" x14ac:dyDescent="0.3">
      <c r="A1889" t="s">
        <v>330</v>
      </c>
      <c r="B1889" t="s">
        <v>7217</v>
      </c>
      <c r="C1889" t="s">
        <v>7218</v>
      </c>
      <c r="D1889" t="s">
        <v>7133</v>
      </c>
      <c r="E1889" t="s">
        <v>807</v>
      </c>
      <c r="F1889" t="s">
        <v>7134</v>
      </c>
      <c r="G1889" s="1">
        <v>44562</v>
      </c>
      <c r="H1889" s="1">
        <v>44580</v>
      </c>
      <c r="I1889" t="s">
        <v>665</v>
      </c>
      <c r="J1889" t="s">
        <v>7135</v>
      </c>
      <c r="K1889" t="s">
        <v>808</v>
      </c>
      <c r="L1889" t="s">
        <v>809</v>
      </c>
      <c r="M1889" t="s">
        <v>883</v>
      </c>
      <c r="N1889" t="s">
        <v>884</v>
      </c>
      <c r="O1889" t="s">
        <v>883</v>
      </c>
      <c r="P1889" t="s">
        <v>884</v>
      </c>
      <c r="Q1889" t="s">
        <v>6565</v>
      </c>
      <c r="R1889" t="s">
        <v>6566</v>
      </c>
      <c r="S1889" t="s">
        <v>803</v>
      </c>
      <c r="T1889" t="s">
        <v>550</v>
      </c>
      <c r="U1889" t="s">
        <v>550</v>
      </c>
      <c r="V1889" t="s">
        <v>7219</v>
      </c>
      <c r="W1889" t="s">
        <v>7092</v>
      </c>
      <c r="X1889" t="s">
        <v>809</v>
      </c>
      <c r="Y1889" t="s">
        <v>803</v>
      </c>
      <c r="Z1889" t="s">
        <v>7217</v>
      </c>
    </row>
    <row r="1890" spans="1:26" x14ac:dyDescent="0.3">
      <c r="A1890" t="s">
        <v>330</v>
      </c>
      <c r="B1890" t="s">
        <v>7220</v>
      </c>
      <c r="C1890" t="s">
        <v>7221</v>
      </c>
      <c r="D1890" t="s">
        <v>550</v>
      </c>
      <c r="E1890" t="s">
        <v>6417</v>
      </c>
      <c r="F1890" t="s">
        <v>1040</v>
      </c>
      <c r="G1890" s="1">
        <v>44562</v>
      </c>
      <c r="H1890" s="1">
        <v>44562</v>
      </c>
      <c r="I1890" t="s">
        <v>665</v>
      </c>
      <c r="J1890" t="s">
        <v>6418</v>
      </c>
      <c r="K1890" t="s">
        <v>958</v>
      </c>
      <c r="L1890" t="s">
        <v>6419</v>
      </c>
      <c r="M1890" t="s">
        <v>883</v>
      </c>
      <c r="N1890" t="s">
        <v>884</v>
      </c>
      <c r="O1890" t="s">
        <v>883</v>
      </c>
      <c r="P1890" t="s">
        <v>884</v>
      </c>
      <c r="Q1890" t="s">
        <v>6565</v>
      </c>
      <c r="R1890" t="s">
        <v>6566</v>
      </c>
      <c r="S1890" t="s">
        <v>7222</v>
      </c>
      <c r="T1890" t="s">
        <v>550</v>
      </c>
      <c r="U1890" t="s">
        <v>550</v>
      </c>
      <c r="V1890" t="s">
        <v>7223</v>
      </c>
      <c r="W1890" t="s">
        <v>7092</v>
      </c>
      <c r="X1890" t="s">
        <v>6451</v>
      </c>
      <c r="Y1890" t="s">
        <v>6452</v>
      </c>
      <c r="Z1890" t="s">
        <v>7220</v>
      </c>
    </row>
    <row r="1891" spans="1:26" x14ac:dyDescent="0.3">
      <c r="A1891" t="s">
        <v>330</v>
      </c>
      <c r="B1891" t="s">
        <v>7224</v>
      </c>
      <c r="C1891" t="s">
        <v>7225</v>
      </c>
      <c r="D1891" t="s">
        <v>7195</v>
      </c>
      <c r="E1891" t="s">
        <v>816</v>
      </c>
      <c r="F1891" t="s">
        <v>817</v>
      </c>
      <c r="G1891" s="1">
        <v>45383</v>
      </c>
      <c r="H1891" s="1">
        <v>45383</v>
      </c>
      <c r="I1891" t="s">
        <v>665</v>
      </c>
      <c r="J1891" t="s">
        <v>816</v>
      </c>
      <c r="K1891" t="s">
        <v>900</v>
      </c>
      <c r="L1891" t="s">
        <v>19</v>
      </c>
      <c r="M1891" t="s">
        <v>7226</v>
      </c>
      <c r="N1891" t="s">
        <v>7227</v>
      </c>
      <c r="O1891" t="s">
        <v>883</v>
      </c>
      <c r="P1891" t="s">
        <v>884</v>
      </c>
      <c r="Q1891" t="s">
        <v>6565</v>
      </c>
      <c r="R1891" t="s">
        <v>6566</v>
      </c>
      <c r="S1891" t="s">
        <v>550</v>
      </c>
      <c r="T1891" t="s">
        <v>550</v>
      </c>
      <c r="U1891" t="s">
        <v>550</v>
      </c>
      <c r="V1891" t="s">
        <v>7228</v>
      </c>
      <c r="W1891" t="s">
        <v>941</v>
      </c>
      <c r="Z1891" t="s">
        <v>7224</v>
      </c>
    </row>
    <row r="1892" spans="1:26" x14ac:dyDescent="0.3">
      <c r="A1892" t="s">
        <v>330</v>
      </c>
      <c r="B1892" t="s">
        <v>7229</v>
      </c>
      <c r="C1892" t="s">
        <v>7230</v>
      </c>
      <c r="D1892" t="s">
        <v>7231</v>
      </c>
      <c r="E1892" t="s">
        <v>6417</v>
      </c>
      <c r="F1892" t="s">
        <v>1040</v>
      </c>
      <c r="G1892" s="1">
        <v>44562</v>
      </c>
      <c r="H1892" s="1">
        <v>44562</v>
      </c>
      <c r="I1892" t="s">
        <v>665</v>
      </c>
      <c r="J1892" t="s">
        <v>6418</v>
      </c>
      <c r="K1892" t="s">
        <v>958</v>
      </c>
      <c r="L1892" t="s">
        <v>6419</v>
      </c>
      <c r="M1892" t="s">
        <v>6536</v>
      </c>
      <c r="N1892" t="s">
        <v>6537</v>
      </c>
      <c r="O1892" t="s">
        <v>6961</v>
      </c>
      <c r="P1892" t="s">
        <v>6962</v>
      </c>
      <c r="Q1892" t="s">
        <v>6565</v>
      </c>
      <c r="R1892" t="s">
        <v>6566</v>
      </c>
      <c r="S1892" t="s">
        <v>7232</v>
      </c>
      <c r="T1892" t="s">
        <v>550</v>
      </c>
      <c r="U1892" t="s">
        <v>550</v>
      </c>
      <c r="V1892" t="s">
        <v>7233</v>
      </c>
      <c r="W1892" t="s">
        <v>6972</v>
      </c>
      <c r="X1892" t="s">
        <v>6451</v>
      </c>
      <c r="Y1892" t="s">
        <v>6452</v>
      </c>
      <c r="Z1892" t="s">
        <v>7229</v>
      </c>
    </row>
    <row r="1893" spans="1:26" x14ac:dyDescent="0.3">
      <c r="A1893" t="s">
        <v>330</v>
      </c>
      <c r="B1893" t="s">
        <v>7234</v>
      </c>
      <c r="C1893" t="s">
        <v>7235</v>
      </c>
      <c r="D1893" t="s">
        <v>550</v>
      </c>
      <c r="E1893" t="s">
        <v>7236</v>
      </c>
      <c r="F1893" t="s">
        <v>7237</v>
      </c>
      <c r="G1893" s="1">
        <v>44837</v>
      </c>
      <c r="H1893" s="1">
        <v>44886</v>
      </c>
      <c r="I1893" t="s">
        <v>665</v>
      </c>
      <c r="J1893" t="s">
        <v>7238</v>
      </c>
      <c r="K1893" t="s">
        <v>808</v>
      </c>
      <c r="L1893" t="s">
        <v>809</v>
      </c>
      <c r="M1893" t="s">
        <v>881</v>
      </c>
      <c r="N1893" t="s">
        <v>882</v>
      </c>
      <c r="O1893" t="s">
        <v>883</v>
      </c>
      <c r="P1893" t="s">
        <v>884</v>
      </c>
      <c r="Q1893" t="s">
        <v>6565</v>
      </c>
      <c r="R1893" t="s">
        <v>6566</v>
      </c>
      <c r="S1893" t="s">
        <v>803</v>
      </c>
      <c r="T1893" t="s">
        <v>550</v>
      </c>
      <c r="U1893" t="s">
        <v>550</v>
      </c>
      <c r="V1893" t="s">
        <v>7239</v>
      </c>
      <c r="W1893" t="s">
        <v>886</v>
      </c>
      <c r="X1893" t="s">
        <v>809</v>
      </c>
      <c r="Y1893" t="s">
        <v>803</v>
      </c>
      <c r="Z1893" t="s">
        <v>7234</v>
      </c>
    </row>
    <row r="1894" spans="1:26" x14ac:dyDescent="0.3">
      <c r="A1894" t="s">
        <v>330</v>
      </c>
      <c r="B1894" t="s">
        <v>7240</v>
      </c>
      <c r="C1894" t="s">
        <v>7241</v>
      </c>
      <c r="D1894" t="s">
        <v>7133</v>
      </c>
      <c r="E1894" t="s">
        <v>807</v>
      </c>
      <c r="F1894" t="s">
        <v>7134</v>
      </c>
      <c r="G1894" s="1">
        <v>44562</v>
      </c>
      <c r="H1894" s="1">
        <v>44639</v>
      </c>
      <c r="I1894" t="s">
        <v>665</v>
      </c>
      <c r="J1894" t="s">
        <v>7135</v>
      </c>
      <c r="K1894" t="s">
        <v>808</v>
      </c>
      <c r="L1894" t="s">
        <v>809</v>
      </c>
      <c r="M1894" t="s">
        <v>881</v>
      </c>
      <c r="N1894" t="s">
        <v>882</v>
      </c>
      <c r="O1894" t="s">
        <v>883</v>
      </c>
      <c r="P1894" t="s">
        <v>884</v>
      </c>
      <c r="Q1894" t="s">
        <v>6565</v>
      </c>
      <c r="R1894" t="s">
        <v>6566</v>
      </c>
      <c r="S1894" t="s">
        <v>803</v>
      </c>
      <c r="T1894" t="s">
        <v>550</v>
      </c>
      <c r="U1894" t="s">
        <v>550</v>
      </c>
      <c r="V1894" t="s">
        <v>7242</v>
      </c>
      <c r="W1894" t="s">
        <v>886</v>
      </c>
      <c r="X1894" t="s">
        <v>809</v>
      </c>
      <c r="Y1894" t="s">
        <v>803</v>
      </c>
      <c r="Z1894" t="s">
        <v>7240</v>
      </c>
    </row>
    <row r="1895" spans="1:26" x14ac:dyDescent="0.3">
      <c r="A1895" t="s">
        <v>330</v>
      </c>
      <c r="B1895" t="s">
        <v>7243</v>
      </c>
      <c r="C1895" t="s">
        <v>7244</v>
      </c>
      <c r="D1895" t="s">
        <v>876</v>
      </c>
      <c r="E1895" t="s">
        <v>878</v>
      </c>
      <c r="F1895" t="s">
        <v>879</v>
      </c>
      <c r="G1895" s="1">
        <v>44844</v>
      </c>
      <c r="H1895" s="1">
        <v>44846</v>
      </c>
      <c r="I1895" t="s">
        <v>665</v>
      </c>
      <c r="J1895" t="s">
        <v>880</v>
      </c>
      <c r="K1895" t="s">
        <v>862</v>
      </c>
      <c r="L1895" t="s">
        <v>809</v>
      </c>
      <c r="M1895" t="s">
        <v>881</v>
      </c>
      <c r="N1895" t="s">
        <v>882</v>
      </c>
      <c r="O1895" t="s">
        <v>883</v>
      </c>
      <c r="P1895" t="s">
        <v>884</v>
      </c>
      <c r="Q1895" t="s">
        <v>6565</v>
      </c>
      <c r="R1895" t="s">
        <v>6566</v>
      </c>
      <c r="S1895" t="s">
        <v>803</v>
      </c>
      <c r="T1895" t="s">
        <v>7245</v>
      </c>
      <c r="U1895" t="s">
        <v>550</v>
      </c>
      <c r="V1895" t="s">
        <v>7246</v>
      </c>
      <c r="W1895" t="s">
        <v>886</v>
      </c>
      <c r="X1895" t="s">
        <v>809</v>
      </c>
      <c r="Y1895" t="s">
        <v>803</v>
      </c>
      <c r="Z1895" t="s">
        <v>7243</v>
      </c>
    </row>
    <row r="1896" spans="1:26" x14ac:dyDescent="0.3">
      <c r="A1896" t="s">
        <v>330</v>
      </c>
      <c r="B1896" t="s">
        <v>7247</v>
      </c>
      <c r="C1896" t="s">
        <v>7248</v>
      </c>
      <c r="D1896" t="s">
        <v>7249</v>
      </c>
      <c r="E1896" t="s">
        <v>6417</v>
      </c>
      <c r="F1896" t="s">
        <v>1040</v>
      </c>
      <c r="G1896" s="1">
        <v>44197</v>
      </c>
      <c r="H1896" s="1">
        <v>44546</v>
      </c>
      <c r="I1896" t="s">
        <v>665</v>
      </c>
      <c r="J1896" t="s">
        <v>6418</v>
      </c>
      <c r="K1896" t="s">
        <v>958</v>
      </c>
      <c r="L1896" t="s">
        <v>6419</v>
      </c>
      <c r="M1896" t="s">
        <v>881</v>
      </c>
      <c r="N1896" t="s">
        <v>882</v>
      </c>
      <c r="O1896" t="s">
        <v>883</v>
      </c>
      <c r="P1896" t="s">
        <v>884</v>
      </c>
      <c r="Q1896" t="s">
        <v>6565</v>
      </c>
      <c r="R1896" t="s">
        <v>6566</v>
      </c>
      <c r="S1896" t="s">
        <v>7250</v>
      </c>
      <c r="T1896" t="s">
        <v>550</v>
      </c>
      <c r="U1896" t="s">
        <v>550</v>
      </c>
      <c r="V1896" t="s">
        <v>7251</v>
      </c>
      <c r="W1896" t="s">
        <v>6972</v>
      </c>
      <c r="X1896" t="s">
        <v>6451</v>
      </c>
      <c r="Y1896" t="s">
        <v>6452</v>
      </c>
      <c r="Z1896" t="s">
        <v>7247</v>
      </c>
    </row>
    <row r="1897" spans="1:26" x14ac:dyDescent="0.3">
      <c r="A1897" t="s">
        <v>330</v>
      </c>
      <c r="B1897" t="s">
        <v>7252</v>
      </c>
      <c r="C1897" t="s">
        <v>7253</v>
      </c>
      <c r="D1897" t="s">
        <v>7220</v>
      </c>
      <c r="E1897" t="s">
        <v>6417</v>
      </c>
      <c r="F1897" t="s">
        <v>1040</v>
      </c>
      <c r="G1897" s="1">
        <v>44562</v>
      </c>
      <c r="H1897" s="1">
        <v>44562</v>
      </c>
      <c r="I1897" t="s">
        <v>665</v>
      </c>
      <c r="J1897" t="s">
        <v>6418</v>
      </c>
      <c r="K1897" t="s">
        <v>958</v>
      </c>
      <c r="L1897" t="s">
        <v>6419</v>
      </c>
      <c r="M1897" t="s">
        <v>881</v>
      </c>
      <c r="N1897" t="s">
        <v>882</v>
      </c>
      <c r="O1897" t="s">
        <v>883</v>
      </c>
      <c r="P1897" t="s">
        <v>884</v>
      </c>
      <c r="Q1897" t="s">
        <v>6565</v>
      </c>
      <c r="R1897" t="s">
        <v>6566</v>
      </c>
      <c r="S1897" t="s">
        <v>7222</v>
      </c>
      <c r="T1897" t="s">
        <v>7245</v>
      </c>
      <c r="U1897" t="s">
        <v>550</v>
      </c>
      <c r="V1897" t="s">
        <v>7254</v>
      </c>
      <c r="W1897" t="s">
        <v>6972</v>
      </c>
      <c r="X1897" t="s">
        <v>6451</v>
      </c>
      <c r="Y1897" t="s">
        <v>6452</v>
      </c>
      <c r="Z1897" t="s">
        <v>7252</v>
      </c>
    </row>
    <row r="1898" spans="1:26" x14ac:dyDescent="0.3">
      <c r="A1898" t="s">
        <v>330</v>
      </c>
      <c r="B1898" t="s">
        <v>7255</v>
      </c>
      <c r="C1898" t="s">
        <v>7248</v>
      </c>
      <c r="D1898" t="s">
        <v>7220</v>
      </c>
      <c r="E1898" t="s">
        <v>6417</v>
      </c>
      <c r="F1898" t="s">
        <v>1040</v>
      </c>
      <c r="G1898" s="1">
        <v>44562</v>
      </c>
      <c r="H1898" s="1">
        <v>44562</v>
      </c>
      <c r="I1898" t="s">
        <v>665</v>
      </c>
      <c r="J1898" t="s">
        <v>6418</v>
      </c>
      <c r="K1898" t="s">
        <v>958</v>
      </c>
      <c r="L1898" t="s">
        <v>6419</v>
      </c>
      <c r="M1898" t="s">
        <v>881</v>
      </c>
      <c r="N1898" t="s">
        <v>882</v>
      </c>
      <c r="O1898" t="s">
        <v>883</v>
      </c>
      <c r="P1898" t="s">
        <v>884</v>
      </c>
      <c r="Q1898" t="s">
        <v>6565</v>
      </c>
      <c r="R1898" t="s">
        <v>6566</v>
      </c>
      <c r="S1898" t="s">
        <v>7222</v>
      </c>
      <c r="T1898" t="s">
        <v>7245</v>
      </c>
      <c r="U1898" t="s">
        <v>550</v>
      </c>
      <c r="V1898" t="s">
        <v>7256</v>
      </c>
      <c r="W1898" t="s">
        <v>6972</v>
      </c>
      <c r="X1898" t="s">
        <v>6451</v>
      </c>
      <c r="Y1898" t="s">
        <v>6452</v>
      </c>
      <c r="Z1898" t="s">
        <v>7255</v>
      </c>
    </row>
    <row r="1899" spans="1:26" x14ac:dyDescent="0.3">
      <c r="A1899" t="s">
        <v>330</v>
      </c>
      <c r="B1899" t="s">
        <v>7257</v>
      </c>
      <c r="C1899" t="s">
        <v>7258</v>
      </c>
      <c r="D1899" t="s">
        <v>7259</v>
      </c>
      <c r="E1899" t="s">
        <v>6417</v>
      </c>
      <c r="F1899" t="s">
        <v>1040</v>
      </c>
      <c r="G1899" s="1">
        <v>43831</v>
      </c>
      <c r="H1899" s="1">
        <v>44234</v>
      </c>
      <c r="I1899" t="s">
        <v>665</v>
      </c>
      <c r="J1899" t="s">
        <v>6418</v>
      </c>
      <c r="K1899" t="s">
        <v>958</v>
      </c>
      <c r="L1899" t="s">
        <v>6419</v>
      </c>
      <c r="M1899" t="s">
        <v>881</v>
      </c>
      <c r="N1899" t="s">
        <v>882</v>
      </c>
      <c r="O1899" t="s">
        <v>883</v>
      </c>
      <c r="P1899" t="s">
        <v>884</v>
      </c>
      <c r="Q1899" t="s">
        <v>6565</v>
      </c>
      <c r="R1899" t="s">
        <v>6566</v>
      </c>
      <c r="S1899" t="s">
        <v>7260</v>
      </c>
      <c r="T1899" t="s">
        <v>550</v>
      </c>
      <c r="U1899" t="s">
        <v>550</v>
      </c>
      <c r="V1899" t="s">
        <v>7261</v>
      </c>
      <c r="W1899" t="s">
        <v>6972</v>
      </c>
      <c r="X1899" t="s">
        <v>6451</v>
      </c>
      <c r="Y1899" t="s">
        <v>6452</v>
      </c>
      <c r="Z1899" t="s">
        <v>7257</v>
      </c>
    </row>
    <row r="1900" spans="1:26" x14ac:dyDescent="0.3">
      <c r="A1900" t="s">
        <v>330</v>
      </c>
      <c r="B1900" t="s">
        <v>7262</v>
      </c>
      <c r="C1900" t="s">
        <v>7263</v>
      </c>
      <c r="D1900" t="s">
        <v>550</v>
      </c>
      <c r="E1900" t="s">
        <v>7088</v>
      </c>
      <c r="F1900" t="s">
        <v>7089</v>
      </c>
      <c r="G1900" s="1">
        <v>43467</v>
      </c>
      <c r="H1900" s="1">
        <v>43467</v>
      </c>
      <c r="I1900" t="s">
        <v>665</v>
      </c>
      <c r="J1900" t="s">
        <v>7090</v>
      </c>
      <c r="K1900" t="s">
        <v>24</v>
      </c>
      <c r="L1900" t="s">
        <v>809</v>
      </c>
      <c r="M1900" t="s">
        <v>881</v>
      </c>
      <c r="N1900" t="s">
        <v>882</v>
      </c>
      <c r="O1900" t="s">
        <v>883</v>
      </c>
      <c r="P1900" t="s">
        <v>884</v>
      </c>
      <c r="Q1900" t="s">
        <v>6565</v>
      </c>
      <c r="R1900" t="s">
        <v>6566</v>
      </c>
      <c r="S1900" t="s">
        <v>803</v>
      </c>
      <c r="T1900" t="s">
        <v>550</v>
      </c>
      <c r="U1900" t="s">
        <v>550</v>
      </c>
      <c r="V1900" t="s">
        <v>7264</v>
      </c>
      <c r="W1900" t="s">
        <v>7092</v>
      </c>
      <c r="X1900" t="s">
        <v>809</v>
      </c>
      <c r="Y1900" t="s">
        <v>803</v>
      </c>
      <c r="Z1900" t="s">
        <v>7262</v>
      </c>
    </row>
    <row r="1901" spans="1:26" x14ac:dyDescent="0.3">
      <c r="A1901" t="s">
        <v>330</v>
      </c>
      <c r="B1901" t="s">
        <v>7265</v>
      </c>
      <c r="C1901" t="s">
        <v>7266</v>
      </c>
      <c r="D1901" t="s">
        <v>550</v>
      </c>
      <c r="E1901" t="s">
        <v>7202</v>
      </c>
      <c r="F1901" t="s">
        <v>7203</v>
      </c>
      <c r="G1901" s="1">
        <v>43612</v>
      </c>
      <c r="H1901" s="1">
        <v>43612</v>
      </c>
      <c r="I1901" t="s">
        <v>665</v>
      </c>
      <c r="J1901" t="s">
        <v>7204</v>
      </c>
      <c r="K1901" t="s">
        <v>24</v>
      </c>
      <c r="L1901" t="s">
        <v>809</v>
      </c>
      <c r="M1901" t="s">
        <v>881</v>
      </c>
      <c r="N1901" t="s">
        <v>882</v>
      </c>
      <c r="O1901" t="s">
        <v>883</v>
      </c>
      <c r="P1901" t="s">
        <v>884</v>
      </c>
      <c r="Q1901" t="s">
        <v>6565</v>
      </c>
      <c r="R1901" t="s">
        <v>6566</v>
      </c>
      <c r="S1901" t="s">
        <v>803</v>
      </c>
      <c r="T1901" t="s">
        <v>550</v>
      </c>
      <c r="U1901" t="s">
        <v>550</v>
      </c>
      <c r="V1901" t="s">
        <v>7267</v>
      </c>
      <c r="W1901" t="s">
        <v>7092</v>
      </c>
      <c r="X1901" t="s">
        <v>809</v>
      </c>
      <c r="Y1901" t="s">
        <v>803</v>
      </c>
      <c r="Z1901" t="s">
        <v>7265</v>
      </c>
    </row>
    <row r="1902" spans="1:26" x14ac:dyDescent="0.3">
      <c r="A1902" t="s">
        <v>330</v>
      </c>
      <c r="B1902" t="s">
        <v>7268</v>
      </c>
      <c r="C1902" t="s">
        <v>4000</v>
      </c>
      <c r="D1902" t="s">
        <v>7195</v>
      </c>
      <c r="E1902" t="s">
        <v>816</v>
      </c>
      <c r="F1902" t="s">
        <v>817</v>
      </c>
      <c r="G1902" s="1">
        <v>45292</v>
      </c>
      <c r="H1902" s="1">
        <v>45331</v>
      </c>
      <c r="I1902" t="s">
        <v>665</v>
      </c>
      <c r="J1902" t="s">
        <v>816</v>
      </c>
      <c r="K1902" t="s">
        <v>900</v>
      </c>
      <c r="L1902" t="s">
        <v>217</v>
      </c>
      <c r="M1902" t="s">
        <v>7269</v>
      </c>
      <c r="N1902" t="s">
        <v>7270</v>
      </c>
      <c r="O1902" t="s">
        <v>883</v>
      </c>
      <c r="P1902" t="s">
        <v>884</v>
      </c>
      <c r="Q1902" t="s">
        <v>6565</v>
      </c>
      <c r="R1902" t="s">
        <v>6566</v>
      </c>
      <c r="S1902" t="s">
        <v>550</v>
      </c>
      <c r="T1902" t="s">
        <v>550</v>
      </c>
      <c r="U1902" t="s">
        <v>550</v>
      </c>
      <c r="V1902" t="s">
        <v>7271</v>
      </c>
      <c r="W1902" t="s">
        <v>941</v>
      </c>
      <c r="Z1902" t="s">
        <v>7268</v>
      </c>
    </row>
    <row r="1903" spans="1:26" x14ac:dyDescent="0.3">
      <c r="A1903" t="s">
        <v>330</v>
      </c>
      <c r="B1903" t="s">
        <v>7272</v>
      </c>
      <c r="C1903" t="s">
        <v>7273</v>
      </c>
      <c r="D1903" t="s">
        <v>7274</v>
      </c>
      <c r="E1903" t="s">
        <v>6417</v>
      </c>
      <c r="F1903" t="s">
        <v>1040</v>
      </c>
      <c r="G1903" s="1">
        <v>43102</v>
      </c>
      <c r="H1903" s="1">
        <v>43465</v>
      </c>
      <c r="I1903" t="s">
        <v>665</v>
      </c>
      <c r="J1903" t="s">
        <v>6418</v>
      </c>
      <c r="K1903" t="s">
        <v>958</v>
      </c>
      <c r="L1903" t="s">
        <v>6419</v>
      </c>
      <c r="M1903" t="s">
        <v>7275</v>
      </c>
      <c r="N1903" t="s">
        <v>7276</v>
      </c>
      <c r="O1903" t="s">
        <v>7277</v>
      </c>
      <c r="P1903" t="s">
        <v>7278</v>
      </c>
      <c r="Q1903" t="s">
        <v>6565</v>
      </c>
      <c r="R1903" t="s">
        <v>6566</v>
      </c>
      <c r="S1903" t="s">
        <v>7279</v>
      </c>
      <c r="T1903" t="s">
        <v>550</v>
      </c>
      <c r="U1903" t="s">
        <v>550</v>
      </c>
      <c r="V1903" t="s">
        <v>7280</v>
      </c>
      <c r="W1903" t="s">
        <v>6988</v>
      </c>
      <c r="X1903" t="s">
        <v>6451</v>
      </c>
      <c r="Y1903" t="s">
        <v>6452</v>
      </c>
      <c r="Z1903" t="s">
        <v>7272</v>
      </c>
    </row>
    <row r="1904" spans="1:26" x14ac:dyDescent="0.3">
      <c r="A1904" t="s">
        <v>330</v>
      </c>
      <c r="B1904" t="s">
        <v>7281</v>
      </c>
      <c r="C1904" t="s">
        <v>7282</v>
      </c>
      <c r="D1904" t="s">
        <v>7283</v>
      </c>
      <c r="E1904" t="s">
        <v>6417</v>
      </c>
      <c r="F1904" t="s">
        <v>1040</v>
      </c>
      <c r="G1904" s="1">
        <v>43102</v>
      </c>
      <c r="H1904" s="1">
        <v>43465</v>
      </c>
      <c r="I1904" t="s">
        <v>665</v>
      </c>
      <c r="J1904" t="s">
        <v>6418</v>
      </c>
      <c r="K1904" t="s">
        <v>958</v>
      </c>
      <c r="L1904" t="s">
        <v>6419</v>
      </c>
      <c r="M1904" t="s">
        <v>7275</v>
      </c>
      <c r="N1904" t="s">
        <v>7276</v>
      </c>
      <c r="O1904" t="s">
        <v>7277</v>
      </c>
      <c r="P1904" t="s">
        <v>7278</v>
      </c>
      <c r="Q1904" t="s">
        <v>6565</v>
      </c>
      <c r="R1904" t="s">
        <v>6566</v>
      </c>
      <c r="S1904" t="s">
        <v>7279</v>
      </c>
      <c r="T1904" t="s">
        <v>550</v>
      </c>
      <c r="U1904" t="s">
        <v>550</v>
      </c>
      <c r="V1904" t="s">
        <v>7284</v>
      </c>
      <c r="W1904" t="s">
        <v>6988</v>
      </c>
      <c r="X1904" t="s">
        <v>6451</v>
      </c>
      <c r="Y1904" t="s">
        <v>6452</v>
      </c>
      <c r="Z1904" t="s">
        <v>7281</v>
      </c>
    </row>
    <row r="1905" spans="1:26" x14ac:dyDescent="0.3">
      <c r="A1905" t="s">
        <v>330</v>
      </c>
      <c r="B1905" t="s">
        <v>7285</v>
      </c>
      <c r="C1905" t="s">
        <v>7002</v>
      </c>
      <c r="D1905" t="s">
        <v>7286</v>
      </c>
      <c r="E1905" t="s">
        <v>6417</v>
      </c>
      <c r="F1905" t="s">
        <v>1040</v>
      </c>
      <c r="G1905" s="1">
        <v>43467</v>
      </c>
      <c r="H1905" s="1">
        <v>43830</v>
      </c>
      <c r="I1905" t="s">
        <v>665</v>
      </c>
      <c r="J1905" t="s">
        <v>6418</v>
      </c>
      <c r="K1905" t="s">
        <v>958</v>
      </c>
      <c r="L1905" t="s">
        <v>6419</v>
      </c>
      <c r="M1905" t="s">
        <v>7275</v>
      </c>
      <c r="N1905" t="s">
        <v>7276</v>
      </c>
      <c r="O1905" t="s">
        <v>7277</v>
      </c>
      <c r="P1905" t="s">
        <v>7278</v>
      </c>
      <c r="Q1905" t="s">
        <v>6565</v>
      </c>
      <c r="R1905" t="s">
        <v>6566</v>
      </c>
      <c r="S1905" t="s">
        <v>7287</v>
      </c>
      <c r="T1905" t="s">
        <v>550</v>
      </c>
      <c r="U1905" t="s">
        <v>550</v>
      </c>
      <c r="V1905" t="s">
        <v>7288</v>
      </c>
      <c r="W1905" t="s">
        <v>6988</v>
      </c>
      <c r="X1905" t="s">
        <v>6451</v>
      </c>
      <c r="Y1905" t="s">
        <v>6452</v>
      </c>
      <c r="Z1905" t="s">
        <v>7285</v>
      </c>
    </row>
    <row r="1906" spans="1:26" x14ac:dyDescent="0.3">
      <c r="A1906" t="s">
        <v>330</v>
      </c>
      <c r="B1906" t="s">
        <v>7289</v>
      </c>
      <c r="C1906" t="s">
        <v>7290</v>
      </c>
      <c r="D1906" t="s">
        <v>7291</v>
      </c>
      <c r="E1906" t="s">
        <v>6417</v>
      </c>
      <c r="F1906" t="s">
        <v>1040</v>
      </c>
      <c r="G1906" s="1">
        <v>43467</v>
      </c>
      <c r="H1906" s="1">
        <v>43830</v>
      </c>
      <c r="I1906" t="s">
        <v>665</v>
      </c>
      <c r="J1906" t="s">
        <v>6418</v>
      </c>
      <c r="K1906" t="s">
        <v>958</v>
      </c>
      <c r="L1906" t="s">
        <v>6419</v>
      </c>
      <c r="M1906" t="s">
        <v>7275</v>
      </c>
      <c r="N1906" t="s">
        <v>7276</v>
      </c>
      <c r="O1906" t="s">
        <v>7277</v>
      </c>
      <c r="P1906" t="s">
        <v>7278</v>
      </c>
      <c r="Q1906" t="s">
        <v>6565</v>
      </c>
      <c r="R1906" t="s">
        <v>6566</v>
      </c>
      <c r="S1906" t="s">
        <v>7292</v>
      </c>
      <c r="T1906" t="s">
        <v>550</v>
      </c>
      <c r="U1906" t="s">
        <v>550</v>
      </c>
      <c r="V1906" t="s">
        <v>7293</v>
      </c>
      <c r="W1906" t="s">
        <v>6988</v>
      </c>
      <c r="X1906" t="s">
        <v>6451</v>
      </c>
      <c r="Y1906" t="s">
        <v>6452</v>
      </c>
      <c r="Z1906" t="s">
        <v>7289</v>
      </c>
    </row>
    <row r="1907" spans="1:26" x14ac:dyDescent="0.3">
      <c r="A1907" t="s">
        <v>330</v>
      </c>
      <c r="B1907" t="s">
        <v>7294</v>
      </c>
      <c r="C1907" t="s">
        <v>7295</v>
      </c>
      <c r="D1907" t="s">
        <v>7296</v>
      </c>
      <c r="E1907" t="s">
        <v>6417</v>
      </c>
      <c r="F1907" t="s">
        <v>1040</v>
      </c>
      <c r="G1907" s="1">
        <v>43102</v>
      </c>
      <c r="H1907" s="1">
        <v>43465</v>
      </c>
      <c r="I1907" t="s">
        <v>665</v>
      </c>
      <c r="J1907" t="s">
        <v>6418</v>
      </c>
      <c r="K1907" t="s">
        <v>958</v>
      </c>
      <c r="L1907" t="s">
        <v>6419</v>
      </c>
      <c r="M1907" t="s">
        <v>7275</v>
      </c>
      <c r="N1907" t="s">
        <v>7276</v>
      </c>
      <c r="O1907" t="s">
        <v>7277</v>
      </c>
      <c r="P1907" t="s">
        <v>7278</v>
      </c>
      <c r="Q1907" t="s">
        <v>6565</v>
      </c>
      <c r="R1907" t="s">
        <v>6566</v>
      </c>
      <c r="S1907" t="s">
        <v>7297</v>
      </c>
      <c r="T1907" t="s">
        <v>550</v>
      </c>
      <c r="U1907" t="s">
        <v>550</v>
      </c>
      <c r="V1907" t="s">
        <v>7298</v>
      </c>
      <c r="W1907" t="s">
        <v>6988</v>
      </c>
      <c r="X1907" t="s">
        <v>6451</v>
      </c>
      <c r="Y1907" t="s">
        <v>6452</v>
      </c>
      <c r="Z1907" t="s">
        <v>7294</v>
      </c>
    </row>
    <row r="1908" spans="1:26" x14ac:dyDescent="0.3">
      <c r="A1908" t="s">
        <v>330</v>
      </c>
      <c r="B1908" t="s">
        <v>7299</v>
      </c>
      <c r="C1908" t="s">
        <v>7300</v>
      </c>
      <c r="D1908" t="s">
        <v>7301</v>
      </c>
      <c r="E1908" t="s">
        <v>6417</v>
      </c>
      <c r="F1908" t="s">
        <v>1040</v>
      </c>
      <c r="G1908" s="1">
        <v>43102</v>
      </c>
      <c r="H1908" s="1">
        <v>43465</v>
      </c>
      <c r="I1908" t="s">
        <v>665</v>
      </c>
      <c r="J1908" t="s">
        <v>6418</v>
      </c>
      <c r="K1908" t="s">
        <v>958</v>
      </c>
      <c r="L1908" t="s">
        <v>6419</v>
      </c>
      <c r="M1908" t="s">
        <v>7275</v>
      </c>
      <c r="N1908" t="s">
        <v>7276</v>
      </c>
      <c r="O1908" t="s">
        <v>7277</v>
      </c>
      <c r="P1908" t="s">
        <v>7278</v>
      </c>
      <c r="Q1908" t="s">
        <v>6565</v>
      </c>
      <c r="R1908" t="s">
        <v>6566</v>
      </c>
      <c r="S1908" t="s">
        <v>7297</v>
      </c>
      <c r="T1908" t="s">
        <v>550</v>
      </c>
      <c r="U1908" t="s">
        <v>550</v>
      </c>
      <c r="V1908" t="s">
        <v>7302</v>
      </c>
      <c r="W1908" t="s">
        <v>6988</v>
      </c>
      <c r="X1908" t="s">
        <v>6451</v>
      </c>
      <c r="Y1908" t="s">
        <v>6452</v>
      </c>
      <c r="Z1908" t="s">
        <v>7299</v>
      </c>
    </row>
    <row r="1909" spans="1:26" x14ac:dyDescent="0.3">
      <c r="A1909" t="s">
        <v>330</v>
      </c>
      <c r="B1909" t="s">
        <v>7303</v>
      </c>
      <c r="C1909" t="s">
        <v>7282</v>
      </c>
      <c r="D1909" t="s">
        <v>7304</v>
      </c>
      <c r="E1909" t="s">
        <v>6417</v>
      </c>
      <c r="F1909" t="s">
        <v>1040</v>
      </c>
      <c r="G1909" s="1">
        <v>43467</v>
      </c>
      <c r="H1909" s="1">
        <v>43830</v>
      </c>
      <c r="I1909" t="s">
        <v>665</v>
      </c>
      <c r="J1909" t="s">
        <v>6418</v>
      </c>
      <c r="K1909" t="s">
        <v>958</v>
      </c>
      <c r="L1909" t="s">
        <v>6419</v>
      </c>
      <c r="M1909" t="s">
        <v>7275</v>
      </c>
      <c r="N1909" t="s">
        <v>7276</v>
      </c>
      <c r="O1909" t="s">
        <v>7277</v>
      </c>
      <c r="P1909" t="s">
        <v>7278</v>
      </c>
      <c r="Q1909" t="s">
        <v>6565</v>
      </c>
      <c r="R1909" t="s">
        <v>6566</v>
      </c>
      <c r="S1909" t="s">
        <v>7287</v>
      </c>
      <c r="T1909" t="s">
        <v>550</v>
      </c>
      <c r="U1909" t="s">
        <v>550</v>
      </c>
      <c r="V1909" t="s">
        <v>7305</v>
      </c>
      <c r="W1909" t="s">
        <v>6988</v>
      </c>
      <c r="X1909" t="s">
        <v>6451</v>
      </c>
      <c r="Y1909" t="s">
        <v>6452</v>
      </c>
      <c r="Z1909" t="s">
        <v>7303</v>
      </c>
    </row>
    <row r="1910" spans="1:26" x14ac:dyDescent="0.3">
      <c r="A1910" t="s">
        <v>330</v>
      </c>
      <c r="B1910" t="s">
        <v>7306</v>
      </c>
      <c r="C1910" t="s">
        <v>7300</v>
      </c>
      <c r="D1910" t="s">
        <v>7307</v>
      </c>
      <c r="E1910" t="s">
        <v>6417</v>
      </c>
      <c r="F1910" t="s">
        <v>1040</v>
      </c>
      <c r="G1910" s="1">
        <v>43467</v>
      </c>
      <c r="H1910" s="1">
        <v>43830</v>
      </c>
      <c r="I1910" t="s">
        <v>665</v>
      </c>
      <c r="J1910" t="s">
        <v>6418</v>
      </c>
      <c r="K1910" t="s">
        <v>958</v>
      </c>
      <c r="L1910" t="s">
        <v>6419</v>
      </c>
      <c r="M1910" t="s">
        <v>7275</v>
      </c>
      <c r="N1910" t="s">
        <v>7276</v>
      </c>
      <c r="O1910" t="s">
        <v>7277</v>
      </c>
      <c r="P1910" t="s">
        <v>7278</v>
      </c>
      <c r="Q1910" t="s">
        <v>6565</v>
      </c>
      <c r="R1910" t="s">
        <v>6566</v>
      </c>
      <c r="S1910" t="s">
        <v>7292</v>
      </c>
      <c r="T1910" t="s">
        <v>550</v>
      </c>
      <c r="U1910" t="s">
        <v>550</v>
      </c>
      <c r="V1910" t="s">
        <v>7308</v>
      </c>
      <c r="W1910" t="s">
        <v>6988</v>
      </c>
      <c r="X1910" t="s">
        <v>6451</v>
      </c>
      <c r="Y1910" t="s">
        <v>6452</v>
      </c>
      <c r="Z1910" t="s">
        <v>7306</v>
      </c>
    </row>
    <row r="1911" spans="1:26" x14ac:dyDescent="0.3">
      <c r="A1911" t="s">
        <v>330</v>
      </c>
      <c r="B1911" t="s">
        <v>7309</v>
      </c>
      <c r="C1911" t="s">
        <v>7310</v>
      </c>
      <c r="D1911" t="s">
        <v>7283</v>
      </c>
      <c r="E1911" t="s">
        <v>6417</v>
      </c>
      <c r="F1911" t="s">
        <v>1040</v>
      </c>
      <c r="G1911" s="1">
        <v>43102</v>
      </c>
      <c r="H1911" s="1">
        <v>43465</v>
      </c>
      <c r="I1911" t="s">
        <v>665</v>
      </c>
      <c r="J1911" t="s">
        <v>6418</v>
      </c>
      <c r="K1911" t="s">
        <v>958</v>
      </c>
      <c r="L1911" t="s">
        <v>6419</v>
      </c>
      <c r="M1911" t="s">
        <v>7311</v>
      </c>
      <c r="N1911" t="s">
        <v>7312</v>
      </c>
      <c r="O1911" t="s">
        <v>7277</v>
      </c>
      <c r="P1911" t="s">
        <v>7278</v>
      </c>
      <c r="Q1911" t="s">
        <v>6565</v>
      </c>
      <c r="R1911" t="s">
        <v>6566</v>
      </c>
      <c r="S1911" t="s">
        <v>7279</v>
      </c>
      <c r="T1911" t="s">
        <v>550</v>
      </c>
      <c r="U1911" t="s">
        <v>550</v>
      </c>
      <c r="V1911" t="s">
        <v>7313</v>
      </c>
      <c r="W1911" t="s">
        <v>6988</v>
      </c>
      <c r="X1911" t="s">
        <v>6451</v>
      </c>
      <c r="Y1911" t="s">
        <v>6452</v>
      </c>
      <c r="Z1911" t="s">
        <v>7309</v>
      </c>
    </row>
    <row r="1912" spans="1:26" x14ac:dyDescent="0.3">
      <c r="A1912" t="s">
        <v>330</v>
      </c>
      <c r="B1912" t="s">
        <v>7314</v>
      </c>
      <c r="C1912" t="s">
        <v>7315</v>
      </c>
      <c r="D1912" t="s">
        <v>7301</v>
      </c>
      <c r="E1912" t="s">
        <v>6417</v>
      </c>
      <c r="F1912" t="s">
        <v>1040</v>
      </c>
      <c r="G1912" s="1">
        <v>43102</v>
      </c>
      <c r="H1912" s="1">
        <v>43465</v>
      </c>
      <c r="I1912" t="s">
        <v>665</v>
      </c>
      <c r="J1912" t="s">
        <v>6418</v>
      </c>
      <c r="K1912" t="s">
        <v>958</v>
      </c>
      <c r="L1912" t="s">
        <v>6419</v>
      </c>
      <c r="M1912" t="s">
        <v>7311</v>
      </c>
      <c r="N1912" t="s">
        <v>7312</v>
      </c>
      <c r="O1912" t="s">
        <v>7277</v>
      </c>
      <c r="P1912" t="s">
        <v>7278</v>
      </c>
      <c r="Q1912" t="s">
        <v>6565</v>
      </c>
      <c r="R1912" t="s">
        <v>6566</v>
      </c>
      <c r="S1912" t="s">
        <v>7297</v>
      </c>
      <c r="T1912" t="s">
        <v>550</v>
      </c>
      <c r="U1912" t="s">
        <v>550</v>
      </c>
      <c r="V1912" t="s">
        <v>7316</v>
      </c>
      <c r="W1912" t="s">
        <v>6988</v>
      </c>
      <c r="X1912" t="s">
        <v>6451</v>
      </c>
      <c r="Y1912" t="s">
        <v>6452</v>
      </c>
      <c r="Z1912" t="s">
        <v>7314</v>
      </c>
    </row>
    <row r="1913" spans="1:26" x14ac:dyDescent="0.3">
      <c r="A1913" t="s">
        <v>330</v>
      </c>
      <c r="B1913" t="s">
        <v>7317</v>
      </c>
      <c r="C1913" t="s">
        <v>7310</v>
      </c>
      <c r="D1913" t="s">
        <v>7304</v>
      </c>
      <c r="E1913" t="s">
        <v>6417</v>
      </c>
      <c r="F1913" t="s">
        <v>1040</v>
      </c>
      <c r="G1913" s="1">
        <v>43467</v>
      </c>
      <c r="H1913" s="1">
        <v>43830</v>
      </c>
      <c r="I1913" t="s">
        <v>665</v>
      </c>
      <c r="J1913" t="s">
        <v>6418</v>
      </c>
      <c r="K1913" t="s">
        <v>958</v>
      </c>
      <c r="L1913" t="s">
        <v>6419</v>
      </c>
      <c r="M1913" t="s">
        <v>7311</v>
      </c>
      <c r="N1913" t="s">
        <v>7312</v>
      </c>
      <c r="O1913" t="s">
        <v>7277</v>
      </c>
      <c r="P1913" t="s">
        <v>7278</v>
      </c>
      <c r="Q1913" t="s">
        <v>6565</v>
      </c>
      <c r="R1913" t="s">
        <v>6566</v>
      </c>
      <c r="S1913" t="s">
        <v>7287</v>
      </c>
      <c r="T1913" t="s">
        <v>550</v>
      </c>
      <c r="U1913" t="s">
        <v>550</v>
      </c>
      <c r="V1913" t="s">
        <v>7318</v>
      </c>
      <c r="W1913" t="s">
        <v>6988</v>
      </c>
      <c r="X1913" t="s">
        <v>6451</v>
      </c>
      <c r="Y1913" t="s">
        <v>6452</v>
      </c>
      <c r="Z1913" t="s">
        <v>7317</v>
      </c>
    </row>
    <row r="1914" spans="1:26" x14ac:dyDescent="0.3">
      <c r="A1914" t="s">
        <v>330</v>
      </c>
      <c r="B1914" t="s">
        <v>7319</v>
      </c>
      <c r="C1914" t="s">
        <v>7315</v>
      </c>
      <c r="D1914" t="s">
        <v>7307</v>
      </c>
      <c r="E1914" t="s">
        <v>6417</v>
      </c>
      <c r="F1914" t="s">
        <v>1040</v>
      </c>
      <c r="G1914" s="1">
        <v>43467</v>
      </c>
      <c r="H1914" s="1">
        <v>43830</v>
      </c>
      <c r="I1914" t="s">
        <v>665</v>
      </c>
      <c r="J1914" t="s">
        <v>6418</v>
      </c>
      <c r="K1914" t="s">
        <v>958</v>
      </c>
      <c r="L1914" t="s">
        <v>6419</v>
      </c>
      <c r="M1914" t="s">
        <v>7311</v>
      </c>
      <c r="N1914" t="s">
        <v>7312</v>
      </c>
      <c r="O1914" t="s">
        <v>7277</v>
      </c>
      <c r="P1914" t="s">
        <v>7278</v>
      </c>
      <c r="Q1914" t="s">
        <v>6565</v>
      </c>
      <c r="R1914" t="s">
        <v>6566</v>
      </c>
      <c r="S1914" t="s">
        <v>7292</v>
      </c>
      <c r="T1914" t="s">
        <v>550</v>
      </c>
      <c r="U1914" t="s">
        <v>550</v>
      </c>
      <c r="V1914" t="s">
        <v>7320</v>
      </c>
      <c r="W1914" t="s">
        <v>6988</v>
      </c>
      <c r="X1914" t="s">
        <v>6451</v>
      </c>
      <c r="Y1914" t="s">
        <v>6452</v>
      </c>
      <c r="Z1914" t="s">
        <v>7319</v>
      </c>
    </row>
    <row r="1915" spans="1:26" x14ac:dyDescent="0.3">
      <c r="A1915" t="s">
        <v>330</v>
      </c>
      <c r="B1915" t="s">
        <v>7321</v>
      </c>
      <c r="C1915" t="s">
        <v>7322</v>
      </c>
      <c r="D1915" t="s">
        <v>7296</v>
      </c>
      <c r="E1915" t="s">
        <v>6417</v>
      </c>
      <c r="F1915" t="s">
        <v>1040</v>
      </c>
      <c r="G1915" s="1">
        <v>43102</v>
      </c>
      <c r="H1915" s="1">
        <v>43465</v>
      </c>
      <c r="I1915" t="s">
        <v>665</v>
      </c>
      <c r="J1915" t="s">
        <v>6418</v>
      </c>
      <c r="K1915" t="s">
        <v>958</v>
      </c>
      <c r="L1915" t="s">
        <v>6419</v>
      </c>
      <c r="M1915" t="s">
        <v>7277</v>
      </c>
      <c r="N1915" t="s">
        <v>7278</v>
      </c>
      <c r="O1915" t="s">
        <v>7277</v>
      </c>
      <c r="P1915" t="s">
        <v>7278</v>
      </c>
      <c r="Q1915" t="s">
        <v>6565</v>
      </c>
      <c r="R1915" t="s">
        <v>6566</v>
      </c>
      <c r="S1915" t="s">
        <v>7297</v>
      </c>
      <c r="T1915" t="s">
        <v>550</v>
      </c>
      <c r="U1915" t="s">
        <v>550</v>
      </c>
      <c r="V1915" t="s">
        <v>7323</v>
      </c>
      <c r="W1915" t="s">
        <v>6988</v>
      </c>
      <c r="X1915" t="s">
        <v>6451</v>
      </c>
      <c r="Y1915" t="s">
        <v>6452</v>
      </c>
      <c r="Z1915" t="s">
        <v>7321</v>
      </c>
    </row>
    <row r="1916" spans="1:26" x14ac:dyDescent="0.3">
      <c r="A1916" t="s">
        <v>330</v>
      </c>
      <c r="B1916" t="s">
        <v>7291</v>
      </c>
      <c r="C1916" t="s">
        <v>7324</v>
      </c>
      <c r="D1916" t="s">
        <v>7307</v>
      </c>
      <c r="E1916" t="s">
        <v>6417</v>
      </c>
      <c r="F1916" t="s">
        <v>1040</v>
      </c>
      <c r="G1916" s="1">
        <v>43467</v>
      </c>
      <c r="H1916" s="1">
        <v>43830</v>
      </c>
      <c r="I1916" t="s">
        <v>665</v>
      </c>
      <c r="J1916" t="s">
        <v>6418</v>
      </c>
      <c r="K1916" t="s">
        <v>958</v>
      </c>
      <c r="L1916" t="s">
        <v>6419</v>
      </c>
      <c r="M1916" t="s">
        <v>7277</v>
      </c>
      <c r="N1916" t="s">
        <v>7278</v>
      </c>
      <c r="O1916" t="s">
        <v>7277</v>
      </c>
      <c r="P1916" t="s">
        <v>7278</v>
      </c>
      <c r="Q1916" t="s">
        <v>6565</v>
      </c>
      <c r="R1916" t="s">
        <v>6566</v>
      </c>
      <c r="S1916" t="s">
        <v>7292</v>
      </c>
      <c r="T1916" t="s">
        <v>550</v>
      </c>
      <c r="U1916" t="s">
        <v>550</v>
      </c>
      <c r="V1916" t="s">
        <v>7325</v>
      </c>
      <c r="W1916" t="s">
        <v>6988</v>
      </c>
      <c r="X1916" t="s">
        <v>6451</v>
      </c>
      <c r="Y1916" t="s">
        <v>6452</v>
      </c>
      <c r="Z1916" t="s">
        <v>7291</v>
      </c>
    </row>
    <row r="1917" spans="1:26" x14ac:dyDescent="0.3">
      <c r="A1917" t="s">
        <v>330</v>
      </c>
      <c r="B1917" t="s">
        <v>7274</v>
      </c>
      <c r="C1917" t="s">
        <v>6996</v>
      </c>
      <c r="D1917" t="s">
        <v>7283</v>
      </c>
      <c r="E1917" t="s">
        <v>6417</v>
      </c>
      <c r="F1917" t="s">
        <v>1040</v>
      </c>
      <c r="G1917" s="1">
        <v>43102</v>
      </c>
      <c r="H1917" s="1">
        <v>43465</v>
      </c>
      <c r="I1917" t="s">
        <v>665</v>
      </c>
      <c r="J1917" t="s">
        <v>6418</v>
      </c>
      <c r="K1917" t="s">
        <v>958</v>
      </c>
      <c r="L1917" t="s">
        <v>6419</v>
      </c>
      <c r="M1917" t="s">
        <v>7277</v>
      </c>
      <c r="N1917" t="s">
        <v>7278</v>
      </c>
      <c r="O1917" t="s">
        <v>7277</v>
      </c>
      <c r="P1917" t="s">
        <v>7278</v>
      </c>
      <c r="Q1917" t="s">
        <v>6565</v>
      </c>
      <c r="R1917" t="s">
        <v>6566</v>
      </c>
      <c r="S1917" t="s">
        <v>7279</v>
      </c>
      <c r="T1917" t="s">
        <v>550</v>
      </c>
      <c r="U1917" t="s">
        <v>550</v>
      </c>
      <c r="V1917" t="s">
        <v>7326</v>
      </c>
      <c r="W1917" t="s">
        <v>6988</v>
      </c>
      <c r="X1917" t="s">
        <v>6451</v>
      </c>
      <c r="Y1917" t="s">
        <v>6452</v>
      </c>
      <c r="Z1917" t="s">
        <v>7274</v>
      </c>
    </row>
    <row r="1918" spans="1:26" x14ac:dyDescent="0.3">
      <c r="A1918" t="s">
        <v>330</v>
      </c>
      <c r="B1918" t="s">
        <v>7286</v>
      </c>
      <c r="C1918" t="s">
        <v>6996</v>
      </c>
      <c r="D1918" t="s">
        <v>7304</v>
      </c>
      <c r="E1918" t="s">
        <v>6417</v>
      </c>
      <c r="F1918" t="s">
        <v>1040</v>
      </c>
      <c r="G1918" s="1">
        <v>43467</v>
      </c>
      <c r="H1918" s="1">
        <v>43830</v>
      </c>
      <c r="I1918" t="s">
        <v>665</v>
      </c>
      <c r="J1918" t="s">
        <v>6418</v>
      </c>
      <c r="K1918" t="s">
        <v>958</v>
      </c>
      <c r="L1918" t="s">
        <v>6419</v>
      </c>
      <c r="M1918" t="s">
        <v>7277</v>
      </c>
      <c r="N1918" t="s">
        <v>7278</v>
      </c>
      <c r="O1918" t="s">
        <v>7277</v>
      </c>
      <c r="P1918" t="s">
        <v>7278</v>
      </c>
      <c r="Q1918" t="s">
        <v>6565</v>
      </c>
      <c r="R1918" t="s">
        <v>6566</v>
      </c>
      <c r="S1918" t="s">
        <v>7287</v>
      </c>
      <c r="T1918" t="s">
        <v>550</v>
      </c>
      <c r="U1918" t="s">
        <v>550</v>
      </c>
      <c r="V1918" t="s">
        <v>7327</v>
      </c>
      <c r="W1918" t="s">
        <v>6988</v>
      </c>
      <c r="X1918" t="s">
        <v>6451</v>
      </c>
      <c r="Y1918" t="s">
        <v>6452</v>
      </c>
      <c r="Z1918" t="s">
        <v>7286</v>
      </c>
    </row>
    <row r="1919" spans="1:26" x14ac:dyDescent="0.3">
      <c r="A1919" t="s">
        <v>330</v>
      </c>
      <c r="B1919" t="s">
        <v>7328</v>
      </c>
      <c r="C1919" t="s">
        <v>6990</v>
      </c>
      <c r="D1919" t="s">
        <v>7304</v>
      </c>
      <c r="E1919" t="s">
        <v>6417</v>
      </c>
      <c r="F1919" t="s">
        <v>1040</v>
      </c>
      <c r="G1919" s="1">
        <v>43467</v>
      </c>
      <c r="H1919" s="1">
        <v>43830</v>
      </c>
      <c r="I1919" t="s">
        <v>665</v>
      </c>
      <c r="J1919" t="s">
        <v>6418</v>
      </c>
      <c r="K1919" t="s">
        <v>958</v>
      </c>
      <c r="L1919" t="s">
        <v>6419</v>
      </c>
      <c r="M1919" t="s">
        <v>6984</v>
      </c>
      <c r="N1919" t="s">
        <v>6985</v>
      </c>
      <c r="O1919" t="s">
        <v>7277</v>
      </c>
      <c r="P1919" t="s">
        <v>7278</v>
      </c>
      <c r="Q1919" t="s">
        <v>6565</v>
      </c>
      <c r="R1919" t="s">
        <v>6566</v>
      </c>
      <c r="S1919" t="s">
        <v>7287</v>
      </c>
      <c r="T1919" t="s">
        <v>550</v>
      </c>
      <c r="U1919" t="s">
        <v>550</v>
      </c>
      <c r="V1919" t="s">
        <v>7329</v>
      </c>
      <c r="W1919" t="s">
        <v>6988</v>
      </c>
      <c r="X1919" t="s">
        <v>6451</v>
      </c>
      <c r="Y1919" t="s">
        <v>6452</v>
      </c>
      <c r="Z1919" t="s">
        <v>7328</v>
      </c>
    </row>
    <row r="1920" spans="1:26" x14ac:dyDescent="0.3">
      <c r="A1920" t="s">
        <v>330</v>
      </c>
      <c r="B1920" t="s">
        <v>7330</v>
      </c>
      <c r="C1920" t="s">
        <v>6993</v>
      </c>
      <c r="D1920" t="s">
        <v>7304</v>
      </c>
      <c r="E1920" t="s">
        <v>6417</v>
      </c>
      <c r="F1920" t="s">
        <v>1040</v>
      </c>
      <c r="G1920" s="1">
        <v>43467</v>
      </c>
      <c r="H1920" s="1">
        <v>43830</v>
      </c>
      <c r="I1920" t="s">
        <v>665</v>
      </c>
      <c r="J1920" t="s">
        <v>6418</v>
      </c>
      <c r="K1920" t="s">
        <v>958</v>
      </c>
      <c r="L1920" t="s">
        <v>6419</v>
      </c>
      <c r="M1920" t="s">
        <v>6984</v>
      </c>
      <c r="N1920" t="s">
        <v>6985</v>
      </c>
      <c r="O1920" t="s">
        <v>7277</v>
      </c>
      <c r="P1920" t="s">
        <v>7278</v>
      </c>
      <c r="Q1920" t="s">
        <v>6565</v>
      </c>
      <c r="R1920" t="s">
        <v>6566</v>
      </c>
      <c r="S1920" t="s">
        <v>7287</v>
      </c>
      <c r="T1920" t="s">
        <v>550</v>
      </c>
      <c r="U1920" t="s">
        <v>550</v>
      </c>
      <c r="V1920" t="s">
        <v>7331</v>
      </c>
      <c r="W1920" t="s">
        <v>6988</v>
      </c>
      <c r="X1920" t="s">
        <v>6451</v>
      </c>
      <c r="Y1920" t="s">
        <v>6452</v>
      </c>
      <c r="Z1920" t="s">
        <v>7330</v>
      </c>
    </row>
    <row r="1921" spans="1:26" x14ac:dyDescent="0.3">
      <c r="A1921" t="s">
        <v>330</v>
      </c>
      <c r="B1921" t="s">
        <v>7332</v>
      </c>
      <c r="C1921" t="s">
        <v>7333</v>
      </c>
      <c r="D1921" t="s">
        <v>7283</v>
      </c>
      <c r="E1921" t="s">
        <v>6417</v>
      </c>
      <c r="F1921" t="s">
        <v>1040</v>
      </c>
      <c r="G1921" s="1">
        <v>43102</v>
      </c>
      <c r="H1921" s="1">
        <v>43465</v>
      </c>
      <c r="I1921" t="s">
        <v>665</v>
      </c>
      <c r="J1921" t="s">
        <v>6418</v>
      </c>
      <c r="K1921" t="s">
        <v>958</v>
      </c>
      <c r="L1921" t="s">
        <v>6419</v>
      </c>
      <c r="M1921" t="s">
        <v>6984</v>
      </c>
      <c r="N1921" t="s">
        <v>6985</v>
      </c>
      <c r="O1921" t="s">
        <v>7277</v>
      </c>
      <c r="P1921" t="s">
        <v>7278</v>
      </c>
      <c r="Q1921" t="s">
        <v>6565</v>
      </c>
      <c r="R1921" t="s">
        <v>6566</v>
      </c>
      <c r="S1921" t="s">
        <v>7279</v>
      </c>
      <c r="T1921" t="s">
        <v>550</v>
      </c>
      <c r="U1921" t="s">
        <v>550</v>
      </c>
      <c r="V1921" t="s">
        <v>7334</v>
      </c>
      <c r="W1921" t="s">
        <v>6988</v>
      </c>
      <c r="X1921" t="s">
        <v>6451</v>
      </c>
      <c r="Y1921" t="s">
        <v>6452</v>
      </c>
      <c r="Z1921" t="s">
        <v>7332</v>
      </c>
    </row>
    <row r="1922" spans="1:26" x14ac:dyDescent="0.3">
      <c r="A1922" t="s">
        <v>330</v>
      </c>
      <c r="B1922" t="s">
        <v>7335</v>
      </c>
      <c r="C1922" t="s">
        <v>7336</v>
      </c>
      <c r="D1922" t="s">
        <v>7283</v>
      </c>
      <c r="E1922" t="s">
        <v>6417</v>
      </c>
      <c r="F1922" t="s">
        <v>1040</v>
      </c>
      <c r="G1922" s="1">
        <v>43102</v>
      </c>
      <c r="H1922" s="1">
        <v>43465</v>
      </c>
      <c r="I1922" t="s">
        <v>665</v>
      </c>
      <c r="J1922" t="s">
        <v>6418</v>
      </c>
      <c r="K1922" t="s">
        <v>958</v>
      </c>
      <c r="L1922" t="s">
        <v>6419</v>
      </c>
      <c r="M1922" t="s">
        <v>6984</v>
      </c>
      <c r="N1922" t="s">
        <v>6985</v>
      </c>
      <c r="O1922" t="s">
        <v>7277</v>
      </c>
      <c r="P1922" t="s">
        <v>7278</v>
      </c>
      <c r="Q1922" t="s">
        <v>6565</v>
      </c>
      <c r="R1922" t="s">
        <v>6566</v>
      </c>
      <c r="S1922" t="s">
        <v>7279</v>
      </c>
      <c r="T1922" t="s">
        <v>550</v>
      </c>
      <c r="U1922" t="s">
        <v>550</v>
      </c>
      <c r="V1922" t="s">
        <v>7337</v>
      </c>
      <c r="W1922" t="s">
        <v>6988</v>
      </c>
      <c r="X1922" t="s">
        <v>6451</v>
      </c>
      <c r="Y1922" t="s">
        <v>6452</v>
      </c>
      <c r="Z1922" t="s">
        <v>7335</v>
      </c>
    </row>
    <row r="1923" spans="1:26" x14ac:dyDescent="0.3">
      <c r="A1923" t="s">
        <v>330</v>
      </c>
      <c r="B1923" t="s">
        <v>7338</v>
      </c>
      <c r="C1923" t="s">
        <v>7339</v>
      </c>
      <c r="D1923" t="s">
        <v>7340</v>
      </c>
      <c r="E1923" t="s">
        <v>6417</v>
      </c>
      <c r="F1923" t="s">
        <v>1040</v>
      </c>
      <c r="G1923" s="1">
        <v>44927</v>
      </c>
      <c r="H1923" s="1">
        <v>45226</v>
      </c>
      <c r="I1923" t="s">
        <v>665</v>
      </c>
      <c r="J1923" t="s">
        <v>6418</v>
      </c>
      <c r="K1923" t="s">
        <v>958</v>
      </c>
      <c r="L1923" t="s">
        <v>6419</v>
      </c>
      <c r="M1923" t="s">
        <v>7040</v>
      </c>
      <c r="N1923" t="s">
        <v>7041</v>
      </c>
      <c r="O1923" t="s">
        <v>1324</v>
      </c>
      <c r="P1923" t="s">
        <v>1325</v>
      </c>
      <c r="Q1923" t="s">
        <v>6565</v>
      </c>
      <c r="R1923" t="s">
        <v>6566</v>
      </c>
      <c r="S1923" t="s">
        <v>6448</v>
      </c>
      <c r="T1923" t="s">
        <v>550</v>
      </c>
      <c r="U1923" t="s">
        <v>550</v>
      </c>
      <c r="V1923" t="s">
        <v>7341</v>
      </c>
      <c r="W1923" t="s">
        <v>6964</v>
      </c>
      <c r="X1923" t="s">
        <v>6451</v>
      </c>
      <c r="Y1923" t="s">
        <v>6452</v>
      </c>
      <c r="Z1923" t="s">
        <v>7338</v>
      </c>
    </row>
    <row r="1924" spans="1:26" x14ac:dyDescent="0.3">
      <c r="A1924" t="s">
        <v>330</v>
      </c>
      <c r="B1924" t="s">
        <v>7342</v>
      </c>
      <c r="C1924" t="s">
        <v>7044</v>
      </c>
      <c r="D1924" t="s">
        <v>7340</v>
      </c>
      <c r="E1924" t="s">
        <v>6417</v>
      </c>
      <c r="F1924" t="s">
        <v>1040</v>
      </c>
      <c r="G1924" s="1">
        <v>44927</v>
      </c>
      <c r="H1924" s="1">
        <v>45749</v>
      </c>
      <c r="I1924" t="s">
        <v>665</v>
      </c>
      <c r="J1924" t="s">
        <v>6418</v>
      </c>
      <c r="K1924" t="s">
        <v>958</v>
      </c>
      <c r="L1924" t="s">
        <v>6419</v>
      </c>
      <c r="M1924" t="s">
        <v>7040</v>
      </c>
      <c r="N1924" t="s">
        <v>7041</v>
      </c>
      <c r="O1924" t="s">
        <v>1324</v>
      </c>
      <c r="P1924" t="s">
        <v>1325</v>
      </c>
      <c r="Q1924" t="s">
        <v>6565</v>
      </c>
      <c r="R1924" t="s">
        <v>6566</v>
      </c>
      <c r="S1924" t="s">
        <v>6448</v>
      </c>
      <c r="T1924" t="s">
        <v>550</v>
      </c>
      <c r="U1924" t="s">
        <v>550</v>
      </c>
      <c r="V1924" t="s">
        <v>7343</v>
      </c>
      <c r="W1924" t="s">
        <v>6964</v>
      </c>
      <c r="X1924" t="s">
        <v>6451</v>
      </c>
      <c r="Y1924" t="s">
        <v>6452</v>
      </c>
      <c r="Z1924" t="s">
        <v>7342</v>
      </c>
    </row>
    <row r="1925" spans="1:26" x14ac:dyDescent="0.3">
      <c r="A1925" t="s">
        <v>330</v>
      </c>
      <c r="B1925" t="s">
        <v>7344</v>
      </c>
      <c r="C1925" t="s">
        <v>7345</v>
      </c>
      <c r="D1925" t="s">
        <v>7340</v>
      </c>
      <c r="E1925" t="s">
        <v>6417</v>
      </c>
      <c r="F1925" t="s">
        <v>1040</v>
      </c>
      <c r="G1925" s="1">
        <v>44927</v>
      </c>
      <c r="H1925" s="1">
        <v>45173</v>
      </c>
      <c r="I1925" t="s">
        <v>665</v>
      </c>
      <c r="J1925" t="s">
        <v>6418</v>
      </c>
      <c r="K1925" t="s">
        <v>958</v>
      </c>
      <c r="L1925" t="s">
        <v>6419</v>
      </c>
      <c r="M1925" t="s">
        <v>7040</v>
      </c>
      <c r="N1925" t="s">
        <v>7041</v>
      </c>
      <c r="O1925" t="s">
        <v>1324</v>
      </c>
      <c r="P1925" t="s">
        <v>1325</v>
      </c>
      <c r="Q1925" t="s">
        <v>6565</v>
      </c>
      <c r="R1925" t="s">
        <v>6566</v>
      </c>
      <c r="S1925" t="s">
        <v>6448</v>
      </c>
      <c r="T1925" t="s">
        <v>550</v>
      </c>
      <c r="U1925" t="s">
        <v>550</v>
      </c>
      <c r="V1925" t="s">
        <v>7346</v>
      </c>
      <c r="W1925" t="s">
        <v>6964</v>
      </c>
      <c r="X1925" t="s">
        <v>6451</v>
      </c>
      <c r="Y1925" t="s">
        <v>6452</v>
      </c>
      <c r="Z1925" t="s">
        <v>7344</v>
      </c>
    </row>
    <row r="1926" spans="1:26" x14ac:dyDescent="0.3">
      <c r="A1926" t="s">
        <v>330</v>
      </c>
      <c r="B1926" t="s">
        <v>7347</v>
      </c>
      <c r="C1926" t="s">
        <v>7047</v>
      </c>
      <c r="D1926" t="s">
        <v>7340</v>
      </c>
      <c r="E1926" t="s">
        <v>6417</v>
      </c>
      <c r="F1926" t="s">
        <v>1040</v>
      </c>
      <c r="G1926" s="1">
        <v>44927</v>
      </c>
      <c r="H1926" s="1">
        <v>45325</v>
      </c>
      <c r="I1926" t="s">
        <v>665</v>
      </c>
      <c r="J1926" t="s">
        <v>6418</v>
      </c>
      <c r="K1926" t="s">
        <v>958</v>
      </c>
      <c r="L1926" t="s">
        <v>6419</v>
      </c>
      <c r="M1926" t="s">
        <v>7040</v>
      </c>
      <c r="N1926" t="s">
        <v>7041</v>
      </c>
      <c r="O1926" t="s">
        <v>1324</v>
      </c>
      <c r="P1926" t="s">
        <v>1325</v>
      </c>
      <c r="Q1926" t="s">
        <v>6565</v>
      </c>
      <c r="R1926" t="s">
        <v>6566</v>
      </c>
      <c r="S1926" t="s">
        <v>6448</v>
      </c>
      <c r="T1926" t="s">
        <v>550</v>
      </c>
      <c r="U1926" t="s">
        <v>550</v>
      </c>
      <c r="V1926" t="s">
        <v>7348</v>
      </c>
      <c r="W1926" t="s">
        <v>6964</v>
      </c>
      <c r="X1926" t="s">
        <v>6451</v>
      </c>
      <c r="Y1926" t="s">
        <v>6452</v>
      </c>
      <c r="Z1926" t="s">
        <v>7347</v>
      </c>
    </row>
    <row r="1927" spans="1:26" x14ac:dyDescent="0.3">
      <c r="A1927" t="s">
        <v>330</v>
      </c>
      <c r="B1927" t="s">
        <v>7349</v>
      </c>
      <c r="C1927" t="s">
        <v>7002</v>
      </c>
      <c r="D1927" t="s">
        <v>7350</v>
      </c>
      <c r="E1927" t="s">
        <v>6417</v>
      </c>
      <c r="F1927" t="s">
        <v>1040</v>
      </c>
      <c r="G1927" s="1">
        <v>43831</v>
      </c>
      <c r="H1927" s="1">
        <v>43979</v>
      </c>
      <c r="I1927" t="s">
        <v>665</v>
      </c>
      <c r="J1927" t="s">
        <v>6418</v>
      </c>
      <c r="K1927" t="s">
        <v>958</v>
      </c>
      <c r="L1927" t="s">
        <v>6419</v>
      </c>
      <c r="M1927" t="s">
        <v>7351</v>
      </c>
      <c r="N1927" t="s">
        <v>7352</v>
      </c>
      <c r="O1927" t="s">
        <v>6968</v>
      </c>
      <c r="P1927" t="s">
        <v>6969</v>
      </c>
      <c r="Q1927" t="s">
        <v>6565</v>
      </c>
      <c r="R1927" t="s">
        <v>6566</v>
      </c>
      <c r="S1927" t="s">
        <v>7353</v>
      </c>
      <c r="T1927" t="s">
        <v>550</v>
      </c>
      <c r="U1927" t="s">
        <v>550</v>
      </c>
      <c r="V1927" t="s">
        <v>7354</v>
      </c>
      <c r="W1927" t="s">
        <v>6988</v>
      </c>
      <c r="X1927" t="s">
        <v>6451</v>
      </c>
      <c r="Y1927" t="s">
        <v>6452</v>
      </c>
      <c r="Z1927" t="s">
        <v>7349</v>
      </c>
    </row>
    <row r="1928" spans="1:26" x14ac:dyDescent="0.3">
      <c r="A1928" t="s">
        <v>330</v>
      </c>
      <c r="B1928" t="s">
        <v>7350</v>
      </c>
      <c r="C1928" t="s">
        <v>6996</v>
      </c>
      <c r="D1928" t="s">
        <v>7355</v>
      </c>
      <c r="E1928" t="s">
        <v>6417</v>
      </c>
      <c r="F1928" t="s">
        <v>1040</v>
      </c>
      <c r="G1928" s="1">
        <v>43831</v>
      </c>
      <c r="H1928" s="1">
        <v>43831</v>
      </c>
      <c r="I1928" t="s">
        <v>665</v>
      </c>
      <c r="J1928" t="s">
        <v>6418</v>
      </c>
      <c r="K1928" t="s">
        <v>958</v>
      </c>
      <c r="L1928" t="s">
        <v>6419</v>
      </c>
      <c r="M1928" t="s">
        <v>6968</v>
      </c>
      <c r="N1928" t="s">
        <v>6969</v>
      </c>
      <c r="O1928" t="s">
        <v>6968</v>
      </c>
      <c r="P1928" t="s">
        <v>6969</v>
      </c>
      <c r="Q1928" t="s">
        <v>6565</v>
      </c>
      <c r="R1928" t="s">
        <v>6566</v>
      </c>
      <c r="S1928" t="s">
        <v>7353</v>
      </c>
      <c r="T1928" t="s">
        <v>550</v>
      </c>
      <c r="U1928" t="s">
        <v>550</v>
      </c>
      <c r="V1928" t="s">
        <v>7356</v>
      </c>
      <c r="W1928" t="s">
        <v>6988</v>
      </c>
      <c r="X1928" t="s">
        <v>6451</v>
      </c>
      <c r="Y1928" t="s">
        <v>6452</v>
      </c>
      <c r="Z1928" t="s">
        <v>7350</v>
      </c>
    </row>
    <row r="1929" spans="1:26" x14ac:dyDescent="0.3">
      <c r="A1929" t="s">
        <v>330</v>
      </c>
      <c r="B1929" t="s">
        <v>7357</v>
      </c>
      <c r="C1929" t="s">
        <v>6983</v>
      </c>
      <c r="D1929" t="s">
        <v>550</v>
      </c>
      <c r="E1929" t="s">
        <v>6417</v>
      </c>
      <c r="F1929" t="s">
        <v>1040</v>
      </c>
      <c r="G1929" s="1">
        <v>44562</v>
      </c>
      <c r="H1929" s="1">
        <v>44562</v>
      </c>
      <c r="I1929" t="s">
        <v>665</v>
      </c>
      <c r="J1929" t="s">
        <v>6418</v>
      </c>
      <c r="K1929" t="s">
        <v>958</v>
      </c>
      <c r="L1929" t="s">
        <v>6419</v>
      </c>
      <c r="M1929" t="s">
        <v>6984</v>
      </c>
      <c r="N1929" t="s">
        <v>6985</v>
      </c>
      <c r="O1929" t="s">
        <v>6968</v>
      </c>
      <c r="P1929" t="s">
        <v>6969</v>
      </c>
      <c r="Q1929" t="s">
        <v>6565</v>
      </c>
      <c r="R1929" t="s">
        <v>6566</v>
      </c>
      <c r="S1929" t="s">
        <v>7358</v>
      </c>
      <c r="T1929" t="s">
        <v>550</v>
      </c>
      <c r="U1929" t="s">
        <v>550</v>
      </c>
      <c r="V1929" t="s">
        <v>7359</v>
      </c>
      <c r="W1929" t="s">
        <v>6988</v>
      </c>
      <c r="X1929" t="s">
        <v>6451</v>
      </c>
      <c r="Y1929" t="s">
        <v>6452</v>
      </c>
      <c r="Z1929" t="s">
        <v>7357</v>
      </c>
    </row>
    <row r="1930" spans="1:26" x14ac:dyDescent="0.3">
      <c r="A1930" t="s">
        <v>330</v>
      </c>
      <c r="B1930" t="s">
        <v>7360</v>
      </c>
      <c r="C1930" t="s">
        <v>6990</v>
      </c>
      <c r="D1930" t="s">
        <v>7357</v>
      </c>
      <c r="E1930" t="s">
        <v>6417</v>
      </c>
      <c r="F1930" t="s">
        <v>1040</v>
      </c>
      <c r="G1930" s="1">
        <v>44562</v>
      </c>
      <c r="H1930" s="1">
        <v>44562</v>
      </c>
      <c r="I1930" t="s">
        <v>665</v>
      </c>
      <c r="J1930" t="s">
        <v>6418</v>
      </c>
      <c r="K1930" t="s">
        <v>958</v>
      </c>
      <c r="L1930" t="s">
        <v>6419</v>
      </c>
      <c r="M1930" t="s">
        <v>6984</v>
      </c>
      <c r="N1930" t="s">
        <v>6985</v>
      </c>
      <c r="O1930" t="s">
        <v>6968</v>
      </c>
      <c r="P1930" t="s">
        <v>6969</v>
      </c>
      <c r="Q1930" t="s">
        <v>6565</v>
      </c>
      <c r="R1930" t="s">
        <v>6566</v>
      </c>
      <c r="S1930" t="s">
        <v>7358</v>
      </c>
      <c r="T1930" t="s">
        <v>550</v>
      </c>
      <c r="U1930" t="s">
        <v>550</v>
      </c>
      <c r="V1930" t="s">
        <v>7359</v>
      </c>
      <c r="W1930" t="s">
        <v>6988</v>
      </c>
      <c r="X1930" t="s">
        <v>6451</v>
      </c>
      <c r="Y1930" t="s">
        <v>6452</v>
      </c>
      <c r="Z1930" t="s">
        <v>7357</v>
      </c>
    </row>
    <row r="1931" spans="1:26" x14ac:dyDescent="0.3">
      <c r="A1931" t="s">
        <v>330</v>
      </c>
      <c r="B1931" t="s">
        <v>7361</v>
      </c>
      <c r="C1931" t="s">
        <v>6993</v>
      </c>
      <c r="D1931" t="s">
        <v>7357</v>
      </c>
      <c r="E1931" t="s">
        <v>6417</v>
      </c>
      <c r="F1931" t="s">
        <v>1040</v>
      </c>
      <c r="G1931" s="1">
        <v>44562</v>
      </c>
      <c r="H1931" s="1">
        <v>44562</v>
      </c>
      <c r="I1931" t="s">
        <v>665</v>
      </c>
      <c r="J1931" t="s">
        <v>6418</v>
      </c>
      <c r="K1931" t="s">
        <v>958</v>
      </c>
      <c r="L1931" t="s">
        <v>6419</v>
      </c>
      <c r="M1931" t="s">
        <v>6984</v>
      </c>
      <c r="N1931" t="s">
        <v>6985</v>
      </c>
      <c r="O1931" t="s">
        <v>6968</v>
      </c>
      <c r="P1931" t="s">
        <v>6969</v>
      </c>
      <c r="Q1931" t="s">
        <v>6565</v>
      </c>
      <c r="R1931" t="s">
        <v>6566</v>
      </c>
      <c r="S1931" t="s">
        <v>7358</v>
      </c>
      <c r="T1931" t="s">
        <v>550</v>
      </c>
      <c r="U1931" t="s">
        <v>550</v>
      </c>
      <c r="V1931" t="s">
        <v>7359</v>
      </c>
      <c r="W1931" t="s">
        <v>6988</v>
      </c>
      <c r="X1931" t="s">
        <v>6451</v>
      </c>
      <c r="Y1931" t="s">
        <v>6452</v>
      </c>
      <c r="Z1931" t="s">
        <v>7357</v>
      </c>
    </row>
    <row r="1932" spans="1:26" x14ac:dyDescent="0.3">
      <c r="A1932" t="s">
        <v>330</v>
      </c>
      <c r="B1932" t="s">
        <v>7362</v>
      </c>
      <c r="C1932" t="s">
        <v>7310</v>
      </c>
      <c r="D1932" t="s">
        <v>7357</v>
      </c>
      <c r="E1932" t="s">
        <v>6417</v>
      </c>
      <c r="F1932" t="s">
        <v>1040</v>
      </c>
      <c r="G1932" s="1">
        <v>44562</v>
      </c>
      <c r="H1932" s="1">
        <v>44952</v>
      </c>
      <c r="I1932" t="s">
        <v>665</v>
      </c>
      <c r="J1932" t="s">
        <v>6418</v>
      </c>
      <c r="K1932" t="s">
        <v>958</v>
      </c>
      <c r="L1932" t="s">
        <v>6419</v>
      </c>
      <c r="M1932" t="s">
        <v>6984</v>
      </c>
      <c r="N1932" t="s">
        <v>6985</v>
      </c>
      <c r="O1932" t="s">
        <v>6968</v>
      </c>
      <c r="P1932" t="s">
        <v>6969</v>
      </c>
      <c r="Q1932" t="s">
        <v>6565</v>
      </c>
      <c r="R1932" t="s">
        <v>6566</v>
      </c>
      <c r="S1932" t="s">
        <v>7358</v>
      </c>
      <c r="T1932" t="s">
        <v>550</v>
      </c>
      <c r="U1932" t="s">
        <v>550</v>
      </c>
      <c r="V1932" t="s">
        <v>7359</v>
      </c>
      <c r="W1932" t="s">
        <v>6988</v>
      </c>
      <c r="X1932" t="s">
        <v>6451</v>
      </c>
      <c r="Y1932" t="s">
        <v>6452</v>
      </c>
      <c r="Z1932" t="s">
        <v>7357</v>
      </c>
    </row>
    <row r="1933" spans="1:26" x14ac:dyDescent="0.3">
      <c r="A1933" t="s">
        <v>330</v>
      </c>
      <c r="B1933" t="s">
        <v>7363</v>
      </c>
      <c r="C1933" t="s">
        <v>6990</v>
      </c>
      <c r="D1933" t="s">
        <v>7355</v>
      </c>
      <c r="E1933" t="s">
        <v>6417</v>
      </c>
      <c r="F1933" t="s">
        <v>1040</v>
      </c>
      <c r="G1933" s="1">
        <v>43831</v>
      </c>
      <c r="H1933" s="1">
        <v>44883</v>
      </c>
      <c r="I1933" t="s">
        <v>665</v>
      </c>
      <c r="J1933" t="s">
        <v>6418</v>
      </c>
      <c r="K1933" t="s">
        <v>958</v>
      </c>
      <c r="L1933" t="s">
        <v>6419</v>
      </c>
      <c r="M1933" t="s">
        <v>6984</v>
      </c>
      <c r="N1933" t="s">
        <v>6985</v>
      </c>
      <c r="O1933" t="s">
        <v>6968</v>
      </c>
      <c r="P1933" t="s">
        <v>6969</v>
      </c>
      <c r="Q1933" t="s">
        <v>6565</v>
      </c>
      <c r="R1933" t="s">
        <v>6566</v>
      </c>
      <c r="S1933" t="s">
        <v>7353</v>
      </c>
      <c r="T1933" t="s">
        <v>550</v>
      </c>
      <c r="U1933" t="s">
        <v>550</v>
      </c>
      <c r="V1933" t="s">
        <v>7364</v>
      </c>
      <c r="W1933" t="s">
        <v>6988</v>
      </c>
      <c r="X1933" t="s">
        <v>6451</v>
      </c>
      <c r="Y1933" t="s">
        <v>6452</v>
      </c>
      <c r="Z1933" t="s">
        <v>7363</v>
      </c>
    </row>
    <row r="1934" spans="1:26" x14ac:dyDescent="0.3">
      <c r="A1934" t="s">
        <v>330</v>
      </c>
      <c r="B1934" t="s">
        <v>7365</v>
      </c>
      <c r="C1934" t="s">
        <v>6993</v>
      </c>
      <c r="D1934" t="s">
        <v>7355</v>
      </c>
      <c r="E1934" t="s">
        <v>6417</v>
      </c>
      <c r="F1934" t="s">
        <v>1040</v>
      </c>
      <c r="G1934" s="1">
        <v>43831</v>
      </c>
      <c r="H1934" s="1">
        <v>44756</v>
      </c>
      <c r="I1934" t="s">
        <v>665</v>
      </c>
      <c r="J1934" t="s">
        <v>6418</v>
      </c>
      <c r="K1934" t="s">
        <v>958</v>
      </c>
      <c r="L1934" t="s">
        <v>6419</v>
      </c>
      <c r="M1934" t="s">
        <v>6984</v>
      </c>
      <c r="N1934" t="s">
        <v>6985</v>
      </c>
      <c r="O1934" t="s">
        <v>6968</v>
      </c>
      <c r="P1934" t="s">
        <v>6969</v>
      </c>
      <c r="Q1934" t="s">
        <v>6565</v>
      </c>
      <c r="R1934" t="s">
        <v>6566</v>
      </c>
      <c r="S1934" t="s">
        <v>7353</v>
      </c>
      <c r="T1934" t="s">
        <v>550</v>
      </c>
      <c r="U1934" t="s">
        <v>550</v>
      </c>
      <c r="V1934" t="s">
        <v>7366</v>
      </c>
      <c r="W1934" t="s">
        <v>6988</v>
      </c>
      <c r="X1934" t="s">
        <v>6451</v>
      </c>
      <c r="Y1934" t="s">
        <v>6452</v>
      </c>
      <c r="Z1934" t="s">
        <v>7365</v>
      </c>
    </row>
    <row r="1935" spans="1:26" x14ac:dyDescent="0.3">
      <c r="A1935" t="s">
        <v>330</v>
      </c>
      <c r="B1935" t="s">
        <v>7367</v>
      </c>
      <c r="C1935" t="s">
        <v>6983</v>
      </c>
      <c r="D1935" t="s">
        <v>550</v>
      </c>
      <c r="E1935" t="s">
        <v>6417</v>
      </c>
      <c r="F1935" t="s">
        <v>1040</v>
      </c>
      <c r="G1935" s="1">
        <v>44197</v>
      </c>
      <c r="H1935" s="1">
        <v>44197</v>
      </c>
      <c r="I1935" t="s">
        <v>665</v>
      </c>
      <c r="J1935" t="s">
        <v>6418</v>
      </c>
      <c r="K1935" t="s">
        <v>958</v>
      </c>
      <c r="L1935" t="s">
        <v>6419</v>
      </c>
      <c r="M1935" t="s">
        <v>6984</v>
      </c>
      <c r="N1935" t="s">
        <v>6985</v>
      </c>
      <c r="O1935" t="s">
        <v>6968</v>
      </c>
      <c r="P1935" t="s">
        <v>6969</v>
      </c>
      <c r="Q1935" t="s">
        <v>6565</v>
      </c>
      <c r="R1935" t="s">
        <v>6566</v>
      </c>
      <c r="S1935" t="s">
        <v>7368</v>
      </c>
      <c r="T1935" t="s">
        <v>550</v>
      </c>
      <c r="U1935" t="s">
        <v>550</v>
      </c>
      <c r="V1935" t="s">
        <v>7369</v>
      </c>
      <c r="W1935" t="s">
        <v>6988</v>
      </c>
      <c r="X1935" t="s">
        <v>6451</v>
      </c>
      <c r="Y1935" t="s">
        <v>6452</v>
      </c>
      <c r="Z1935" t="s">
        <v>7367</v>
      </c>
    </row>
    <row r="1936" spans="1:26" x14ac:dyDescent="0.3">
      <c r="A1936" t="s">
        <v>330</v>
      </c>
      <c r="B1936" t="s">
        <v>7370</v>
      </c>
      <c r="C1936" t="s">
        <v>6990</v>
      </c>
      <c r="D1936" t="s">
        <v>7367</v>
      </c>
      <c r="E1936" t="s">
        <v>6417</v>
      </c>
      <c r="F1936" t="s">
        <v>1040</v>
      </c>
      <c r="G1936" s="1">
        <v>44197</v>
      </c>
      <c r="H1936" s="1">
        <v>45319</v>
      </c>
      <c r="I1936" t="s">
        <v>665</v>
      </c>
      <c r="J1936" t="s">
        <v>6418</v>
      </c>
      <c r="K1936" t="s">
        <v>958</v>
      </c>
      <c r="L1936" t="s">
        <v>6419</v>
      </c>
      <c r="M1936" t="s">
        <v>6984</v>
      </c>
      <c r="N1936" t="s">
        <v>6985</v>
      </c>
      <c r="O1936" t="s">
        <v>6968</v>
      </c>
      <c r="P1936" t="s">
        <v>6969</v>
      </c>
      <c r="Q1936" t="s">
        <v>6565</v>
      </c>
      <c r="R1936" t="s">
        <v>6566</v>
      </c>
      <c r="S1936" t="s">
        <v>7368</v>
      </c>
      <c r="T1936" t="s">
        <v>550</v>
      </c>
      <c r="U1936" t="s">
        <v>550</v>
      </c>
      <c r="V1936" t="s">
        <v>7371</v>
      </c>
      <c r="W1936" t="s">
        <v>6988</v>
      </c>
      <c r="X1936" t="s">
        <v>6451</v>
      </c>
      <c r="Y1936" t="s">
        <v>6452</v>
      </c>
      <c r="Z1936" t="s">
        <v>7370</v>
      </c>
    </row>
    <row r="1937" spans="1:26" x14ac:dyDescent="0.3">
      <c r="A1937" t="s">
        <v>330</v>
      </c>
      <c r="B1937" t="s">
        <v>7372</v>
      </c>
      <c r="C1937" t="s">
        <v>6993</v>
      </c>
      <c r="D1937" t="s">
        <v>7367</v>
      </c>
      <c r="E1937" t="s">
        <v>6417</v>
      </c>
      <c r="F1937" t="s">
        <v>1040</v>
      </c>
      <c r="G1937" s="1">
        <v>44197</v>
      </c>
      <c r="H1937" s="1">
        <v>45346</v>
      </c>
      <c r="I1937" t="s">
        <v>665</v>
      </c>
      <c r="J1937" t="s">
        <v>6418</v>
      </c>
      <c r="K1937" t="s">
        <v>958</v>
      </c>
      <c r="L1937" t="s">
        <v>6419</v>
      </c>
      <c r="M1937" t="s">
        <v>6984</v>
      </c>
      <c r="N1937" t="s">
        <v>6985</v>
      </c>
      <c r="O1937" t="s">
        <v>6968</v>
      </c>
      <c r="P1937" t="s">
        <v>6969</v>
      </c>
      <c r="Q1937" t="s">
        <v>6565</v>
      </c>
      <c r="R1937" t="s">
        <v>6566</v>
      </c>
      <c r="S1937" t="s">
        <v>7368</v>
      </c>
      <c r="T1937" t="s">
        <v>550</v>
      </c>
      <c r="U1937" t="s">
        <v>550</v>
      </c>
      <c r="V1937" t="s">
        <v>7373</v>
      </c>
      <c r="W1937" t="s">
        <v>6988</v>
      </c>
      <c r="X1937" t="s">
        <v>6451</v>
      </c>
      <c r="Y1937" t="s">
        <v>6452</v>
      </c>
      <c r="Z1937" t="s">
        <v>7372</v>
      </c>
    </row>
    <row r="1938" spans="1:26" x14ac:dyDescent="0.3">
      <c r="A1938" t="s">
        <v>330</v>
      </c>
      <c r="B1938" t="s">
        <v>7374</v>
      </c>
      <c r="C1938" t="s">
        <v>7375</v>
      </c>
      <c r="D1938" t="s">
        <v>7355</v>
      </c>
      <c r="E1938" t="s">
        <v>6417</v>
      </c>
      <c r="F1938" t="s">
        <v>1040</v>
      </c>
      <c r="G1938" s="1">
        <v>43831</v>
      </c>
      <c r="H1938" s="1">
        <v>43831</v>
      </c>
      <c r="I1938" t="s">
        <v>665</v>
      </c>
      <c r="J1938" t="s">
        <v>6418</v>
      </c>
      <c r="K1938" t="s">
        <v>958</v>
      </c>
      <c r="L1938" t="s">
        <v>6419</v>
      </c>
      <c r="M1938" t="s">
        <v>7040</v>
      </c>
      <c r="N1938" t="s">
        <v>7041</v>
      </c>
      <c r="O1938" t="s">
        <v>6968</v>
      </c>
      <c r="P1938" t="s">
        <v>6969</v>
      </c>
      <c r="Q1938" t="s">
        <v>6565</v>
      </c>
      <c r="R1938" t="s">
        <v>6566</v>
      </c>
      <c r="S1938" t="s">
        <v>7353</v>
      </c>
      <c r="T1938" t="s">
        <v>550</v>
      </c>
      <c r="U1938" t="s">
        <v>550</v>
      </c>
      <c r="V1938" t="s">
        <v>7376</v>
      </c>
      <c r="W1938" t="s">
        <v>6988</v>
      </c>
      <c r="X1938" t="s">
        <v>6451</v>
      </c>
      <c r="Y1938" t="s">
        <v>6452</v>
      </c>
      <c r="Z1938" t="s">
        <v>7374</v>
      </c>
    </row>
    <row r="1939" spans="1:26" x14ac:dyDescent="0.3">
      <c r="A1939" t="s">
        <v>330</v>
      </c>
      <c r="B1939" t="s">
        <v>7377</v>
      </c>
      <c r="C1939" t="s">
        <v>7375</v>
      </c>
      <c r="D1939" t="s">
        <v>7367</v>
      </c>
      <c r="E1939" t="s">
        <v>6417</v>
      </c>
      <c r="F1939" t="s">
        <v>1040</v>
      </c>
      <c r="G1939" s="1">
        <v>44197</v>
      </c>
      <c r="H1939" s="1">
        <v>44308</v>
      </c>
      <c r="I1939" t="s">
        <v>665</v>
      </c>
      <c r="J1939" t="s">
        <v>6418</v>
      </c>
      <c r="K1939" t="s">
        <v>958</v>
      </c>
      <c r="L1939" t="s">
        <v>6419</v>
      </c>
      <c r="M1939" t="s">
        <v>7040</v>
      </c>
      <c r="N1939" t="s">
        <v>7041</v>
      </c>
      <c r="O1939" t="s">
        <v>6968</v>
      </c>
      <c r="P1939" t="s">
        <v>6969</v>
      </c>
      <c r="Q1939" t="s">
        <v>6565</v>
      </c>
      <c r="R1939" t="s">
        <v>6566</v>
      </c>
      <c r="S1939" t="s">
        <v>7368</v>
      </c>
      <c r="T1939" t="s">
        <v>550</v>
      </c>
      <c r="U1939" t="s">
        <v>550</v>
      </c>
      <c r="V1939" t="s">
        <v>7378</v>
      </c>
      <c r="W1939" t="s">
        <v>6988</v>
      </c>
      <c r="X1939" t="s">
        <v>6451</v>
      </c>
      <c r="Y1939" t="s">
        <v>6452</v>
      </c>
      <c r="Z1939" t="s">
        <v>7377</v>
      </c>
    </row>
    <row r="1940" spans="1:26" x14ac:dyDescent="0.3">
      <c r="A1940" t="s">
        <v>330</v>
      </c>
      <c r="B1940" t="s">
        <v>7379</v>
      </c>
      <c r="C1940" t="s">
        <v>7310</v>
      </c>
      <c r="D1940" t="s">
        <v>7355</v>
      </c>
      <c r="E1940" t="s">
        <v>6417</v>
      </c>
      <c r="F1940" t="s">
        <v>1040</v>
      </c>
      <c r="G1940" s="1">
        <v>43831</v>
      </c>
      <c r="H1940" s="1">
        <v>44255</v>
      </c>
      <c r="I1940" t="s">
        <v>665</v>
      </c>
      <c r="J1940" t="s">
        <v>6418</v>
      </c>
      <c r="K1940" t="s">
        <v>958</v>
      </c>
      <c r="L1940" t="s">
        <v>6419</v>
      </c>
      <c r="M1940" t="s">
        <v>7311</v>
      </c>
      <c r="N1940" t="s">
        <v>7312</v>
      </c>
      <c r="O1940" t="s">
        <v>6968</v>
      </c>
      <c r="P1940" t="s">
        <v>6969</v>
      </c>
      <c r="Q1940" t="s">
        <v>6565</v>
      </c>
      <c r="R1940" t="s">
        <v>6566</v>
      </c>
      <c r="S1940" t="s">
        <v>7353</v>
      </c>
      <c r="T1940" t="s">
        <v>550</v>
      </c>
      <c r="U1940" t="s">
        <v>550</v>
      </c>
      <c r="V1940" t="s">
        <v>7380</v>
      </c>
      <c r="W1940" t="s">
        <v>6988</v>
      </c>
      <c r="X1940" t="s">
        <v>6451</v>
      </c>
      <c r="Y1940" t="s">
        <v>6452</v>
      </c>
      <c r="Z1940" t="s">
        <v>7379</v>
      </c>
    </row>
    <row r="1941" spans="1:26" x14ac:dyDescent="0.3">
      <c r="A1941" t="s">
        <v>330</v>
      </c>
      <c r="B1941" t="s">
        <v>7381</v>
      </c>
      <c r="C1941" t="s">
        <v>7310</v>
      </c>
      <c r="D1941" t="s">
        <v>7367</v>
      </c>
      <c r="E1941" t="s">
        <v>6417</v>
      </c>
      <c r="F1941" t="s">
        <v>1040</v>
      </c>
      <c r="G1941" s="1">
        <v>44197</v>
      </c>
      <c r="H1941" s="1">
        <v>44686</v>
      </c>
      <c r="I1941" t="s">
        <v>665</v>
      </c>
      <c r="J1941" t="s">
        <v>6418</v>
      </c>
      <c r="K1941" t="s">
        <v>958</v>
      </c>
      <c r="L1941" t="s">
        <v>6419</v>
      </c>
      <c r="M1941" t="s">
        <v>7311</v>
      </c>
      <c r="N1941" t="s">
        <v>7312</v>
      </c>
      <c r="O1941" t="s">
        <v>6968</v>
      </c>
      <c r="P1941" t="s">
        <v>6969</v>
      </c>
      <c r="Q1941" t="s">
        <v>6565</v>
      </c>
      <c r="R1941" t="s">
        <v>6566</v>
      </c>
      <c r="S1941" t="s">
        <v>7368</v>
      </c>
      <c r="T1941" t="s">
        <v>550</v>
      </c>
      <c r="U1941" t="s">
        <v>550</v>
      </c>
      <c r="V1941" t="s">
        <v>7382</v>
      </c>
      <c r="W1941" t="s">
        <v>6988</v>
      </c>
      <c r="X1941" t="s">
        <v>6451</v>
      </c>
      <c r="Y1941" t="s">
        <v>6452</v>
      </c>
      <c r="Z1941" t="s">
        <v>7381</v>
      </c>
    </row>
    <row r="1942" spans="1:26" x14ac:dyDescent="0.3">
      <c r="A1942" t="s">
        <v>330</v>
      </c>
      <c r="B1942" t="s">
        <v>7383</v>
      </c>
      <c r="C1942" t="s">
        <v>7384</v>
      </c>
      <c r="D1942" t="s">
        <v>7231</v>
      </c>
      <c r="E1942" t="s">
        <v>6417</v>
      </c>
      <c r="F1942" t="s">
        <v>1040</v>
      </c>
      <c r="G1942" s="1">
        <v>44562</v>
      </c>
      <c r="H1942" s="1">
        <v>44562</v>
      </c>
      <c r="I1942" t="s">
        <v>665</v>
      </c>
      <c r="J1942" t="s">
        <v>6418</v>
      </c>
      <c r="K1942" t="s">
        <v>958</v>
      </c>
      <c r="L1942" t="s">
        <v>6419</v>
      </c>
      <c r="M1942" t="s">
        <v>6495</v>
      </c>
      <c r="N1942" t="s">
        <v>6496</v>
      </c>
      <c r="O1942" t="s">
        <v>6961</v>
      </c>
      <c r="P1942" t="s">
        <v>6962</v>
      </c>
      <c r="Q1942" t="s">
        <v>6565</v>
      </c>
      <c r="R1942" t="s">
        <v>6566</v>
      </c>
      <c r="S1942" t="s">
        <v>7232</v>
      </c>
      <c r="T1942" t="s">
        <v>550</v>
      </c>
      <c r="U1942" t="s">
        <v>550</v>
      </c>
      <c r="V1942" t="s">
        <v>7385</v>
      </c>
      <c r="W1942" t="s">
        <v>6972</v>
      </c>
      <c r="X1942" t="s">
        <v>6451</v>
      </c>
      <c r="Y1942" t="s">
        <v>6452</v>
      </c>
      <c r="Z1942" t="s">
        <v>7383</v>
      </c>
    </row>
    <row r="1943" spans="1:26" x14ac:dyDescent="0.3">
      <c r="A1943" t="s">
        <v>330</v>
      </c>
      <c r="B1943" t="s">
        <v>7386</v>
      </c>
      <c r="C1943" t="s">
        <v>7384</v>
      </c>
      <c r="D1943" t="s">
        <v>7168</v>
      </c>
      <c r="E1943" t="s">
        <v>6417</v>
      </c>
      <c r="F1943" t="s">
        <v>1040</v>
      </c>
      <c r="G1943" s="1">
        <v>44197</v>
      </c>
      <c r="H1943" s="1">
        <v>46699</v>
      </c>
      <c r="I1943" t="s">
        <v>665</v>
      </c>
      <c r="J1943" t="s">
        <v>6418</v>
      </c>
      <c r="K1943" t="s">
        <v>958</v>
      </c>
      <c r="L1943" t="s">
        <v>6419</v>
      </c>
      <c r="M1943" t="s">
        <v>6495</v>
      </c>
      <c r="N1943" t="s">
        <v>6496</v>
      </c>
      <c r="O1943" t="s">
        <v>6961</v>
      </c>
      <c r="P1943" t="s">
        <v>6962</v>
      </c>
      <c r="Q1943" t="s">
        <v>6565</v>
      </c>
      <c r="R1943" t="s">
        <v>6566</v>
      </c>
      <c r="S1943" t="s">
        <v>7169</v>
      </c>
      <c r="T1943" t="s">
        <v>550</v>
      </c>
      <c r="U1943" t="s">
        <v>550</v>
      </c>
      <c r="V1943" t="s">
        <v>7387</v>
      </c>
      <c r="W1943" t="s">
        <v>7388</v>
      </c>
      <c r="X1943" t="s">
        <v>6451</v>
      </c>
      <c r="Y1943" t="s">
        <v>6452</v>
      </c>
      <c r="Z1943" t="s">
        <v>7386</v>
      </c>
    </row>
    <row r="1944" spans="1:26" x14ac:dyDescent="0.3">
      <c r="A1944" t="s">
        <v>330</v>
      </c>
      <c r="B1944" t="s">
        <v>7389</v>
      </c>
      <c r="C1944" t="s">
        <v>7390</v>
      </c>
      <c r="D1944" t="s">
        <v>7168</v>
      </c>
      <c r="E1944" t="s">
        <v>6417</v>
      </c>
      <c r="F1944" t="s">
        <v>1040</v>
      </c>
      <c r="G1944" s="1">
        <v>44197</v>
      </c>
      <c r="H1944" s="1">
        <v>44221</v>
      </c>
      <c r="I1944" t="s">
        <v>665</v>
      </c>
      <c r="J1944" t="s">
        <v>6418</v>
      </c>
      <c r="K1944" t="s">
        <v>958</v>
      </c>
      <c r="L1944" t="s">
        <v>6419</v>
      </c>
      <c r="M1944" t="s">
        <v>6495</v>
      </c>
      <c r="N1944" t="s">
        <v>6496</v>
      </c>
      <c r="O1944" t="s">
        <v>6961</v>
      </c>
      <c r="P1944" t="s">
        <v>6962</v>
      </c>
      <c r="Q1944" t="s">
        <v>6565</v>
      </c>
      <c r="R1944" t="s">
        <v>6566</v>
      </c>
      <c r="S1944" t="s">
        <v>7169</v>
      </c>
      <c r="T1944" t="s">
        <v>550</v>
      </c>
      <c r="U1944" t="s">
        <v>550</v>
      </c>
      <c r="V1944" t="s">
        <v>7391</v>
      </c>
      <c r="W1944" t="s">
        <v>7388</v>
      </c>
      <c r="X1944" t="s">
        <v>6451</v>
      </c>
      <c r="Y1944" t="s">
        <v>6452</v>
      </c>
      <c r="Z1944" t="s">
        <v>7389</v>
      </c>
    </row>
    <row r="1945" spans="1:26" x14ac:dyDescent="0.3">
      <c r="A1945" t="s">
        <v>330</v>
      </c>
      <c r="B1945" t="s">
        <v>6600</v>
      </c>
      <c r="C1945" t="s">
        <v>7392</v>
      </c>
      <c r="D1945" t="s">
        <v>550</v>
      </c>
      <c r="E1945" t="s">
        <v>6417</v>
      </c>
      <c r="F1945" t="s">
        <v>1040</v>
      </c>
      <c r="G1945" s="1">
        <v>44928</v>
      </c>
      <c r="H1945" s="1">
        <v>44928</v>
      </c>
      <c r="I1945" t="s">
        <v>665</v>
      </c>
      <c r="J1945" t="s">
        <v>6418</v>
      </c>
      <c r="K1945" t="s">
        <v>958</v>
      </c>
      <c r="L1945" t="s">
        <v>6419</v>
      </c>
      <c r="M1945" t="s">
        <v>6601</v>
      </c>
      <c r="N1945" t="s">
        <v>6602</v>
      </c>
      <c r="O1945" t="s">
        <v>6961</v>
      </c>
      <c r="P1945" t="s">
        <v>6962</v>
      </c>
      <c r="Q1945" t="s">
        <v>6565</v>
      </c>
      <c r="R1945" t="s">
        <v>6566</v>
      </c>
      <c r="S1945" t="s">
        <v>6603</v>
      </c>
      <c r="T1945" t="s">
        <v>550</v>
      </c>
      <c r="U1945" t="s">
        <v>550</v>
      </c>
      <c r="V1945" t="s">
        <v>7393</v>
      </c>
      <c r="W1945" t="s">
        <v>6428</v>
      </c>
      <c r="X1945" t="s">
        <v>6451</v>
      </c>
      <c r="Y1945" t="s">
        <v>6452</v>
      </c>
      <c r="Z1945" t="s">
        <v>6600</v>
      </c>
    </row>
    <row r="1946" spans="1:26" x14ac:dyDescent="0.3">
      <c r="A1946" t="s">
        <v>330</v>
      </c>
      <c r="B1946" t="s">
        <v>7394</v>
      </c>
      <c r="C1946" t="s">
        <v>7392</v>
      </c>
      <c r="D1946" t="s">
        <v>550</v>
      </c>
      <c r="E1946" t="s">
        <v>6417</v>
      </c>
      <c r="F1946" t="s">
        <v>1040</v>
      </c>
      <c r="G1946" s="1">
        <v>44562</v>
      </c>
      <c r="H1946" s="1">
        <v>44562</v>
      </c>
      <c r="I1946" t="s">
        <v>665</v>
      </c>
      <c r="J1946" t="s">
        <v>6418</v>
      </c>
      <c r="K1946" t="s">
        <v>958</v>
      </c>
      <c r="L1946" t="s">
        <v>6419</v>
      </c>
      <c r="M1946" t="s">
        <v>6601</v>
      </c>
      <c r="N1946" t="s">
        <v>6602</v>
      </c>
      <c r="O1946" t="s">
        <v>6961</v>
      </c>
      <c r="P1946" t="s">
        <v>6962</v>
      </c>
      <c r="Q1946" t="s">
        <v>6565</v>
      </c>
      <c r="R1946" t="s">
        <v>6566</v>
      </c>
      <c r="S1946" t="s">
        <v>7395</v>
      </c>
      <c r="T1946" t="s">
        <v>550</v>
      </c>
      <c r="U1946" t="s">
        <v>550</v>
      </c>
      <c r="V1946" t="s">
        <v>7396</v>
      </c>
      <c r="W1946" t="s">
        <v>6428</v>
      </c>
      <c r="X1946" t="s">
        <v>6451</v>
      </c>
      <c r="Y1946" t="s">
        <v>6452</v>
      </c>
      <c r="Z1946" t="s">
        <v>7394</v>
      </c>
    </row>
    <row r="1947" spans="1:26" x14ac:dyDescent="0.3">
      <c r="A1947" t="s">
        <v>330</v>
      </c>
      <c r="B1947" t="s">
        <v>7397</v>
      </c>
      <c r="C1947" t="s">
        <v>7398</v>
      </c>
      <c r="D1947" t="s">
        <v>7399</v>
      </c>
      <c r="E1947" t="s">
        <v>6417</v>
      </c>
      <c r="F1947" t="s">
        <v>1040</v>
      </c>
      <c r="G1947" s="1">
        <v>44928</v>
      </c>
      <c r="H1947" s="1">
        <v>45294</v>
      </c>
      <c r="I1947" t="s">
        <v>665</v>
      </c>
      <c r="J1947" t="s">
        <v>6418</v>
      </c>
      <c r="K1947" t="s">
        <v>958</v>
      </c>
      <c r="L1947" t="s">
        <v>6502</v>
      </c>
      <c r="M1947" t="s">
        <v>6446</v>
      </c>
      <c r="N1947" t="s">
        <v>6447</v>
      </c>
      <c r="O1947" t="s">
        <v>6961</v>
      </c>
      <c r="P1947" t="s">
        <v>6962</v>
      </c>
      <c r="Q1947" t="s">
        <v>6565</v>
      </c>
      <c r="R1947" t="s">
        <v>6566</v>
      </c>
      <c r="S1947" t="s">
        <v>7400</v>
      </c>
      <c r="T1947" t="s">
        <v>550</v>
      </c>
      <c r="U1947" t="s">
        <v>550</v>
      </c>
      <c r="V1947" t="s">
        <v>7401</v>
      </c>
      <c r="W1947" t="s">
        <v>6450</v>
      </c>
      <c r="X1947" t="s">
        <v>6451</v>
      </c>
      <c r="Y1947" t="s">
        <v>6452</v>
      </c>
      <c r="Z1947" t="s">
        <v>7397</v>
      </c>
    </row>
    <row r="1948" spans="1:26" x14ac:dyDescent="0.3">
      <c r="A1948" t="s">
        <v>330</v>
      </c>
      <c r="B1948" t="s">
        <v>7402</v>
      </c>
      <c r="C1948" t="s">
        <v>7310</v>
      </c>
      <c r="D1948" t="s">
        <v>6982</v>
      </c>
      <c r="E1948" t="s">
        <v>6417</v>
      </c>
      <c r="F1948" t="s">
        <v>1040</v>
      </c>
      <c r="G1948" s="1">
        <v>44927</v>
      </c>
      <c r="H1948" s="1">
        <v>45422</v>
      </c>
      <c r="I1948" t="s">
        <v>665</v>
      </c>
      <c r="J1948" t="s">
        <v>6418</v>
      </c>
      <c r="K1948" t="s">
        <v>958</v>
      </c>
      <c r="L1948" t="s">
        <v>6419</v>
      </c>
      <c r="M1948" t="s">
        <v>6984</v>
      </c>
      <c r="N1948" t="s">
        <v>6985</v>
      </c>
      <c r="O1948" t="s">
        <v>6961</v>
      </c>
      <c r="P1948" t="s">
        <v>6962</v>
      </c>
      <c r="Q1948" t="s">
        <v>6565</v>
      </c>
      <c r="R1948" t="s">
        <v>6566</v>
      </c>
      <c r="S1948" t="s">
        <v>6986</v>
      </c>
      <c r="T1948" t="s">
        <v>550</v>
      </c>
      <c r="U1948" t="s">
        <v>550</v>
      </c>
      <c r="V1948" t="s">
        <v>7403</v>
      </c>
      <c r="W1948" t="s">
        <v>6988</v>
      </c>
      <c r="X1948" t="s">
        <v>6451</v>
      </c>
      <c r="Y1948" t="s">
        <v>6452</v>
      </c>
      <c r="Z1948" t="s">
        <v>7402</v>
      </c>
    </row>
    <row r="1949" spans="1:26" x14ac:dyDescent="0.3">
      <c r="A1949" t="s">
        <v>330</v>
      </c>
      <c r="B1949" t="s">
        <v>7404</v>
      </c>
      <c r="C1949" t="s">
        <v>7405</v>
      </c>
      <c r="D1949" t="s">
        <v>7231</v>
      </c>
      <c r="E1949" t="s">
        <v>6417</v>
      </c>
      <c r="F1949" t="s">
        <v>1040</v>
      </c>
      <c r="G1949" s="1">
        <v>44562</v>
      </c>
      <c r="H1949" s="1">
        <v>44562</v>
      </c>
      <c r="I1949" t="s">
        <v>665</v>
      </c>
      <c r="J1949" t="s">
        <v>6418</v>
      </c>
      <c r="K1949" t="s">
        <v>958</v>
      </c>
      <c r="L1949" t="s">
        <v>6419</v>
      </c>
      <c r="M1949" t="s">
        <v>6479</v>
      </c>
      <c r="N1949" t="s">
        <v>6480</v>
      </c>
      <c r="O1949" t="s">
        <v>6961</v>
      </c>
      <c r="P1949" t="s">
        <v>6962</v>
      </c>
      <c r="Q1949" t="s">
        <v>6565</v>
      </c>
      <c r="R1949" t="s">
        <v>6566</v>
      </c>
      <c r="S1949" t="s">
        <v>7232</v>
      </c>
      <c r="T1949" t="s">
        <v>550</v>
      </c>
      <c r="U1949" t="s">
        <v>550</v>
      </c>
      <c r="V1949" t="s">
        <v>7406</v>
      </c>
      <c r="W1949" t="s">
        <v>6972</v>
      </c>
      <c r="X1949" t="s">
        <v>6451</v>
      </c>
      <c r="Y1949" t="s">
        <v>6452</v>
      </c>
      <c r="Z1949" t="s">
        <v>7404</v>
      </c>
    </row>
    <row r="1950" spans="1:26" x14ac:dyDescent="0.3">
      <c r="A1950" t="s">
        <v>330</v>
      </c>
      <c r="B1950" t="s">
        <v>7407</v>
      </c>
      <c r="C1950" t="s">
        <v>6483</v>
      </c>
      <c r="D1950" t="s">
        <v>7231</v>
      </c>
      <c r="E1950" t="s">
        <v>6417</v>
      </c>
      <c r="F1950" t="s">
        <v>1040</v>
      </c>
      <c r="G1950" s="1">
        <v>44562</v>
      </c>
      <c r="H1950" s="1">
        <v>44562</v>
      </c>
      <c r="I1950" t="s">
        <v>665</v>
      </c>
      <c r="J1950" t="s">
        <v>6418</v>
      </c>
      <c r="K1950" t="s">
        <v>958</v>
      </c>
      <c r="L1950" t="s">
        <v>6419</v>
      </c>
      <c r="M1950" t="s">
        <v>6479</v>
      </c>
      <c r="N1950" t="s">
        <v>6480</v>
      </c>
      <c r="O1950" t="s">
        <v>6961</v>
      </c>
      <c r="P1950" t="s">
        <v>6962</v>
      </c>
      <c r="Q1950" t="s">
        <v>6565</v>
      </c>
      <c r="R1950" t="s">
        <v>6566</v>
      </c>
      <c r="S1950" t="s">
        <v>7232</v>
      </c>
      <c r="T1950" t="s">
        <v>550</v>
      </c>
      <c r="U1950" t="s">
        <v>550</v>
      </c>
      <c r="V1950" t="s">
        <v>7408</v>
      </c>
      <c r="W1950" t="s">
        <v>6972</v>
      </c>
      <c r="X1950" t="s">
        <v>6451</v>
      </c>
      <c r="Y1950" t="s">
        <v>6452</v>
      </c>
      <c r="Z1950" t="s">
        <v>7407</v>
      </c>
    </row>
    <row r="1951" spans="1:26" x14ac:dyDescent="0.3">
      <c r="A1951" t="s">
        <v>330</v>
      </c>
      <c r="B1951" t="s">
        <v>7409</v>
      </c>
      <c r="C1951" t="s">
        <v>6590</v>
      </c>
      <c r="D1951" t="s">
        <v>7168</v>
      </c>
      <c r="E1951" t="s">
        <v>6417</v>
      </c>
      <c r="F1951" t="s">
        <v>1040</v>
      </c>
      <c r="G1951" s="1">
        <v>44197</v>
      </c>
      <c r="H1951" s="1">
        <v>45045</v>
      </c>
      <c r="I1951" t="s">
        <v>665</v>
      </c>
      <c r="J1951" t="s">
        <v>6418</v>
      </c>
      <c r="K1951" t="s">
        <v>958</v>
      </c>
      <c r="L1951" t="s">
        <v>6419</v>
      </c>
      <c r="M1951" t="s">
        <v>7068</v>
      </c>
      <c r="N1951" t="s">
        <v>7069</v>
      </c>
      <c r="O1951" t="s">
        <v>6961</v>
      </c>
      <c r="P1951" t="s">
        <v>6962</v>
      </c>
      <c r="Q1951" t="s">
        <v>6565</v>
      </c>
      <c r="R1951" t="s">
        <v>6566</v>
      </c>
      <c r="S1951" t="s">
        <v>7169</v>
      </c>
      <c r="T1951" t="s">
        <v>550</v>
      </c>
      <c r="U1951" t="s">
        <v>550</v>
      </c>
      <c r="V1951" t="s">
        <v>7410</v>
      </c>
      <c r="W1951" t="s">
        <v>6972</v>
      </c>
      <c r="X1951" t="s">
        <v>6451</v>
      </c>
      <c r="Y1951" t="s">
        <v>6452</v>
      </c>
      <c r="Z1951" t="s">
        <v>7409</v>
      </c>
    </row>
    <row r="1952" spans="1:26" x14ac:dyDescent="0.3">
      <c r="A1952" t="s">
        <v>330</v>
      </c>
      <c r="B1952" t="s">
        <v>7411</v>
      </c>
      <c r="C1952" t="s">
        <v>7412</v>
      </c>
      <c r="D1952" t="s">
        <v>7413</v>
      </c>
      <c r="E1952" t="s">
        <v>6417</v>
      </c>
      <c r="F1952" t="s">
        <v>1040</v>
      </c>
      <c r="G1952" s="1">
        <v>44197</v>
      </c>
      <c r="H1952" s="1">
        <v>44336</v>
      </c>
      <c r="I1952" t="s">
        <v>665</v>
      </c>
      <c r="J1952" t="s">
        <v>6418</v>
      </c>
      <c r="K1952" t="s">
        <v>958</v>
      </c>
      <c r="L1952" t="s">
        <v>6502</v>
      </c>
      <c r="M1952" t="s">
        <v>7068</v>
      </c>
      <c r="N1952" t="s">
        <v>7069</v>
      </c>
      <c r="O1952" t="s">
        <v>6961</v>
      </c>
      <c r="P1952" t="s">
        <v>6962</v>
      </c>
      <c r="Q1952" t="s">
        <v>6565</v>
      </c>
      <c r="R1952" t="s">
        <v>6566</v>
      </c>
      <c r="S1952" t="s">
        <v>7414</v>
      </c>
      <c r="T1952" t="s">
        <v>550</v>
      </c>
      <c r="U1952" t="s">
        <v>550</v>
      </c>
      <c r="V1952" t="s">
        <v>7415</v>
      </c>
      <c r="W1952" t="s">
        <v>6972</v>
      </c>
      <c r="X1952" t="s">
        <v>6451</v>
      </c>
      <c r="Y1952" t="s">
        <v>6452</v>
      </c>
      <c r="Z1952" t="s">
        <v>7411</v>
      </c>
    </row>
    <row r="1953" spans="1:26" x14ac:dyDescent="0.3">
      <c r="A1953" t="s">
        <v>330</v>
      </c>
      <c r="B1953" t="s">
        <v>7416</v>
      </c>
      <c r="C1953" t="s">
        <v>7417</v>
      </c>
      <c r="D1953" t="s">
        <v>7413</v>
      </c>
      <c r="E1953" t="s">
        <v>6417</v>
      </c>
      <c r="F1953" t="s">
        <v>1040</v>
      </c>
      <c r="G1953" s="1">
        <v>44197</v>
      </c>
      <c r="H1953" s="1">
        <v>44336</v>
      </c>
      <c r="I1953" t="s">
        <v>665</v>
      </c>
      <c r="J1953" t="s">
        <v>6418</v>
      </c>
      <c r="K1953" t="s">
        <v>958</v>
      </c>
      <c r="L1953" t="s">
        <v>6502</v>
      </c>
      <c r="M1953" t="s">
        <v>7068</v>
      </c>
      <c r="N1953" t="s">
        <v>7069</v>
      </c>
      <c r="O1953" t="s">
        <v>6961</v>
      </c>
      <c r="P1953" t="s">
        <v>6962</v>
      </c>
      <c r="Q1953" t="s">
        <v>6565</v>
      </c>
      <c r="R1953" t="s">
        <v>6566</v>
      </c>
      <c r="S1953" t="s">
        <v>7414</v>
      </c>
      <c r="T1953" t="s">
        <v>550</v>
      </c>
      <c r="U1953" t="s">
        <v>550</v>
      </c>
      <c r="V1953" t="s">
        <v>7418</v>
      </c>
      <c r="W1953" t="s">
        <v>6972</v>
      </c>
      <c r="X1953" t="s">
        <v>6451</v>
      </c>
      <c r="Y1953" t="s">
        <v>6452</v>
      </c>
      <c r="Z1953" t="s">
        <v>7416</v>
      </c>
    </row>
    <row r="1954" spans="1:26" x14ac:dyDescent="0.3">
      <c r="A1954" t="s">
        <v>330</v>
      </c>
      <c r="B1954" t="s">
        <v>7419</v>
      </c>
      <c r="C1954" t="s">
        <v>6983</v>
      </c>
      <c r="D1954" t="s">
        <v>550</v>
      </c>
      <c r="E1954" t="s">
        <v>6417</v>
      </c>
      <c r="F1954" t="s">
        <v>1040</v>
      </c>
      <c r="G1954" s="1">
        <v>45293</v>
      </c>
      <c r="H1954" s="1">
        <v>45293</v>
      </c>
      <c r="I1954" t="s">
        <v>665</v>
      </c>
      <c r="J1954" t="s">
        <v>6418</v>
      </c>
      <c r="K1954" t="s">
        <v>958</v>
      </c>
      <c r="L1954" t="s">
        <v>6419</v>
      </c>
      <c r="M1954" t="s">
        <v>6984</v>
      </c>
      <c r="N1954" t="s">
        <v>6985</v>
      </c>
      <c r="O1954" t="s">
        <v>6961</v>
      </c>
      <c r="P1954" t="s">
        <v>6962</v>
      </c>
      <c r="Q1954" t="s">
        <v>6565</v>
      </c>
      <c r="R1954" t="s">
        <v>6566</v>
      </c>
      <c r="S1954" t="s">
        <v>7420</v>
      </c>
      <c r="T1954" t="s">
        <v>550</v>
      </c>
      <c r="U1954" t="s">
        <v>550</v>
      </c>
      <c r="V1954" t="s">
        <v>7421</v>
      </c>
      <c r="W1954" t="s">
        <v>6988</v>
      </c>
      <c r="X1954" t="s">
        <v>7422</v>
      </c>
      <c r="Z1954" t="s">
        <v>7419</v>
      </c>
    </row>
    <row r="1955" spans="1:26" x14ac:dyDescent="0.3">
      <c r="A1955" t="s">
        <v>330</v>
      </c>
      <c r="B1955" t="s">
        <v>7423</v>
      </c>
      <c r="C1955" t="s">
        <v>6990</v>
      </c>
      <c r="D1955" t="s">
        <v>7419</v>
      </c>
      <c r="E1955" t="s">
        <v>6417</v>
      </c>
      <c r="F1955" t="s">
        <v>1040</v>
      </c>
      <c r="G1955" s="1">
        <v>45292</v>
      </c>
      <c r="H1955" s="1">
        <v>46193</v>
      </c>
      <c r="I1955" t="s">
        <v>665</v>
      </c>
      <c r="J1955" t="s">
        <v>6418</v>
      </c>
      <c r="K1955" t="s">
        <v>958</v>
      </c>
      <c r="L1955" t="s">
        <v>6419</v>
      </c>
      <c r="M1955" t="s">
        <v>6984</v>
      </c>
      <c r="N1955" t="s">
        <v>6985</v>
      </c>
      <c r="O1955" t="s">
        <v>6961</v>
      </c>
      <c r="P1955" t="s">
        <v>6962</v>
      </c>
      <c r="Q1955" t="s">
        <v>6565</v>
      </c>
      <c r="R1955" t="s">
        <v>6566</v>
      </c>
      <c r="S1955" t="s">
        <v>7420</v>
      </c>
      <c r="T1955" t="s">
        <v>550</v>
      </c>
      <c r="U1955" t="s">
        <v>550</v>
      </c>
      <c r="V1955" t="s">
        <v>7424</v>
      </c>
      <c r="W1955" t="s">
        <v>6988</v>
      </c>
      <c r="X1955" t="s">
        <v>7422</v>
      </c>
      <c r="Z1955" t="s">
        <v>7423</v>
      </c>
    </row>
    <row r="1956" spans="1:26" x14ac:dyDescent="0.3">
      <c r="A1956" t="s">
        <v>330</v>
      </c>
      <c r="B1956" t="s">
        <v>7425</v>
      </c>
      <c r="C1956" t="s">
        <v>6993</v>
      </c>
      <c r="D1956" t="s">
        <v>7419</v>
      </c>
      <c r="E1956" t="s">
        <v>6417</v>
      </c>
      <c r="F1956" t="s">
        <v>1040</v>
      </c>
      <c r="G1956" s="1">
        <v>45292</v>
      </c>
      <c r="H1956" s="1">
        <v>46358</v>
      </c>
      <c r="I1956" t="s">
        <v>665</v>
      </c>
      <c r="J1956" t="s">
        <v>6418</v>
      </c>
      <c r="K1956" t="s">
        <v>958</v>
      </c>
      <c r="L1956" t="s">
        <v>6419</v>
      </c>
      <c r="M1956" t="s">
        <v>6984</v>
      </c>
      <c r="N1956" t="s">
        <v>6985</v>
      </c>
      <c r="O1956" t="s">
        <v>6961</v>
      </c>
      <c r="P1956" t="s">
        <v>6962</v>
      </c>
      <c r="Q1956" t="s">
        <v>6565</v>
      </c>
      <c r="R1956" t="s">
        <v>6566</v>
      </c>
      <c r="S1956" t="s">
        <v>7420</v>
      </c>
      <c r="T1956" t="s">
        <v>550</v>
      </c>
      <c r="U1956" t="s">
        <v>550</v>
      </c>
      <c r="V1956" t="s">
        <v>7426</v>
      </c>
      <c r="W1956" t="s">
        <v>6988</v>
      </c>
      <c r="X1956" t="s">
        <v>7422</v>
      </c>
      <c r="Z1956" t="s">
        <v>7425</v>
      </c>
    </row>
    <row r="1957" spans="1:26" x14ac:dyDescent="0.3">
      <c r="A1957" t="s">
        <v>330</v>
      </c>
      <c r="B1957" t="s">
        <v>7427</v>
      </c>
      <c r="C1957" t="s">
        <v>7310</v>
      </c>
      <c r="D1957" t="s">
        <v>7419</v>
      </c>
      <c r="E1957" t="s">
        <v>6417</v>
      </c>
      <c r="F1957" t="s">
        <v>1040</v>
      </c>
      <c r="G1957" s="1">
        <v>45292</v>
      </c>
      <c r="H1957" s="1">
        <v>45789</v>
      </c>
      <c r="I1957" t="s">
        <v>665</v>
      </c>
      <c r="J1957" t="s">
        <v>6418</v>
      </c>
      <c r="K1957" t="s">
        <v>958</v>
      </c>
      <c r="L1957" t="s">
        <v>6419</v>
      </c>
      <c r="M1957" t="s">
        <v>6984</v>
      </c>
      <c r="N1957" t="s">
        <v>6985</v>
      </c>
      <c r="O1957" t="s">
        <v>6961</v>
      </c>
      <c r="P1957" t="s">
        <v>6962</v>
      </c>
      <c r="Q1957" t="s">
        <v>6565</v>
      </c>
      <c r="R1957" t="s">
        <v>6566</v>
      </c>
      <c r="S1957" t="s">
        <v>7420</v>
      </c>
      <c r="T1957" t="s">
        <v>550</v>
      </c>
      <c r="U1957" t="s">
        <v>550</v>
      </c>
      <c r="V1957" t="s">
        <v>7428</v>
      </c>
      <c r="W1957" t="s">
        <v>6988</v>
      </c>
      <c r="X1957" t="s">
        <v>7422</v>
      </c>
      <c r="Z1957" t="s">
        <v>7427</v>
      </c>
    </row>
    <row r="1958" spans="1:26" x14ac:dyDescent="0.3">
      <c r="A1958" t="s">
        <v>330</v>
      </c>
      <c r="B1958" t="s">
        <v>7429</v>
      </c>
      <c r="C1958" t="s">
        <v>6996</v>
      </c>
      <c r="D1958" t="s">
        <v>7419</v>
      </c>
      <c r="E1958" t="s">
        <v>6417</v>
      </c>
      <c r="F1958" t="s">
        <v>1040</v>
      </c>
      <c r="G1958" s="1">
        <v>45293</v>
      </c>
      <c r="H1958" s="1">
        <v>45293</v>
      </c>
      <c r="I1958" t="s">
        <v>665</v>
      </c>
      <c r="J1958" t="s">
        <v>6418</v>
      </c>
      <c r="K1958" t="s">
        <v>958</v>
      </c>
      <c r="L1958" t="s">
        <v>6419</v>
      </c>
      <c r="M1958" t="s">
        <v>6984</v>
      </c>
      <c r="N1958" t="s">
        <v>6985</v>
      </c>
      <c r="O1958" t="s">
        <v>6961</v>
      </c>
      <c r="P1958" t="s">
        <v>6962</v>
      </c>
      <c r="Q1958" t="s">
        <v>6565</v>
      </c>
      <c r="R1958" t="s">
        <v>6566</v>
      </c>
      <c r="S1958" t="s">
        <v>7420</v>
      </c>
      <c r="T1958" t="s">
        <v>550</v>
      </c>
      <c r="U1958" t="s">
        <v>550</v>
      </c>
      <c r="V1958" t="s">
        <v>7430</v>
      </c>
      <c r="W1958" t="s">
        <v>6988</v>
      </c>
      <c r="X1958" t="s">
        <v>7422</v>
      </c>
      <c r="Z1958" t="s">
        <v>7429</v>
      </c>
    </row>
    <row r="1959" spans="1:26" x14ac:dyDescent="0.3">
      <c r="A1959" t="s">
        <v>330</v>
      </c>
      <c r="B1959" t="s">
        <v>7431</v>
      </c>
      <c r="C1959" t="s">
        <v>6999</v>
      </c>
      <c r="D1959" t="s">
        <v>7429</v>
      </c>
      <c r="E1959" t="s">
        <v>6417</v>
      </c>
      <c r="F1959" t="s">
        <v>1040</v>
      </c>
      <c r="G1959" s="1">
        <v>45292</v>
      </c>
      <c r="H1959" s="1">
        <v>45674</v>
      </c>
      <c r="I1959" t="s">
        <v>665</v>
      </c>
      <c r="J1959" t="s">
        <v>6418</v>
      </c>
      <c r="K1959" t="s">
        <v>958</v>
      </c>
      <c r="L1959" t="s">
        <v>6419</v>
      </c>
      <c r="M1959" t="s">
        <v>6984</v>
      </c>
      <c r="N1959" t="s">
        <v>6985</v>
      </c>
      <c r="O1959" t="s">
        <v>6961</v>
      </c>
      <c r="P1959" t="s">
        <v>6962</v>
      </c>
      <c r="Q1959" t="s">
        <v>6565</v>
      </c>
      <c r="R1959" t="s">
        <v>6566</v>
      </c>
      <c r="S1959" t="s">
        <v>7420</v>
      </c>
      <c r="T1959" t="s">
        <v>550</v>
      </c>
      <c r="U1959" t="s">
        <v>550</v>
      </c>
      <c r="V1959" t="s">
        <v>7432</v>
      </c>
      <c r="W1959" t="s">
        <v>6988</v>
      </c>
      <c r="X1959" t="s">
        <v>7422</v>
      </c>
      <c r="Z1959" t="s">
        <v>7431</v>
      </c>
    </row>
    <row r="1960" spans="1:26" x14ac:dyDescent="0.3">
      <c r="A1960" t="s">
        <v>330</v>
      </c>
      <c r="B1960" t="s">
        <v>7433</v>
      </c>
      <c r="C1960" t="s">
        <v>7002</v>
      </c>
      <c r="D1960" t="s">
        <v>7429</v>
      </c>
      <c r="E1960" t="s">
        <v>6417</v>
      </c>
      <c r="F1960" t="s">
        <v>1040</v>
      </c>
      <c r="G1960" s="1">
        <v>45292</v>
      </c>
      <c r="H1960" s="1">
        <v>45394</v>
      </c>
      <c r="I1960" t="s">
        <v>665</v>
      </c>
      <c r="J1960" t="s">
        <v>6418</v>
      </c>
      <c r="K1960" t="s">
        <v>958</v>
      </c>
      <c r="L1960" t="s">
        <v>6419</v>
      </c>
      <c r="M1960" t="s">
        <v>6984</v>
      </c>
      <c r="N1960" t="s">
        <v>6985</v>
      </c>
      <c r="O1960" t="s">
        <v>6961</v>
      </c>
      <c r="P1960" t="s">
        <v>6962</v>
      </c>
      <c r="Q1960" t="s">
        <v>6565</v>
      </c>
      <c r="R1960" t="s">
        <v>6566</v>
      </c>
      <c r="S1960" t="s">
        <v>7420</v>
      </c>
      <c r="T1960" t="s">
        <v>550</v>
      </c>
      <c r="U1960" t="s">
        <v>550</v>
      </c>
      <c r="V1960" t="s">
        <v>7434</v>
      </c>
      <c r="W1960" t="s">
        <v>6988</v>
      </c>
      <c r="X1960" t="s">
        <v>7422</v>
      </c>
      <c r="Z1960" t="s">
        <v>7433</v>
      </c>
    </row>
    <row r="1961" spans="1:26" x14ac:dyDescent="0.3">
      <c r="A1961" t="s">
        <v>330</v>
      </c>
      <c r="B1961" t="s">
        <v>7168</v>
      </c>
      <c r="C1961" t="s">
        <v>7004</v>
      </c>
      <c r="D1961" t="s">
        <v>550</v>
      </c>
      <c r="E1961" t="s">
        <v>6417</v>
      </c>
      <c r="F1961" t="s">
        <v>1040</v>
      </c>
      <c r="G1961" s="1">
        <v>44197</v>
      </c>
      <c r="H1961" s="1">
        <v>44197</v>
      </c>
      <c r="I1961" t="s">
        <v>665</v>
      </c>
      <c r="J1961" t="s">
        <v>6418</v>
      </c>
      <c r="K1961" t="s">
        <v>958</v>
      </c>
      <c r="L1961" t="s">
        <v>6419</v>
      </c>
      <c r="M1961" t="s">
        <v>7435</v>
      </c>
      <c r="N1961" t="s">
        <v>7436</v>
      </c>
      <c r="O1961" t="s">
        <v>6961</v>
      </c>
      <c r="P1961" t="s">
        <v>6962</v>
      </c>
      <c r="Q1961" t="s">
        <v>6565</v>
      </c>
      <c r="R1961" t="s">
        <v>6566</v>
      </c>
      <c r="S1961" t="s">
        <v>7169</v>
      </c>
      <c r="T1961" t="s">
        <v>550</v>
      </c>
      <c r="U1961" t="s">
        <v>550</v>
      </c>
      <c r="V1961" t="s">
        <v>7437</v>
      </c>
      <c r="W1961" t="s">
        <v>7388</v>
      </c>
      <c r="X1961" t="s">
        <v>6451</v>
      </c>
      <c r="Y1961" t="s">
        <v>6452</v>
      </c>
      <c r="Z1961" t="s">
        <v>7168</v>
      </c>
    </row>
    <row r="1962" spans="1:26" x14ac:dyDescent="0.3">
      <c r="A1962" t="s">
        <v>330</v>
      </c>
      <c r="B1962" t="s">
        <v>7231</v>
      </c>
      <c r="C1962" t="s">
        <v>7004</v>
      </c>
      <c r="D1962" t="s">
        <v>550</v>
      </c>
      <c r="E1962" t="s">
        <v>6417</v>
      </c>
      <c r="F1962" t="s">
        <v>1040</v>
      </c>
      <c r="G1962" s="1">
        <v>44562</v>
      </c>
      <c r="H1962" s="1">
        <v>44562</v>
      </c>
      <c r="I1962" t="s">
        <v>665</v>
      </c>
      <c r="J1962" t="s">
        <v>6418</v>
      </c>
      <c r="K1962" t="s">
        <v>958</v>
      </c>
      <c r="L1962" t="s">
        <v>6419</v>
      </c>
      <c r="M1962" t="s">
        <v>6961</v>
      </c>
      <c r="N1962" t="s">
        <v>6962</v>
      </c>
      <c r="O1962" t="s">
        <v>6961</v>
      </c>
      <c r="P1962" t="s">
        <v>6962</v>
      </c>
      <c r="Q1962" t="s">
        <v>6565</v>
      </c>
      <c r="R1962" t="s">
        <v>6566</v>
      </c>
      <c r="S1962" t="s">
        <v>7232</v>
      </c>
      <c r="T1962" t="s">
        <v>550</v>
      </c>
      <c r="U1962" t="s">
        <v>550</v>
      </c>
      <c r="V1962" t="s">
        <v>7438</v>
      </c>
      <c r="W1962" t="s">
        <v>6972</v>
      </c>
      <c r="X1962" t="s">
        <v>6451</v>
      </c>
      <c r="Y1962" t="s">
        <v>6452</v>
      </c>
      <c r="Z1962" t="s">
        <v>7231</v>
      </c>
    </row>
    <row r="1963" spans="1:26" x14ac:dyDescent="0.3">
      <c r="A1963" t="s">
        <v>330</v>
      </c>
      <c r="B1963" t="s">
        <v>7439</v>
      </c>
      <c r="C1963" t="s">
        <v>6590</v>
      </c>
      <c r="D1963" t="s">
        <v>7231</v>
      </c>
      <c r="E1963" t="s">
        <v>6417</v>
      </c>
      <c r="F1963" t="s">
        <v>1040</v>
      </c>
      <c r="G1963" s="1">
        <v>44562</v>
      </c>
      <c r="H1963" s="1">
        <v>44562</v>
      </c>
      <c r="I1963" t="s">
        <v>665</v>
      </c>
      <c r="J1963" t="s">
        <v>6418</v>
      </c>
      <c r="K1963" t="s">
        <v>958</v>
      </c>
      <c r="L1963" t="s">
        <v>6419</v>
      </c>
      <c r="M1963" t="s">
        <v>6591</v>
      </c>
      <c r="N1963" t="s">
        <v>6592</v>
      </c>
      <c r="O1963" t="s">
        <v>6961</v>
      </c>
      <c r="P1963" t="s">
        <v>6962</v>
      </c>
      <c r="Q1963" t="s">
        <v>6565</v>
      </c>
      <c r="R1963" t="s">
        <v>6566</v>
      </c>
      <c r="S1963" t="s">
        <v>7232</v>
      </c>
      <c r="T1963" t="s">
        <v>550</v>
      </c>
      <c r="U1963" t="s">
        <v>550</v>
      </c>
      <c r="V1963" t="s">
        <v>7440</v>
      </c>
      <c r="W1963" t="s">
        <v>6972</v>
      </c>
      <c r="X1963" t="s">
        <v>6451</v>
      </c>
      <c r="Y1963" t="s">
        <v>6452</v>
      </c>
      <c r="Z1963" t="s">
        <v>7439</v>
      </c>
    </row>
    <row r="1964" spans="1:26" x14ac:dyDescent="0.3">
      <c r="A1964" t="s">
        <v>330</v>
      </c>
      <c r="B1964" t="s">
        <v>7441</v>
      </c>
      <c r="C1964" t="s">
        <v>7442</v>
      </c>
      <c r="D1964" t="s">
        <v>7168</v>
      </c>
      <c r="E1964" t="s">
        <v>6417</v>
      </c>
      <c r="F1964" t="s">
        <v>1040</v>
      </c>
      <c r="G1964" s="1">
        <v>44197</v>
      </c>
      <c r="H1964" s="1">
        <v>44320</v>
      </c>
      <c r="I1964" t="s">
        <v>665</v>
      </c>
      <c r="J1964" t="s">
        <v>6418</v>
      </c>
      <c r="K1964" t="s">
        <v>958</v>
      </c>
      <c r="L1964" t="s">
        <v>6419</v>
      </c>
      <c r="M1964" t="s">
        <v>7443</v>
      </c>
      <c r="N1964" t="s">
        <v>7444</v>
      </c>
      <c r="O1964" t="s">
        <v>6961</v>
      </c>
      <c r="P1964" t="s">
        <v>6962</v>
      </c>
      <c r="Q1964" t="s">
        <v>6565</v>
      </c>
      <c r="R1964" t="s">
        <v>6566</v>
      </c>
      <c r="S1964" t="s">
        <v>7169</v>
      </c>
      <c r="T1964" t="s">
        <v>550</v>
      </c>
      <c r="U1964" t="s">
        <v>550</v>
      </c>
      <c r="V1964" t="s">
        <v>7445</v>
      </c>
      <c r="W1964" t="s">
        <v>6964</v>
      </c>
      <c r="X1964" t="s">
        <v>6451</v>
      </c>
      <c r="Y1964" t="s">
        <v>6452</v>
      </c>
      <c r="Z1964" t="s">
        <v>7441</v>
      </c>
    </row>
    <row r="1965" spans="1:26" x14ac:dyDescent="0.3">
      <c r="A1965" t="s">
        <v>330</v>
      </c>
      <c r="B1965" t="s">
        <v>7446</v>
      </c>
      <c r="C1965" t="s">
        <v>7447</v>
      </c>
      <c r="D1965" t="s">
        <v>7168</v>
      </c>
      <c r="E1965" t="s">
        <v>6417</v>
      </c>
      <c r="F1965" t="s">
        <v>1040</v>
      </c>
      <c r="G1965" s="1">
        <v>44197</v>
      </c>
      <c r="H1965" s="1">
        <v>44231</v>
      </c>
      <c r="I1965" t="s">
        <v>665</v>
      </c>
      <c r="J1965" t="s">
        <v>6418</v>
      </c>
      <c r="K1965" t="s">
        <v>958</v>
      </c>
      <c r="L1965" t="s">
        <v>6419</v>
      </c>
      <c r="M1965" t="s">
        <v>7443</v>
      </c>
      <c r="N1965" t="s">
        <v>7444</v>
      </c>
      <c r="O1965" t="s">
        <v>6961</v>
      </c>
      <c r="P1965" t="s">
        <v>6962</v>
      </c>
      <c r="Q1965" t="s">
        <v>6565</v>
      </c>
      <c r="R1965" t="s">
        <v>6566</v>
      </c>
      <c r="S1965" t="s">
        <v>7169</v>
      </c>
      <c r="T1965" t="s">
        <v>550</v>
      </c>
      <c r="U1965" t="s">
        <v>550</v>
      </c>
      <c r="V1965" t="s">
        <v>7448</v>
      </c>
      <c r="W1965" t="s">
        <v>6964</v>
      </c>
      <c r="X1965" t="s">
        <v>6451</v>
      </c>
      <c r="Y1965" t="s">
        <v>6452</v>
      </c>
      <c r="Z1965" t="s">
        <v>7446</v>
      </c>
    </row>
    <row r="1966" spans="1:26" x14ac:dyDescent="0.3">
      <c r="A1966" t="s">
        <v>330</v>
      </c>
      <c r="B1966" t="s">
        <v>7449</v>
      </c>
      <c r="C1966" t="s">
        <v>7450</v>
      </c>
      <c r="D1966" t="s">
        <v>7451</v>
      </c>
      <c r="E1966" t="s">
        <v>6417</v>
      </c>
      <c r="F1966" t="s">
        <v>1040</v>
      </c>
      <c r="G1966" s="1">
        <v>45537</v>
      </c>
      <c r="H1966" s="1">
        <v>45600</v>
      </c>
      <c r="I1966" t="s">
        <v>665</v>
      </c>
      <c r="J1966" t="s">
        <v>6418</v>
      </c>
      <c r="K1966" t="s">
        <v>958</v>
      </c>
      <c r="L1966" t="s">
        <v>6502</v>
      </c>
      <c r="M1966" t="s">
        <v>6446</v>
      </c>
      <c r="N1966" t="s">
        <v>6447</v>
      </c>
      <c r="O1966" t="s">
        <v>6961</v>
      </c>
      <c r="P1966" t="s">
        <v>6962</v>
      </c>
      <c r="Q1966" t="s">
        <v>6565</v>
      </c>
      <c r="R1966" t="s">
        <v>6566</v>
      </c>
      <c r="S1966" t="s">
        <v>7452</v>
      </c>
      <c r="T1966" t="s">
        <v>550</v>
      </c>
      <c r="U1966" t="s">
        <v>550</v>
      </c>
      <c r="V1966" t="s">
        <v>7453</v>
      </c>
      <c r="W1966" t="s">
        <v>6964</v>
      </c>
      <c r="X1966" t="s">
        <v>7454</v>
      </c>
      <c r="Z1966" t="s">
        <v>7449</v>
      </c>
    </row>
    <row r="1967" spans="1:26" x14ac:dyDescent="0.3">
      <c r="A1967" t="s">
        <v>330</v>
      </c>
      <c r="B1967" t="s">
        <v>7455</v>
      </c>
      <c r="C1967" t="s">
        <v>7456</v>
      </c>
      <c r="D1967" t="s">
        <v>7399</v>
      </c>
      <c r="E1967" t="s">
        <v>6417</v>
      </c>
      <c r="F1967" t="s">
        <v>1040</v>
      </c>
      <c r="G1967" s="1">
        <v>45292</v>
      </c>
      <c r="H1967" s="1">
        <v>45842</v>
      </c>
      <c r="I1967" t="s">
        <v>665</v>
      </c>
      <c r="J1967" t="s">
        <v>6418</v>
      </c>
      <c r="K1967" t="s">
        <v>958</v>
      </c>
      <c r="L1967" t="s">
        <v>6502</v>
      </c>
      <c r="M1967" t="s">
        <v>6446</v>
      </c>
      <c r="N1967" t="s">
        <v>6447</v>
      </c>
      <c r="O1967" t="s">
        <v>6961</v>
      </c>
      <c r="P1967" t="s">
        <v>6962</v>
      </c>
      <c r="Q1967" t="s">
        <v>6565</v>
      </c>
      <c r="R1967" t="s">
        <v>6566</v>
      </c>
      <c r="S1967" t="s">
        <v>7400</v>
      </c>
      <c r="T1967" t="s">
        <v>550</v>
      </c>
      <c r="U1967" t="s">
        <v>550</v>
      </c>
      <c r="V1967" t="s">
        <v>7457</v>
      </c>
      <c r="W1967" t="s">
        <v>6964</v>
      </c>
      <c r="X1967" t="s">
        <v>7458</v>
      </c>
      <c r="Z1967" t="s">
        <v>7455</v>
      </c>
    </row>
    <row r="1968" spans="1:26" x14ac:dyDescent="0.3">
      <c r="A1968" t="s">
        <v>330</v>
      </c>
      <c r="B1968" t="s">
        <v>7459</v>
      </c>
      <c r="C1968" t="s">
        <v>7460</v>
      </c>
      <c r="D1968" t="s">
        <v>7220</v>
      </c>
      <c r="E1968" t="s">
        <v>6417</v>
      </c>
      <c r="F1968" t="s">
        <v>1040</v>
      </c>
      <c r="G1968" s="1">
        <v>44562</v>
      </c>
      <c r="H1968" s="1">
        <v>44562</v>
      </c>
      <c r="I1968" t="s">
        <v>665</v>
      </c>
      <c r="J1968" t="s">
        <v>6418</v>
      </c>
      <c r="K1968" t="s">
        <v>958</v>
      </c>
      <c r="L1968" t="s">
        <v>6419</v>
      </c>
      <c r="M1968" t="s">
        <v>883</v>
      </c>
      <c r="N1968" t="s">
        <v>884</v>
      </c>
      <c r="O1968" t="s">
        <v>883</v>
      </c>
      <c r="P1968" t="s">
        <v>884</v>
      </c>
      <c r="Q1968" t="s">
        <v>6565</v>
      </c>
      <c r="R1968" t="s">
        <v>6566</v>
      </c>
      <c r="S1968" t="s">
        <v>7222</v>
      </c>
      <c r="T1968" t="s">
        <v>809</v>
      </c>
      <c r="U1968" t="s">
        <v>550</v>
      </c>
      <c r="V1968" t="s">
        <v>7461</v>
      </c>
      <c r="W1968" t="s">
        <v>6972</v>
      </c>
      <c r="X1968" t="s">
        <v>6451</v>
      </c>
      <c r="Y1968" t="s">
        <v>6452</v>
      </c>
      <c r="Z1968" t="s">
        <v>7459</v>
      </c>
    </row>
    <row r="1969" spans="1:26" x14ac:dyDescent="0.3">
      <c r="A1969" t="s">
        <v>330</v>
      </c>
      <c r="B1969" t="s">
        <v>7462</v>
      </c>
      <c r="C1969" t="s">
        <v>7463</v>
      </c>
      <c r="D1969" t="s">
        <v>7220</v>
      </c>
      <c r="E1969" t="s">
        <v>6417</v>
      </c>
      <c r="F1969" t="s">
        <v>1040</v>
      </c>
      <c r="G1969" s="1">
        <v>44562</v>
      </c>
      <c r="H1969" s="1">
        <v>44562</v>
      </c>
      <c r="I1969" t="s">
        <v>665</v>
      </c>
      <c r="J1969" t="s">
        <v>6418</v>
      </c>
      <c r="K1969" t="s">
        <v>958</v>
      </c>
      <c r="L1969" t="s">
        <v>6419</v>
      </c>
      <c r="M1969" t="s">
        <v>883</v>
      </c>
      <c r="N1969" t="s">
        <v>884</v>
      </c>
      <c r="O1969" t="s">
        <v>883</v>
      </c>
      <c r="P1969" t="s">
        <v>884</v>
      </c>
      <c r="Q1969" t="s">
        <v>6565</v>
      </c>
      <c r="R1969" t="s">
        <v>6566</v>
      </c>
      <c r="S1969" t="s">
        <v>7222</v>
      </c>
      <c r="T1969" t="s">
        <v>809</v>
      </c>
      <c r="U1969" t="s">
        <v>550</v>
      </c>
      <c r="V1969" t="s">
        <v>7464</v>
      </c>
      <c r="W1969" t="s">
        <v>6972</v>
      </c>
      <c r="X1969" t="s">
        <v>6451</v>
      </c>
      <c r="Y1969" t="s">
        <v>6452</v>
      </c>
      <c r="Z1969" t="s">
        <v>7462</v>
      </c>
    </row>
    <row r="1970" spans="1:26" x14ac:dyDescent="0.3">
      <c r="A1970" t="s">
        <v>330</v>
      </c>
      <c r="B1970" t="s">
        <v>7465</v>
      </c>
      <c r="C1970" t="s">
        <v>7466</v>
      </c>
      <c r="D1970" t="s">
        <v>7212</v>
      </c>
      <c r="E1970" t="s">
        <v>6417</v>
      </c>
      <c r="F1970" t="s">
        <v>1040</v>
      </c>
      <c r="G1970" s="1">
        <v>43102</v>
      </c>
      <c r="H1970" s="1">
        <v>43465</v>
      </c>
      <c r="I1970" t="s">
        <v>665</v>
      </c>
      <c r="J1970" t="s">
        <v>6418</v>
      </c>
      <c r="K1970" t="s">
        <v>958</v>
      </c>
      <c r="L1970" t="s">
        <v>6419</v>
      </c>
      <c r="M1970" t="s">
        <v>883</v>
      </c>
      <c r="N1970" t="s">
        <v>884</v>
      </c>
      <c r="O1970" t="s">
        <v>883</v>
      </c>
      <c r="P1970" t="s">
        <v>884</v>
      </c>
      <c r="Q1970" t="s">
        <v>6565</v>
      </c>
      <c r="R1970" t="s">
        <v>6566</v>
      </c>
      <c r="S1970" t="s">
        <v>7213</v>
      </c>
      <c r="T1970" t="s">
        <v>550</v>
      </c>
      <c r="U1970" t="s">
        <v>550</v>
      </c>
      <c r="V1970" t="s">
        <v>7467</v>
      </c>
      <c r="W1970" t="s">
        <v>6972</v>
      </c>
      <c r="X1970" t="s">
        <v>6451</v>
      </c>
      <c r="Y1970" t="s">
        <v>6452</v>
      </c>
      <c r="Z1970" t="s">
        <v>7465</v>
      </c>
    </row>
    <row r="1971" spans="1:26" x14ac:dyDescent="0.3">
      <c r="A1971" t="s">
        <v>330</v>
      </c>
      <c r="B1971" t="s">
        <v>7468</v>
      </c>
      <c r="C1971" t="s">
        <v>7469</v>
      </c>
      <c r="D1971" t="s">
        <v>7220</v>
      </c>
      <c r="E1971" t="s">
        <v>6417</v>
      </c>
      <c r="F1971" t="s">
        <v>1040</v>
      </c>
      <c r="G1971" s="1">
        <v>44562</v>
      </c>
      <c r="H1971" s="1">
        <v>44562</v>
      </c>
      <c r="I1971" t="s">
        <v>665</v>
      </c>
      <c r="J1971" t="s">
        <v>6418</v>
      </c>
      <c r="K1971" t="s">
        <v>958</v>
      </c>
      <c r="L1971" t="s">
        <v>6419</v>
      </c>
      <c r="M1971" t="s">
        <v>5783</v>
      </c>
      <c r="N1971" t="s">
        <v>5784</v>
      </c>
      <c r="O1971" t="s">
        <v>883</v>
      </c>
      <c r="P1971" t="s">
        <v>884</v>
      </c>
      <c r="Q1971" t="s">
        <v>6565</v>
      </c>
      <c r="R1971" t="s">
        <v>6566</v>
      </c>
      <c r="S1971" t="s">
        <v>7222</v>
      </c>
      <c r="T1971" t="s">
        <v>7470</v>
      </c>
      <c r="U1971" t="s">
        <v>550</v>
      </c>
      <c r="V1971" t="s">
        <v>7471</v>
      </c>
      <c r="W1971" t="s">
        <v>6972</v>
      </c>
      <c r="X1971" t="s">
        <v>6451</v>
      </c>
      <c r="Y1971" t="s">
        <v>6452</v>
      </c>
      <c r="Z1971" t="s">
        <v>7468</v>
      </c>
    </row>
    <row r="1972" spans="1:26" x14ac:dyDescent="0.3">
      <c r="A1972" t="s">
        <v>330</v>
      </c>
      <c r="B1972" t="s">
        <v>7472</v>
      </c>
      <c r="C1972" t="s">
        <v>7473</v>
      </c>
      <c r="D1972" t="s">
        <v>7220</v>
      </c>
      <c r="E1972" t="s">
        <v>6417</v>
      </c>
      <c r="F1972" t="s">
        <v>1040</v>
      </c>
      <c r="G1972" s="1">
        <v>44562</v>
      </c>
      <c r="H1972" s="1">
        <v>44562</v>
      </c>
      <c r="I1972" t="s">
        <v>665</v>
      </c>
      <c r="J1972" t="s">
        <v>6418</v>
      </c>
      <c r="K1972" t="s">
        <v>958</v>
      </c>
      <c r="L1972" t="s">
        <v>6419</v>
      </c>
      <c r="M1972" t="s">
        <v>5783</v>
      </c>
      <c r="N1972" t="s">
        <v>5784</v>
      </c>
      <c r="O1972" t="s">
        <v>883</v>
      </c>
      <c r="P1972" t="s">
        <v>884</v>
      </c>
      <c r="Q1972" t="s">
        <v>6565</v>
      </c>
      <c r="R1972" t="s">
        <v>6566</v>
      </c>
      <c r="S1972" t="s">
        <v>7222</v>
      </c>
      <c r="T1972" t="s">
        <v>7470</v>
      </c>
      <c r="U1972" t="s">
        <v>550</v>
      </c>
      <c r="V1972" t="s">
        <v>7474</v>
      </c>
      <c r="W1972" t="s">
        <v>6972</v>
      </c>
      <c r="X1972" t="s">
        <v>6451</v>
      </c>
      <c r="Y1972" t="s">
        <v>6452</v>
      </c>
      <c r="Z1972" t="s">
        <v>7472</v>
      </c>
    </row>
    <row r="1973" spans="1:26" x14ac:dyDescent="0.3">
      <c r="A1973" t="s">
        <v>330</v>
      </c>
      <c r="B1973" t="s">
        <v>7475</v>
      </c>
      <c r="C1973" t="s">
        <v>7476</v>
      </c>
      <c r="D1973" t="s">
        <v>7249</v>
      </c>
      <c r="E1973" t="s">
        <v>6417</v>
      </c>
      <c r="F1973" t="s">
        <v>1040</v>
      </c>
      <c r="G1973" s="1">
        <v>44197</v>
      </c>
      <c r="H1973" s="1">
        <v>44675</v>
      </c>
      <c r="I1973" t="s">
        <v>665</v>
      </c>
      <c r="J1973" t="s">
        <v>6418</v>
      </c>
      <c r="K1973" t="s">
        <v>958</v>
      </c>
      <c r="L1973" t="s">
        <v>6419</v>
      </c>
      <c r="M1973" t="s">
        <v>5783</v>
      </c>
      <c r="N1973" t="s">
        <v>5784</v>
      </c>
      <c r="O1973" t="s">
        <v>883</v>
      </c>
      <c r="P1973" t="s">
        <v>884</v>
      </c>
      <c r="Q1973" t="s">
        <v>6565</v>
      </c>
      <c r="R1973" t="s">
        <v>6566</v>
      </c>
      <c r="S1973" t="s">
        <v>7250</v>
      </c>
      <c r="T1973" t="s">
        <v>550</v>
      </c>
      <c r="U1973" t="s">
        <v>550</v>
      </c>
      <c r="V1973" t="s">
        <v>7477</v>
      </c>
      <c r="W1973" t="s">
        <v>6972</v>
      </c>
      <c r="X1973" t="s">
        <v>6451</v>
      </c>
      <c r="Y1973" t="s">
        <v>6452</v>
      </c>
      <c r="Z1973" t="s">
        <v>7475</v>
      </c>
    </row>
    <row r="1974" spans="1:26" x14ac:dyDescent="0.3">
      <c r="A1974" t="s">
        <v>330</v>
      </c>
      <c r="B1974" t="s">
        <v>7478</v>
      </c>
      <c r="C1974" t="s">
        <v>7479</v>
      </c>
      <c r="D1974" t="s">
        <v>7249</v>
      </c>
      <c r="E1974" t="s">
        <v>6417</v>
      </c>
      <c r="F1974" t="s">
        <v>1040</v>
      </c>
      <c r="G1974" s="1">
        <v>44197</v>
      </c>
      <c r="H1974" s="1">
        <v>44371</v>
      </c>
      <c r="I1974" t="s">
        <v>665</v>
      </c>
      <c r="J1974" t="s">
        <v>6418</v>
      </c>
      <c r="K1974" t="s">
        <v>958</v>
      </c>
      <c r="L1974" t="s">
        <v>6419</v>
      </c>
      <c r="M1974" t="s">
        <v>5783</v>
      </c>
      <c r="N1974" t="s">
        <v>5784</v>
      </c>
      <c r="O1974" t="s">
        <v>883</v>
      </c>
      <c r="P1974" t="s">
        <v>884</v>
      </c>
      <c r="Q1974" t="s">
        <v>6565</v>
      </c>
      <c r="R1974" t="s">
        <v>6566</v>
      </c>
      <c r="S1974" t="s">
        <v>7250</v>
      </c>
      <c r="T1974" t="s">
        <v>550</v>
      </c>
      <c r="U1974" t="s">
        <v>550</v>
      </c>
      <c r="V1974" t="s">
        <v>7480</v>
      </c>
      <c r="W1974" t="s">
        <v>6972</v>
      </c>
      <c r="X1974" t="s">
        <v>6451</v>
      </c>
      <c r="Y1974" t="s">
        <v>6452</v>
      </c>
      <c r="Z1974" t="s">
        <v>7478</v>
      </c>
    </row>
    <row r="1975" spans="1:26" x14ac:dyDescent="0.3">
      <c r="A1975" t="s">
        <v>330</v>
      </c>
      <c r="B1975" t="s">
        <v>7481</v>
      </c>
      <c r="C1975" t="s">
        <v>7482</v>
      </c>
      <c r="D1975" t="s">
        <v>7259</v>
      </c>
      <c r="E1975" t="s">
        <v>6417</v>
      </c>
      <c r="F1975" t="s">
        <v>1040</v>
      </c>
      <c r="G1975" s="1">
        <v>43831</v>
      </c>
      <c r="H1975" s="1">
        <v>44302</v>
      </c>
      <c r="I1975" t="s">
        <v>665</v>
      </c>
      <c r="J1975" t="s">
        <v>6418</v>
      </c>
      <c r="K1975" t="s">
        <v>958</v>
      </c>
      <c r="L1975" t="s">
        <v>6419</v>
      </c>
      <c r="M1975" t="s">
        <v>5783</v>
      </c>
      <c r="N1975" t="s">
        <v>5784</v>
      </c>
      <c r="O1975" t="s">
        <v>883</v>
      </c>
      <c r="P1975" t="s">
        <v>884</v>
      </c>
      <c r="Q1975" t="s">
        <v>6565</v>
      </c>
      <c r="R1975" t="s">
        <v>6566</v>
      </c>
      <c r="S1975" t="s">
        <v>7260</v>
      </c>
      <c r="T1975" t="s">
        <v>550</v>
      </c>
      <c r="U1975" t="s">
        <v>550</v>
      </c>
      <c r="V1975" t="s">
        <v>7483</v>
      </c>
      <c r="W1975" t="s">
        <v>6972</v>
      </c>
      <c r="X1975" t="s">
        <v>6451</v>
      </c>
      <c r="Y1975" t="s">
        <v>6452</v>
      </c>
      <c r="Z1975" t="s">
        <v>7481</v>
      </c>
    </row>
    <row r="1976" spans="1:26" x14ac:dyDescent="0.3">
      <c r="A1976" t="s">
        <v>330</v>
      </c>
      <c r="B1976" t="s">
        <v>7484</v>
      </c>
      <c r="C1976" t="s">
        <v>7485</v>
      </c>
      <c r="D1976" t="s">
        <v>7259</v>
      </c>
      <c r="E1976" t="s">
        <v>6417</v>
      </c>
      <c r="F1976" t="s">
        <v>1040</v>
      </c>
      <c r="G1976" s="1">
        <v>43831</v>
      </c>
      <c r="H1976" s="1">
        <v>43979</v>
      </c>
      <c r="I1976" t="s">
        <v>665</v>
      </c>
      <c r="J1976" t="s">
        <v>6418</v>
      </c>
      <c r="K1976" t="s">
        <v>958</v>
      </c>
      <c r="L1976" t="s">
        <v>6419</v>
      </c>
      <c r="M1976" t="s">
        <v>5783</v>
      </c>
      <c r="N1976" t="s">
        <v>5784</v>
      </c>
      <c r="O1976" t="s">
        <v>883</v>
      </c>
      <c r="P1976" t="s">
        <v>884</v>
      </c>
      <c r="Q1976" t="s">
        <v>6565</v>
      </c>
      <c r="R1976" t="s">
        <v>6566</v>
      </c>
      <c r="S1976" t="s">
        <v>7260</v>
      </c>
      <c r="T1976" t="s">
        <v>550</v>
      </c>
      <c r="U1976" t="s">
        <v>550</v>
      </c>
      <c r="V1976" t="s">
        <v>7486</v>
      </c>
      <c r="W1976" t="s">
        <v>6972</v>
      </c>
      <c r="X1976" t="s">
        <v>6451</v>
      </c>
      <c r="Y1976" t="s">
        <v>6452</v>
      </c>
      <c r="Z1976" t="s">
        <v>7484</v>
      </c>
    </row>
    <row r="1977" spans="1:26" x14ac:dyDescent="0.3">
      <c r="A1977" t="s">
        <v>330</v>
      </c>
      <c r="B1977" t="s">
        <v>7487</v>
      </c>
      <c r="C1977" t="s">
        <v>7488</v>
      </c>
      <c r="D1977" t="s">
        <v>550</v>
      </c>
      <c r="E1977" t="s">
        <v>7109</v>
      </c>
      <c r="F1977" t="s">
        <v>7489</v>
      </c>
      <c r="G1977" s="1">
        <v>43983</v>
      </c>
      <c r="H1977" s="1">
        <v>43985</v>
      </c>
      <c r="I1977" t="s">
        <v>665</v>
      </c>
      <c r="J1977" t="s">
        <v>7490</v>
      </c>
      <c r="K1977" t="s">
        <v>958</v>
      </c>
      <c r="L1977" t="s">
        <v>809</v>
      </c>
      <c r="M1977" t="s">
        <v>5783</v>
      </c>
      <c r="N1977" t="s">
        <v>5784</v>
      </c>
      <c r="O1977" t="s">
        <v>883</v>
      </c>
      <c r="P1977" t="s">
        <v>884</v>
      </c>
      <c r="Q1977" t="s">
        <v>6565</v>
      </c>
      <c r="R1977" t="s">
        <v>6566</v>
      </c>
      <c r="S1977" t="s">
        <v>803</v>
      </c>
      <c r="T1977" t="s">
        <v>550</v>
      </c>
      <c r="U1977" t="s">
        <v>550</v>
      </c>
      <c r="V1977" t="s">
        <v>7491</v>
      </c>
      <c r="W1977" t="s">
        <v>7092</v>
      </c>
      <c r="X1977" t="s">
        <v>809</v>
      </c>
      <c r="Y1977" t="s">
        <v>803</v>
      </c>
      <c r="Z1977" t="s">
        <v>7487</v>
      </c>
    </row>
    <row r="1978" spans="1:26" x14ac:dyDescent="0.3">
      <c r="A1978" t="s">
        <v>330</v>
      </c>
      <c r="B1978" t="s">
        <v>7492</v>
      </c>
      <c r="C1978" t="s">
        <v>7493</v>
      </c>
      <c r="D1978" t="s">
        <v>550</v>
      </c>
      <c r="E1978" t="s">
        <v>7494</v>
      </c>
      <c r="F1978" t="s">
        <v>3057</v>
      </c>
      <c r="G1978" s="1">
        <v>44197</v>
      </c>
      <c r="H1978" s="1">
        <v>44350</v>
      </c>
      <c r="I1978" t="s">
        <v>665</v>
      </c>
      <c r="J1978" t="s">
        <v>7495</v>
      </c>
      <c r="K1978" t="s">
        <v>958</v>
      </c>
      <c r="L1978" t="s">
        <v>809</v>
      </c>
      <c r="M1978" t="s">
        <v>5783</v>
      </c>
      <c r="N1978" t="s">
        <v>5784</v>
      </c>
      <c r="O1978" t="s">
        <v>883</v>
      </c>
      <c r="P1978" t="s">
        <v>884</v>
      </c>
      <c r="Q1978" t="s">
        <v>6565</v>
      </c>
      <c r="R1978" t="s">
        <v>6566</v>
      </c>
      <c r="S1978" t="s">
        <v>803</v>
      </c>
      <c r="T1978" t="s">
        <v>550</v>
      </c>
      <c r="U1978" t="s">
        <v>550</v>
      </c>
      <c r="V1978" t="s">
        <v>7496</v>
      </c>
      <c r="W1978" t="s">
        <v>7092</v>
      </c>
      <c r="X1978" t="s">
        <v>809</v>
      </c>
      <c r="Y1978" t="s">
        <v>803</v>
      </c>
      <c r="Z1978" t="s">
        <v>7492</v>
      </c>
    </row>
    <row r="1979" spans="1:26" x14ac:dyDescent="0.3">
      <c r="A1979" t="s">
        <v>330</v>
      </c>
      <c r="B1979" t="s">
        <v>7497</v>
      </c>
      <c r="C1979" t="s">
        <v>7498</v>
      </c>
      <c r="D1979" t="s">
        <v>7206</v>
      </c>
      <c r="E1979" t="s">
        <v>6417</v>
      </c>
      <c r="F1979" t="s">
        <v>1040</v>
      </c>
      <c r="G1979" s="1">
        <v>43467</v>
      </c>
      <c r="H1979" s="1">
        <v>43467</v>
      </c>
      <c r="I1979" t="s">
        <v>665</v>
      </c>
      <c r="J1979" t="s">
        <v>6418</v>
      </c>
      <c r="K1979" t="s">
        <v>24</v>
      </c>
      <c r="L1979" t="s">
        <v>809</v>
      </c>
      <c r="M1979" t="s">
        <v>5783</v>
      </c>
      <c r="N1979" t="s">
        <v>5784</v>
      </c>
      <c r="O1979" t="s">
        <v>883</v>
      </c>
      <c r="P1979" t="s">
        <v>884</v>
      </c>
      <c r="Q1979" t="s">
        <v>6565</v>
      </c>
      <c r="R1979" t="s">
        <v>6566</v>
      </c>
      <c r="S1979" t="s">
        <v>7208</v>
      </c>
      <c r="T1979" t="s">
        <v>550</v>
      </c>
      <c r="U1979" t="s">
        <v>550</v>
      </c>
      <c r="V1979" t="s">
        <v>7499</v>
      </c>
      <c r="W1979" t="s">
        <v>7092</v>
      </c>
      <c r="X1979" t="s">
        <v>809</v>
      </c>
      <c r="Y1979" t="s">
        <v>803</v>
      </c>
      <c r="Z1979" t="s">
        <v>7497</v>
      </c>
    </row>
    <row r="1980" spans="1:26" x14ac:dyDescent="0.3">
      <c r="A1980" t="s">
        <v>330</v>
      </c>
      <c r="B1980" t="s">
        <v>7500</v>
      </c>
      <c r="C1980" t="s">
        <v>7501</v>
      </c>
      <c r="D1980" t="s">
        <v>7188</v>
      </c>
      <c r="E1980" t="s">
        <v>7190</v>
      </c>
      <c r="F1980" t="s">
        <v>7191</v>
      </c>
      <c r="G1980" s="1">
        <v>44805</v>
      </c>
      <c r="H1980" s="1">
        <v>44823</v>
      </c>
      <c r="I1980" t="s">
        <v>665</v>
      </c>
      <c r="J1980" t="s">
        <v>7192</v>
      </c>
      <c r="K1980" t="s">
        <v>958</v>
      </c>
      <c r="L1980" t="s">
        <v>809</v>
      </c>
      <c r="M1980" t="s">
        <v>5783</v>
      </c>
      <c r="N1980" t="s">
        <v>5784</v>
      </c>
      <c r="O1980" t="s">
        <v>883</v>
      </c>
      <c r="P1980" t="s">
        <v>884</v>
      </c>
      <c r="Q1980" t="s">
        <v>6565</v>
      </c>
      <c r="R1980" t="s">
        <v>6566</v>
      </c>
      <c r="S1980" t="s">
        <v>803</v>
      </c>
      <c r="T1980" t="s">
        <v>550</v>
      </c>
      <c r="U1980" t="s">
        <v>550</v>
      </c>
      <c r="V1980" t="s">
        <v>7502</v>
      </c>
      <c r="W1980" t="s">
        <v>7194</v>
      </c>
      <c r="X1980" t="s">
        <v>809</v>
      </c>
      <c r="Y1980" t="s">
        <v>7099</v>
      </c>
      <c r="Z1980" t="s">
        <v>7500</v>
      </c>
    </row>
    <row r="1981" spans="1:26" x14ac:dyDescent="0.3">
      <c r="A1981" t="s">
        <v>330</v>
      </c>
      <c r="B1981" t="s">
        <v>7503</v>
      </c>
      <c r="C1981" t="s">
        <v>7504</v>
      </c>
      <c r="D1981" t="s">
        <v>7133</v>
      </c>
      <c r="E1981" t="s">
        <v>807</v>
      </c>
      <c r="F1981" t="s">
        <v>7134</v>
      </c>
      <c r="G1981" s="1">
        <v>44562</v>
      </c>
      <c r="H1981" s="1">
        <v>44606</v>
      </c>
      <c r="I1981" t="s">
        <v>665</v>
      </c>
      <c r="J1981" t="s">
        <v>7135</v>
      </c>
      <c r="K1981" t="s">
        <v>808</v>
      </c>
      <c r="L1981" t="s">
        <v>809</v>
      </c>
      <c r="M1981" t="s">
        <v>5783</v>
      </c>
      <c r="N1981" t="s">
        <v>5784</v>
      </c>
      <c r="O1981" t="s">
        <v>883</v>
      </c>
      <c r="P1981" t="s">
        <v>884</v>
      </c>
      <c r="Q1981" t="s">
        <v>6565</v>
      </c>
      <c r="R1981" t="s">
        <v>6566</v>
      </c>
      <c r="S1981" t="s">
        <v>803</v>
      </c>
      <c r="T1981" t="s">
        <v>550</v>
      </c>
      <c r="U1981" t="s">
        <v>550</v>
      </c>
      <c r="V1981" t="s">
        <v>7505</v>
      </c>
      <c r="W1981" t="s">
        <v>7194</v>
      </c>
      <c r="X1981" t="s">
        <v>809</v>
      </c>
      <c r="Y1981" t="s">
        <v>803</v>
      </c>
      <c r="Z1981" t="s">
        <v>7503</v>
      </c>
    </row>
    <row r="1982" spans="1:26" x14ac:dyDescent="0.3">
      <c r="A1982" t="s">
        <v>330</v>
      </c>
      <c r="B1982" t="s">
        <v>7506</v>
      </c>
      <c r="C1982" t="s">
        <v>7507</v>
      </c>
      <c r="D1982" t="s">
        <v>550</v>
      </c>
      <c r="E1982" t="s">
        <v>7238</v>
      </c>
      <c r="F1982" t="s">
        <v>7508</v>
      </c>
      <c r="G1982" s="1">
        <v>44562</v>
      </c>
      <c r="H1982" s="1">
        <v>44571</v>
      </c>
      <c r="I1982" t="s">
        <v>665</v>
      </c>
      <c r="J1982" t="s">
        <v>7108</v>
      </c>
      <c r="K1982" t="s">
        <v>24</v>
      </c>
      <c r="L1982" t="s">
        <v>809</v>
      </c>
      <c r="M1982" t="s">
        <v>5783</v>
      </c>
      <c r="N1982" t="s">
        <v>5784</v>
      </c>
      <c r="O1982" t="s">
        <v>883</v>
      </c>
      <c r="P1982" t="s">
        <v>884</v>
      </c>
      <c r="Q1982" t="s">
        <v>6565</v>
      </c>
      <c r="R1982" t="s">
        <v>6566</v>
      </c>
      <c r="S1982" t="s">
        <v>803</v>
      </c>
      <c r="T1982" t="s">
        <v>550</v>
      </c>
      <c r="U1982" t="s">
        <v>550</v>
      </c>
      <c r="V1982" t="s">
        <v>7509</v>
      </c>
      <c r="W1982" t="s">
        <v>7194</v>
      </c>
      <c r="X1982" t="s">
        <v>809</v>
      </c>
      <c r="Y1982" t="s">
        <v>803</v>
      </c>
      <c r="Z1982" t="s">
        <v>7506</v>
      </c>
    </row>
    <row r="1983" spans="1:26" x14ac:dyDescent="0.3">
      <c r="A1983" t="s">
        <v>330</v>
      </c>
      <c r="B1983" t="s">
        <v>7510</v>
      </c>
      <c r="C1983" t="s">
        <v>7511</v>
      </c>
      <c r="D1983" t="s">
        <v>550</v>
      </c>
      <c r="E1983" t="s">
        <v>7512</v>
      </c>
      <c r="F1983" t="s">
        <v>7513</v>
      </c>
      <c r="G1983" s="1">
        <v>44564</v>
      </c>
      <c r="H1983" s="1">
        <v>44571</v>
      </c>
      <c r="I1983" t="s">
        <v>665</v>
      </c>
      <c r="J1983" t="s">
        <v>7095</v>
      </c>
      <c r="K1983" t="s">
        <v>24</v>
      </c>
      <c r="L1983" t="s">
        <v>809</v>
      </c>
      <c r="M1983" t="s">
        <v>5783</v>
      </c>
      <c r="N1983" t="s">
        <v>5784</v>
      </c>
      <c r="O1983" t="s">
        <v>883</v>
      </c>
      <c r="P1983" t="s">
        <v>884</v>
      </c>
      <c r="Q1983" t="s">
        <v>6565</v>
      </c>
      <c r="R1983" t="s">
        <v>6566</v>
      </c>
      <c r="S1983" t="s">
        <v>7208</v>
      </c>
      <c r="T1983" t="s">
        <v>550</v>
      </c>
      <c r="U1983" t="s">
        <v>550</v>
      </c>
      <c r="V1983" t="s">
        <v>7514</v>
      </c>
      <c r="W1983" t="s">
        <v>7194</v>
      </c>
      <c r="X1983" t="s">
        <v>809</v>
      </c>
      <c r="Y1983" t="s">
        <v>803</v>
      </c>
      <c r="Z1983" t="s">
        <v>7510</v>
      </c>
    </row>
    <row r="1984" spans="1:26" x14ac:dyDescent="0.3">
      <c r="A1984" t="s">
        <v>330</v>
      </c>
      <c r="B1984" t="s">
        <v>7515</v>
      </c>
      <c r="C1984" t="s">
        <v>7516</v>
      </c>
      <c r="D1984" t="s">
        <v>550</v>
      </c>
      <c r="E1984" t="s">
        <v>7517</v>
      </c>
      <c r="F1984" t="s">
        <v>7518</v>
      </c>
      <c r="G1984" s="1">
        <v>43983</v>
      </c>
      <c r="H1984" s="1">
        <v>43984</v>
      </c>
      <c r="I1984" t="s">
        <v>665</v>
      </c>
      <c r="J1984" t="s">
        <v>7519</v>
      </c>
      <c r="K1984" t="s">
        <v>958</v>
      </c>
      <c r="L1984" t="s">
        <v>809</v>
      </c>
      <c r="M1984" t="s">
        <v>5783</v>
      </c>
      <c r="N1984" t="s">
        <v>5784</v>
      </c>
      <c r="O1984" t="s">
        <v>883</v>
      </c>
      <c r="P1984" t="s">
        <v>884</v>
      </c>
      <c r="Q1984" t="s">
        <v>6565</v>
      </c>
      <c r="R1984" t="s">
        <v>6566</v>
      </c>
      <c r="S1984" t="s">
        <v>550</v>
      </c>
      <c r="T1984" t="s">
        <v>550</v>
      </c>
      <c r="U1984" t="s">
        <v>550</v>
      </c>
      <c r="V1984" t="s">
        <v>7520</v>
      </c>
      <c r="W1984" t="s">
        <v>7092</v>
      </c>
      <c r="X1984" t="s">
        <v>809</v>
      </c>
      <c r="Y1984" t="s">
        <v>7099</v>
      </c>
      <c r="Z1984" t="s">
        <v>7515</v>
      </c>
    </row>
    <row r="1985" spans="1:26" x14ac:dyDescent="0.3">
      <c r="A1985" t="s">
        <v>330</v>
      </c>
      <c r="B1985" t="s">
        <v>7521</v>
      </c>
      <c r="C1985" t="s">
        <v>7522</v>
      </c>
      <c r="D1985" t="s">
        <v>550</v>
      </c>
      <c r="E1985" t="s">
        <v>7512</v>
      </c>
      <c r="F1985" t="s">
        <v>7513</v>
      </c>
      <c r="G1985" s="1">
        <v>43983</v>
      </c>
      <c r="H1985" s="1">
        <v>43984</v>
      </c>
      <c r="I1985" t="s">
        <v>665</v>
      </c>
      <c r="J1985" t="s">
        <v>7095</v>
      </c>
      <c r="K1985" t="s">
        <v>958</v>
      </c>
      <c r="L1985" t="s">
        <v>809</v>
      </c>
      <c r="M1985" t="s">
        <v>5783</v>
      </c>
      <c r="N1985" t="s">
        <v>5784</v>
      </c>
      <c r="O1985" t="s">
        <v>883</v>
      </c>
      <c r="P1985" t="s">
        <v>884</v>
      </c>
      <c r="Q1985" t="s">
        <v>6565</v>
      </c>
      <c r="R1985" t="s">
        <v>6566</v>
      </c>
      <c r="S1985" t="s">
        <v>803</v>
      </c>
      <c r="T1985" t="s">
        <v>550</v>
      </c>
      <c r="U1985" t="s">
        <v>550</v>
      </c>
      <c r="V1985" t="s">
        <v>7523</v>
      </c>
      <c r="W1985" t="s">
        <v>7092</v>
      </c>
      <c r="X1985" t="s">
        <v>809</v>
      </c>
      <c r="Y1985" t="s">
        <v>7099</v>
      </c>
      <c r="Z1985" t="s">
        <v>7521</v>
      </c>
    </row>
    <row r="1986" spans="1:26" x14ac:dyDescent="0.3">
      <c r="A1986" t="s">
        <v>330</v>
      </c>
      <c r="B1986" t="s">
        <v>7524</v>
      </c>
      <c r="C1986" t="s">
        <v>7525</v>
      </c>
      <c r="D1986" t="s">
        <v>550</v>
      </c>
      <c r="E1986" t="s">
        <v>7526</v>
      </c>
      <c r="F1986" t="s">
        <v>7527</v>
      </c>
      <c r="G1986" s="1">
        <v>44197</v>
      </c>
      <c r="H1986" s="1">
        <v>44197</v>
      </c>
      <c r="I1986" t="s">
        <v>665</v>
      </c>
      <c r="J1986" t="s">
        <v>7528</v>
      </c>
      <c r="K1986" t="s">
        <v>958</v>
      </c>
      <c r="L1986" t="s">
        <v>809</v>
      </c>
      <c r="M1986" t="s">
        <v>5783</v>
      </c>
      <c r="N1986" t="s">
        <v>5784</v>
      </c>
      <c r="O1986" t="s">
        <v>883</v>
      </c>
      <c r="P1986" t="s">
        <v>884</v>
      </c>
      <c r="Q1986" t="s">
        <v>6565</v>
      </c>
      <c r="R1986" t="s">
        <v>6566</v>
      </c>
      <c r="S1986" t="s">
        <v>803</v>
      </c>
      <c r="T1986" t="s">
        <v>550</v>
      </c>
      <c r="U1986" t="s">
        <v>550</v>
      </c>
      <c r="V1986" t="s">
        <v>7529</v>
      </c>
      <c r="W1986" t="s">
        <v>7092</v>
      </c>
      <c r="X1986" t="s">
        <v>809</v>
      </c>
      <c r="Y1986" t="s">
        <v>7099</v>
      </c>
      <c r="Z1986" t="s">
        <v>7524</v>
      </c>
    </row>
    <row r="1987" spans="1:26" x14ac:dyDescent="0.3">
      <c r="A1987" t="s">
        <v>330</v>
      </c>
      <c r="B1987" t="s">
        <v>7530</v>
      </c>
      <c r="C1987" t="s">
        <v>7531</v>
      </c>
      <c r="D1987" t="s">
        <v>7524</v>
      </c>
      <c r="E1987" t="s">
        <v>7526</v>
      </c>
      <c r="F1987" t="s">
        <v>7527</v>
      </c>
      <c r="G1987" s="1">
        <v>44197</v>
      </c>
      <c r="H1987" s="1">
        <v>44277</v>
      </c>
      <c r="I1987" t="s">
        <v>665</v>
      </c>
      <c r="J1987" t="s">
        <v>7528</v>
      </c>
      <c r="K1987" t="s">
        <v>958</v>
      </c>
      <c r="L1987" t="s">
        <v>809</v>
      </c>
      <c r="M1987" t="s">
        <v>5783</v>
      </c>
      <c r="N1987" t="s">
        <v>5784</v>
      </c>
      <c r="O1987" t="s">
        <v>883</v>
      </c>
      <c r="P1987" t="s">
        <v>884</v>
      </c>
      <c r="Q1987" t="s">
        <v>6565</v>
      </c>
      <c r="R1987" t="s">
        <v>6566</v>
      </c>
      <c r="S1987" t="s">
        <v>803</v>
      </c>
      <c r="T1987" t="s">
        <v>550</v>
      </c>
      <c r="U1987" t="s">
        <v>550</v>
      </c>
      <c r="V1987" t="s">
        <v>7532</v>
      </c>
      <c r="W1987" t="s">
        <v>7092</v>
      </c>
      <c r="X1987" t="s">
        <v>809</v>
      </c>
      <c r="Y1987" t="s">
        <v>7099</v>
      </c>
      <c r="Z1987" t="s">
        <v>7530</v>
      </c>
    </row>
    <row r="1988" spans="1:26" x14ac:dyDescent="0.3">
      <c r="A1988" t="s">
        <v>330</v>
      </c>
      <c r="B1988" t="s">
        <v>7533</v>
      </c>
      <c r="C1988" t="s">
        <v>7534</v>
      </c>
      <c r="D1988" t="s">
        <v>550</v>
      </c>
      <c r="E1988" t="s">
        <v>7088</v>
      </c>
      <c r="F1988" t="s">
        <v>7089</v>
      </c>
      <c r="G1988" s="1">
        <v>44197</v>
      </c>
      <c r="H1988" s="1">
        <v>44197</v>
      </c>
      <c r="I1988" t="s">
        <v>665</v>
      </c>
      <c r="J1988" t="s">
        <v>7090</v>
      </c>
      <c r="K1988" t="s">
        <v>958</v>
      </c>
      <c r="L1988" t="s">
        <v>809</v>
      </c>
      <c r="M1988" t="s">
        <v>5783</v>
      </c>
      <c r="N1988" t="s">
        <v>5784</v>
      </c>
      <c r="O1988" t="s">
        <v>883</v>
      </c>
      <c r="P1988" t="s">
        <v>884</v>
      </c>
      <c r="Q1988" t="s">
        <v>6565</v>
      </c>
      <c r="R1988" t="s">
        <v>6566</v>
      </c>
      <c r="S1988" t="s">
        <v>803</v>
      </c>
      <c r="T1988" t="s">
        <v>550</v>
      </c>
      <c r="U1988" t="s">
        <v>550</v>
      </c>
      <c r="V1988" t="s">
        <v>7535</v>
      </c>
      <c r="W1988" t="s">
        <v>7092</v>
      </c>
      <c r="X1988" t="s">
        <v>809</v>
      </c>
      <c r="Y1988" t="s">
        <v>7099</v>
      </c>
      <c r="Z1988" t="s">
        <v>7533</v>
      </c>
    </row>
    <row r="1989" spans="1:26" x14ac:dyDescent="0.3">
      <c r="A1989" t="s">
        <v>330</v>
      </c>
      <c r="B1989" t="s">
        <v>7536</v>
      </c>
      <c r="C1989" t="s">
        <v>7537</v>
      </c>
      <c r="D1989" t="s">
        <v>7533</v>
      </c>
      <c r="E1989" t="s">
        <v>7088</v>
      </c>
      <c r="F1989" t="s">
        <v>7089</v>
      </c>
      <c r="G1989" s="1">
        <v>44197</v>
      </c>
      <c r="H1989" s="1">
        <v>44242</v>
      </c>
      <c r="I1989" t="s">
        <v>665</v>
      </c>
      <c r="J1989" t="s">
        <v>7090</v>
      </c>
      <c r="K1989" t="s">
        <v>958</v>
      </c>
      <c r="L1989" t="s">
        <v>809</v>
      </c>
      <c r="M1989" t="s">
        <v>5783</v>
      </c>
      <c r="N1989" t="s">
        <v>5784</v>
      </c>
      <c r="O1989" t="s">
        <v>883</v>
      </c>
      <c r="P1989" t="s">
        <v>884</v>
      </c>
      <c r="Q1989" t="s">
        <v>6565</v>
      </c>
      <c r="R1989" t="s">
        <v>6566</v>
      </c>
      <c r="S1989" t="s">
        <v>803</v>
      </c>
      <c r="T1989" t="s">
        <v>550</v>
      </c>
      <c r="U1989" t="s">
        <v>550</v>
      </c>
      <c r="V1989" t="s">
        <v>7538</v>
      </c>
      <c r="W1989" t="s">
        <v>7092</v>
      </c>
      <c r="X1989" t="s">
        <v>809</v>
      </c>
      <c r="Y1989" t="s">
        <v>7099</v>
      </c>
      <c r="Z1989" t="s">
        <v>7536</v>
      </c>
    </row>
    <row r="1990" spans="1:26" x14ac:dyDescent="0.3">
      <c r="A1990" t="s">
        <v>330</v>
      </c>
      <c r="B1990" t="s">
        <v>7539</v>
      </c>
      <c r="C1990" t="s">
        <v>7540</v>
      </c>
      <c r="D1990" t="s">
        <v>550</v>
      </c>
      <c r="E1990" t="s">
        <v>7541</v>
      </c>
      <c r="F1990" t="s">
        <v>7542</v>
      </c>
      <c r="G1990" s="1">
        <v>44197</v>
      </c>
      <c r="H1990" s="1">
        <v>44197</v>
      </c>
      <c r="I1990" t="s">
        <v>665</v>
      </c>
      <c r="J1990" t="s">
        <v>7517</v>
      </c>
      <c r="K1990" t="s">
        <v>958</v>
      </c>
      <c r="L1990" t="s">
        <v>809</v>
      </c>
      <c r="M1990" t="s">
        <v>5783</v>
      </c>
      <c r="N1990" t="s">
        <v>5784</v>
      </c>
      <c r="O1990" t="s">
        <v>883</v>
      </c>
      <c r="P1990" t="s">
        <v>884</v>
      </c>
      <c r="Q1990" t="s">
        <v>6565</v>
      </c>
      <c r="R1990" t="s">
        <v>6566</v>
      </c>
      <c r="S1990" t="s">
        <v>803</v>
      </c>
      <c r="T1990" t="s">
        <v>550</v>
      </c>
      <c r="U1990" t="s">
        <v>550</v>
      </c>
      <c r="V1990" t="s">
        <v>7543</v>
      </c>
      <c r="W1990" t="s">
        <v>7092</v>
      </c>
      <c r="X1990" t="s">
        <v>809</v>
      </c>
      <c r="Y1990" t="s">
        <v>7099</v>
      </c>
      <c r="Z1990" t="s">
        <v>7539</v>
      </c>
    </row>
    <row r="1991" spans="1:26" x14ac:dyDescent="0.3">
      <c r="A1991" t="s">
        <v>330</v>
      </c>
      <c r="B1991" t="s">
        <v>7544</v>
      </c>
      <c r="C1991" t="s">
        <v>7545</v>
      </c>
      <c r="D1991" t="s">
        <v>7539</v>
      </c>
      <c r="E1991" t="s">
        <v>7541</v>
      </c>
      <c r="F1991" t="s">
        <v>7542</v>
      </c>
      <c r="G1991" s="1">
        <v>44197</v>
      </c>
      <c r="H1991" s="1">
        <v>44215</v>
      </c>
      <c r="I1991" t="s">
        <v>665</v>
      </c>
      <c r="J1991" t="s">
        <v>7517</v>
      </c>
      <c r="K1991" t="s">
        <v>958</v>
      </c>
      <c r="L1991" t="s">
        <v>809</v>
      </c>
      <c r="M1991" t="s">
        <v>5783</v>
      </c>
      <c r="N1991" t="s">
        <v>5784</v>
      </c>
      <c r="O1991" t="s">
        <v>883</v>
      </c>
      <c r="P1991" t="s">
        <v>884</v>
      </c>
      <c r="Q1991" t="s">
        <v>6565</v>
      </c>
      <c r="R1991" t="s">
        <v>6566</v>
      </c>
      <c r="S1991" t="s">
        <v>803</v>
      </c>
      <c r="T1991" t="s">
        <v>550</v>
      </c>
      <c r="U1991" t="s">
        <v>550</v>
      </c>
      <c r="V1991" t="s">
        <v>7546</v>
      </c>
      <c r="W1991" t="s">
        <v>7092</v>
      </c>
      <c r="X1991" t="s">
        <v>809</v>
      </c>
      <c r="Y1991" t="s">
        <v>7099</v>
      </c>
      <c r="Z1991" t="s">
        <v>7544</v>
      </c>
    </row>
    <row r="1992" spans="1:26" x14ac:dyDescent="0.3">
      <c r="A1992" t="s">
        <v>330</v>
      </c>
      <c r="B1992" t="s">
        <v>7547</v>
      </c>
      <c r="C1992" t="s">
        <v>7548</v>
      </c>
      <c r="D1992" t="s">
        <v>550</v>
      </c>
      <c r="E1992" t="s">
        <v>7526</v>
      </c>
      <c r="F1992" t="s">
        <v>7527</v>
      </c>
      <c r="G1992" s="1">
        <v>43467</v>
      </c>
      <c r="H1992" s="1">
        <v>43467</v>
      </c>
      <c r="I1992" t="s">
        <v>665</v>
      </c>
      <c r="J1992" t="s">
        <v>7528</v>
      </c>
      <c r="K1992" t="s">
        <v>958</v>
      </c>
      <c r="L1992" t="s">
        <v>809</v>
      </c>
      <c r="M1992" t="s">
        <v>5783</v>
      </c>
      <c r="N1992" t="s">
        <v>5784</v>
      </c>
      <c r="O1992" t="s">
        <v>883</v>
      </c>
      <c r="P1992" t="s">
        <v>884</v>
      </c>
      <c r="Q1992" t="s">
        <v>6565</v>
      </c>
      <c r="R1992" t="s">
        <v>6566</v>
      </c>
      <c r="S1992" t="s">
        <v>803</v>
      </c>
      <c r="T1992" t="s">
        <v>550</v>
      </c>
      <c r="U1992" t="s">
        <v>550</v>
      </c>
      <c r="V1992" t="s">
        <v>7549</v>
      </c>
      <c r="W1992" t="s">
        <v>7092</v>
      </c>
      <c r="X1992" t="s">
        <v>809</v>
      </c>
      <c r="Y1992" t="s">
        <v>7099</v>
      </c>
      <c r="Z1992" t="s">
        <v>7547</v>
      </c>
    </row>
    <row r="1993" spans="1:26" x14ac:dyDescent="0.3">
      <c r="A1993" t="s">
        <v>330</v>
      </c>
      <c r="B1993" t="s">
        <v>7550</v>
      </c>
      <c r="C1993" t="s">
        <v>7551</v>
      </c>
      <c r="D1993" t="s">
        <v>550</v>
      </c>
      <c r="E1993" t="s">
        <v>7526</v>
      </c>
      <c r="F1993" t="s">
        <v>7527</v>
      </c>
      <c r="G1993" s="1">
        <v>43710</v>
      </c>
      <c r="H1993" s="1">
        <v>43742</v>
      </c>
      <c r="I1993" t="s">
        <v>665</v>
      </c>
      <c r="J1993" t="s">
        <v>7528</v>
      </c>
      <c r="K1993" t="s">
        <v>958</v>
      </c>
      <c r="L1993" t="s">
        <v>809</v>
      </c>
      <c r="M1993" t="s">
        <v>5783</v>
      </c>
      <c r="N1993" t="s">
        <v>5784</v>
      </c>
      <c r="O1993" t="s">
        <v>883</v>
      </c>
      <c r="P1993" t="s">
        <v>884</v>
      </c>
      <c r="Q1993" t="s">
        <v>6565</v>
      </c>
      <c r="R1993" t="s">
        <v>6566</v>
      </c>
      <c r="S1993" t="s">
        <v>803</v>
      </c>
      <c r="T1993" t="s">
        <v>550</v>
      </c>
      <c r="U1993" t="s">
        <v>550</v>
      </c>
      <c r="V1993" t="s">
        <v>7552</v>
      </c>
      <c r="W1993" t="s">
        <v>7092</v>
      </c>
      <c r="X1993" t="s">
        <v>809</v>
      </c>
      <c r="Y1993" t="s">
        <v>7099</v>
      </c>
      <c r="Z1993" t="s">
        <v>7550</v>
      </c>
    </row>
    <row r="1994" spans="1:26" x14ac:dyDescent="0.3">
      <c r="A1994" t="s">
        <v>330</v>
      </c>
      <c r="B1994" t="s">
        <v>7553</v>
      </c>
      <c r="C1994" t="s">
        <v>7554</v>
      </c>
      <c r="D1994" t="s">
        <v>550</v>
      </c>
      <c r="E1994" t="s">
        <v>7526</v>
      </c>
      <c r="F1994" t="s">
        <v>7527</v>
      </c>
      <c r="G1994" s="1">
        <v>43831</v>
      </c>
      <c r="H1994" s="1">
        <v>43935</v>
      </c>
      <c r="I1994" t="s">
        <v>665</v>
      </c>
      <c r="J1994" t="s">
        <v>7528</v>
      </c>
      <c r="K1994" t="s">
        <v>958</v>
      </c>
      <c r="L1994" t="s">
        <v>809</v>
      </c>
      <c r="M1994" t="s">
        <v>5783</v>
      </c>
      <c r="N1994" t="s">
        <v>5784</v>
      </c>
      <c r="O1994" t="s">
        <v>883</v>
      </c>
      <c r="P1994" t="s">
        <v>884</v>
      </c>
      <c r="Q1994" t="s">
        <v>6565</v>
      </c>
      <c r="R1994" t="s">
        <v>6566</v>
      </c>
      <c r="S1994" t="s">
        <v>7208</v>
      </c>
      <c r="T1994" t="s">
        <v>550</v>
      </c>
      <c r="U1994" t="s">
        <v>550</v>
      </c>
      <c r="V1994" t="s">
        <v>7555</v>
      </c>
      <c r="W1994" t="s">
        <v>7092</v>
      </c>
      <c r="X1994" t="s">
        <v>809</v>
      </c>
      <c r="Y1994" t="s">
        <v>7099</v>
      </c>
      <c r="Z1994" t="s">
        <v>7553</v>
      </c>
    </row>
    <row r="1995" spans="1:26" x14ac:dyDescent="0.3">
      <c r="A1995" t="s">
        <v>330</v>
      </c>
      <c r="B1995" t="s">
        <v>7556</v>
      </c>
      <c r="C1995" t="s">
        <v>7557</v>
      </c>
      <c r="D1995" t="s">
        <v>550</v>
      </c>
      <c r="E1995" t="s">
        <v>7088</v>
      </c>
      <c r="F1995" t="s">
        <v>7089</v>
      </c>
      <c r="G1995" s="1">
        <v>43831</v>
      </c>
      <c r="H1995" s="1">
        <v>43844</v>
      </c>
      <c r="I1995" t="s">
        <v>665</v>
      </c>
      <c r="J1995" t="s">
        <v>7090</v>
      </c>
      <c r="K1995" t="s">
        <v>958</v>
      </c>
      <c r="L1995" t="s">
        <v>809</v>
      </c>
      <c r="M1995" t="s">
        <v>5783</v>
      </c>
      <c r="N1995" t="s">
        <v>5784</v>
      </c>
      <c r="O1995" t="s">
        <v>883</v>
      </c>
      <c r="P1995" t="s">
        <v>884</v>
      </c>
      <c r="Q1995" t="s">
        <v>6565</v>
      </c>
      <c r="R1995" t="s">
        <v>6566</v>
      </c>
      <c r="S1995" t="s">
        <v>803</v>
      </c>
      <c r="T1995" t="s">
        <v>550</v>
      </c>
      <c r="U1995" t="s">
        <v>550</v>
      </c>
      <c r="V1995" t="s">
        <v>7558</v>
      </c>
      <c r="W1995" t="s">
        <v>7092</v>
      </c>
      <c r="X1995" t="s">
        <v>809</v>
      </c>
      <c r="Y1995" t="s">
        <v>7099</v>
      </c>
      <c r="Z1995" t="s">
        <v>7556</v>
      </c>
    </row>
    <row r="1996" spans="1:26" x14ac:dyDescent="0.3">
      <c r="A1996" t="s">
        <v>330</v>
      </c>
      <c r="B1996" t="s">
        <v>7559</v>
      </c>
      <c r="C1996" t="s">
        <v>7560</v>
      </c>
      <c r="D1996" t="s">
        <v>550</v>
      </c>
      <c r="E1996" t="s">
        <v>7088</v>
      </c>
      <c r="F1996" t="s">
        <v>7089</v>
      </c>
      <c r="G1996" s="1">
        <v>43864</v>
      </c>
      <c r="H1996" s="1">
        <v>44050</v>
      </c>
      <c r="I1996" t="s">
        <v>665</v>
      </c>
      <c r="J1996" t="s">
        <v>7090</v>
      </c>
      <c r="K1996" t="s">
        <v>958</v>
      </c>
      <c r="L1996" t="s">
        <v>809</v>
      </c>
      <c r="M1996" t="s">
        <v>5783</v>
      </c>
      <c r="N1996" t="s">
        <v>5784</v>
      </c>
      <c r="O1996" t="s">
        <v>883</v>
      </c>
      <c r="P1996" t="s">
        <v>884</v>
      </c>
      <c r="Q1996" t="s">
        <v>6565</v>
      </c>
      <c r="R1996" t="s">
        <v>6566</v>
      </c>
      <c r="S1996" t="s">
        <v>803</v>
      </c>
      <c r="T1996" t="s">
        <v>550</v>
      </c>
      <c r="U1996" t="s">
        <v>550</v>
      </c>
      <c r="V1996" t="s">
        <v>7561</v>
      </c>
      <c r="W1996" t="s">
        <v>7092</v>
      </c>
      <c r="X1996" t="s">
        <v>809</v>
      </c>
      <c r="Y1996" t="s">
        <v>7099</v>
      </c>
      <c r="Z1996" t="s">
        <v>7559</v>
      </c>
    </row>
    <row r="1997" spans="1:26" x14ac:dyDescent="0.3">
      <c r="A1997" t="s">
        <v>330</v>
      </c>
      <c r="B1997" t="s">
        <v>7562</v>
      </c>
      <c r="C1997" t="s">
        <v>7563</v>
      </c>
      <c r="D1997" t="s">
        <v>550</v>
      </c>
      <c r="E1997" t="s">
        <v>7124</v>
      </c>
      <c r="F1997" t="s">
        <v>1411</v>
      </c>
      <c r="G1997" s="1">
        <v>44197</v>
      </c>
      <c r="H1997" s="1">
        <v>44209</v>
      </c>
      <c r="I1997" t="s">
        <v>665</v>
      </c>
      <c r="J1997" t="s">
        <v>7512</v>
      </c>
      <c r="K1997" t="s">
        <v>24</v>
      </c>
      <c r="L1997" t="s">
        <v>809</v>
      </c>
      <c r="M1997" t="s">
        <v>5783</v>
      </c>
      <c r="N1997" t="s">
        <v>5784</v>
      </c>
      <c r="O1997" t="s">
        <v>883</v>
      </c>
      <c r="P1997" t="s">
        <v>884</v>
      </c>
      <c r="Q1997" t="s">
        <v>6565</v>
      </c>
      <c r="R1997" t="s">
        <v>6566</v>
      </c>
      <c r="S1997" t="s">
        <v>803</v>
      </c>
      <c r="T1997" t="s">
        <v>550</v>
      </c>
      <c r="U1997" t="s">
        <v>550</v>
      </c>
      <c r="V1997" t="s">
        <v>7564</v>
      </c>
      <c r="W1997" t="s">
        <v>7092</v>
      </c>
      <c r="X1997" t="s">
        <v>809</v>
      </c>
      <c r="Y1997" t="s">
        <v>803</v>
      </c>
      <c r="Z1997" t="s">
        <v>7562</v>
      </c>
    </row>
    <row r="1998" spans="1:26" x14ac:dyDescent="0.3">
      <c r="A1998" t="s">
        <v>330</v>
      </c>
      <c r="B1998" t="s">
        <v>7565</v>
      </c>
      <c r="C1998" t="s">
        <v>7566</v>
      </c>
      <c r="D1998" t="s">
        <v>550</v>
      </c>
      <c r="E1998" t="s">
        <v>7512</v>
      </c>
      <c r="F1998" t="s">
        <v>7513</v>
      </c>
      <c r="G1998" s="1">
        <v>44440</v>
      </c>
      <c r="H1998" s="1">
        <v>44447</v>
      </c>
      <c r="I1998" t="s">
        <v>665</v>
      </c>
      <c r="J1998" t="s">
        <v>7095</v>
      </c>
      <c r="K1998" t="s">
        <v>24</v>
      </c>
      <c r="L1998" t="s">
        <v>809</v>
      </c>
      <c r="M1998" t="s">
        <v>5783</v>
      </c>
      <c r="N1998" t="s">
        <v>5784</v>
      </c>
      <c r="O1998" t="s">
        <v>883</v>
      </c>
      <c r="P1998" t="s">
        <v>884</v>
      </c>
      <c r="Q1998" t="s">
        <v>6565</v>
      </c>
      <c r="R1998" t="s">
        <v>6566</v>
      </c>
      <c r="S1998" t="s">
        <v>803</v>
      </c>
      <c r="T1998" t="s">
        <v>550</v>
      </c>
      <c r="U1998" t="s">
        <v>550</v>
      </c>
      <c r="V1998" t="s">
        <v>7567</v>
      </c>
      <c r="W1998" t="s">
        <v>7092</v>
      </c>
      <c r="X1998" t="s">
        <v>809</v>
      </c>
      <c r="Y1998" t="s">
        <v>803</v>
      </c>
      <c r="Z1998" t="s">
        <v>7565</v>
      </c>
    </row>
    <row r="1999" spans="1:26" x14ac:dyDescent="0.3">
      <c r="A1999" t="s">
        <v>330</v>
      </c>
      <c r="B1999" t="s">
        <v>7568</v>
      </c>
      <c r="C1999" t="s">
        <v>7569</v>
      </c>
      <c r="D1999" t="s">
        <v>7524</v>
      </c>
      <c r="E1999" t="s">
        <v>7526</v>
      </c>
      <c r="F1999" t="s">
        <v>7527</v>
      </c>
      <c r="G1999" s="1">
        <v>44562</v>
      </c>
      <c r="H1999" s="1">
        <v>44605</v>
      </c>
      <c r="I1999" t="s">
        <v>665</v>
      </c>
      <c r="J1999" t="s">
        <v>7528</v>
      </c>
      <c r="K1999" t="s">
        <v>958</v>
      </c>
      <c r="L1999" t="s">
        <v>809</v>
      </c>
      <c r="M1999" t="s">
        <v>5783</v>
      </c>
      <c r="N1999" t="s">
        <v>5784</v>
      </c>
      <c r="O1999" t="s">
        <v>883</v>
      </c>
      <c r="P1999" t="s">
        <v>884</v>
      </c>
      <c r="Q1999" t="s">
        <v>6565</v>
      </c>
      <c r="R1999" t="s">
        <v>6566</v>
      </c>
      <c r="S1999" t="s">
        <v>803</v>
      </c>
      <c r="T1999" t="s">
        <v>550</v>
      </c>
      <c r="U1999" t="s">
        <v>550</v>
      </c>
      <c r="V1999" t="s">
        <v>7570</v>
      </c>
      <c r="W1999" t="s">
        <v>7194</v>
      </c>
      <c r="X1999" t="s">
        <v>809</v>
      </c>
      <c r="Y1999" t="s">
        <v>7099</v>
      </c>
      <c r="Z1999" t="s">
        <v>7568</v>
      </c>
    </row>
    <row r="2000" spans="1:26" x14ac:dyDescent="0.3">
      <c r="A2000" t="s">
        <v>330</v>
      </c>
      <c r="B2000" t="s">
        <v>7571</v>
      </c>
      <c r="C2000" t="s">
        <v>7572</v>
      </c>
      <c r="D2000" t="s">
        <v>7533</v>
      </c>
      <c r="E2000" t="s">
        <v>7088</v>
      </c>
      <c r="F2000" t="s">
        <v>7089</v>
      </c>
      <c r="G2000" s="1">
        <v>44562</v>
      </c>
      <c r="H2000" s="1">
        <v>44593</v>
      </c>
      <c r="I2000" t="s">
        <v>665</v>
      </c>
      <c r="J2000" t="s">
        <v>7090</v>
      </c>
      <c r="K2000" t="s">
        <v>958</v>
      </c>
      <c r="L2000" t="s">
        <v>809</v>
      </c>
      <c r="M2000" t="s">
        <v>5783</v>
      </c>
      <c r="N2000" t="s">
        <v>5784</v>
      </c>
      <c r="O2000" t="s">
        <v>883</v>
      </c>
      <c r="P2000" t="s">
        <v>884</v>
      </c>
      <c r="Q2000" t="s">
        <v>6565</v>
      </c>
      <c r="R2000" t="s">
        <v>6566</v>
      </c>
      <c r="S2000" t="s">
        <v>803</v>
      </c>
      <c r="T2000" t="s">
        <v>550</v>
      </c>
      <c r="U2000" t="s">
        <v>550</v>
      </c>
      <c r="V2000" t="s">
        <v>7573</v>
      </c>
      <c r="W2000" t="s">
        <v>7194</v>
      </c>
      <c r="X2000" t="s">
        <v>809</v>
      </c>
      <c r="Y2000" t="s">
        <v>7099</v>
      </c>
      <c r="Z2000" t="s">
        <v>7571</v>
      </c>
    </row>
    <row r="2001" spans="1:26" x14ac:dyDescent="0.3">
      <c r="A2001" t="s">
        <v>330</v>
      </c>
      <c r="B2001" t="s">
        <v>7574</v>
      </c>
      <c r="C2001" t="s">
        <v>7575</v>
      </c>
      <c r="D2001" t="s">
        <v>7539</v>
      </c>
      <c r="E2001" t="s">
        <v>7541</v>
      </c>
      <c r="F2001" t="s">
        <v>7542</v>
      </c>
      <c r="G2001" s="1">
        <v>44562</v>
      </c>
      <c r="H2001" s="1">
        <v>44571</v>
      </c>
      <c r="I2001" t="s">
        <v>665</v>
      </c>
      <c r="J2001" t="s">
        <v>7517</v>
      </c>
      <c r="K2001" t="s">
        <v>958</v>
      </c>
      <c r="L2001" t="s">
        <v>809</v>
      </c>
      <c r="M2001" t="s">
        <v>5783</v>
      </c>
      <c r="N2001" t="s">
        <v>5784</v>
      </c>
      <c r="O2001" t="s">
        <v>883</v>
      </c>
      <c r="P2001" t="s">
        <v>884</v>
      </c>
      <c r="Q2001" t="s">
        <v>6565</v>
      </c>
      <c r="R2001" t="s">
        <v>6566</v>
      </c>
      <c r="S2001" t="s">
        <v>803</v>
      </c>
      <c r="T2001" t="s">
        <v>550</v>
      </c>
      <c r="U2001" t="s">
        <v>550</v>
      </c>
      <c r="V2001" t="s">
        <v>7576</v>
      </c>
      <c r="W2001" t="s">
        <v>7194</v>
      </c>
      <c r="X2001" t="s">
        <v>809</v>
      </c>
      <c r="Y2001" t="s">
        <v>7099</v>
      </c>
      <c r="Z2001" t="s">
        <v>7574</v>
      </c>
    </row>
    <row r="2002" spans="1:26" x14ac:dyDescent="0.3">
      <c r="A2002" t="s">
        <v>330</v>
      </c>
      <c r="B2002" t="s">
        <v>7577</v>
      </c>
      <c r="C2002" t="s">
        <v>7578</v>
      </c>
      <c r="D2002" t="s">
        <v>7579</v>
      </c>
      <c r="E2002" t="s">
        <v>7580</v>
      </c>
      <c r="F2002" t="s">
        <v>5789</v>
      </c>
      <c r="G2002" s="1">
        <v>44564</v>
      </c>
      <c r="H2002" s="1">
        <v>44594</v>
      </c>
      <c r="I2002" t="s">
        <v>665</v>
      </c>
      <c r="J2002" t="s">
        <v>7581</v>
      </c>
      <c r="K2002" t="s">
        <v>958</v>
      </c>
      <c r="L2002" t="s">
        <v>809</v>
      </c>
      <c r="M2002" t="s">
        <v>5783</v>
      </c>
      <c r="N2002" t="s">
        <v>5784</v>
      </c>
      <c r="O2002" t="s">
        <v>883</v>
      </c>
      <c r="P2002" t="s">
        <v>884</v>
      </c>
      <c r="Q2002" t="s">
        <v>6565</v>
      </c>
      <c r="R2002" t="s">
        <v>6566</v>
      </c>
      <c r="S2002" t="s">
        <v>803</v>
      </c>
      <c r="T2002" t="s">
        <v>550</v>
      </c>
      <c r="U2002" t="s">
        <v>550</v>
      </c>
      <c r="V2002" t="s">
        <v>7582</v>
      </c>
      <c r="W2002" t="s">
        <v>7194</v>
      </c>
      <c r="X2002" t="s">
        <v>809</v>
      </c>
      <c r="Y2002" t="s">
        <v>803</v>
      </c>
      <c r="Z2002" t="s">
        <v>7577</v>
      </c>
    </row>
    <row r="2003" spans="1:26" x14ac:dyDescent="0.3">
      <c r="A2003" t="s">
        <v>330</v>
      </c>
      <c r="B2003" t="s">
        <v>7583</v>
      </c>
      <c r="C2003" t="s">
        <v>7584</v>
      </c>
      <c r="D2003" t="s">
        <v>550</v>
      </c>
      <c r="E2003" t="s">
        <v>7585</v>
      </c>
      <c r="F2003" t="s">
        <v>7586</v>
      </c>
      <c r="G2003" s="1">
        <v>44683</v>
      </c>
      <c r="H2003" s="1">
        <v>44683</v>
      </c>
      <c r="I2003" t="s">
        <v>665</v>
      </c>
      <c r="J2003" t="s">
        <v>7580</v>
      </c>
      <c r="K2003" t="s">
        <v>958</v>
      </c>
      <c r="L2003" t="s">
        <v>809</v>
      </c>
      <c r="M2003" t="s">
        <v>5783</v>
      </c>
      <c r="N2003" t="s">
        <v>5784</v>
      </c>
      <c r="O2003" t="s">
        <v>883</v>
      </c>
      <c r="P2003" t="s">
        <v>884</v>
      </c>
      <c r="Q2003" t="s">
        <v>6565</v>
      </c>
      <c r="R2003" t="s">
        <v>6566</v>
      </c>
      <c r="S2003" t="s">
        <v>803</v>
      </c>
      <c r="T2003" t="s">
        <v>7470</v>
      </c>
      <c r="U2003" t="s">
        <v>550</v>
      </c>
      <c r="V2003" t="s">
        <v>7587</v>
      </c>
      <c r="W2003" t="s">
        <v>7194</v>
      </c>
      <c r="X2003" t="s">
        <v>809</v>
      </c>
      <c r="Y2003" t="s">
        <v>803</v>
      </c>
      <c r="Z2003" t="s">
        <v>7583</v>
      </c>
    </row>
    <row r="2004" spans="1:26" x14ac:dyDescent="0.3">
      <c r="A2004" t="s">
        <v>330</v>
      </c>
      <c r="B2004" t="s">
        <v>7588</v>
      </c>
      <c r="C2004" t="s">
        <v>7589</v>
      </c>
      <c r="D2004" t="s">
        <v>7583</v>
      </c>
      <c r="E2004" t="s">
        <v>7585</v>
      </c>
      <c r="F2004" t="s">
        <v>7586</v>
      </c>
      <c r="G2004" s="1">
        <v>44683</v>
      </c>
      <c r="H2004" s="1">
        <v>44722</v>
      </c>
      <c r="I2004" t="s">
        <v>665</v>
      </c>
      <c r="J2004" t="s">
        <v>7580</v>
      </c>
      <c r="K2004" t="s">
        <v>24</v>
      </c>
      <c r="L2004" t="s">
        <v>809</v>
      </c>
      <c r="M2004" t="s">
        <v>5783</v>
      </c>
      <c r="N2004" t="s">
        <v>5784</v>
      </c>
      <c r="O2004" t="s">
        <v>883</v>
      </c>
      <c r="P2004" t="s">
        <v>884</v>
      </c>
      <c r="Q2004" t="s">
        <v>6565</v>
      </c>
      <c r="R2004" t="s">
        <v>6566</v>
      </c>
      <c r="S2004" t="s">
        <v>803</v>
      </c>
      <c r="T2004" t="s">
        <v>7470</v>
      </c>
      <c r="U2004" t="s">
        <v>550</v>
      </c>
      <c r="V2004" t="s">
        <v>7590</v>
      </c>
      <c r="W2004" t="s">
        <v>7194</v>
      </c>
      <c r="X2004" t="s">
        <v>809</v>
      </c>
      <c r="Y2004" t="s">
        <v>803</v>
      </c>
      <c r="Z2004" t="s">
        <v>7588</v>
      </c>
    </row>
    <row r="2005" spans="1:26" x14ac:dyDescent="0.3">
      <c r="A2005" t="s">
        <v>330</v>
      </c>
      <c r="B2005" t="s">
        <v>7591</v>
      </c>
      <c r="C2005" t="s">
        <v>7592</v>
      </c>
      <c r="D2005" t="s">
        <v>7583</v>
      </c>
      <c r="E2005" t="s">
        <v>7585</v>
      </c>
      <c r="F2005" t="s">
        <v>7586</v>
      </c>
      <c r="G2005" s="1">
        <v>44707</v>
      </c>
      <c r="H2005" s="1">
        <v>44739</v>
      </c>
      <c r="I2005" t="s">
        <v>665</v>
      </c>
      <c r="J2005" t="s">
        <v>7580</v>
      </c>
      <c r="K2005" t="s">
        <v>958</v>
      </c>
      <c r="L2005" t="s">
        <v>809</v>
      </c>
      <c r="M2005" t="s">
        <v>5783</v>
      </c>
      <c r="N2005" t="s">
        <v>5784</v>
      </c>
      <c r="O2005" t="s">
        <v>883</v>
      </c>
      <c r="P2005" t="s">
        <v>884</v>
      </c>
      <c r="Q2005" t="s">
        <v>6565</v>
      </c>
      <c r="R2005" t="s">
        <v>6566</v>
      </c>
      <c r="S2005" t="s">
        <v>803</v>
      </c>
      <c r="T2005" t="s">
        <v>7470</v>
      </c>
      <c r="U2005" t="s">
        <v>550</v>
      </c>
      <c r="V2005" t="s">
        <v>7593</v>
      </c>
      <c r="W2005" t="s">
        <v>7194</v>
      </c>
      <c r="X2005" t="s">
        <v>809</v>
      </c>
      <c r="Y2005" t="s">
        <v>803</v>
      </c>
      <c r="Z2005" t="s">
        <v>7591</v>
      </c>
    </row>
    <row r="2006" spans="1:26" x14ac:dyDescent="0.3">
      <c r="A2006" t="s">
        <v>330</v>
      </c>
      <c r="B2006" t="s">
        <v>7594</v>
      </c>
      <c r="C2006" t="s">
        <v>7595</v>
      </c>
      <c r="D2006" t="s">
        <v>7206</v>
      </c>
      <c r="E2006" t="s">
        <v>6417</v>
      </c>
      <c r="F2006" t="s">
        <v>1040</v>
      </c>
      <c r="G2006" s="1">
        <v>43467</v>
      </c>
      <c r="H2006" s="1">
        <v>43467</v>
      </c>
      <c r="I2006" t="s">
        <v>665</v>
      </c>
      <c r="J2006" t="s">
        <v>6418</v>
      </c>
      <c r="K2006" t="s">
        <v>24</v>
      </c>
      <c r="L2006" t="s">
        <v>809</v>
      </c>
      <c r="M2006" t="s">
        <v>7596</v>
      </c>
      <c r="N2006" t="s">
        <v>7597</v>
      </c>
      <c r="O2006" t="s">
        <v>883</v>
      </c>
      <c r="P2006" t="s">
        <v>884</v>
      </c>
      <c r="Q2006" t="s">
        <v>6565</v>
      </c>
      <c r="R2006" t="s">
        <v>6566</v>
      </c>
      <c r="S2006" t="s">
        <v>7208</v>
      </c>
      <c r="T2006" t="s">
        <v>550</v>
      </c>
      <c r="U2006" t="s">
        <v>550</v>
      </c>
      <c r="V2006" t="s">
        <v>7598</v>
      </c>
      <c r="W2006" t="s">
        <v>7092</v>
      </c>
      <c r="X2006" t="s">
        <v>809</v>
      </c>
      <c r="Y2006" t="s">
        <v>803</v>
      </c>
      <c r="Z2006" t="s">
        <v>7594</v>
      </c>
    </row>
    <row r="2007" spans="1:26" x14ac:dyDescent="0.3">
      <c r="A2007" t="s">
        <v>330</v>
      </c>
      <c r="B2007" t="s">
        <v>7599</v>
      </c>
      <c r="C2007" t="s">
        <v>7600</v>
      </c>
      <c r="D2007" t="s">
        <v>7206</v>
      </c>
      <c r="E2007" t="s">
        <v>6417</v>
      </c>
      <c r="F2007" t="s">
        <v>1040</v>
      </c>
      <c r="G2007" s="1">
        <v>43586</v>
      </c>
      <c r="H2007" s="1">
        <v>43586</v>
      </c>
      <c r="I2007" t="s">
        <v>665</v>
      </c>
      <c r="J2007" t="s">
        <v>6418</v>
      </c>
      <c r="K2007" t="s">
        <v>24</v>
      </c>
      <c r="L2007" t="s">
        <v>809</v>
      </c>
      <c r="M2007" t="s">
        <v>7596</v>
      </c>
      <c r="N2007" t="s">
        <v>7597</v>
      </c>
      <c r="O2007" t="s">
        <v>883</v>
      </c>
      <c r="P2007" t="s">
        <v>884</v>
      </c>
      <c r="Q2007" t="s">
        <v>6565</v>
      </c>
      <c r="R2007" t="s">
        <v>6566</v>
      </c>
      <c r="S2007" t="s">
        <v>7208</v>
      </c>
      <c r="T2007" t="s">
        <v>550</v>
      </c>
      <c r="U2007" t="s">
        <v>550</v>
      </c>
      <c r="V2007" t="s">
        <v>7601</v>
      </c>
      <c r="W2007" t="s">
        <v>7092</v>
      </c>
      <c r="X2007" t="s">
        <v>809</v>
      </c>
      <c r="Y2007" t="s">
        <v>803</v>
      </c>
      <c r="Z2007" t="s">
        <v>7599</v>
      </c>
    </row>
    <row r="2008" spans="1:26" x14ac:dyDescent="0.3">
      <c r="A2008" t="s">
        <v>330</v>
      </c>
      <c r="B2008" t="s">
        <v>7602</v>
      </c>
      <c r="C2008" t="s">
        <v>7603</v>
      </c>
      <c r="D2008" t="s">
        <v>7206</v>
      </c>
      <c r="E2008" t="s">
        <v>6417</v>
      </c>
      <c r="F2008" t="s">
        <v>1040</v>
      </c>
      <c r="G2008" s="1">
        <v>43467</v>
      </c>
      <c r="H2008" s="1">
        <v>43467</v>
      </c>
      <c r="I2008" t="s">
        <v>665</v>
      </c>
      <c r="J2008" t="s">
        <v>6418</v>
      </c>
      <c r="K2008" t="s">
        <v>24</v>
      </c>
      <c r="L2008" t="s">
        <v>809</v>
      </c>
      <c r="M2008" t="s">
        <v>810</v>
      </c>
      <c r="N2008" t="s">
        <v>811</v>
      </c>
      <c r="O2008" t="s">
        <v>883</v>
      </c>
      <c r="P2008" t="s">
        <v>884</v>
      </c>
      <c r="Q2008" t="s">
        <v>6565</v>
      </c>
      <c r="R2008" t="s">
        <v>6566</v>
      </c>
      <c r="S2008" t="s">
        <v>7208</v>
      </c>
      <c r="T2008" t="s">
        <v>550</v>
      </c>
      <c r="U2008" t="s">
        <v>550</v>
      </c>
      <c r="V2008" t="s">
        <v>7604</v>
      </c>
      <c r="W2008" t="s">
        <v>7092</v>
      </c>
      <c r="X2008" t="s">
        <v>809</v>
      </c>
      <c r="Y2008" t="s">
        <v>803</v>
      </c>
      <c r="Z2008" t="s">
        <v>7602</v>
      </c>
    </row>
    <row r="2009" spans="1:26" x14ac:dyDescent="0.3">
      <c r="A2009" t="s">
        <v>330</v>
      </c>
      <c r="B2009" t="s">
        <v>7605</v>
      </c>
      <c r="C2009" t="s">
        <v>7606</v>
      </c>
      <c r="D2009" t="s">
        <v>804</v>
      </c>
      <c r="E2009" t="s">
        <v>806</v>
      </c>
      <c r="F2009" t="s">
        <v>805</v>
      </c>
      <c r="G2009" s="1">
        <v>44894</v>
      </c>
      <c r="H2009" s="1">
        <v>44900</v>
      </c>
      <c r="I2009" t="s">
        <v>665</v>
      </c>
      <c r="J2009" t="s">
        <v>807</v>
      </c>
      <c r="K2009" t="s">
        <v>808</v>
      </c>
      <c r="L2009" t="s">
        <v>809</v>
      </c>
      <c r="M2009" t="s">
        <v>810</v>
      </c>
      <c r="N2009" t="s">
        <v>811</v>
      </c>
      <c r="O2009" t="s">
        <v>883</v>
      </c>
      <c r="P2009" t="s">
        <v>884</v>
      </c>
      <c r="Q2009" t="s">
        <v>6565</v>
      </c>
      <c r="R2009" t="s">
        <v>6566</v>
      </c>
      <c r="S2009" t="s">
        <v>803</v>
      </c>
      <c r="T2009" t="s">
        <v>550</v>
      </c>
      <c r="U2009" t="s">
        <v>550</v>
      </c>
      <c r="V2009" t="s">
        <v>7607</v>
      </c>
      <c r="W2009" t="s">
        <v>813</v>
      </c>
      <c r="X2009" t="s">
        <v>809</v>
      </c>
      <c r="Y2009" t="s">
        <v>803</v>
      </c>
      <c r="Z2009" t="s">
        <v>7605</v>
      </c>
    </row>
    <row r="2010" spans="1:26" x14ac:dyDescent="0.3">
      <c r="A2010" t="s">
        <v>330</v>
      </c>
      <c r="B2010" t="s">
        <v>7608</v>
      </c>
      <c r="C2010" t="s">
        <v>7609</v>
      </c>
      <c r="D2010" t="s">
        <v>550</v>
      </c>
      <c r="E2010" t="s">
        <v>7177</v>
      </c>
      <c r="F2010" t="s">
        <v>3223</v>
      </c>
      <c r="G2010" s="1">
        <v>44197</v>
      </c>
      <c r="H2010" s="1">
        <v>44202</v>
      </c>
      <c r="I2010" t="s">
        <v>665</v>
      </c>
      <c r="J2010" t="s">
        <v>7178</v>
      </c>
      <c r="K2010" t="s">
        <v>4782</v>
      </c>
      <c r="L2010" t="s">
        <v>809</v>
      </c>
      <c r="M2010" t="s">
        <v>810</v>
      </c>
      <c r="N2010" t="s">
        <v>811</v>
      </c>
      <c r="O2010" t="s">
        <v>883</v>
      </c>
      <c r="P2010" t="s">
        <v>884</v>
      </c>
      <c r="Q2010" t="s">
        <v>6565</v>
      </c>
      <c r="R2010" t="s">
        <v>6566</v>
      </c>
      <c r="S2010" t="s">
        <v>803</v>
      </c>
      <c r="T2010" t="s">
        <v>550</v>
      </c>
      <c r="U2010" t="s">
        <v>550</v>
      </c>
      <c r="V2010" t="s">
        <v>7610</v>
      </c>
      <c r="W2010" t="s">
        <v>7092</v>
      </c>
      <c r="X2010" t="s">
        <v>809</v>
      </c>
      <c r="Y2010" t="s">
        <v>803</v>
      </c>
      <c r="Z2010" t="s">
        <v>7608</v>
      </c>
    </row>
    <row r="2011" spans="1:26" x14ac:dyDescent="0.3">
      <c r="A2011" t="s">
        <v>330</v>
      </c>
      <c r="B2011" t="s">
        <v>7611</v>
      </c>
      <c r="C2011" t="s">
        <v>7612</v>
      </c>
      <c r="D2011" t="s">
        <v>550</v>
      </c>
      <c r="E2011" t="s">
        <v>7129</v>
      </c>
      <c r="F2011" t="s">
        <v>7148</v>
      </c>
      <c r="G2011" s="1">
        <v>43909</v>
      </c>
      <c r="H2011" s="1">
        <v>43916</v>
      </c>
      <c r="I2011" t="s">
        <v>665</v>
      </c>
      <c r="J2011" t="s">
        <v>7149</v>
      </c>
      <c r="K2011" t="s">
        <v>24</v>
      </c>
      <c r="L2011" t="s">
        <v>809</v>
      </c>
      <c r="M2011" t="s">
        <v>810</v>
      </c>
      <c r="N2011" t="s">
        <v>811</v>
      </c>
      <c r="O2011" t="s">
        <v>883</v>
      </c>
      <c r="P2011" t="s">
        <v>884</v>
      </c>
      <c r="Q2011" t="s">
        <v>6565</v>
      </c>
      <c r="R2011" t="s">
        <v>6566</v>
      </c>
      <c r="S2011" t="s">
        <v>803</v>
      </c>
      <c r="T2011" t="s">
        <v>550</v>
      </c>
      <c r="U2011" t="s">
        <v>550</v>
      </c>
      <c r="V2011" t="s">
        <v>7613</v>
      </c>
      <c r="W2011" t="s">
        <v>7092</v>
      </c>
      <c r="X2011" t="s">
        <v>809</v>
      </c>
      <c r="Y2011" t="s">
        <v>803</v>
      </c>
      <c r="Z2011" t="s">
        <v>7611</v>
      </c>
    </row>
    <row r="2012" spans="1:26" x14ac:dyDescent="0.3">
      <c r="A2012" t="s">
        <v>330</v>
      </c>
      <c r="B2012" t="s">
        <v>7614</v>
      </c>
      <c r="C2012" t="s">
        <v>7615</v>
      </c>
      <c r="D2012" t="s">
        <v>550</v>
      </c>
      <c r="E2012" t="s">
        <v>7177</v>
      </c>
      <c r="F2012" t="s">
        <v>3223</v>
      </c>
      <c r="G2012" s="1">
        <v>43831</v>
      </c>
      <c r="H2012" s="1">
        <v>43846</v>
      </c>
      <c r="I2012" t="s">
        <v>665</v>
      </c>
      <c r="J2012" t="s">
        <v>7178</v>
      </c>
      <c r="K2012" t="s">
        <v>4782</v>
      </c>
      <c r="L2012" t="s">
        <v>809</v>
      </c>
      <c r="M2012" t="s">
        <v>810</v>
      </c>
      <c r="N2012" t="s">
        <v>811</v>
      </c>
      <c r="O2012" t="s">
        <v>883</v>
      </c>
      <c r="P2012" t="s">
        <v>884</v>
      </c>
      <c r="Q2012" t="s">
        <v>6565</v>
      </c>
      <c r="R2012" t="s">
        <v>6566</v>
      </c>
      <c r="S2012" t="s">
        <v>7208</v>
      </c>
      <c r="T2012" t="s">
        <v>550</v>
      </c>
      <c r="U2012" t="s">
        <v>550</v>
      </c>
      <c r="V2012" t="s">
        <v>7616</v>
      </c>
      <c r="W2012" t="s">
        <v>7092</v>
      </c>
      <c r="X2012" t="s">
        <v>809</v>
      </c>
      <c r="Y2012" t="s">
        <v>803</v>
      </c>
      <c r="Z2012" t="s">
        <v>7614</v>
      </c>
    </row>
    <row r="2013" spans="1:26" x14ac:dyDescent="0.3">
      <c r="A2013" t="s">
        <v>330</v>
      </c>
      <c r="B2013" t="s">
        <v>7617</v>
      </c>
      <c r="C2013" t="s">
        <v>7618</v>
      </c>
      <c r="D2013" t="s">
        <v>550</v>
      </c>
      <c r="E2013" t="s">
        <v>7149</v>
      </c>
      <c r="F2013" t="s">
        <v>7619</v>
      </c>
      <c r="G2013" s="1">
        <v>43983</v>
      </c>
      <c r="H2013" s="1">
        <v>43987</v>
      </c>
      <c r="I2013" t="s">
        <v>665</v>
      </c>
      <c r="J2013" t="s">
        <v>7620</v>
      </c>
      <c r="K2013" t="s">
        <v>3232</v>
      </c>
      <c r="L2013" t="s">
        <v>809</v>
      </c>
      <c r="M2013" t="s">
        <v>810</v>
      </c>
      <c r="N2013" t="s">
        <v>811</v>
      </c>
      <c r="O2013" t="s">
        <v>883</v>
      </c>
      <c r="P2013" t="s">
        <v>884</v>
      </c>
      <c r="Q2013" t="s">
        <v>6565</v>
      </c>
      <c r="R2013" t="s">
        <v>6566</v>
      </c>
      <c r="S2013" t="s">
        <v>803</v>
      </c>
      <c r="T2013" t="s">
        <v>550</v>
      </c>
      <c r="U2013" t="s">
        <v>550</v>
      </c>
      <c r="V2013" t="s">
        <v>7621</v>
      </c>
      <c r="W2013" t="s">
        <v>7092</v>
      </c>
      <c r="X2013" t="s">
        <v>809</v>
      </c>
      <c r="Y2013" t="s">
        <v>803</v>
      </c>
      <c r="Z2013" t="s">
        <v>7617</v>
      </c>
    </row>
    <row r="2014" spans="1:26" x14ac:dyDescent="0.3">
      <c r="A2014" t="s">
        <v>330</v>
      </c>
      <c r="B2014" t="s">
        <v>7622</v>
      </c>
      <c r="C2014" t="s">
        <v>7623</v>
      </c>
      <c r="D2014" t="s">
        <v>7087</v>
      </c>
      <c r="E2014" t="s">
        <v>7088</v>
      </c>
      <c r="F2014" t="s">
        <v>7089</v>
      </c>
      <c r="G2014" s="1">
        <v>45292</v>
      </c>
      <c r="H2014" s="1">
        <v>45370</v>
      </c>
      <c r="I2014" t="s">
        <v>665</v>
      </c>
      <c r="J2014" t="s">
        <v>7090</v>
      </c>
      <c r="K2014" t="s">
        <v>958</v>
      </c>
      <c r="L2014" t="s">
        <v>7624</v>
      </c>
      <c r="M2014" t="s">
        <v>810</v>
      </c>
      <c r="N2014" t="s">
        <v>811</v>
      </c>
      <c r="O2014" t="s">
        <v>883</v>
      </c>
      <c r="P2014" t="s">
        <v>884</v>
      </c>
      <c r="Q2014" t="s">
        <v>6565</v>
      </c>
      <c r="R2014" t="s">
        <v>6566</v>
      </c>
      <c r="S2014" t="s">
        <v>803</v>
      </c>
      <c r="T2014" t="s">
        <v>550</v>
      </c>
      <c r="U2014" t="s">
        <v>550</v>
      </c>
      <c r="V2014" t="s">
        <v>7625</v>
      </c>
      <c r="W2014" t="s">
        <v>7092</v>
      </c>
      <c r="Z2014" t="s">
        <v>7622</v>
      </c>
    </row>
    <row r="2015" spans="1:26" x14ac:dyDescent="0.3">
      <c r="A2015" t="s">
        <v>330</v>
      </c>
      <c r="B2015" t="s">
        <v>7626</v>
      </c>
      <c r="C2015" t="s">
        <v>7627</v>
      </c>
      <c r="D2015" t="s">
        <v>7220</v>
      </c>
      <c r="E2015" t="s">
        <v>6417</v>
      </c>
      <c r="F2015" t="s">
        <v>1040</v>
      </c>
      <c r="G2015" s="1">
        <v>44562</v>
      </c>
      <c r="H2015" s="1">
        <v>44562</v>
      </c>
      <c r="I2015" t="s">
        <v>665</v>
      </c>
      <c r="J2015" t="s">
        <v>6418</v>
      </c>
      <c r="K2015" t="s">
        <v>958</v>
      </c>
      <c r="L2015" t="s">
        <v>6419</v>
      </c>
      <c r="M2015" t="s">
        <v>810</v>
      </c>
      <c r="N2015" t="s">
        <v>811</v>
      </c>
      <c r="O2015" t="s">
        <v>883</v>
      </c>
      <c r="P2015" t="s">
        <v>884</v>
      </c>
      <c r="Q2015" t="s">
        <v>6565</v>
      </c>
      <c r="R2015" t="s">
        <v>6566</v>
      </c>
      <c r="S2015" t="s">
        <v>7222</v>
      </c>
      <c r="T2015" t="s">
        <v>7628</v>
      </c>
      <c r="U2015" t="s">
        <v>550</v>
      </c>
      <c r="V2015" t="s">
        <v>7629</v>
      </c>
      <c r="W2015" t="s">
        <v>6972</v>
      </c>
      <c r="X2015" t="s">
        <v>6451</v>
      </c>
      <c r="Y2015" t="s">
        <v>6452</v>
      </c>
      <c r="Z2015" t="s">
        <v>7626</v>
      </c>
    </row>
    <row r="2016" spans="1:26" x14ac:dyDescent="0.3">
      <c r="A2016" t="s">
        <v>330</v>
      </c>
      <c r="B2016" t="s">
        <v>7630</v>
      </c>
      <c r="C2016" t="s">
        <v>7631</v>
      </c>
      <c r="D2016" t="s">
        <v>7220</v>
      </c>
      <c r="E2016" t="s">
        <v>6417</v>
      </c>
      <c r="F2016" t="s">
        <v>1040</v>
      </c>
      <c r="G2016" s="1">
        <v>44562</v>
      </c>
      <c r="H2016" s="1">
        <v>44562</v>
      </c>
      <c r="I2016" t="s">
        <v>665</v>
      </c>
      <c r="J2016" t="s">
        <v>6418</v>
      </c>
      <c r="K2016" t="s">
        <v>958</v>
      </c>
      <c r="L2016" t="s">
        <v>6419</v>
      </c>
      <c r="M2016" t="s">
        <v>810</v>
      </c>
      <c r="N2016" t="s">
        <v>811</v>
      </c>
      <c r="O2016" t="s">
        <v>883</v>
      </c>
      <c r="P2016" t="s">
        <v>884</v>
      </c>
      <c r="Q2016" t="s">
        <v>6565</v>
      </c>
      <c r="R2016" t="s">
        <v>6566</v>
      </c>
      <c r="S2016" t="s">
        <v>7222</v>
      </c>
      <c r="T2016" t="s">
        <v>7628</v>
      </c>
      <c r="U2016" t="s">
        <v>550</v>
      </c>
      <c r="V2016" t="s">
        <v>7632</v>
      </c>
      <c r="W2016" t="s">
        <v>6972</v>
      </c>
      <c r="X2016" t="s">
        <v>6451</v>
      </c>
      <c r="Y2016" t="s">
        <v>6452</v>
      </c>
      <c r="Z2016" t="s">
        <v>7630</v>
      </c>
    </row>
    <row r="2017" spans="1:26" x14ac:dyDescent="0.3">
      <c r="A2017" t="s">
        <v>330</v>
      </c>
      <c r="B2017" t="s">
        <v>7249</v>
      </c>
      <c r="C2017" t="s">
        <v>7221</v>
      </c>
      <c r="D2017" t="s">
        <v>550</v>
      </c>
      <c r="E2017" t="s">
        <v>6417</v>
      </c>
      <c r="F2017" t="s">
        <v>1040</v>
      </c>
      <c r="G2017" s="1">
        <v>44197</v>
      </c>
      <c r="H2017" s="1">
        <v>44197</v>
      </c>
      <c r="I2017" t="s">
        <v>665</v>
      </c>
      <c r="J2017" t="s">
        <v>6418</v>
      </c>
      <c r="K2017" t="s">
        <v>958</v>
      </c>
      <c r="L2017" t="s">
        <v>6419</v>
      </c>
      <c r="M2017" t="s">
        <v>810</v>
      </c>
      <c r="N2017" t="s">
        <v>811</v>
      </c>
      <c r="O2017" t="s">
        <v>883</v>
      </c>
      <c r="P2017" t="s">
        <v>884</v>
      </c>
      <c r="Q2017" t="s">
        <v>6565</v>
      </c>
      <c r="R2017" t="s">
        <v>6566</v>
      </c>
      <c r="S2017" t="s">
        <v>7250</v>
      </c>
      <c r="T2017" t="s">
        <v>550</v>
      </c>
      <c r="U2017" t="s">
        <v>550</v>
      </c>
      <c r="V2017" t="s">
        <v>7633</v>
      </c>
      <c r="W2017" t="s">
        <v>6972</v>
      </c>
      <c r="X2017" t="s">
        <v>6451</v>
      </c>
      <c r="Y2017" t="s">
        <v>6452</v>
      </c>
      <c r="Z2017" t="s">
        <v>7249</v>
      </c>
    </row>
    <row r="2018" spans="1:26" x14ac:dyDescent="0.3">
      <c r="A2018" t="s">
        <v>330</v>
      </c>
      <c r="B2018" t="s">
        <v>7634</v>
      </c>
      <c r="C2018" t="s">
        <v>7627</v>
      </c>
      <c r="D2018" t="s">
        <v>7249</v>
      </c>
      <c r="E2018" t="s">
        <v>6417</v>
      </c>
      <c r="F2018" t="s">
        <v>1040</v>
      </c>
      <c r="G2018" s="1">
        <v>44197</v>
      </c>
      <c r="H2018" s="1">
        <v>44420</v>
      </c>
      <c r="I2018" t="s">
        <v>665</v>
      </c>
      <c r="J2018" t="s">
        <v>6418</v>
      </c>
      <c r="K2018" t="s">
        <v>958</v>
      </c>
      <c r="L2018" t="s">
        <v>6419</v>
      </c>
      <c r="M2018" t="s">
        <v>810</v>
      </c>
      <c r="N2018" t="s">
        <v>811</v>
      </c>
      <c r="O2018" t="s">
        <v>883</v>
      </c>
      <c r="P2018" t="s">
        <v>884</v>
      </c>
      <c r="Q2018" t="s">
        <v>6565</v>
      </c>
      <c r="R2018" t="s">
        <v>6566</v>
      </c>
      <c r="S2018" t="s">
        <v>7250</v>
      </c>
      <c r="T2018" t="s">
        <v>550</v>
      </c>
      <c r="U2018" t="s">
        <v>550</v>
      </c>
      <c r="V2018" t="s">
        <v>7635</v>
      </c>
      <c r="W2018" t="s">
        <v>6972</v>
      </c>
      <c r="X2018" t="s">
        <v>6451</v>
      </c>
      <c r="Y2018" t="s">
        <v>6452</v>
      </c>
      <c r="Z2018" t="s">
        <v>7634</v>
      </c>
    </row>
    <row r="2019" spans="1:26" x14ac:dyDescent="0.3">
      <c r="A2019" t="s">
        <v>330</v>
      </c>
      <c r="B2019" t="s">
        <v>7636</v>
      </c>
      <c r="C2019" t="s">
        <v>7637</v>
      </c>
      <c r="D2019" t="s">
        <v>7249</v>
      </c>
      <c r="E2019" t="s">
        <v>6417</v>
      </c>
      <c r="F2019" t="s">
        <v>1040</v>
      </c>
      <c r="G2019" s="1">
        <v>44197</v>
      </c>
      <c r="H2019" s="1">
        <v>44592</v>
      </c>
      <c r="I2019" t="s">
        <v>665</v>
      </c>
      <c r="J2019" t="s">
        <v>6418</v>
      </c>
      <c r="K2019" t="s">
        <v>958</v>
      </c>
      <c r="L2019" t="s">
        <v>6419</v>
      </c>
      <c r="M2019" t="s">
        <v>810</v>
      </c>
      <c r="N2019" t="s">
        <v>811</v>
      </c>
      <c r="O2019" t="s">
        <v>883</v>
      </c>
      <c r="P2019" t="s">
        <v>884</v>
      </c>
      <c r="Q2019" t="s">
        <v>6565</v>
      </c>
      <c r="R2019" t="s">
        <v>6566</v>
      </c>
      <c r="S2019" t="s">
        <v>7250</v>
      </c>
      <c r="T2019" t="s">
        <v>550</v>
      </c>
      <c r="U2019" t="s">
        <v>550</v>
      </c>
      <c r="V2019" t="s">
        <v>7638</v>
      </c>
      <c r="W2019" t="s">
        <v>6972</v>
      </c>
      <c r="X2019" t="s">
        <v>6451</v>
      </c>
      <c r="Y2019" t="s">
        <v>6452</v>
      </c>
      <c r="Z2019" t="s">
        <v>7636</v>
      </c>
    </row>
    <row r="2020" spans="1:26" x14ac:dyDescent="0.3">
      <c r="A2020" t="s">
        <v>330</v>
      </c>
      <c r="B2020" t="s">
        <v>7639</v>
      </c>
      <c r="C2020" t="s">
        <v>7640</v>
      </c>
      <c r="D2020" t="s">
        <v>7259</v>
      </c>
      <c r="E2020" t="s">
        <v>6417</v>
      </c>
      <c r="F2020" t="s">
        <v>1040</v>
      </c>
      <c r="G2020" s="1">
        <v>43831</v>
      </c>
      <c r="H2020" s="1">
        <v>44119</v>
      </c>
      <c r="I2020" t="s">
        <v>665</v>
      </c>
      <c r="J2020" t="s">
        <v>6418</v>
      </c>
      <c r="K2020" t="s">
        <v>958</v>
      </c>
      <c r="L2020" t="s">
        <v>6419</v>
      </c>
      <c r="M2020" t="s">
        <v>810</v>
      </c>
      <c r="N2020" t="s">
        <v>811</v>
      </c>
      <c r="O2020" t="s">
        <v>883</v>
      </c>
      <c r="P2020" t="s">
        <v>884</v>
      </c>
      <c r="Q2020" t="s">
        <v>6565</v>
      </c>
      <c r="R2020" t="s">
        <v>6566</v>
      </c>
      <c r="S2020" t="s">
        <v>7260</v>
      </c>
      <c r="T2020" t="s">
        <v>550</v>
      </c>
      <c r="U2020" t="s">
        <v>550</v>
      </c>
      <c r="V2020" t="s">
        <v>7641</v>
      </c>
      <c r="W2020" t="s">
        <v>6972</v>
      </c>
      <c r="X2020" t="s">
        <v>6451</v>
      </c>
      <c r="Y2020" t="s">
        <v>6452</v>
      </c>
      <c r="Z2020" t="s">
        <v>7639</v>
      </c>
    </row>
    <row r="2021" spans="1:26" x14ac:dyDescent="0.3">
      <c r="A2021" t="s">
        <v>330</v>
      </c>
      <c r="B2021" t="s">
        <v>7642</v>
      </c>
      <c r="C2021" t="s">
        <v>7643</v>
      </c>
      <c r="D2021" t="s">
        <v>7259</v>
      </c>
      <c r="E2021" t="s">
        <v>6417</v>
      </c>
      <c r="F2021" t="s">
        <v>1040</v>
      </c>
      <c r="G2021" s="1">
        <v>43831</v>
      </c>
      <c r="H2021" s="1">
        <v>44042</v>
      </c>
      <c r="I2021" t="s">
        <v>665</v>
      </c>
      <c r="J2021" t="s">
        <v>6418</v>
      </c>
      <c r="K2021" t="s">
        <v>958</v>
      </c>
      <c r="L2021" t="s">
        <v>6419</v>
      </c>
      <c r="M2021" t="s">
        <v>810</v>
      </c>
      <c r="N2021" t="s">
        <v>811</v>
      </c>
      <c r="O2021" t="s">
        <v>883</v>
      </c>
      <c r="P2021" t="s">
        <v>884</v>
      </c>
      <c r="Q2021" t="s">
        <v>6565</v>
      </c>
      <c r="R2021" t="s">
        <v>6566</v>
      </c>
      <c r="S2021" t="s">
        <v>7260</v>
      </c>
      <c r="T2021" t="s">
        <v>550</v>
      </c>
      <c r="U2021" t="s">
        <v>550</v>
      </c>
      <c r="V2021" t="s">
        <v>7644</v>
      </c>
      <c r="W2021" t="s">
        <v>6972</v>
      </c>
      <c r="X2021" t="s">
        <v>6451</v>
      </c>
      <c r="Y2021" t="s">
        <v>6452</v>
      </c>
      <c r="Z2021" t="s">
        <v>7642</v>
      </c>
    </row>
    <row r="2022" spans="1:26" x14ac:dyDescent="0.3">
      <c r="A2022" t="s">
        <v>330</v>
      </c>
      <c r="B2022" t="s">
        <v>7645</v>
      </c>
      <c r="C2022" t="s">
        <v>7646</v>
      </c>
      <c r="D2022" t="s">
        <v>550</v>
      </c>
      <c r="E2022" t="s">
        <v>7164</v>
      </c>
      <c r="F2022" t="s">
        <v>7647</v>
      </c>
      <c r="G2022" s="1">
        <v>44470</v>
      </c>
      <c r="H2022" s="1">
        <v>44473</v>
      </c>
      <c r="I2022" t="s">
        <v>665</v>
      </c>
      <c r="J2022" t="s">
        <v>7648</v>
      </c>
      <c r="K2022" t="s">
        <v>24</v>
      </c>
      <c r="L2022" t="s">
        <v>809</v>
      </c>
      <c r="M2022" t="s">
        <v>810</v>
      </c>
      <c r="N2022" t="s">
        <v>811</v>
      </c>
      <c r="O2022" t="s">
        <v>883</v>
      </c>
      <c r="P2022" t="s">
        <v>884</v>
      </c>
      <c r="Q2022" t="s">
        <v>6565</v>
      </c>
      <c r="R2022" t="s">
        <v>6566</v>
      </c>
      <c r="S2022" t="s">
        <v>803</v>
      </c>
      <c r="T2022" t="s">
        <v>550</v>
      </c>
      <c r="U2022" t="s">
        <v>550</v>
      </c>
      <c r="V2022" t="s">
        <v>7649</v>
      </c>
      <c r="W2022" t="s">
        <v>7092</v>
      </c>
      <c r="X2022" t="s">
        <v>809</v>
      </c>
      <c r="Y2022" t="s">
        <v>803</v>
      </c>
      <c r="Z2022" t="s">
        <v>7645</v>
      </c>
    </row>
    <row r="2023" spans="1:26" x14ac:dyDescent="0.3">
      <c r="A2023" t="s">
        <v>330</v>
      </c>
      <c r="B2023" t="s">
        <v>7650</v>
      </c>
      <c r="C2023" t="s">
        <v>7651</v>
      </c>
      <c r="D2023" t="s">
        <v>550</v>
      </c>
      <c r="E2023" t="s">
        <v>7186</v>
      </c>
      <c r="F2023" t="s">
        <v>7652</v>
      </c>
      <c r="G2023" s="1">
        <v>44501</v>
      </c>
      <c r="H2023" s="1">
        <v>44509</v>
      </c>
      <c r="I2023" t="s">
        <v>665</v>
      </c>
      <c r="J2023" t="s">
        <v>7653</v>
      </c>
      <c r="K2023" t="s">
        <v>24</v>
      </c>
      <c r="L2023" t="s">
        <v>809</v>
      </c>
      <c r="M2023" t="s">
        <v>810</v>
      </c>
      <c r="N2023" t="s">
        <v>811</v>
      </c>
      <c r="O2023" t="s">
        <v>883</v>
      </c>
      <c r="P2023" t="s">
        <v>884</v>
      </c>
      <c r="Q2023" t="s">
        <v>6565</v>
      </c>
      <c r="R2023" t="s">
        <v>6566</v>
      </c>
      <c r="S2023" t="s">
        <v>803</v>
      </c>
      <c r="T2023" t="s">
        <v>550</v>
      </c>
      <c r="U2023" t="s">
        <v>550</v>
      </c>
      <c r="V2023" t="s">
        <v>7654</v>
      </c>
      <c r="W2023" t="s">
        <v>7092</v>
      </c>
      <c r="X2023" t="s">
        <v>809</v>
      </c>
      <c r="Y2023" t="s">
        <v>803</v>
      </c>
      <c r="Z2023" t="s">
        <v>7650</v>
      </c>
    </row>
    <row r="2024" spans="1:26" x14ac:dyDescent="0.3">
      <c r="A2024" t="s">
        <v>330</v>
      </c>
      <c r="B2024" t="s">
        <v>7655</v>
      </c>
      <c r="C2024" t="s">
        <v>7656</v>
      </c>
      <c r="D2024" t="s">
        <v>550</v>
      </c>
      <c r="E2024" t="s">
        <v>7581</v>
      </c>
      <c r="F2024" t="s">
        <v>7657</v>
      </c>
      <c r="G2024" s="1">
        <v>44515</v>
      </c>
      <c r="H2024" s="1">
        <v>44519</v>
      </c>
      <c r="I2024" t="s">
        <v>665</v>
      </c>
      <c r="J2024" t="s">
        <v>7102</v>
      </c>
      <c r="K2024" t="s">
        <v>841</v>
      </c>
      <c r="L2024" t="s">
        <v>809</v>
      </c>
      <c r="M2024" t="s">
        <v>810</v>
      </c>
      <c r="N2024" t="s">
        <v>811</v>
      </c>
      <c r="O2024" t="s">
        <v>883</v>
      </c>
      <c r="P2024" t="s">
        <v>884</v>
      </c>
      <c r="Q2024" t="s">
        <v>6565</v>
      </c>
      <c r="R2024" t="s">
        <v>6566</v>
      </c>
      <c r="S2024" t="s">
        <v>803</v>
      </c>
      <c r="T2024" t="s">
        <v>550</v>
      </c>
      <c r="U2024" t="s">
        <v>550</v>
      </c>
      <c r="V2024" t="s">
        <v>7658</v>
      </c>
      <c r="W2024" t="s">
        <v>7092</v>
      </c>
      <c r="X2024" t="s">
        <v>809</v>
      </c>
      <c r="Y2024" t="s">
        <v>803</v>
      </c>
      <c r="Z2024" t="s">
        <v>7655</v>
      </c>
    </row>
    <row r="2025" spans="1:26" x14ac:dyDescent="0.3">
      <c r="A2025" t="s">
        <v>330</v>
      </c>
      <c r="B2025" t="s">
        <v>7659</v>
      </c>
      <c r="C2025" t="s">
        <v>7660</v>
      </c>
      <c r="D2025" t="s">
        <v>550</v>
      </c>
      <c r="E2025" t="s">
        <v>7144</v>
      </c>
      <c r="F2025" t="s">
        <v>7661</v>
      </c>
      <c r="G2025" s="1">
        <v>44197</v>
      </c>
      <c r="H2025" s="1">
        <v>44202</v>
      </c>
      <c r="I2025" t="s">
        <v>665</v>
      </c>
      <c r="J2025" t="s">
        <v>7541</v>
      </c>
      <c r="K2025" t="s">
        <v>24</v>
      </c>
      <c r="L2025" t="s">
        <v>809</v>
      </c>
      <c r="M2025" t="s">
        <v>810</v>
      </c>
      <c r="N2025" t="s">
        <v>811</v>
      </c>
      <c r="O2025" t="s">
        <v>883</v>
      </c>
      <c r="P2025" t="s">
        <v>884</v>
      </c>
      <c r="Q2025" t="s">
        <v>6565</v>
      </c>
      <c r="R2025" t="s">
        <v>6566</v>
      </c>
      <c r="S2025" t="s">
        <v>803</v>
      </c>
      <c r="T2025" t="s">
        <v>550</v>
      </c>
      <c r="U2025" t="s">
        <v>550</v>
      </c>
      <c r="V2025" t="s">
        <v>7662</v>
      </c>
      <c r="W2025" t="s">
        <v>7092</v>
      </c>
      <c r="X2025" t="s">
        <v>809</v>
      </c>
      <c r="Y2025" t="s">
        <v>803</v>
      </c>
      <c r="Z2025" t="s">
        <v>7659</v>
      </c>
    </row>
    <row r="2026" spans="1:26" x14ac:dyDescent="0.3">
      <c r="A2026" t="s">
        <v>330</v>
      </c>
      <c r="B2026" t="s">
        <v>7663</v>
      </c>
      <c r="C2026" t="s">
        <v>7664</v>
      </c>
      <c r="D2026" t="s">
        <v>550</v>
      </c>
      <c r="E2026" t="s">
        <v>7129</v>
      </c>
      <c r="F2026" t="s">
        <v>7148</v>
      </c>
      <c r="G2026" s="1">
        <v>44228</v>
      </c>
      <c r="H2026" s="1">
        <v>44249</v>
      </c>
      <c r="I2026" t="s">
        <v>665</v>
      </c>
      <c r="J2026" t="s">
        <v>7149</v>
      </c>
      <c r="K2026" t="s">
        <v>24</v>
      </c>
      <c r="L2026" t="s">
        <v>809</v>
      </c>
      <c r="M2026" t="s">
        <v>810</v>
      </c>
      <c r="N2026" t="s">
        <v>811</v>
      </c>
      <c r="O2026" t="s">
        <v>883</v>
      </c>
      <c r="P2026" t="s">
        <v>884</v>
      </c>
      <c r="Q2026" t="s">
        <v>6565</v>
      </c>
      <c r="R2026" t="s">
        <v>6566</v>
      </c>
      <c r="S2026" t="s">
        <v>803</v>
      </c>
      <c r="T2026" t="s">
        <v>550</v>
      </c>
      <c r="U2026" t="s">
        <v>550</v>
      </c>
      <c r="V2026" t="s">
        <v>7665</v>
      </c>
      <c r="W2026" t="s">
        <v>7092</v>
      </c>
      <c r="X2026" t="s">
        <v>809</v>
      </c>
      <c r="Y2026" t="s">
        <v>803</v>
      </c>
      <c r="Z2026" t="s">
        <v>7663</v>
      </c>
    </row>
    <row r="2027" spans="1:26" x14ac:dyDescent="0.3">
      <c r="A2027" t="s">
        <v>330</v>
      </c>
      <c r="B2027" t="s">
        <v>7666</v>
      </c>
      <c r="C2027" t="s">
        <v>7667</v>
      </c>
      <c r="D2027" t="s">
        <v>550</v>
      </c>
      <c r="E2027" t="s">
        <v>7581</v>
      </c>
      <c r="F2027" t="s">
        <v>7657</v>
      </c>
      <c r="G2027" s="1">
        <v>44287</v>
      </c>
      <c r="H2027" s="1">
        <v>44293</v>
      </c>
      <c r="I2027" t="s">
        <v>665</v>
      </c>
      <c r="J2027" t="s">
        <v>7102</v>
      </c>
      <c r="K2027" t="s">
        <v>841</v>
      </c>
      <c r="L2027" t="s">
        <v>809</v>
      </c>
      <c r="M2027" t="s">
        <v>810</v>
      </c>
      <c r="N2027" t="s">
        <v>811</v>
      </c>
      <c r="O2027" t="s">
        <v>883</v>
      </c>
      <c r="P2027" t="s">
        <v>884</v>
      </c>
      <c r="Q2027" t="s">
        <v>6565</v>
      </c>
      <c r="R2027" t="s">
        <v>6566</v>
      </c>
      <c r="S2027" t="s">
        <v>803</v>
      </c>
      <c r="T2027" t="s">
        <v>550</v>
      </c>
      <c r="U2027" t="s">
        <v>550</v>
      </c>
      <c r="V2027" t="s">
        <v>7668</v>
      </c>
      <c r="W2027" t="s">
        <v>7092</v>
      </c>
      <c r="X2027" t="s">
        <v>809</v>
      </c>
      <c r="Y2027" t="s">
        <v>803</v>
      </c>
      <c r="Z2027" t="s">
        <v>7666</v>
      </c>
    </row>
    <row r="2028" spans="1:26" x14ac:dyDescent="0.3">
      <c r="A2028" t="s">
        <v>330</v>
      </c>
      <c r="B2028" t="s">
        <v>7669</v>
      </c>
      <c r="C2028" t="s">
        <v>7670</v>
      </c>
      <c r="D2028" t="s">
        <v>550</v>
      </c>
      <c r="E2028" t="s">
        <v>7088</v>
      </c>
      <c r="F2028" t="s">
        <v>7089</v>
      </c>
      <c r="G2028" s="1">
        <v>44378</v>
      </c>
      <c r="H2028" s="1">
        <v>44434</v>
      </c>
      <c r="I2028" t="s">
        <v>665</v>
      </c>
      <c r="J2028" t="s">
        <v>7090</v>
      </c>
      <c r="K2028" t="s">
        <v>958</v>
      </c>
      <c r="L2028" t="s">
        <v>809</v>
      </c>
      <c r="M2028" t="s">
        <v>810</v>
      </c>
      <c r="N2028" t="s">
        <v>811</v>
      </c>
      <c r="O2028" t="s">
        <v>883</v>
      </c>
      <c r="P2028" t="s">
        <v>884</v>
      </c>
      <c r="Q2028" t="s">
        <v>6565</v>
      </c>
      <c r="R2028" t="s">
        <v>6566</v>
      </c>
      <c r="S2028" t="s">
        <v>803</v>
      </c>
      <c r="T2028" t="s">
        <v>550</v>
      </c>
      <c r="U2028" t="s">
        <v>550</v>
      </c>
      <c r="V2028" t="s">
        <v>7671</v>
      </c>
      <c r="W2028" t="s">
        <v>7092</v>
      </c>
      <c r="X2028" t="s">
        <v>809</v>
      </c>
      <c r="Y2028" t="s">
        <v>803</v>
      </c>
      <c r="Z2028" t="s">
        <v>7669</v>
      </c>
    </row>
    <row r="2029" spans="1:26" x14ac:dyDescent="0.3">
      <c r="A2029" t="s">
        <v>330</v>
      </c>
      <c r="B2029" t="s">
        <v>7672</v>
      </c>
      <c r="C2029" t="s">
        <v>7673</v>
      </c>
      <c r="D2029" t="s">
        <v>7674</v>
      </c>
      <c r="E2029" t="s">
        <v>6417</v>
      </c>
      <c r="F2029" t="s">
        <v>1040</v>
      </c>
      <c r="G2029" s="1">
        <v>45201</v>
      </c>
      <c r="H2029" s="1">
        <v>45225</v>
      </c>
      <c r="I2029" t="s">
        <v>665</v>
      </c>
      <c r="J2029" t="s">
        <v>6418</v>
      </c>
      <c r="K2029" t="s">
        <v>958</v>
      </c>
      <c r="L2029" t="s">
        <v>6502</v>
      </c>
      <c r="M2029" t="s">
        <v>5783</v>
      </c>
      <c r="N2029" t="s">
        <v>5784</v>
      </c>
      <c r="O2029" t="s">
        <v>6961</v>
      </c>
      <c r="P2029" t="s">
        <v>6962</v>
      </c>
      <c r="Q2029" t="s">
        <v>6565</v>
      </c>
      <c r="R2029" t="s">
        <v>6566</v>
      </c>
      <c r="S2029" t="s">
        <v>7675</v>
      </c>
      <c r="T2029" t="s">
        <v>550</v>
      </c>
      <c r="U2029" t="s">
        <v>550</v>
      </c>
      <c r="V2029" t="s">
        <v>7676</v>
      </c>
      <c r="W2029" t="s">
        <v>6972</v>
      </c>
      <c r="X2029" t="s">
        <v>6451</v>
      </c>
      <c r="Y2029" t="s">
        <v>6452</v>
      </c>
      <c r="Z2029" t="s">
        <v>7672</v>
      </c>
    </row>
    <row r="2030" spans="1:26" x14ac:dyDescent="0.3">
      <c r="A2030" t="s">
        <v>330</v>
      </c>
      <c r="B2030" t="s">
        <v>7677</v>
      </c>
      <c r="C2030" t="s">
        <v>6996</v>
      </c>
      <c r="D2030" t="s">
        <v>7367</v>
      </c>
      <c r="E2030" t="s">
        <v>6417</v>
      </c>
      <c r="F2030" t="s">
        <v>1040</v>
      </c>
      <c r="G2030" s="1">
        <v>44197</v>
      </c>
      <c r="H2030" s="1">
        <v>44197</v>
      </c>
      <c r="I2030" t="s">
        <v>665</v>
      </c>
      <c r="J2030" t="s">
        <v>6418</v>
      </c>
      <c r="K2030" t="s">
        <v>958</v>
      </c>
      <c r="L2030" t="s">
        <v>6419</v>
      </c>
      <c r="M2030" t="s">
        <v>6968</v>
      </c>
      <c r="N2030" t="s">
        <v>6969</v>
      </c>
      <c r="O2030" t="s">
        <v>6961</v>
      </c>
      <c r="P2030" t="s">
        <v>6962</v>
      </c>
      <c r="Q2030" t="s">
        <v>6565</v>
      </c>
      <c r="R2030" t="s">
        <v>6566</v>
      </c>
      <c r="S2030" t="s">
        <v>7368</v>
      </c>
      <c r="T2030" t="s">
        <v>550</v>
      </c>
      <c r="U2030" t="s">
        <v>550</v>
      </c>
      <c r="V2030" t="s">
        <v>7678</v>
      </c>
      <c r="W2030" t="s">
        <v>6988</v>
      </c>
      <c r="X2030" t="s">
        <v>6451</v>
      </c>
      <c r="Y2030" t="s">
        <v>6452</v>
      </c>
      <c r="Z2030" t="s">
        <v>7677</v>
      </c>
    </row>
    <row r="2031" spans="1:26" x14ac:dyDescent="0.3">
      <c r="A2031" t="s">
        <v>330</v>
      </c>
      <c r="B2031" t="s">
        <v>7679</v>
      </c>
      <c r="C2031" t="s">
        <v>6999</v>
      </c>
      <c r="D2031" t="s">
        <v>7677</v>
      </c>
      <c r="E2031" t="s">
        <v>6417</v>
      </c>
      <c r="F2031" t="s">
        <v>1040</v>
      </c>
      <c r="G2031" s="1">
        <v>44197</v>
      </c>
      <c r="H2031" s="1">
        <v>44363</v>
      </c>
      <c r="I2031" t="s">
        <v>665</v>
      </c>
      <c r="J2031" t="s">
        <v>6418</v>
      </c>
      <c r="K2031" t="s">
        <v>958</v>
      </c>
      <c r="L2031" t="s">
        <v>6419</v>
      </c>
      <c r="M2031" t="s">
        <v>6968</v>
      </c>
      <c r="N2031" t="s">
        <v>6969</v>
      </c>
      <c r="O2031" t="s">
        <v>6961</v>
      </c>
      <c r="P2031" t="s">
        <v>6962</v>
      </c>
      <c r="Q2031" t="s">
        <v>6565</v>
      </c>
      <c r="R2031" t="s">
        <v>6566</v>
      </c>
      <c r="S2031" t="s">
        <v>7368</v>
      </c>
      <c r="T2031" t="s">
        <v>550</v>
      </c>
      <c r="U2031" t="s">
        <v>550</v>
      </c>
      <c r="V2031" t="s">
        <v>7680</v>
      </c>
      <c r="W2031" t="s">
        <v>6988</v>
      </c>
      <c r="X2031" t="s">
        <v>6451</v>
      </c>
      <c r="Y2031" t="s">
        <v>6452</v>
      </c>
      <c r="Z2031" t="s">
        <v>7679</v>
      </c>
    </row>
    <row r="2032" spans="1:26" x14ac:dyDescent="0.3">
      <c r="A2032" t="s">
        <v>330</v>
      </c>
      <c r="B2032" t="s">
        <v>7681</v>
      </c>
      <c r="C2032" t="s">
        <v>7002</v>
      </c>
      <c r="D2032" t="s">
        <v>7677</v>
      </c>
      <c r="E2032" t="s">
        <v>6417</v>
      </c>
      <c r="F2032" t="s">
        <v>1040</v>
      </c>
      <c r="G2032" s="1">
        <v>44197</v>
      </c>
      <c r="H2032" s="1">
        <v>44355</v>
      </c>
      <c r="I2032" t="s">
        <v>665</v>
      </c>
      <c r="J2032" t="s">
        <v>6418</v>
      </c>
      <c r="K2032" t="s">
        <v>958</v>
      </c>
      <c r="L2032" t="s">
        <v>6419</v>
      </c>
      <c r="M2032" t="s">
        <v>6968</v>
      </c>
      <c r="N2032" t="s">
        <v>6969</v>
      </c>
      <c r="O2032" t="s">
        <v>6961</v>
      </c>
      <c r="P2032" t="s">
        <v>6962</v>
      </c>
      <c r="Q2032" t="s">
        <v>6565</v>
      </c>
      <c r="R2032" t="s">
        <v>6566</v>
      </c>
      <c r="S2032" t="s">
        <v>7368</v>
      </c>
      <c r="T2032" t="s">
        <v>550</v>
      </c>
      <c r="U2032" t="s">
        <v>550</v>
      </c>
      <c r="V2032" t="s">
        <v>7682</v>
      </c>
      <c r="W2032" t="s">
        <v>6988</v>
      </c>
      <c r="X2032" t="s">
        <v>6451</v>
      </c>
      <c r="Y2032" t="s">
        <v>6452</v>
      </c>
      <c r="Z2032" t="s">
        <v>7681</v>
      </c>
    </row>
    <row r="2033" spans="1:26" x14ac:dyDescent="0.3">
      <c r="A2033" t="s">
        <v>330</v>
      </c>
      <c r="B2033" t="s">
        <v>7413</v>
      </c>
      <c r="C2033" t="s">
        <v>7683</v>
      </c>
      <c r="D2033" t="s">
        <v>550</v>
      </c>
      <c r="E2033" t="s">
        <v>6417</v>
      </c>
      <c r="F2033" t="s">
        <v>1040</v>
      </c>
      <c r="G2033" s="1">
        <v>44197</v>
      </c>
      <c r="H2033" s="1">
        <v>44197</v>
      </c>
      <c r="I2033" t="s">
        <v>665</v>
      </c>
      <c r="J2033" t="s">
        <v>6418</v>
      </c>
      <c r="K2033" t="s">
        <v>958</v>
      </c>
      <c r="L2033" t="s">
        <v>6502</v>
      </c>
      <c r="M2033" t="s">
        <v>6968</v>
      </c>
      <c r="N2033" t="s">
        <v>6969</v>
      </c>
      <c r="O2033" t="s">
        <v>6961</v>
      </c>
      <c r="P2033" t="s">
        <v>6962</v>
      </c>
      <c r="Q2033" t="s">
        <v>6565</v>
      </c>
      <c r="R2033" t="s">
        <v>6566</v>
      </c>
      <c r="S2033" t="s">
        <v>7414</v>
      </c>
      <c r="T2033" t="s">
        <v>550</v>
      </c>
      <c r="U2033" t="s">
        <v>550</v>
      </c>
      <c r="V2033" t="s">
        <v>7684</v>
      </c>
      <c r="W2033" t="s">
        <v>6972</v>
      </c>
      <c r="X2033" t="s">
        <v>6451</v>
      </c>
      <c r="Y2033" t="s">
        <v>6452</v>
      </c>
      <c r="Z2033" t="s">
        <v>7413</v>
      </c>
    </row>
    <row r="2034" spans="1:26" x14ac:dyDescent="0.3">
      <c r="A2034" t="s">
        <v>330</v>
      </c>
      <c r="B2034" t="s">
        <v>7685</v>
      </c>
      <c r="C2034" t="s">
        <v>7686</v>
      </c>
      <c r="D2034" t="s">
        <v>7413</v>
      </c>
      <c r="E2034" t="s">
        <v>6417</v>
      </c>
      <c r="F2034" t="s">
        <v>1040</v>
      </c>
      <c r="G2034" s="1">
        <v>44197</v>
      </c>
      <c r="H2034" s="1">
        <v>44675</v>
      </c>
      <c r="I2034" t="s">
        <v>665</v>
      </c>
      <c r="J2034" t="s">
        <v>6418</v>
      </c>
      <c r="K2034" t="s">
        <v>958</v>
      </c>
      <c r="L2034" t="s">
        <v>6502</v>
      </c>
      <c r="M2034" t="s">
        <v>6968</v>
      </c>
      <c r="N2034" t="s">
        <v>6969</v>
      </c>
      <c r="O2034" t="s">
        <v>6961</v>
      </c>
      <c r="P2034" t="s">
        <v>6962</v>
      </c>
      <c r="Q2034" t="s">
        <v>6565</v>
      </c>
      <c r="R2034" t="s">
        <v>6566</v>
      </c>
      <c r="S2034" t="s">
        <v>7414</v>
      </c>
      <c r="T2034" t="s">
        <v>550</v>
      </c>
      <c r="U2034" t="s">
        <v>550</v>
      </c>
      <c r="V2034" t="s">
        <v>7687</v>
      </c>
      <c r="W2034" t="s">
        <v>6972</v>
      </c>
      <c r="X2034" t="s">
        <v>6451</v>
      </c>
      <c r="Y2034" t="s">
        <v>6452</v>
      </c>
      <c r="Z2034" t="s">
        <v>7685</v>
      </c>
    </row>
    <row r="2035" spans="1:26" x14ac:dyDescent="0.3">
      <c r="A2035" t="s">
        <v>330</v>
      </c>
      <c r="B2035" t="s">
        <v>7688</v>
      </c>
      <c r="C2035" t="s">
        <v>7689</v>
      </c>
      <c r="D2035" t="s">
        <v>7413</v>
      </c>
      <c r="E2035" t="s">
        <v>6417</v>
      </c>
      <c r="F2035" t="s">
        <v>1040</v>
      </c>
      <c r="G2035" s="1">
        <v>44197</v>
      </c>
      <c r="H2035" s="1">
        <v>44207</v>
      </c>
      <c r="I2035" t="s">
        <v>665</v>
      </c>
      <c r="J2035" t="s">
        <v>6418</v>
      </c>
      <c r="K2035" t="s">
        <v>958</v>
      </c>
      <c r="L2035" t="s">
        <v>6502</v>
      </c>
      <c r="M2035" t="s">
        <v>6968</v>
      </c>
      <c r="N2035" t="s">
        <v>6969</v>
      </c>
      <c r="O2035" t="s">
        <v>6961</v>
      </c>
      <c r="P2035" t="s">
        <v>6962</v>
      </c>
      <c r="Q2035" t="s">
        <v>6565</v>
      </c>
      <c r="R2035" t="s">
        <v>6566</v>
      </c>
      <c r="S2035" t="s">
        <v>7414</v>
      </c>
      <c r="T2035" t="s">
        <v>550</v>
      </c>
      <c r="U2035" t="s">
        <v>550</v>
      </c>
      <c r="V2035" t="s">
        <v>7690</v>
      </c>
      <c r="W2035" t="s">
        <v>6972</v>
      </c>
      <c r="X2035" t="s">
        <v>6451</v>
      </c>
      <c r="Y2035" t="s">
        <v>6452</v>
      </c>
      <c r="Z2035" t="s">
        <v>7688</v>
      </c>
    </row>
    <row r="2036" spans="1:26" x14ac:dyDescent="0.3">
      <c r="A2036" t="s">
        <v>330</v>
      </c>
      <c r="B2036" t="s">
        <v>7691</v>
      </c>
      <c r="C2036" t="s">
        <v>7692</v>
      </c>
      <c r="D2036" t="s">
        <v>6967</v>
      </c>
      <c r="E2036" t="s">
        <v>6417</v>
      </c>
      <c r="F2036" t="s">
        <v>1040</v>
      </c>
      <c r="G2036" s="1">
        <v>45292</v>
      </c>
      <c r="H2036" s="1">
        <v>45386</v>
      </c>
      <c r="I2036" t="s">
        <v>665</v>
      </c>
      <c r="J2036" t="s">
        <v>6418</v>
      </c>
      <c r="K2036" t="s">
        <v>958</v>
      </c>
      <c r="L2036" t="s">
        <v>6502</v>
      </c>
      <c r="M2036" t="s">
        <v>6968</v>
      </c>
      <c r="N2036" t="s">
        <v>6969</v>
      </c>
      <c r="O2036" t="s">
        <v>6961</v>
      </c>
      <c r="P2036" t="s">
        <v>6962</v>
      </c>
      <c r="Q2036" t="s">
        <v>6565</v>
      </c>
      <c r="R2036" t="s">
        <v>6566</v>
      </c>
      <c r="S2036" t="s">
        <v>7693</v>
      </c>
      <c r="T2036" t="s">
        <v>550</v>
      </c>
      <c r="U2036" t="s">
        <v>550</v>
      </c>
      <c r="V2036" t="s">
        <v>7694</v>
      </c>
      <c r="W2036" t="s">
        <v>6450</v>
      </c>
      <c r="X2036" t="s">
        <v>7695</v>
      </c>
      <c r="Z2036" t="s">
        <v>7691</v>
      </c>
    </row>
    <row r="2037" spans="1:26" x14ac:dyDescent="0.3">
      <c r="A2037" t="s">
        <v>330</v>
      </c>
      <c r="B2037" t="s">
        <v>7696</v>
      </c>
      <c r="C2037" t="s">
        <v>7697</v>
      </c>
      <c r="D2037" t="s">
        <v>7698</v>
      </c>
      <c r="E2037" t="s">
        <v>6417</v>
      </c>
      <c r="F2037" t="s">
        <v>1040</v>
      </c>
      <c r="G2037" s="1">
        <v>44197</v>
      </c>
      <c r="H2037" s="1">
        <v>44197</v>
      </c>
      <c r="I2037" t="s">
        <v>665</v>
      </c>
      <c r="J2037" t="s">
        <v>6418</v>
      </c>
      <c r="K2037" t="s">
        <v>958</v>
      </c>
      <c r="L2037" t="s">
        <v>6419</v>
      </c>
      <c r="M2037" t="s">
        <v>6968</v>
      </c>
      <c r="N2037" t="s">
        <v>6969</v>
      </c>
      <c r="O2037" t="s">
        <v>6961</v>
      </c>
      <c r="P2037" t="s">
        <v>6962</v>
      </c>
      <c r="Q2037" t="s">
        <v>6565</v>
      </c>
      <c r="R2037" t="s">
        <v>6566</v>
      </c>
      <c r="S2037" t="s">
        <v>7169</v>
      </c>
      <c r="T2037" t="s">
        <v>550</v>
      </c>
      <c r="U2037" t="s">
        <v>550</v>
      </c>
      <c r="V2037" t="s">
        <v>7699</v>
      </c>
      <c r="W2037" t="s">
        <v>6972</v>
      </c>
      <c r="X2037" t="s">
        <v>6451</v>
      </c>
      <c r="Y2037" t="s">
        <v>6452</v>
      </c>
      <c r="Z2037" t="s">
        <v>7696</v>
      </c>
    </row>
    <row r="2038" spans="1:26" x14ac:dyDescent="0.3">
      <c r="A2038" t="s">
        <v>330</v>
      </c>
      <c r="B2038" t="s">
        <v>7700</v>
      </c>
      <c r="C2038" t="s">
        <v>6552</v>
      </c>
      <c r="D2038" t="s">
        <v>7168</v>
      </c>
      <c r="E2038" t="s">
        <v>6417</v>
      </c>
      <c r="F2038" t="s">
        <v>1040</v>
      </c>
      <c r="G2038" s="1">
        <v>44197</v>
      </c>
      <c r="H2038" s="1">
        <v>44242</v>
      </c>
      <c r="I2038" t="s">
        <v>665</v>
      </c>
      <c r="J2038" t="s">
        <v>6418</v>
      </c>
      <c r="K2038" t="s">
        <v>958</v>
      </c>
      <c r="L2038" t="s">
        <v>6419</v>
      </c>
      <c r="M2038" t="s">
        <v>6968</v>
      </c>
      <c r="N2038" t="s">
        <v>6969</v>
      </c>
      <c r="O2038" t="s">
        <v>6961</v>
      </c>
      <c r="P2038" t="s">
        <v>6962</v>
      </c>
      <c r="Q2038" t="s">
        <v>6565</v>
      </c>
      <c r="R2038" t="s">
        <v>6566</v>
      </c>
      <c r="S2038" t="s">
        <v>7169</v>
      </c>
      <c r="T2038" t="s">
        <v>550</v>
      </c>
      <c r="U2038" t="s">
        <v>550</v>
      </c>
      <c r="V2038" t="s">
        <v>7701</v>
      </c>
      <c r="W2038" t="s">
        <v>6972</v>
      </c>
      <c r="X2038" t="s">
        <v>6451</v>
      </c>
      <c r="Y2038" t="s">
        <v>6452</v>
      </c>
      <c r="Z2038" t="s">
        <v>7700</v>
      </c>
    </row>
    <row r="2039" spans="1:26" x14ac:dyDescent="0.3">
      <c r="A2039" t="s">
        <v>330</v>
      </c>
      <c r="B2039" t="s">
        <v>7702</v>
      </c>
      <c r="C2039" t="s">
        <v>7405</v>
      </c>
      <c r="D2039" t="s">
        <v>7168</v>
      </c>
      <c r="E2039" t="s">
        <v>6417</v>
      </c>
      <c r="F2039" t="s">
        <v>1040</v>
      </c>
      <c r="G2039" s="1">
        <v>44197</v>
      </c>
      <c r="H2039" s="1">
        <v>45996</v>
      </c>
      <c r="I2039" t="s">
        <v>665</v>
      </c>
      <c r="J2039" t="s">
        <v>6418</v>
      </c>
      <c r="K2039" t="s">
        <v>958</v>
      </c>
      <c r="L2039" t="s">
        <v>6419</v>
      </c>
      <c r="M2039" t="s">
        <v>7703</v>
      </c>
      <c r="N2039" t="s">
        <v>7704</v>
      </c>
      <c r="O2039" t="s">
        <v>6961</v>
      </c>
      <c r="P2039" t="s">
        <v>6962</v>
      </c>
      <c r="Q2039" t="s">
        <v>6565</v>
      </c>
      <c r="R2039" t="s">
        <v>6566</v>
      </c>
      <c r="S2039" t="s">
        <v>7169</v>
      </c>
      <c r="T2039" t="s">
        <v>550</v>
      </c>
      <c r="U2039" t="s">
        <v>550</v>
      </c>
      <c r="V2039" t="s">
        <v>7705</v>
      </c>
      <c r="W2039" t="s">
        <v>7706</v>
      </c>
      <c r="X2039" t="s">
        <v>6451</v>
      </c>
      <c r="Y2039" t="s">
        <v>6452</v>
      </c>
      <c r="Z2039" t="s">
        <v>7702</v>
      </c>
    </row>
    <row r="2040" spans="1:26" x14ac:dyDescent="0.3">
      <c r="A2040" t="s">
        <v>330</v>
      </c>
      <c r="B2040" t="s">
        <v>7707</v>
      </c>
      <c r="C2040" t="s">
        <v>7708</v>
      </c>
      <c r="D2040" t="s">
        <v>7709</v>
      </c>
      <c r="E2040" t="s">
        <v>6417</v>
      </c>
      <c r="F2040" t="s">
        <v>1040</v>
      </c>
      <c r="G2040" s="1">
        <v>44915</v>
      </c>
      <c r="H2040" s="1">
        <v>44915</v>
      </c>
      <c r="I2040" t="s">
        <v>665</v>
      </c>
      <c r="J2040" t="s">
        <v>6418</v>
      </c>
      <c r="K2040" t="s">
        <v>958</v>
      </c>
      <c r="L2040" t="s">
        <v>6419</v>
      </c>
      <c r="M2040" t="s">
        <v>1324</v>
      </c>
      <c r="N2040" t="s">
        <v>1325</v>
      </c>
      <c r="O2040" t="s">
        <v>6961</v>
      </c>
      <c r="P2040" t="s">
        <v>6962</v>
      </c>
      <c r="Q2040" t="s">
        <v>6565</v>
      </c>
      <c r="R2040" t="s">
        <v>6566</v>
      </c>
      <c r="S2040" t="s">
        <v>7400</v>
      </c>
      <c r="T2040" t="s">
        <v>550</v>
      </c>
      <c r="U2040" t="s">
        <v>550</v>
      </c>
      <c r="V2040" t="s">
        <v>7710</v>
      </c>
      <c r="W2040" t="s">
        <v>6972</v>
      </c>
      <c r="X2040" t="s">
        <v>6451</v>
      </c>
      <c r="Y2040" t="s">
        <v>6452</v>
      </c>
      <c r="Z2040" t="s">
        <v>7707</v>
      </c>
    </row>
    <row r="2041" spans="1:26" x14ac:dyDescent="0.3">
      <c r="A2041" t="s">
        <v>330</v>
      </c>
      <c r="B2041" t="s">
        <v>7711</v>
      </c>
      <c r="C2041" t="s">
        <v>7712</v>
      </c>
      <c r="D2041" t="s">
        <v>7709</v>
      </c>
      <c r="E2041" t="s">
        <v>6417</v>
      </c>
      <c r="F2041" t="s">
        <v>1040</v>
      </c>
      <c r="G2041" s="1">
        <v>44915</v>
      </c>
      <c r="H2041" s="1">
        <v>44915</v>
      </c>
      <c r="I2041" t="s">
        <v>665</v>
      </c>
      <c r="J2041" t="s">
        <v>6418</v>
      </c>
      <c r="K2041" t="s">
        <v>958</v>
      </c>
      <c r="L2041" t="s">
        <v>6419</v>
      </c>
      <c r="M2041" t="s">
        <v>1324</v>
      </c>
      <c r="N2041" t="s">
        <v>1325</v>
      </c>
      <c r="O2041" t="s">
        <v>6961</v>
      </c>
      <c r="P2041" t="s">
        <v>6962</v>
      </c>
      <c r="Q2041" t="s">
        <v>6565</v>
      </c>
      <c r="R2041" t="s">
        <v>6566</v>
      </c>
      <c r="S2041" t="s">
        <v>7400</v>
      </c>
      <c r="T2041" t="s">
        <v>550</v>
      </c>
      <c r="U2041" t="s">
        <v>550</v>
      </c>
      <c r="V2041" t="s">
        <v>7713</v>
      </c>
      <c r="W2041" t="s">
        <v>6972</v>
      </c>
      <c r="X2041" t="s">
        <v>6451</v>
      </c>
      <c r="Y2041" t="s">
        <v>6452</v>
      </c>
      <c r="Z2041" t="s">
        <v>7711</v>
      </c>
    </row>
    <row r="2042" spans="1:26" x14ac:dyDescent="0.3">
      <c r="A2042" t="s">
        <v>330</v>
      </c>
      <c r="B2042" t="s">
        <v>7714</v>
      </c>
      <c r="C2042" t="s">
        <v>7715</v>
      </c>
      <c r="D2042" t="s">
        <v>550</v>
      </c>
      <c r="E2042" t="s">
        <v>6417</v>
      </c>
      <c r="F2042" t="s">
        <v>1040</v>
      </c>
      <c r="G2042" s="1">
        <v>45292</v>
      </c>
      <c r="H2042" s="1">
        <v>45308</v>
      </c>
      <c r="I2042" t="s">
        <v>665</v>
      </c>
      <c r="J2042" t="s">
        <v>6418</v>
      </c>
      <c r="K2042" t="s">
        <v>958</v>
      </c>
      <c r="L2042" t="s">
        <v>6502</v>
      </c>
      <c r="M2042" t="s">
        <v>1324</v>
      </c>
      <c r="N2042" t="s">
        <v>1325</v>
      </c>
      <c r="O2042" t="s">
        <v>6961</v>
      </c>
      <c r="P2042" t="s">
        <v>6962</v>
      </c>
      <c r="Q2042" t="s">
        <v>6565</v>
      </c>
      <c r="R2042" t="s">
        <v>6566</v>
      </c>
      <c r="S2042" t="s">
        <v>7716</v>
      </c>
      <c r="T2042" t="s">
        <v>550</v>
      </c>
      <c r="U2042" t="s">
        <v>550</v>
      </c>
      <c r="V2042" t="s">
        <v>7717</v>
      </c>
      <c r="W2042" t="s">
        <v>6964</v>
      </c>
      <c r="X2042" t="s">
        <v>7718</v>
      </c>
      <c r="Z2042" t="s">
        <v>7714</v>
      </c>
    </row>
    <row r="2043" spans="1:26" x14ac:dyDescent="0.3">
      <c r="A2043" t="s">
        <v>330</v>
      </c>
      <c r="B2043" t="s">
        <v>7719</v>
      </c>
      <c r="C2043" t="s">
        <v>6999</v>
      </c>
      <c r="D2043" t="s">
        <v>7720</v>
      </c>
      <c r="E2043" t="s">
        <v>6417</v>
      </c>
      <c r="F2043" t="s">
        <v>1040</v>
      </c>
      <c r="G2043" s="1">
        <v>44562</v>
      </c>
      <c r="H2043" s="1">
        <v>44562</v>
      </c>
      <c r="I2043" t="s">
        <v>665</v>
      </c>
      <c r="J2043" t="s">
        <v>6418</v>
      </c>
      <c r="K2043" t="s">
        <v>958</v>
      </c>
      <c r="L2043" t="s">
        <v>6419</v>
      </c>
      <c r="M2043" t="s">
        <v>6984</v>
      </c>
      <c r="N2043" t="s">
        <v>6985</v>
      </c>
      <c r="O2043" t="s">
        <v>6961</v>
      </c>
      <c r="P2043" t="s">
        <v>6962</v>
      </c>
      <c r="Q2043" t="s">
        <v>6565</v>
      </c>
      <c r="R2043" t="s">
        <v>6566</v>
      </c>
      <c r="S2043" t="s">
        <v>7358</v>
      </c>
      <c r="T2043" t="s">
        <v>550</v>
      </c>
      <c r="U2043" t="s">
        <v>550</v>
      </c>
      <c r="V2043" t="s">
        <v>7359</v>
      </c>
      <c r="W2043" t="s">
        <v>6988</v>
      </c>
      <c r="X2043" t="s">
        <v>6451</v>
      </c>
      <c r="Y2043" t="s">
        <v>6452</v>
      </c>
      <c r="Z2043" t="s">
        <v>7357</v>
      </c>
    </row>
    <row r="2044" spans="1:26" x14ac:dyDescent="0.3">
      <c r="A2044" t="s">
        <v>330</v>
      </c>
      <c r="B2044" t="s">
        <v>7721</v>
      </c>
      <c r="C2044" t="s">
        <v>7722</v>
      </c>
      <c r="D2044" t="s">
        <v>7168</v>
      </c>
      <c r="E2044" t="s">
        <v>6417</v>
      </c>
      <c r="F2044" t="s">
        <v>1040</v>
      </c>
      <c r="G2044" s="1">
        <v>44197</v>
      </c>
      <c r="H2044" s="1">
        <v>44197</v>
      </c>
      <c r="I2044" t="s">
        <v>665</v>
      </c>
      <c r="J2044" t="s">
        <v>6418</v>
      </c>
      <c r="K2044" t="s">
        <v>958</v>
      </c>
      <c r="L2044" t="s">
        <v>6419</v>
      </c>
      <c r="M2044" t="s">
        <v>7443</v>
      </c>
      <c r="N2044" t="s">
        <v>7444</v>
      </c>
      <c r="O2044" t="s">
        <v>6961</v>
      </c>
      <c r="P2044" t="s">
        <v>6962</v>
      </c>
      <c r="Q2044" t="s">
        <v>6565</v>
      </c>
      <c r="R2044" t="s">
        <v>6566</v>
      </c>
      <c r="S2044" t="s">
        <v>7169</v>
      </c>
      <c r="T2044" t="s">
        <v>550</v>
      </c>
      <c r="U2044" t="s">
        <v>550</v>
      </c>
      <c r="V2044" t="s">
        <v>7723</v>
      </c>
      <c r="W2044" t="s">
        <v>6964</v>
      </c>
      <c r="X2044" t="s">
        <v>6451</v>
      </c>
      <c r="Y2044" t="s">
        <v>6452</v>
      </c>
      <c r="Z2044" t="s">
        <v>7721</v>
      </c>
    </row>
    <row r="2045" spans="1:26" x14ac:dyDescent="0.3">
      <c r="A2045" t="s">
        <v>330</v>
      </c>
      <c r="B2045" t="s">
        <v>7724</v>
      </c>
      <c r="C2045" t="s">
        <v>7725</v>
      </c>
      <c r="D2045" t="s">
        <v>7721</v>
      </c>
      <c r="E2045" t="s">
        <v>6417</v>
      </c>
      <c r="F2045" t="s">
        <v>1040</v>
      </c>
      <c r="G2045" s="1">
        <v>44197</v>
      </c>
      <c r="H2045" s="1">
        <v>45792</v>
      </c>
      <c r="I2045" t="s">
        <v>665</v>
      </c>
      <c r="J2045" t="s">
        <v>6418</v>
      </c>
      <c r="K2045" t="s">
        <v>958</v>
      </c>
      <c r="L2045" t="s">
        <v>6419</v>
      </c>
      <c r="M2045" t="s">
        <v>7443</v>
      </c>
      <c r="N2045" t="s">
        <v>7444</v>
      </c>
      <c r="O2045" t="s">
        <v>6961</v>
      </c>
      <c r="P2045" t="s">
        <v>6962</v>
      </c>
      <c r="Q2045" t="s">
        <v>6565</v>
      </c>
      <c r="R2045" t="s">
        <v>6566</v>
      </c>
      <c r="S2045" t="s">
        <v>7169</v>
      </c>
      <c r="T2045" t="s">
        <v>550</v>
      </c>
      <c r="U2045" t="s">
        <v>550</v>
      </c>
      <c r="V2045" t="s">
        <v>7726</v>
      </c>
      <c r="W2045" t="s">
        <v>6964</v>
      </c>
      <c r="X2045" t="s">
        <v>6451</v>
      </c>
      <c r="Y2045" t="s">
        <v>6452</v>
      </c>
      <c r="Z2045" t="s">
        <v>7724</v>
      </c>
    </row>
    <row r="2046" spans="1:26" x14ac:dyDescent="0.3">
      <c r="A2046" t="s">
        <v>330</v>
      </c>
      <c r="B2046" t="s">
        <v>7727</v>
      </c>
      <c r="C2046" t="s">
        <v>7728</v>
      </c>
      <c r="D2046" t="s">
        <v>7340</v>
      </c>
      <c r="E2046" t="s">
        <v>6417</v>
      </c>
      <c r="F2046" t="s">
        <v>1040</v>
      </c>
      <c r="G2046" s="1">
        <v>45203</v>
      </c>
      <c r="H2046" s="1">
        <v>45203</v>
      </c>
      <c r="I2046" t="s">
        <v>665</v>
      </c>
      <c r="J2046" t="s">
        <v>6418</v>
      </c>
      <c r="K2046" t="s">
        <v>958</v>
      </c>
      <c r="L2046" t="s">
        <v>6419</v>
      </c>
      <c r="M2046" t="s">
        <v>7040</v>
      </c>
      <c r="N2046" t="s">
        <v>7041</v>
      </c>
      <c r="O2046" t="s">
        <v>6961</v>
      </c>
      <c r="P2046" t="s">
        <v>6962</v>
      </c>
      <c r="Q2046" t="s">
        <v>6565</v>
      </c>
      <c r="R2046" t="s">
        <v>6566</v>
      </c>
      <c r="S2046" t="s">
        <v>6448</v>
      </c>
      <c r="T2046" t="s">
        <v>550</v>
      </c>
      <c r="U2046" t="s">
        <v>550</v>
      </c>
      <c r="V2046" t="s">
        <v>7729</v>
      </c>
      <c r="W2046" t="s">
        <v>6964</v>
      </c>
      <c r="X2046" t="s">
        <v>6451</v>
      </c>
      <c r="Y2046" t="s">
        <v>6452</v>
      </c>
      <c r="Z2046" t="s">
        <v>7727</v>
      </c>
    </row>
    <row r="2047" spans="1:26" x14ac:dyDescent="0.3">
      <c r="A2047" t="s">
        <v>330</v>
      </c>
      <c r="B2047" t="s">
        <v>7730</v>
      </c>
      <c r="C2047" t="s">
        <v>7007</v>
      </c>
      <c r="D2047" t="s">
        <v>7231</v>
      </c>
      <c r="E2047" t="s">
        <v>6417</v>
      </c>
      <c r="F2047" t="s">
        <v>1040</v>
      </c>
      <c r="G2047" s="1">
        <v>44562</v>
      </c>
      <c r="H2047" s="1">
        <v>44562</v>
      </c>
      <c r="I2047" t="s">
        <v>665</v>
      </c>
      <c r="J2047" t="s">
        <v>6418</v>
      </c>
      <c r="K2047" t="s">
        <v>958</v>
      </c>
      <c r="L2047" t="s">
        <v>6419</v>
      </c>
      <c r="M2047" t="s">
        <v>7040</v>
      </c>
      <c r="N2047" t="s">
        <v>7041</v>
      </c>
      <c r="O2047" t="s">
        <v>6961</v>
      </c>
      <c r="P2047" t="s">
        <v>6962</v>
      </c>
      <c r="Q2047" t="s">
        <v>6565</v>
      </c>
      <c r="R2047" t="s">
        <v>6566</v>
      </c>
      <c r="S2047" t="s">
        <v>7232</v>
      </c>
      <c r="T2047" t="s">
        <v>550</v>
      </c>
      <c r="U2047" t="s">
        <v>550</v>
      </c>
      <c r="V2047" t="s">
        <v>7731</v>
      </c>
      <c r="W2047" t="s">
        <v>6972</v>
      </c>
      <c r="X2047" t="s">
        <v>6451</v>
      </c>
      <c r="Y2047" t="s">
        <v>6452</v>
      </c>
      <c r="Z2047" t="s">
        <v>7730</v>
      </c>
    </row>
    <row r="2048" spans="1:26" x14ac:dyDescent="0.3">
      <c r="A2048" t="s">
        <v>330</v>
      </c>
      <c r="B2048" t="s">
        <v>7732</v>
      </c>
      <c r="C2048" t="s">
        <v>7733</v>
      </c>
      <c r="D2048" t="s">
        <v>7399</v>
      </c>
      <c r="E2048" t="s">
        <v>6417</v>
      </c>
      <c r="F2048" t="s">
        <v>1040</v>
      </c>
      <c r="G2048" s="1">
        <v>44652</v>
      </c>
      <c r="H2048" s="1">
        <v>45498</v>
      </c>
      <c r="I2048" t="s">
        <v>665</v>
      </c>
      <c r="J2048" t="s">
        <v>6418</v>
      </c>
      <c r="K2048" t="s">
        <v>958</v>
      </c>
      <c r="L2048" t="s">
        <v>6502</v>
      </c>
      <c r="M2048" t="s">
        <v>7040</v>
      </c>
      <c r="N2048" t="s">
        <v>7041</v>
      </c>
      <c r="O2048" t="s">
        <v>6961</v>
      </c>
      <c r="P2048" t="s">
        <v>6962</v>
      </c>
      <c r="Q2048" t="s">
        <v>6565</v>
      </c>
      <c r="R2048" t="s">
        <v>6566</v>
      </c>
      <c r="S2048" t="s">
        <v>7400</v>
      </c>
      <c r="T2048" t="s">
        <v>550</v>
      </c>
      <c r="U2048" t="s">
        <v>550</v>
      </c>
      <c r="V2048" t="s">
        <v>7734</v>
      </c>
      <c r="W2048" t="s">
        <v>6972</v>
      </c>
      <c r="X2048" t="s">
        <v>6451</v>
      </c>
      <c r="Y2048" t="s">
        <v>6452</v>
      </c>
      <c r="Z2048" t="s">
        <v>7732</v>
      </c>
    </row>
    <row r="2049" spans="1:26" x14ac:dyDescent="0.3">
      <c r="A2049" t="s">
        <v>330</v>
      </c>
      <c r="B2049" t="s">
        <v>7735</v>
      </c>
      <c r="C2049" t="s">
        <v>7736</v>
      </c>
      <c r="D2049" t="s">
        <v>7399</v>
      </c>
      <c r="E2049" t="s">
        <v>6417</v>
      </c>
      <c r="F2049" t="s">
        <v>1040</v>
      </c>
      <c r="G2049" s="1">
        <v>44652</v>
      </c>
      <c r="H2049" s="1">
        <v>45474</v>
      </c>
      <c r="I2049" t="s">
        <v>665</v>
      </c>
      <c r="J2049" t="s">
        <v>6418</v>
      </c>
      <c r="K2049" t="s">
        <v>958</v>
      </c>
      <c r="L2049" t="s">
        <v>6502</v>
      </c>
      <c r="M2049" t="s">
        <v>7040</v>
      </c>
      <c r="N2049" t="s">
        <v>7041</v>
      </c>
      <c r="O2049" t="s">
        <v>6961</v>
      </c>
      <c r="P2049" t="s">
        <v>6962</v>
      </c>
      <c r="Q2049" t="s">
        <v>6565</v>
      </c>
      <c r="R2049" t="s">
        <v>6566</v>
      </c>
      <c r="S2049" t="s">
        <v>7400</v>
      </c>
      <c r="T2049" t="s">
        <v>550</v>
      </c>
      <c r="U2049" t="s">
        <v>550</v>
      </c>
      <c r="V2049" t="s">
        <v>7737</v>
      </c>
      <c r="W2049" t="s">
        <v>6972</v>
      </c>
      <c r="X2049" t="s">
        <v>6451</v>
      </c>
      <c r="Y2049" t="s">
        <v>6452</v>
      </c>
      <c r="Z2049" t="s">
        <v>7735</v>
      </c>
    </row>
    <row r="2050" spans="1:26" x14ac:dyDescent="0.3">
      <c r="A2050" t="s">
        <v>330</v>
      </c>
      <c r="B2050" t="s">
        <v>7738</v>
      </c>
      <c r="C2050" t="s">
        <v>7007</v>
      </c>
      <c r="D2050" t="s">
        <v>7168</v>
      </c>
      <c r="E2050" t="s">
        <v>6417</v>
      </c>
      <c r="F2050" t="s">
        <v>1040</v>
      </c>
      <c r="G2050" s="1">
        <v>44197</v>
      </c>
      <c r="H2050" s="1">
        <v>44425</v>
      </c>
      <c r="I2050" t="s">
        <v>665</v>
      </c>
      <c r="J2050" t="s">
        <v>6418</v>
      </c>
      <c r="K2050" t="s">
        <v>958</v>
      </c>
      <c r="L2050" t="s">
        <v>6419</v>
      </c>
      <c r="M2050" t="s">
        <v>7040</v>
      </c>
      <c r="N2050" t="s">
        <v>7041</v>
      </c>
      <c r="O2050" t="s">
        <v>6961</v>
      </c>
      <c r="P2050" t="s">
        <v>6962</v>
      </c>
      <c r="Q2050" t="s">
        <v>6565</v>
      </c>
      <c r="R2050" t="s">
        <v>6566</v>
      </c>
      <c r="S2050" t="s">
        <v>7169</v>
      </c>
      <c r="T2050" t="s">
        <v>550</v>
      </c>
      <c r="U2050" t="s">
        <v>550</v>
      </c>
      <c r="V2050" t="s">
        <v>7739</v>
      </c>
      <c r="W2050" t="s">
        <v>6964</v>
      </c>
      <c r="X2050" t="s">
        <v>6451</v>
      </c>
      <c r="Y2050" t="s">
        <v>6452</v>
      </c>
      <c r="Z2050" t="s">
        <v>7738</v>
      </c>
    </row>
    <row r="2051" spans="1:26" x14ac:dyDescent="0.3">
      <c r="A2051" t="s">
        <v>330</v>
      </c>
      <c r="B2051" t="s">
        <v>7740</v>
      </c>
      <c r="C2051" t="s">
        <v>7741</v>
      </c>
      <c r="D2051" t="s">
        <v>7399</v>
      </c>
      <c r="E2051" t="s">
        <v>6417</v>
      </c>
      <c r="F2051" t="s">
        <v>1040</v>
      </c>
      <c r="G2051" s="1">
        <v>44928</v>
      </c>
      <c r="H2051" s="1">
        <v>45398</v>
      </c>
      <c r="I2051" t="s">
        <v>665</v>
      </c>
      <c r="J2051" t="s">
        <v>6418</v>
      </c>
      <c r="K2051" t="s">
        <v>958</v>
      </c>
      <c r="L2051" t="s">
        <v>6502</v>
      </c>
      <c r="M2051" t="s">
        <v>7040</v>
      </c>
      <c r="N2051" t="s">
        <v>7041</v>
      </c>
      <c r="O2051" t="s">
        <v>6961</v>
      </c>
      <c r="P2051" t="s">
        <v>6962</v>
      </c>
      <c r="Q2051" t="s">
        <v>6565</v>
      </c>
      <c r="R2051" t="s">
        <v>6566</v>
      </c>
      <c r="S2051" t="s">
        <v>7400</v>
      </c>
      <c r="T2051" t="s">
        <v>550</v>
      </c>
      <c r="U2051" t="s">
        <v>550</v>
      </c>
      <c r="V2051" t="s">
        <v>7742</v>
      </c>
      <c r="W2051" t="s">
        <v>6964</v>
      </c>
      <c r="X2051" t="s">
        <v>6451</v>
      </c>
      <c r="Y2051" t="s">
        <v>6452</v>
      </c>
      <c r="Z2051" t="s">
        <v>7740</v>
      </c>
    </row>
    <row r="2052" spans="1:26" x14ac:dyDescent="0.3">
      <c r="A2052" t="s">
        <v>330</v>
      </c>
      <c r="B2052" t="s">
        <v>7743</v>
      </c>
      <c r="C2052" t="s">
        <v>7744</v>
      </c>
      <c r="D2052" t="s">
        <v>7399</v>
      </c>
      <c r="E2052" t="s">
        <v>6417</v>
      </c>
      <c r="F2052" t="s">
        <v>1040</v>
      </c>
      <c r="G2052" s="1">
        <v>44928</v>
      </c>
      <c r="H2052" s="1">
        <v>44984</v>
      </c>
      <c r="I2052" t="s">
        <v>665</v>
      </c>
      <c r="J2052" t="s">
        <v>6418</v>
      </c>
      <c r="K2052" t="s">
        <v>958</v>
      </c>
      <c r="L2052" t="s">
        <v>6502</v>
      </c>
      <c r="M2052" t="s">
        <v>7040</v>
      </c>
      <c r="N2052" t="s">
        <v>7041</v>
      </c>
      <c r="O2052" t="s">
        <v>6961</v>
      </c>
      <c r="P2052" t="s">
        <v>6962</v>
      </c>
      <c r="Q2052" t="s">
        <v>6565</v>
      </c>
      <c r="R2052" t="s">
        <v>6566</v>
      </c>
      <c r="S2052" t="s">
        <v>7400</v>
      </c>
      <c r="T2052" t="s">
        <v>550</v>
      </c>
      <c r="U2052" t="s">
        <v>550</v>
      </c>
      <c r="V2052" t="s">
        <v>7745</v>
      </c>
      <c r="W2052" t="s">
        <v>6964</v>
      </c>
      <c r="X2052" t="s">
        <v>6451</v>
      </c>
      <c r="Y2052" t="s">
        <v>6452</v>
      </c>
      <c r="Z2052" t="s">
        <v>7743</v>
      </c>
    </row>
    <row r="2053" spans="1:26" x14ac:dyDescent="0.3">
      <c r="A2053" t="s">
        <v>330</v>
      </c>
      <c r="B2053" t="s">
        <v>7746</v>
      </c>
      <c r="C2053" t="s">
        <v>7375</v>
      </c>
      <c r="D2053" t="s">
        <v>7357</v>
      </c>
      <c r="E2053" t="s">
        <v>6417</v>
      </c>
      <c r="F2053" t="s">
        <v>1040</v>
      </c>
      <c r="G2053" s="1">
        <v>44562</v>
      </c>
      <c r="H2053" s="1">
        <v>44630</v>
      </c>
      <c r="I2053" t="s">
        <v>665</v>
      </c>
      <c r="J2053" t="s">
        <v>6418</v>
      </c>
      <c r="K2053" t="s">
        <v>958</v>
      </c>
      <c r="L2053" t="s">
        <v>6419</v>
      </c>
      <c r="M2053" t="s">
        <v>7040</v>
      </c>
      <c r="N2053" t="s">
        <v>7041</v>
      </c>
      <c r="O2053" t="s">
        <v>6961</v>
      </c>
      <c r="P2053" t="s">
        <v>6962</v>
      </c>
      <c r="Q2053" t="s">
        <v>6565</v>
      </c>
      <c r="R2053" t="s">
        <v>6566</v>
      </c>
      <c r="S2053" t="s">
        <v>7358</v>
      </c>
      <c r="T2053" t="s">
        <v>550</v>
      </c>
      <c r="U2053" t="s">
        <v>550</v>
      </c>
      <c r="V2053" t="s">
        <v>7359</v>
      </c>
      <c r="W2053" t="s">
        <v>6988</v>
      </c>
      <c r="X2053" t="s">
        <v>6451</v>
      </c>
      <c r="Y2053" t="s">
        <v>6452</v>
      </c>
      <c r="Z2053" t="s">
        <v>7357</v>
      </c>
    </row>
    <row r="2054" spans="1:26" x14ac:dyDescent="0.3">
      <c r="A2054" t="s">
        <v>330</v>
      </c>
      <c r="B2054" t="s">
        <v>7747</v>
      </c>
      <c r="C2054" t="s">
        <v>7375</v>
      </c>
      <c r="D2054" t="s">
        <v>6982</v>
      </c>
      <c r="E2054" t="s">
        <v>6417</v>
      </c>
      <c r="F2054" t="s">
        <v>1040</v>
      </c>
      <c r="G2054" s="1">
        <v>44928</v>
      </c>
      <c r="H2054" s="1">
        <v>44928</v>
      </c>
      <c r="I2054" t="s">
        <v>665</v>
      </c>
      <c r="J2054" t="s">
        <v>6418</v>
      </c>
      <c r="K2054" t="s">
        <v>958</v>
      </c>
      <c r="L2054" t="s">
        <v>6419</v>
      </c>
      <c r="M2054" t="s">
        <v>7040</v>
      </c>
      <c r="N2054" t="s">
        <v>7041</v>
      </c>
      <c r="O2054" t="s">
        <v>6961</v>
      </c>
      <c r="P2054" t="s">
        <v>6962</v>
      </c>
      <c r="Q2054" t="s">
        <v>6565</v>
      </c>
      <c r="R2054" t="s">
        <v>6566</v>
      </c>
      <c r="S2054" t="s">
        <v>6986</v>
      </c>
      <c r="T2054" t="s">
        <v>550</v>
      </c>
      <c r="U2054" t="s">
        <v>550</v>
      </c>
      <c r="V2054" t="s">
        <v>7748</v>
      </c>
      <c r="W2054" t="s">
        <v>6988</v>
      </c>
      <c r="X2054" t="s">
        <v>6451</v>
      </c>
      <c r="Y2054" t="s">
        <v>6452</v>
      </c>
      <c r="Z2054" t="s">
        <v>7747</v>
      </c>
    </row>
    <row r="2055" spans="1:26" x14ac:dyDescent="0.3">
      <c r="A2055" t="s">
        <v>330</v>
      </c>
      <c r="B2055" t="s">
        <v>7749</v>
      </c>
      <c r="C2055" t="s">
        <v>6490</v>
      </c>
      <c r="D2055" t="s">
        <v>7698</v>
      </c>
      <c r="E2055" t="s">
        <v>6417</v>
      </c>
      <c r="F2055" t="s">
        <v>1040</v>
      </c>
      <c r="G2055" s="1">
        <v>44197</v>
      </c>
      <c r="H2055" s="1">
        <v>44577</v>
      </c>
      <c r="I2055" t="s">
        <v>665</v>
      </c>
      <c r="J2055" t="s">
        <v>6418</v>
      </c>
      <c r="K2055" t="s">
        <v>958</v>
      </c>
      <c r="L2055" t="s">
        <v>6419</v>
      </c>
      <c r="M2055" t="s">
        <v>7750</v>
      </c>
      <c r="N2055" t="s">
        <v>7751</v>
      </c>
      <c r="O2055" t="s">
        <v>6961</v>
      </c>
      <c r="P2055" t="s">
        <v>6962</v>
      </c>
      <c r="Q2055" t="s">
        <v>6565</v>
      </c>
      <c r="R2055" t="s">
        <v>6566</v>
      </c>
      <c r="S2055" t="s">
        <v>7169</v>
      </c>
      <c r="T2055" t="s">
        <v>550</v>
      </c>
      <c r="U2055" t="s">
        <v>550</v>
      </c>
      <c r="V2055" t="s">
        <v>7752</v>
      </c>
      <c r="W2055" t="s">
        <v>6972</v>
      </c>
      <c r="X2055" t="s">
        <v>6451</v>
      </c>
      <c r="Y2055" t="s">
        <v>6452</v>
      </c>
      <c r="Z2055" t="s">
        <v>7749</v>
      </c>
    </row>
    <row r="2056" spans="1:26" x14ac:dyDescent="0.3">
      <c r="A2056" t="s">
        <v>330</v>
      </c>
      <c r="B2056" t="s">
        <v>7753</v>
      </c>
      <c r="C2056" t="s">
        <v>6490</v>
      </c>
      <c r="D2056" t="s">
        <v>7754</v>
      </c>
      <c r="E2056" t="s">
        <v>6417</v>
      </c>
      <c r="F2056" t="s">
        <v>1040</v>
      </c>
      <c r="G2056" s="1">
        <v>44562</v>
      </c>
      <c r="H2056" s="1">
        <v>44562</v>
      </c>
      <c r="I2056" t="s">
        <v>665</v>
      </c>
      <c r="J2056" t="s">
        <v>6418</v>
      </c>
      <c r="K2056" t="s">
        <v>958</v>
      </c>
      <c r="L2056" t="s">
        <v>6419</v>
      </c>
      <c r="M2056" t="s">
        <v>7750</v>
      </c>
      <c r="N2056" t="s">
        <v>7751</v>
      </c>
      <c r="O2056" t="s">
        <v>6961</v>
      </c>
      <c r="P2056" t="s">
        <v>6962</v>
      </c>
      <c r="Q2056" t="s">
        <v>6565</v>
      </c>
      <c r="R2056" t="s">
        <v>6566</v>
      </c>
      <c r="S2056" t="s">
        <v>7232</v>
      </c>
      <c r="T2056" t="s">
        <v>550</v>
      </c>
      <c r="U2056" t="s">
        <v>550</v>
      </c>
      <c r="V2056" t="s">
        <v>7755</v>
      </c>
      <c r="W2056" t="s">
        <v>6972</v>
      </c>
      <c r="X2056" t="s">
        <v>6451</v>
      </c>
      <c r="Y2056" t="s">
        <v>6452</v>
      </c>
      <c r="Z2056" t="s">
        <v>7753</v>
      </c>
    </row>
    <row r="2057" spans="1:26" x14ac:dyDescent="0.3">
      <c r="A2057" t="s">
        <v>330</v>
      </c>
      <c r="B2057" t="s">
        <v>7756</v>
      </c>
      <c r="C2057" t="s">
        <v>7230</v>
      </c>
      <c r="D2057" t="s">
        <v>7168</v>
      </c>
      <c r="E2057" t="s">
        <v>6417</v>
      </c>
      <c r="F2057" t="s">
        <v>1040</v>
      </c>
      <c r="G2057" s="1">
        <v>44197</v>
      </c>
      <c r="H2057" s="1">
        <v>46955</v>
      </c>
      <c r="I2057" t="s">
        <v>665</v>
      </c>
      <c r="J2057" t="s">
        <v>6418</v>
      </c>
      <c r="K2057" t="s">
        <v>958</v>
      </c>
      <c r="L2057" t="s">
        <v>6419</v>
      </c>
      <c r="M2057" t="s">
        <v>7073</v>
      </c>
      <c r="N2057" t="s">
        <v>7074</v>
      </c>
      <c r="O2057" t="s">
        <v>6961</v>
      </c>
      <c r="P2057" t="s">
        <v>6962</v>
      </c>
      <c r="Q2057" t="s">
        <v>6565</v>
      </c>
      <c r="R2057" t="s">
        <v>6566</v>
      </c>
      <c r="S2057" t="s">
        <v>7169</v>
      </c>
      <c r="T2057" t="s">
        <v>550</v>
      </c>
      <c r="U2057" t="s">
        <v>550</v>
      </c>
      <c r="V2057" t="s">
        <v>7757</v>
      </c>
      <c r="W2057" t="s">
        <v>7758</v>
      </c>
      <c r="X2057" t="s">
        <v>6451</v>
      </c>
      <c r="Y2057" t="s">
        <v>6452</v>
      </c>
      <c r="Z2057" t="s">
        <v>7756</v>
      </c>
    </row>
    <row r="2058" spans="1:26" x14ac:dyDescent="0.3">
      <c r="A2058" t="s">
        <v>330</v>
      </c>
      <c r="B2058" t="s">
        <v>7759</v>
      </c>
      <c r="C2058" t="s">
        <v>6483</v>
      </c>
      <c r="D2058" t="s">
        <v>7168</v>
      </c>
      <c r="E2058" t="s">
        <v>6417</v>
      </c>
      <c r="F2058" t="s">
        <v>1040</v>
      </c>
      <c r="G2058" s="1">
        <v>44197</v>
      </c>
      <c r="H2058" s="1">
        <v>44312</v>
      </c>
      <c r="I2058" t="s">
        <v>665</v>
      </c>
      <c r="J2058" t="s">
        <v>6418</v>
      </c>
      <c r="K2058" t="s">
        <v>958</v>
      </c>
      <c r="L2058" t="s">
        <v>6419</v>
      </c>
      <c r="M2058" t="s">
        <v>7073</v>
      </c>
      <c r="N2058" t="s">
        <v>7074</v>
      </c>
      <c r="O2058" t="s">
        <v>6961</v>
      </c>
      <c r="P2058" t="s">
        <v>6962</v>
      </c>
      <c r="Q2058" t="s">
        <v>6565</v>
      </c>
      <c r="R2058" t="s">
        <v>6566</v>
      </c>
      <c r="S2058" t="s">
        <v>7169</v>
      </c>
      <c r="T2058" t="s">
        <v>550</v>
      </c>
      <c r="U2058" t="s">
        <v>550</v>
      </c>
      <c r="V2058" t="s">
        <v>7760</v>
      </c>
      <c r="W2058" t="s">
        <v>7758</v>
      </c>
      <c r="X2058" t="s">
        <v>6451</v>
      </c>
      <c r="Y2058" t="s">
        <v>6452</v>
      </c>
      <c r="Z2058" t="s">
        <v>7759</v>
      </c>
    </row>
    <row r="2059" spans="1:26" x14ac:dyDescent="0.3">
      <c r="A2059" t="s">
        <v>330</v>
      </c>
      <c r="B2059" t="s">
        <v>7761</v>
      </c>
      <c r="C2059" t="s">
        <v>7762</v>
      </c>
      <c r="D2059" t="s">
        <v>6967</v>
      </c>
      <c r="E2059" t="s">
        <v>6417</v>
      </c>
      <c r="F2059" t="s">
        <v>1040</v>
      </c>
      <c r="G2059" s="1">
        <v>44562</v>
      </c>
      <c r="H2059" s="1">
        <v>44562</v>
      </c>
      <c r="I2059" t="s">
        <v>665</v>
      </c>
      <c r="J2059" t="s">
        <v>6418</v>
      </c>
      <c r="K2059" t="s">
        <v>958</v>
      </c>
      <c r="L2059" t="s">
        <v>6502</v>
      </c>
      <c r="M2059" t="s">
        <v>6565</v>
      </c>
      <c r="N2059" t="s">
        <v>6566</v>
      </c>
      <c r="O2059" t="s">
        <v>6961</v>
      </c>
      <c r="P2059" t="s">
        <v>6962</v>
      </c>
      <c r="Q2059" t="s">
        <v>6565</v>
      </c>
      <c r="R2059" t="s">
        <v>6566</v>
      </c>
      <c r="S2059" t="s">
        <v>7693</v>
      </c>
      <c r="T2059" t="s">
        <v>550</v>
      </c>
      <c r="U2059" t="s">
        <v>550</v>
      </c>
      <c r="V2059" t="s">
        <v>7763</v>
      </c>
      <c r="W2059" t="s">
        <v>6972</v>
      </c>
      <c r="X2059" t="s">
        <v>6451</v>
      </c>
      <c r="Y2059" t="s">
        <v>6452</v>
      </c>
      <c r="Z2059" t="s">
        <v>6967</v>
      </c>
    </row>
    <row r="2060" spans="1:26" x14ac:dyDescent="0.3">
      <c r="A2060" t="s">
        <v>330</v>
      </c>
      <c r="B2060" t="s">
        <v>7764</v>
      </c>
      <c r="C2060" t="s">
        <v>6552</v>
      </c>
      <c r="D2060" t="s">
        <v>7231</v>
      </c>
      <c r="E2060" t="s">
        <v>6417</v>
      </c>
      <c r="F2060" t="s">
        <v>1040</v>
      </c>
      <c r="G2060" s="1">
        <v>44562</v>
      </c>
      <c r="H2060" s="1">
        <v>44562</v>
      </c>
      <c r="I2060" t="s">
        <v>665</v>
      </c>
      <c r="J2060" t="s">
        <v>6418</v>
      </c>
      <c r="K2060" t="s">
        <v>958</v>
      </c>
      <c r="L2060" t="s">
        <v>6419</v>
      </c>
      <c r="M2060" t="s">
        <v>6565</v>
      </c>
      <c r="N2060" t="s">
        <v>6566</v>
      </c>
      <c r="O2060" t="s">
        <v>6961</v>
      </c>
      <c r="P2060" t="s">
        <v>6962</v>
      </c>
      <c r="Q2060" t="s">
        <v>6565</v>
      </c>
      <c r="R2060" t="s">
        <v>6566</v>
      </c>
      <c r="S2060" t="s">
        <v>7232</v>
      </c>
      <c r="T2060" t="s">
        <v>550</v>
      </c>
      <c r="U2060" t="s">
        <v>550</v>
      </c>
      <c r="V2060" t="s">
        <v>7765</v>
      </c>
      <c r="W2060" t="s">
        <v>6972</v>
      </c>
      <c r="X2060" t="s">
        <v>6451</v>
      </c>
      <c r="Y2060" t="s">
        <v>6452</v>
      </c>
      <c r="Z2060" t="s">
        <v>7764</v>
      </c>
    </row>
    <row r="2061" spans="1:26" x14ac:dyDescent="0.3">
      <c r="A2061" t="s">
        <v>330</v>
      </c>
      <c r="B2061" t="s">
        <v>7023</v>
      </c>
      <c r="C2061" t="s">
        <v>7766</v>
      </c>
      <c r="D2061" t="s">
        <v>550</v>
      </c>
      <c r="E2061" t="s">
        <v>6417</v>
      </c>
      <c r="F2061" t="s">
        <v>1040</v>
      </c>
      <c r="G2061" s="1">
        <v>44378</v>
      </c>
      <c r="H2061" s="1">
        <v>44378</v>
      </c>
      <c r="I2061" t="s">
        <v>665</v>
      </c>
      <c r="J2061" t="s">
        <v>6418</v>
      </c>
      <c r="K2061" t="s">
        <v>958</v>
      </c>
      <c r="L2061" t="s">
        <v>6502</v>
      </c>
      <c r="M2061" t="s">
        <v>6565</v>
      </c>
      <c r="N2061" t="s">
        <v>6566</v>
      </c>
      <c r="O2061" t="s">
        <v>6961</v>
      </c>
      <c r="P2061" t="s">
        <v>6962</v>
      </c>
      <c r="Q2061" t="s">
        <v>6565</v>
      </c>
      <c r="R2061" t="s">
        <v>6566</v>
      </c>
      <c r="S2061" t="s">
        <v>550</v>
      </c>
      <c r="T2061" t="s">
        <v>550</v>
      </c>
      <c r="U2061" t="s">
        <v>550</v>
      </c>
      <c r="V2061" t="s">
        <v>7767</v>
      </c>
      <c r="W2061" t="s">
        <v>6972</v>
      </c>
      <c r="X2061" t="s">
        <v>6451</v>
      </c>
      <c r="Y2061" t="s">
        <v>6452</v>
      </c>
      <c r="Z2061" t="s">
        <v>7023</v>
      </c>
    </row>
    <row r="2062" spans="1:26" x14ac:dyDescent="0.3">
      <c r="A2062" t="s">
        <v>330</v>
      </c>
      <c r="B2062" t="s">
        <v>7768</v>
      </c>
      <c r="C2062" t="s">
        <v>7769</v>
      </c>
      <c r="D2062" t="s">
        <v>7023</v>
      </c>
      <c r="E2062" t="s">
        <v>6417</v>
      </c>
      <c r="F2062" t="s">
        <v>1040</v>
      </c>
      <c r="G2062" s="1">
        <v>44378</v>
      </c>
      <c r="H2062" s="1">
        <v>44378</v>
      </c>
      <c r="I2062" t="s">
        <v>665</v>
      </c>
      <c r="J2062" t="s">
        <v>6418</v>
      </c>
      <c r="K2062" t="s">
        <v>958</v>
      </c>
      <c r="L2062" t="s">
        <v>6502</v>
      </c>
      <c r="M2062" t="s">
        <v>6565</v>
      </c>
      <c r="N2062" t="s">
        <v>6566</v>
      </c>
      <c r="O2062" t="s">
        <v>6961</v>
      </c>
      <c r="P2062" t="s">
        <v>6962</v>
      </c>
      <c r="Q2062" t="s">
        <v>6565</v>
      </c>
      <c r="R2062" t="s">
        <v>6566</v>
      </c>
      <c r="S2062" t="s">
        <v>7770</v>
      </c>
      <c r="T2062" t="s">
        <v>550</v>
      </c>
      <c r="U2062" t="s">
        <v>550</v>
      </c>
      <c r="V2062" t="s">
        <v>7771</v>
      </c>
      <c r="W2062" t="s">
        <v>6972</v>
      </c>
      <c r="X2062" t="s">
        <v>6451</v>
      </c>
      <c r="Y2062" t="s">
        <v>6452</v>
      </c>
      <c r="Z2062" t="s">
        <v>7768</v>
      </c>
    </row>
    <row r="2063" spans="1:26" x14ac:dyDescent="0.3">
      <c r="A2063" t="s">
        <v>330</v>
      </c>
      <c r="B2063" t="s">
        <v>7772</v>
      </c>
      <c r="C2063" t="s">
        <v>7773</v>
      </c>
      <c r="D2063" t="s">
        <v>7768</v>
      </c>
      <c r="E2063" t="s">
        <v>6417</v>
      </c>
      <c r="F2063" t="s">
        <v>1040</v>
      </c>
      <c r="G2063" s="1">
        <v>44378</v>
      </c>
      <c r="H2063" s="1">
        <v>44742</v>
      </c>
      <c r="I2063" t="s">
        <v>665</v>
      </c>
      <c r="J2063" t="s">
        <v>6418</v>
      </c>
      <c r="K2063" t="s">
        <v>958</v>
      </c>
      <c r="L2063" t="s">
        <v>6502</v>
      </c>
      <c r="M2063" t="s">
        <v>6565</v>
      </c>
      <c r="N2063" t="s">
        <v>6566</v>
      </c>
      <c r="O2063" t="s">
        <v>6961</v>
      </c>
      <c r="P2063" t="s">
        <v>6962</v>
      </c>
      <c r="Q2063" t="s">
        <v>6565</v>
      </c>
      <c r="R2063" t="s">
        <v>6566</v>
      </c>
      <c r="S2063" t="s">
        <v>7770</v>
      </c>
      <c r="T2063" t="s">
        <v>550</v>
      </c>
      <c r="U2063" t="s">
        <v>550</v>
      </c>
      <c r="V2063" t="s">
        <v>7774</v>
      </c>
      <c r="W2063" t="s">
        <v>6972</v>
      </c>
      <c r="X2063" t="s">
        <v>6451</v>
      </c>
      <c r="Y2063" t="s">
        <v>6452</v>
      </c>
      <c r="Z2063" t="s">
        <v>7772</v>
      </c>
    </row>
    <row r="2064" spans="1:26" x14ac:dyDescent="0.3">
      <c r="A2064" t="s">
        <v>330</v>
      </c>
      <c r="B2064" t="s">
        <v>7775</v>
      </c>
      <c r="C2064" t="s">
        <v>7412</v>
      </c>
      <c r="D2064" t="s">
        <v>7768</v>
      </c>
      <c r="E2064" t="s">
        <v>6417</v>
      </c>
      <c r="F2064" t="s">
        <v>1040</v>
      </c>
      <c r="G2064" s="1">
        <v>44378</v>
      </c>
      <c r="H2064" s="1">
        <v>44447</v>
      </c>
      <c r="I2064" t="s">
        <v>665</v>
      </c>
      <c r="J2064" t="s">
        <v>6418</v>
      </c>
      <c r="K2064" t="s">
        <v>958</v>
      </c>
      <c r="L2064" t="s">
        <v>6502</v>
      </c>
      <c r="M2064" t="s">
        <v>6565</v>
      </c>
      <c r="N2064" t="s">
        <v>6566</v>
      </c>
      <c r="O2064" t="s">
        <v>6961</v>
      </c>
      <c r="P2064" t="s">
        <v>6962</v>
      </c>
      <c r="Q2064" t="s">
        <v>6565</v>
      </c>
      <c r="R2064" t="s">
        <v>6566</v>
      </c>
      <c r="S2064" t="s">
        <v>7770</v>
      </c>
      <c r="T2064" t="s">
        <v>550</v>
      </c>
      <c r="U2064" t="s">
        <v>550</v>
      </c>
      <c r="V2064" t="s">
        <v>7776</v>
      </c>
      <c r="W2064" t="s">
        <v>6972</v>
      </c>
      <c r="X2064" t="s">
        <v>6451</v>
      </c>
      <c r="Y2064" t="s">
        <v>6452</v>
      </c>
      <c r="Z2064" t="s">
        <v>7775</v>
      </c>
    </row>
    <row r="2065" spans="1:26" x14ac:dyDescent="0.3">
      <c r="A2065" t="s">
        <v>330</v>
      </c>
      <c r="B2065" t="s">
        <v>7777</v>
      </c>
      <c r="C2065" t="s">
        <v>7778</v>
      </c>
      <c r="D2065" t="s">
        <v>7023</v>
      </c>
      <c r="E2065" t="s">
        <v>6417</v>
      </c>
      <c r="F2065" t="s">
        <v>1040</v>
      </c>
      <c r="G2065" s="1">
        <v>44562</v>
      </c>
      <c r="H2065" s="1">
        <v>44562</v>
      </c>
      <c r="I2065" t="s">
        <v>665</v>
      </c>
      <c r="J2065" t="s">
        <v>6418</v>
      </c>
      <c r="K2065" t="s">
        <v>958</v>
      </c>
      <c r="L2065" t="s">
        <v>6502</v>
      </c>
      <c r="M2065" t="s">
        <v>6565</v>
      </c>
      <c r="N2065" t="s">
        <v>6566</v>
      </c>
      <c r="O2065" t="s">
        <v>6961</v>
      </c>
      <c r="P2065" t="s">
        <v>6962</v>
      </c>
      <c r="Q2065" t="s">
        <v>6565</v>
      </c>
      <c r="R2065" t="s">
        <v>6566</v>
      </c>
      <c r="S2065" t="s">
        <v>7779</v>
      </c>
      <c r="T2065" t="s">
        <v>550</v>
      </c>
      <c r="U2065" t="s">
        <v>550</v>
      </c>
      <c r="V2065" t="s">
        <v>7780</v>
      </c>
      <c r="W2065" t="s">
        <v>6972</v>
      </c>
      <c r="X2065" t="s">
        <v>6451</v>
      </c>
      <c r="Y2065" t="s">
        <v>6452</v>
      </c>
      <c r="Z2065" t="s">
        <v>7777</v>
      </c>
    </row>
    <row r="2066" spans="1:26" x14ac:dyDescent="0.3">
      <c r="A2066" t="s">
        <v>330</v>
      </c>
      <c r="B2066" t="s">
        <v>7781</v>
      </c>
      <c r="C2066" t="s">
        <v>7412</v>
      </c>
      <c r="D2066" t="s">
        <v>7777</v>
      </c>
      <c r="E2066" t="s">
        <v>6417</v>
      </c>
      <c r="F2066" t="s">
        <v>1040</v>
      </c>
      <c r="G2066" s="1">
        <v>44562</v>
      </c>
      <c r="H2066" s="1">
        <v>44726</v>
      </c>
      <c r="I2066" t="s">
        <v>665</v>
      </c>
      <c r="J2066" t="s">
        <v>6418</v>
      </c>
      <c r="K2066" t="s">
        <v>958</v>
      </c>
      <c r="L2066" t="s">
        <v>6502</v>
      </c>
      <c r="M2066" t="s">
        <v>6565</v>
      </c>
      <c r="N2066" t="s">
        <v>6566</v>
      </c>
      <c r="O2066" t="s">
        <v>6961</v>
      </c>
      <c r="P2066" t="s">
        <v>6962</v>
      </c>
      <c r="Q2066" t="s">
        <v>6565</v>
      </c>
      <c r="R2066" t="s">
        <v>6566</v>
      </c>
      <c r="S2066" t="s">
        <v>7779</v>
      </c>
      <c r="T2066" t="s">
        <v>550</v>
      </c>
      <c r="U2066" t="s">
        <v>550</v>
      </c>
      <c r="V2066" t="s">
        <v>7780</v>
      </c>
      <c r="W2066" t="s">
        <v>6972</v>
      </c>
      <c r="X2066" t="s">
        <v>6451</v>
      </c>
      <c r="Y2066" t="s">
        <v>6452</v>
      </c>
      <c r="Z2066" t="s">
        <v>7777</v>
      </c>
    </row>
    <row r="2067" spans="1:26" x14ac:dyDescent="0.3">
      <c r="A2067" t="s">
        <v>330</v>
      </c>
      <c r="B2067" t="s">
        <v>7782</v>
      </c>
      <c r="C2067" t="s">
        <v>7689</v>
      </c>
      <c r="D2067" t="s">
        <v>7777</v>
      </c>
      <c r="E2067" t="s">
        <v>6417</v>
      </c>
      <c r="F2067" t="s">
        <v>1040</v>
      </c>
      <c r="G2067" s="1">
        <v>44562</v>
      </c>
      <c r="H2067" s="1">
        <v>44580</v>
      </c>
      <c r="I2067" t="s">
        <v>665</v>
      </c>
      <c r="J2067" t="s">
        <v>6418</v>
      </c>
      <c r="K2067" t="s">
        <v>958</v>
      </c>
      <c r="L2067" t="s">
        <v>6502</v>
      </c>
      <c r="M2067" t="s">
        <v>6565</v>
      </c>
      <c r="N2067" t="s">
        <v>6566</v>
      </c>
      <c r="O2067" t="s">
        <v>6961</v>
      </c>
      <c r="P2067" t="s">
        <v>6962</v>
      </c>
      <c r="Q2067" t="s">
        <v>6565</v>
      </c>
      <c r="R2067" t="s">
        <v>6566</v>
      </c>
      <c r="S2067" t="s">
        <v>7779</v>
      </c>
      <c r="T2067" t="s">
        <v>550</v>
      </c>
      <c r="U2067" t="s">
        <v>550</v>
      </c>
      <c r="V2067" t="s">
        <v>7780</v>
      </c>
      <c r="W2067" t="s">
        <v>6972</v>
      </c>
      <c r="X2067" t="s">
        <v>6451</v>
      </c>
      <c r="Y2067" t="s">
        <v>6452</v>
      </c>
      <c r="Z2067" t="s">
        <v>7777</v>
      </c>
    </row>
    <row r="2068" spans="1:26" x14ac:dyDescent="0.3">
      <c r="A2068" t="s">
        <v>330</v>
      </c>
      <c r="B2068" t="s">
        <v>7783</v>
      </c>
      <c r="C2068" t="s">
        <v>7027</v>
      </c>
      <c r="D2068" t="s">
        <v>7777</v>
      </c>
      <c r="E2068" t="s">
        <v>6417</v>
      </c>
      <c r="F2068" t="s">
        <v>1040</v>
      </c>
      <c r="G2068" s="1">
        <v>44562</v>
      </c>
      <c r="H2068" s="1">
        <v>45490</v>
      </c>
      <c r="I2068" t="s">
        <v>665</v>
      </c>
      <c r="J2068" t="s">
        <v>6418</v>
      </c>
      <c r="K2068" t="s">
        <v>958</v>
      </c>
      <c r="L2068" t="s">
        <v>6502</v>
      </c>
      <c r="M2068" t="s">
        <v>6565</v>
      </c>
      <c r="N2068" t="s">
        <v>6566</v>
      </c>
      <c r="O2068" t="s">
        <v>6961</v>
      </c>
      <c r="P2068" t="s">
        <v>6962</v>
      </c>
      <c r="Q2068" t="s">
        <v>6565</v>
      </c>
      <c r="R2068" t="s">
        <v>6566</v>
      </c>
      <c r="S2068" t="s">
        <v>7779</v>
      </c>
      <c r="T2068" t="s">
        <v>550</v>
      </c>
      <c r="U2068" t="s">
        <v>550</v>
      </c>
      <c r="V2068" t="s">
        <v>7784</v>
      </c>
      <c r="W2068" t="s">
        <v>6972</v>
      </c>
      <c r="X2068" t="s">
        <v>6451</v>
      </c>
      <c r="Y2068" t="s">
        <v>6452</v>
      </c>
      <c r="Z2068" t="s">
        <v>7783</v>
      </c>
    </row>
    <row r="2069" spans="1:26" x14ac:dyDescent="0.3">
      <c r="A2069" t="s">
        <v>330</v>
      </c>
      <c r="B2069" t="s">
        <v>7785</v>
      </c>
      <c r="C2069" t="s">
        <v>7032</v>
      </c>
      <c r="D2069" t="s">
        <v>7777</v>
      </c>
      <c r="E2069" t="s">
        <v>6417</v>
      </c>
      <c r="F2069" t="s">
        <v>1040</v>
      </c>
      <c r="G2069" s="1">
        <v>44564</v>
      </c>
      <c r="H2069" s="1">
        <v>44580</v>
      </c>
      <c r="I2069" t="s">
        <v>665</v>
      </c>
      <c r="J2069" t="s">
        <v>6418</v>
      </c>
      <c r="K2069" t="s">
        <v>958</v>
      </c>
      <c r="L2069" t="s">
        <v>6502</v>
      </c>
      <c r="M2069" t="s">
        <v>6565</v>
      </c>
      <c r="N2069" t="s">
        <v>6566</v>
      </c>
      <c r="O2069" t="s">
        <v>6961</v>
      </c>
      <c r="P2069" t="s">
        <v>6962</v>
      </c>
      <c r="Q2069" t="s">
        <v>6565</v>
      </c>
      <c r="R2069" t="s">
        <v>6566</v>
      </c>
      <c r="S2069" t="s">
        <v>7779</v>
      </c>
      <c r="T2069" t="s">
        <v>550</v>
      </c>
      <c r="U2069" t="s">
        <v>550</v>
      </c>
      <c r="V2069" t="s">
        <v>7786</v>
      </c>
      <c r="W2069" t="s">
        <v>6972</v>
      </c>
      <c r="X2069" t="s">
        <v>6451</v>
      </c>
      <c r="Y2069" t="s">
        <v>6452</v>
      </c>
      <c r="Z2069" t="s">
        <v>7785</v>
      </c>
    </row>
    <row r="2070" spans="1:26" x14ac:dyDescent="0.3">
      <c r="A2070" t="s">
        <v>330</v>
      </c>
      <c r="B2070" t="s">
        <v>7754</v>
      </c>
      <c r="C2070" t="s">
        <v>7009</v>
      </c>
      <c r="D2070" t="s">
        <v>7231</v>
      </c>
      <c r="E2070" t="s">
        <v>6417</v>
      </c>
      <c r="F2070" t="s">
        <v>1040</v>
      </c>
      <c r="G2070" s="1">
        <v>44562</v>
      </c>
      <c r="H2070" s="1">
        <v>44562</v>
      </c>
      <c r="I2070" t="s">
        <v>665</v>
      </c>
      <c r="J2070" t="s">
        <v>6418</v>
      </c>
      <c r="K2070" t="s">
        <v>958</v>
      </c>
      <c r="L2070" t="s">
        <v>6419</v>
      </c>
      <c r="M2070" t="s">
        <v>6565</v>
      </c>
      <c r="N2070" t="s">
        <v>6566</v>
      </c>
      <c r="O2070" t="s">
        <v>6961</v>
      </c>
      <c r="P2070" t="s">
        <v>6962</v>
      </c>
      <c r="Q2070" t="s">
        <v>6565</v>
      </c>
      <c r="R2070" t="s">
        <v>6566</v>
      </c>
      <c r="S2070" t="s">
        <v>7232</v>
      </c>
      <c r="T2070" t="s">
        <v>550</v>
      </c>
      <c r="U2070" t="s">
        <v>550</v>
      </c>
      <c r="V2070" t="s">
        <v>7787</v>
      </c>
      <c r="W2070" t="s">
        <v>6972</v>
      </c>
      <c r="X2070" t="s">
        <v>6451</v>
      </c>
      <c r="Y2070" t="s">
        <v>6452</v>
      </c>
      <c r="Z2070" t="s">
        <v>7754</v>
      </c>
    </row>
    <row r="2071" spans="1:26" x14ac:dyDescent="0.3">
      <c r="A2071" t="s">
        <v>330</v>
      </c>
      <c r="B2071" t="s">
        <v>7788</v>
      </c>
      <c r="C2071" t="s">
        <v>7009</v>
      </c>
      <c r="D2071" t="s">
        <v>7754</v>
      </c>
      <c r="E2071" t="s">
        <v>6417</v>
      </c>
      <c r="F2071" t="s">
        <v>1040</v>
      </c>
      <c r="G2071" s="1">
        <v>44562</v>
      </c>
      <c r="H2071" s="1">
        <v>45754</v>
      </c>
      <c r="I2071" t="s">
        <v>665</v>
      </c>
      <c r="J2071" t="s">
        <v>6418</v>
      </c>
      <c r="K2071" t="s">
        <v>958</v>
      </c>
      <c r="L2071" t="s">
        <v>6419</v>
      </c>
      <c r="M2071" t="s">
        <v>6565</v>
      </c>
      <c r="N2071" t="s">
        <v>6566</v>
      </c>
      <c r="O2071" t="s">
        <v>6961</v>
      </c>
      <c r="P2071" t="s">
        <v>6962</v>
      </c>
      <c r="Q2071" t="s">
        <v>6565</v>
      </c>
      <c r="R2071" t="s">
        <v>6566</v>
      </c>
      <c r="S2071" t="s">
        <v>7232</v>
      </c>
      <c r="T2071" t="s">
        <v>550</v>
      </c>
      <c r="U2071" t="s">
        <v>550</v>
      </c>
      <c r="V2071" t="s">
        <v>7789</v>
      </c>
      <c r="W2071" t="s">
        <v>6972</v>
      </c>
      <c r="X2071" t="s">
        <v>6451</v>
      </c>
      <c r="Y2071" t="s">
        <v>6452</v>
      </c>
      <c r="Z2071" t="s">
        <v>7788</v>
      </c>
    </row>
    <row r="2072" spans="1:26" x14ac:dyDescent="0.3">
      <c r="A2072" t="s">
        <v>330</v>
      </c>
      <c r="B2072" t="s">
        <v>7790</v>
      </c>
      <c r="C2072" t="s">
        <v>7002</v>
      </c>
      <c r="D2072" t="s">
        <v>7720</v>
      </c>
      <c r="E2072" t="s">
        <v>6417</v>
      </c>
      <c r="F2072" t="s">
        <v>1040</v>
      </c>
      <c r="G2072" s="1">
        <v>44562</v>
      </c>
      <c r="H2072" s="1">
        <v>44562</v>
      </c>
      <c r="I2072" t="s">
        <v>665</v>
      </c>
      <c r="J2072" t="s">
        <v>6418</v>
      </c>
      <c r="K2072" t="s">
        <v>958</v>
      </c>
      <c r="L2072" t="s">
        <v>6419</v>
      </c>
      <c r="M2072" t="s">
        <v>6565</v>
      </c>
      <c r="N2072" t="s">
        <v>6566</v>
      </c>
      <c r="O2072" t="s">
        <v>6961</v>
      </c>
      <c r="P2072" t="s">
        <v>6962</v>
      </c>
      <c r="Q2072" t="s">
        <v>6565</v>
      </c>
      <c r="R2072" t="s">
        <v>6566</v>
      </c>
      <c r="S2072" t="s">
        <v>7358</v>
      </c>
      <c r="T2072" t="s">
        <v>550</v>
      </c>
      <c r="U2072" t="s">
        <v>550</v>
      </c>
      <c r="V2072" t="s">
        <v>7359</v>
      </c>
      <c r="W2072" t="s">
        <v>6988</v>
      </c>
      <c r="X2072" t="s">
        <v>6451</v>
      </c>
      <c r="Y2072" t="s">
        <v>6452</v>
      </c>
      <c r="Z2072" t="s">
        <v>7357</v>
      </c>
    </row>
    <row r="2073" spans="1:26" x14ac:dyDescent="0.3">
      <c r="A2073" t="s">
        <v>330</v>
      </c>
      <c r="B2073" t="s">
        <v>7791</v>
      </c>
      <c r="C2073" t="s">
        <v>7375</v>
      </c>
      <c r="D2073" t="s">
        <v>7419</v>
      </c>
      <c r="E2073" t="s">
        <v>6417</v>
      </c>
      <c r="F2073" t="s">
        <v>1040</v>
      </c>
      <c r="G2073" s="1">
        <v>45292</v>
      </c>
      <c r="H2073" s="1">
        <v>45387</v>
      </c>
      <c r="I2073" t="s">
        <v>665</v>
      </c>
      <c r="J2073" t="s">
        <v>6418</v>
      </c>
      <c r="K2073" t="s">
        <v>958</v>
      </c>
      <c r="L2073" t="s">
        <v>6419</v>
      </c>
      <c r="M2073" t="s">
        <v>6565</v>
      </c>
      <c r="N2073" t="s">
        <v>6566</v>
      </c>
      <c r="O2073" t="s">
        <v>6961</v>
      </c>
      <c r="P2073" t="s">
        <v>6962</v>
      </c>
      <c r="Q2073" t="s">
        <v>6565</v>
      </c>
      <c r="R2073" t="s">
        <v>6566</v>
      </c>
      <c r="S2073" t="s">
        <v>7420</v>
      </c>
      <c r="T2073" t="s">
        <v>550</v>
      </c>
      <c r="U2073" t="s">
        <v>550</v>
      </c>
      <c r="V2073" t="s">
        <v>7792</v>
      </c>
      <c r="W2073" t="s">
        <v>6988</v>
      </c>
      <c r="X2073" t="s">
        <v>7422</v>
      </c>
      <c r="Z2073" t="s">
        <v>7791</v>
      </c>
    </row>
    <row r="2074" spans="1:26" x14ac:dyDescent="0.3">
      <c r="A2074" t="s">
        <v>330</v>
      </c>
      <c r="B2074" t="s">
        <v>7698</v>
      </c>
      <c r="C2074" t="s">
        <v>7009</v>
      </c>
      <c r="D2074" t="s">
        <v>7168</v>
      </c>
      <c r="E2074" t="s">
        <v>6417</v>
      </c>
      <c r="F2074" t="s">
        <v>1040</v>
      </c>
      <c r="G2074" s="1">
        <v>44197</v>
      </c>
      <c r="H2074" s="1">
        <v>44197</v>
      </c>
      <c r="I2074" t="s">
        <v>665</v>
      </c>
      <c r="J2074" t="s">
        <v>6418</v>
      </c>
      <c r="K2074" t="s">
        <v>958</v>
      </c>
      <c r="L2074" t="s">
        <v>6419</v>
      </c>
      <c r="M2074" t="s">
        <v>6565</v>
      </c>
      <c r="N2074" t="s">
        <v>6566</v>
      </c>
      <c r="O2074" t="s">
        <v>6961</v>
      </c>
      <c r="P2074" t="s">
        <v>6962</v>
      </c>
      <c r="Q2074" t="s">
        <v>6565</v>
      </c>
      <c r="R2074" t="s">
        <v>6566</v>
      </c>
      <c r="S2074" t="s">
        <v>7169</v>
      </c>
      <c r="T2074" t="s">
        <v>550</v>
      </c>
      <c r="U2074" t="s">
        <v>550</v>
      </c>
      <c r="V2074" t="s">
        <v>7793</v>
      </c>
      <c r="W2074" t="s">
        <v>6972</v>
      </c>
      <c r="X2074" t="s">
        <v>6451</v>
      </c>
      <c r="Y2074" t="s">
        <v>6452</v>
      </c>
      <c r="Z2074" t="s">
        <v>7698</v>
      </c>
    </row>
    <row r="2075" spans="1:26" x14ac:dyDescent="0.3">
      <c r="A2075" t="s">
        <v>330</v>
      </c>
      <c r="B2075" t="s">
        <v>7794</v>
      </c>
      <c r="C2075" t="s">
        <v>7009</v>
      </c>
      <c r="D2075" t="s">
        <v>7698</v>
      </c>
      <c r="E2075" t="s">
        <v>6417</v>
      </c>
      <c r="F2075" t="s">
        <v>1040</v>
      </c>
      <c r="G2075" s="1">
        <v>44197</v>
      </c>
      <c r="H2075" s="1">
        <v>45223</v>
      </c>
      <c r="I2075" t="s">
        <v>665</v>
      </c>
      <c r="J2075" t="s">
        <v>6418</v>
      </c>
      <c r="K2075" t="s">
        <v>958</v>
      </c>
      <c r="L2075" t="s">
        <v>6419</v>
      </c>
      <c r="M2075" t="s">
        <v>6565</v>
      </c>
      <c r="N2075" t="s">
        <v>6566</v>
      </c>
      <c r="O2075" t="s">
        <v>6961</v>
      </c>
      <c r="P2075" t="s">
        <v>6962</v>
      </c>
      <c r="Q2075" t="s">
        <v>6565</v>
      </c>
      <c r="R2075" t="s">
        <v>6566</v>
      </c>
      <c r="S2075" t="s">
        <v>7169</v>
      </c>
      <c r="T2075" t="s">
        <v>550</v>
      </c>
      <c r="U2075" t="s">
        <v>550</v>
      </c>
      <c r="V2075" t="s">
        <v>7795</v>
      </c>
      <c r="W2075" t="s">
        <v>6972</v>
      </c>
      <c r="X2075" t="s">
        <v>6451</v>
      </c>
      <c r="Y2075" t="s">
        <v>6452</v>
      </c>
      <c r="Z2075" t="s">
        <v>7794</v>
      </c>
    </row>
    <row r="2076" spans="1:26" x14ac:dyDescent="0.3">
      <c r="A2076" t="s">
        <v>330</v>
      </c>
      <c r="B2076" t="s">
        <v>7796</v>
      </c>
      <c r="C2076" t="s">
        <v>7797</v>
      </c>
      <c r="D2076" t="s">
        <v>6959</v>
      </c>
      <c r="E2076" t="s">
        <v>6417</v>
      </c>
      <c r="F2076" t="s">
        <v>1040</v>
      </c>
      <c r="G2076" s="1">
        <v>45292</v>
      </c>
      <c r="H2076" s="1">
        <v>47123</v>
      </c>
      <c r="I2076" t="s">
        <v>665</v>
      </c>
      <c r="J2076" t="s">
        <v>6418</v>
      </c>
      <c r="K2076" t="s">
        <v>958</v>
      </c>
      <c r="L2076" t="s">
        <v>6419</v>
      </c>
      <c r="M2076" t="s">
        <v>1324</v>
      </c>
      <c r="N2076" t="s">
        <v>1325</v>
      </c>
      <c r="O2076" t="s">
        <v>6961</v>
      </c>
      <c r="P2076" t="s">
        <v>6962</v>
      </c>
      <c r="Q2076" t="s">
        <v>6565</v>
      </c>
      <c r="R2076" t="s">
        <v>6566</v>
      </c>
      <c r="S2076" t="s">
        <v>6466</v>
      </c>
      <c r="T2076" t="s">
        <v>550</v>
      </c>
      <c r="U2076" t="s">
        <v>550</v>
      </c>
      <c r="V2076" t="s">
        <v>7798</v>
      </c>
      <c r="W2076" t="s">
        <v>6964</v>
      </c>
      <c r="X2076" t="s">
        <v>6468</v>
      </c>
      <c r="Z2076" t="s">
        <v>7796</v>
      </c>
    </row>
    <row r="2077" spans="1:26" x14ac:dyDescent="0.3">
      <c r="A2077" t="s">
        <v>330</v>
      </c>
      <c r="B2077" t="s">
        <v>7799</v>
      </c>
      <c r="C2077" t="s">
        <v>7800</v>
      </c>
      <c r="D2077" t="s">
        <v>7801</v>
      </c>
      <c r="E2077" t="s">
        <v>6417</v>
      </c>
      <c r="F2077" t="s">
        <v>1040</v>
      </c>
      <c r="G2077" s="1">
        <v>45446</v>
      </c>
      <c r="H2077" s="1">
        <v>45497</v>
      </c>
      <c r="I2077" t="s">
        <v>665</v>
      </c>
      <c r="J2077" t="s">
        <v>6418</v>
      </c>
      <c r="K2077" t="s">
        <v>958</v>
      </c>
      <c r="L2077" t="s">
        <v>6502</v>
      </c>
      <c r="M2077" t="s">
        <v>1324</v>
      </c>
      <c r="N2077" t="s">
        <v>1325</v>
      </c>
      <c r="O2077" t="s">
        <v>6961</v>
      </c>
      <c r="P2077" t="s">
        <v>6962</v>
      </c>
      <c r="Q2077" t="s">
        <v>6565</v>
      </c>
      <c r="R2077" t="s">
        <v>6566</v>
      </c>
      <c r="S2077" t="s">
        <v>7802</v>
      </c>
      <c r="T2077" t="s">
        <v>550</v>
      </c>
      <c r="U2077" t="s">
        <v>550</v>
      </c>
      <c r="V2077" t="s">
        <v>7803</v>
      </c>
      <c r="W2077" t="s">
        <v>6964</v>
      </c>
      <c r="X2077" t="s">
        <v>7804</v>
      </c>
      <c r="Z2077" t="s">
        <v>7799</v>
      </c>
    </row>
    <row r="2078" spans="1:26" x14ac:dyDescent="0.3">
      <c r="A2078" t="s">
        <v>330</v>
      </c>
      <c r="B2078" t="s">
        <v>7340</v>
      </c>
      <c r="C2078" t="s">
        <v>6960</v>
      </c>
      <c r="D2078" t="s">
        <v>6443</v>
      </c>
      <c r="E2078" t="s">
        <v>6417</v>
      </c>
      <c r="F2078" t="s">
        <v>1040</v>
      </c>
      <c r="G2078" s="1">
        <v>44928</v>
      </c>
      <c r="H2078" s="1">
        <v>44928</v>
      </c>
      <c r="I2078" t="s">
        <v>665</v>
      </c>
      <c r="J2078" t="s">
        <v>6418</v>
      </c>
      <c r="K2078" t="s">
        <v>958</v>
      </c>
      <c r="L2078" t="s">
        <v>6419</v>
      </c>
      <c r="M2078" t="s">
        <v>1324</v>
      </c>
      <c r="N2078" t="s">
        <v>1325</v>
      </c>
      <c r="O2078" t="s">
        <v>6961</v>
      </c>
      <c r="P2078" t="s">
        <v>6962</v>
      </c>
      <c r="Q2078" t="s">
        <v>6565</v>
      </c>
      <c r="R2078" t="s">
        <v>6566</v>
      </c>
      <c r="S2078" t="s">
        <v>6448</v>
      </c>
      <c r="T2078" t="s">
        <v>550</v>
      </c>
      <c r="U2078" t="s">
        <v>550</v>
      </c>
      <c r="V2078" t="s">
        <v>7805</v>
      </c>
      <c r="W2078" t="s">
        <v>6964</v>
      </c>
      <c r="X2078" t="s">
        <v>6451</v>
      </c>
      <c r="Y2078" t="s">
        <v>6452</v>
      </c>
      <c r="Z2078" t="s">
        <v>7340</v>
      </c>
    </row>
    <row r="2079" spans="1:26" x14ac:dyDescent="0.3">
      <c r="A2079" t="s">
        <v>330</v>
      </c>
      <c r="B2079" t="s">
        <v>7806</v>
      </c>
      <c r="C2079" t="s">
        <v>7797</v>
      </c>
      <c r="D2079" t="s">
        <v>7340</v>
      </c>
      <c r="E2079" t="s">
        <v>6417</v>
      </c>
      <c r="F2079" t="s">
        <v>1040</v>
      </c>
      <c r="G2079" s="1">
        <v>44927</v>
      </c>
      <c r="H2079" s="1">
        <v>46876</v>
      </c>
      <c r="I2079" t="s">
        <v>665</v>
      </c>
      <c r="J2079" t="s">
        <v>6418</v>
      </c>
      <c r="K2079" t="s">
        <v>958</v>
      </c>
      <c r="L2079" t="s">
        <v>6419</v>
      </c>
      <c r="M2079" t="s">
        <v>1324</v>
      </c>
      <c r="N2079" t="s">
        <v>1325</v>
      </c>
      <c r="O2079" t="s">
        <v>6961</v>
      </c>
      <c r="P2079" t="s">
        <v>6962</v>
      </c>
      <c r="Q2079" t="s">
        <v>6565</v>
      </c>
      <c r="R2079" t="s">
        <v>6566</v>
      </c>
      <c r="S2079" t="s">
        <v>6448</v>
      </c>
      <c r="T2079" t="s">
        <v>550</v>
      </c>
      <c r="U2079" t="s">
        <v>550</v>
      </c>
      <c r="V2079" t="s">
        <v>7807</v>
      </c>
      <c r="W2079" t="s">
        <v>6964</v>
      </c>
      <c r="X2079" t="s">
        <v>6451</v>
      </c>
      <c r="Y2079" t="s">
        <v>6452</v>
      </c>
      <c r="Z2079" t="s">
        <v>7806</v>
      </c>
    </row>
    <row r="2080" spans="1:26" x14ac:dyDescent="0.3">
      <c r="A2080" t="s">
        <v>330</v>
      </c>
      <c r="B2080" t="s">
        <v>7808</v>
      </c>
      <c r="C2080" t="s">
        <v>7442</v>
      </c>
      <c r="D2080" t="s">
        <v>6463</v>
      </c>
      <c r="E2080" t="s">
        <v>6417</v>
      </c>
      <c r="F2080" t="s">
        <v>1040</v>
      </c>
      <c r="G2080" s="1">
        <v>45292</v>
      </c>
      <c r="H2080" s="1">
        <v>45359</v>
      </c>
      <c r="I2080" t="s">
        <v>665</v>
      </c>
      <c r="J2080" t="s">
        <v>6418</v>
      </c>
      <c r="K2080" t="s">
        <v>958</v>
      </c>
      <c r="L2080" t="s">
        <v>6419</v>
      </c>
      <c r="M2080" t="s">
        <v>1324</v>
      </c>
      <c r="N2080" t="s">
        <v>1325</v>
      </c>
      <c r="O2080" t="s">
        <v>6961</v>
      </c>
      <c r="P2080" t="s">
        <v>6962</v>
      </c>
      <c r="Q2080" t="s">
        <v>6565</v>
      </c>
      <c r="R2080" t="s">
        <v>6566</v>
      </c>
      <c r="S2080" t="s">
        <v>6466</v>
      </c>
      <c r="T2080" t="s">
        <v>550</v>
      </c>
      <c r="U2080" t="s">
        <v>550</v>
      </c>
      <c r="V2080" t="s">
        <v>7809</v>
      </c>
      <c r="W2080" t="s">
        <v>6450</v>
      </c>
      <c r="X2080" t="s">
        <v>6468</v>
      </c>
      <c r="Z2080" t="s">
        <v>7808</v>
      </c>
    </row>
    <row r="2081" spans="1:26" x14ac:dyDescent="0.3">
      <c r="A2081" t="s">
        <v>330</v>
      </c>
      <c r="B2081" t="s">
        <v>7810</v>
      </c>
      <c r="C2081" t="s">
        <v>7811</v>
      </c>
      <c r="D2081" t="s">
        <v>6463</v>
      </c>
      <c r="E2081" t="s">
        <v>6417</v>
      </c>
      <c r="F2081" t="s">
        <v>1040</v>
      </c>
      <c r="G2081" s="1">
        <v>45292</v>
      </c>
      <c r="H2081" s="1">
        <v>45337</v>
      </c>
      <c r="I2081" t="s">
        <v>665</v>
      </c>
      <c r="J2081" t="s">
        <v>6418</v>
      </c>
      <c r="K2081" t="s">
        <v>958</v>
      </c>
      <c r="L2081" t="s">
        <v>6419</v>
      </c>
      <c r="M2081" t="s">
        <v>1324</v>
      </c>
      <c r="N2081" t="s">
        <v>1325</v>
      </c>
      <c r="O2081" t="s">
        <v>6961</v>
      </c>
      <c r="P2081" t="s">
        <v>6962</v>
      </c>
      <c r="Q2081" t="s">
        <v>6565</v>
      </c>
      <c r="R2081" t="s">
        <v>6566</v>
      </c>
      <c r="S2081" t="s">
        <v>6466</v>
      </c>
      <c r="T2081" t="s">
        <v>550</v>
      </c>
      <c r="U2081" t="s">
        <v>550</v>
      </c>
      <c r="V2081" t="s">
        <v>7812</v>
      </c>
      <c r="W2081" t="s">
        <v>6450</v>
      </c>
      <c r="X2081" t="s">
        <v>6468</v>
      </c>
      <c r="Z2081" t="s">
        <v>7810</v>
      </c>
    </row>
    <row r="2082" spans="1:26" x14ac:dyDescent="0.3">
      <c r="A2082" t="s">
        <v>330</v>
      </c>
      <c r="B2082" t="s">
        <v>7813</v>
      </c>
      <c r="C2082" t="s">
        <v>7442</v>
      </c>
      <c r="D2082" t="s">
        <v>6443</v>
      </c>
      <c r="E2082" t="s">
        <v>6417</v>
      </c>
      <c r="F2082" t="s">
        <v>1040</v>
      </c>
      <c r="G2082" s="1">
        <v>44927</v>
      </c>
      <c r="H2082" s="1">
        <v>44994</v>
      </c>
      <c r="I2082" t="s">
        <v>665</v>
      </c>
      <c r="J2082" t="s">
        <v>6418</v>
      </c>
      <c r="K2082" t="s">
        <v>958</v>
      </c>
      <c r="L2082" t="s">
        <v>6419</v>
      </c>
      <c r="M2082" t="s">
        <v>1324</v>
      </c>
      <c r="N2082" t="s">
        <v>1325</v>
      </c>
      <c r="O2082" t="s">
        <v>6961</v>
      </c>
      <c r="P2082" t="s">
        <v>6962</v>
      </c>
      <c r="Q2082" t="s">
        <v>6565</v>
      </c>
      <c r="R2082" t="s">
        <v>6566</v>
      </c>
      <c r="S2082" t="s">
        <v>6448</v>
      </c>
      <c r="T2082" t="s">
        <v>550</v>
      </c>
      <c r="U2082" t="s">
        <v>550</v>
      </c>
      <c r="V2082" t="s">
        <v>7814</v>
      </c>
      <c r="W2082" t="s">
        <v>6450</v>
      </c>
      <c r="X2082" t="s">
        <v>6451</v>
      </c>
      <c r="Y2082" t="s">
        <v>6452</v>
      </c>
      <c r="Z2082" t="s">
        <v>7813</v>
      </c>
    </row>
    <row r="2083" spans="1:26" x14ac:dyDescent="0.3">
      <c r="A2083" t="s">
        <v>330</v>
      </c>
      <c r="B2083" t="s">
        <v>7815</v>
      </c>
      <c r="C2083" t="s">
        <v>7811</v>
      </c>
      <c r="D2083" t="s">
        <v>6443</v>
      </c>
      <c r="E2083" t="s">
        <v>6417</v>
      </c>
      <c r="F2083" t="s">
        <v>1040</v>
      </c>
      <c r="G2083" s="1">
        <v>44927</v>
      </c>
      <c r="H2083" s="1">
        <v>44972</v>
      </c>
      <c r="I2083" t="s">
        <v>665</v>
      </c>
      <c r="J2083" t="s">
        <v>6418</v>
      </c>
      <c r="K2083" t="s">
        <v>958</v>
      </c>
      <c r="L2083" t="s">
        <v>6419</v>
      </c>
      <c r="M2083" t="s">
        <v>1324</v>
      </c>
      <c r="N2083" t="s">
        <v>1325</v>
      </c>
      <c r="O2083" t="s">
        <v>6961</v>
      </c>
      <c r="P2083" t="s">
        <v>6962</v>
      </c>
      <c r="Q2083" t="s">
        <v>6565</v>
      </c>
      <c r="R2083" t="s">
        <v>6566</v>
      </c>
      <c r="S2083" t="s">
        <v>6448</v>
      </c>
      <c r="T2083" t="s">
        <v>550</v>
      </c>
      <c r="U2083" t="s">
        <v>550</v>
      </c>
      <c r="V2083" t="s">
        <v>7816</v>
      </c>
      <c r="W2083" t="s">
        <v>6450</v>
      </c>
      <c r="X2083" t="s">
        <v>6451</v>
      </c>
      <c r="Y2083" t="s">
        <v>6452</v>
      </c>
      <c r="Z2083" t="s">
        <v>7815</v>
      </c>
    </row>
    <row r="2084" spans="1:26" x14ac:dyDescent="0.3">
      <c r="A2084" t="s">
        <v>330</v>
      </c>
      <c r="B2084" t="s">
        <v>7817</v>
      </c>
      <c r="C2084" t="s">
        <v>7442</v>
      </c>
      <c r="D2084" t="s">
        <v>7231</v>
      </c>
      <c r="E2084" t="s">
        <v>6417</v>
      </c>
      <c r="F2084" t="s">
        <v>1040</v>
      </c>
      <c r="G2084" s="1">
        <v>44562</v>
      </c>
      <c r="H2084" s="1">
        <v>44562</v>
      </c>
      <c r="I2084" t="s">
        <v>665</v>
      </c>
      <c r="J2084" t="s">
        <v>6418</v>
      </c>
      <c r="K2084" t="s">
        <v>958</v>
      </c>
      <c r="L2084" t="s">
        <v>6419</v>
      </c>
      <c r="M2084" t="s">
        <v>1324</v>
      </c>
      <c r="N2084" t="s">
        <v>1325</v>
      </c>
      <c r="O2084" t="s">
        <v>6961</v>
      </c>
      <c r="P2084" t="s">
        <v>6962</v>
      </c>
      <c r="Q2084" t="s">
        <v>6565</v>
      </c>
      <c r="R2084" t="s">
        <v>6566</v>
      </c>
      <c r="S2084" t="s">
        <v>7232</v>
      </c>
      <c r="T2084" t="s">
        <v>550</v>
      </c>
      <c r="U2084" t="s">
        <v>550</v>
      </c>
      <c r="V2084" t="s">
        <v>7818</v>
      </c>
      <c r="W2084" t="s">
        <v>6972</v>
      </c>
      <c r="X2084" t="s">
        <v>6451</v>
      </c>
      <c r="Y2084" t="s">
        <v>6452</v>
      </c>
      <c r="Z2084" t="s">
        <v>7817</v>
      </c>
    </row>
    <row r="2085" spans="1:26" x14ac:dyDescent="0.3">
      <c r="A2085" t="s">
        <v>330</v>
      </c>
      <c r="B2085" t="s">
        <v>7819</v>
      </c>
      <c r="C2085" t="s">
        <v>7820</v>
      </c>
      <c r="D2085" t="s">
        <v>7231</v>
      </c>
      <c r="E2085" t="s">
        <v>6417</v>
      </c>
      <c r="F2085" t="s">
        <v>1040</v>
      </c>
      <c r="G2085" s="1">
        <v>44562</v>
      </c>
      <c r="H2085" s="1">
        <v>44562</v>
      </c>
      <c r="I2085" t="s">
        <v>665</v>
      </c>
      <c r="J2085" t="s">
        <v>6418</v>
      </c>
      <c r="K2085" t="s">
        <v>958</v>
      </c>
      <c r="L2085" t="s">
        <v>6419</v>
      </c>
      <c r="M2085" t="s">
        <v>1324</v>
      </c>
      <c r="N2085" t="s">
        <v>1325</v>
      </c>
      <c r="O2085" t="s">
        <v>6961</v>
      </c>
      <c r="P2085" t="s">
        <v>6962</v>
      </c>
      <c r="Q2085" t="s">
        <v>6565</v>
      </c>
      <c r="R2085" t="s">
        <v>6566</v>
      </c>
      <c r="S2085" t="s">
        <v>7232</v>
      </c>
      <c r="T2085" t="s">
        <v>550</v>
      </c>
      <c r="U2085" t="s">
        <v>550</v>
      </c>
      <c r="V2085" t="s">
        <v>7821</v>
      </c>
      <c r="W2085" t="s">
        <v>6972</v>
      </c>
      <c r="X2085" t="s">
        <v>6451</v>
      </c>
      <c r="Y2085" t="s">
        <v>6452</v>
      </c>
      <c r="Z2085" t="s">
        <v>7819</v>
      </c>
    </row>
    <row r="2086" spans="1:26" x14ac:dyDescent="0.3">
      <c r="A2086" t="s">
        <v>330</v>
      </c>
      <c r="B2086" t="s">
        <v>7709</v>
      </c>
      <c r="C2086" t="s">
        <v>7722</v>
      </c>
      <c r="D2086" t="s">
        <v>7231</v>
      </c>
      <c r="E2086" t="s">
        <v>6417</v>
      </c>
      <c r="F2086" t="s">
        <v>1040</v>
      </c>
      <c r="G2086" s="1">
        <v>44562</v>
      </c>
      <c r="H2086" s="1">
        <v>44562</v>
      </c>
      <c r="I2086" t="s">
        <v>665</v>
      </c>
      <c r="J2086" t="s">
        <v>6418</v>
      </c>
      <c r="K2086" t="s">
        <v>958</v>
      </c>
      <c r="L2086" t="s">
        <v>6419</v>
      </c>
      <c r="M2086" t="s">
        <v>1324</v>
      </c>
      <c r="N2086" t="s">
        <v>1325</v>
      </c>
      <c r="O2086" t="s">
        <v>6961</v>
      </c>
      <c r="P2086" t="s">
        <v>6962</v>
      </c>
      <c r="Q2086" t="s">
        <v>6565</v>
      </c>
      <c r="R2086" t="s">
        <v>6566</v>
      </c>
      <c r="S2086" t="s">
        <v>7232</v>
      </c>
      <c r="T2086" t="s">
        <v>550</v>
      </c>
      <c r="U2086" t="s">
        <v>550</v>
      </c>
      <c r="V2086" t="s">
        <v>7822</v>
      </c>
      <c r="W2086" t="s">
        <v>6972</v>
      </c>
      <c r="X2086" t="s">
        <v>6451</v>
      </c>
      <c r="Y2086" t="s">
        <v>6452</v>
      </c>
      <c r="Z2086" t="s">
        <v>7709</v>
      </c>
    </row>
    <row r="2087" spans="1:26" x14ac:dyDescent="0.3">
      <c r="A2087" t="s">
        <v>330</v>
      </c>
      <c r="B2087" t="s">
        <v>7823</v>
      </c>
      <c r="C2087" t="s">
        <v>7824</v>
      </c>
      <c r="D2087" t="s">
        <v>7709</v>
      </c>
      <c r="E2087" t="s">
        <v>6417</v>
      </c>
      <c r="F2087" t="s">
        <v>1040</v>
      </c>
      <c r="G2087" s="1">
        <v>44562</v>
      </c>
      <c r="H2087" s="1">
        <v>44961</v>
      </c>
      <c r="I2087" t="s">
        <v>665</v>
      </c>
      <c r="J2087" t="s">
        <v>6418</v>
      </c>
      <c r="K2087" t="s">
        <v>958</v>
      </c>
      <c r="L2087" t="s">
        <v>6419</v>
      </c>
      <c r="M2087" t="s">
        <v>1324</v>
      </c>
      <c r="N2087" t="s">
        <v>1325</v>
      </c>
      <c r="O2087" t="s">
        <v>6961</v>
      </c>
      <c r="P2087" t="s">
        <v>6962</v>
      </c>
      <c r="Q2087" t="s">
        <v>6565</v>
      </c>
      <c r="R2087" t="s">
        <v>6566</v>
      </c>
      <c r="S2087" t="s">
        <v>7232</v>
      </c>
      <c r="T2087" t="s">
        <v>550</v>
      </c>
      <c r="U2087" t="s">
        <v>550</v>
      </c>
      <c r="V2087" t="s">
        <v>7822</v>
      </c>
      <c r="W2087" t="s">
        <v>6972</v>
      </c>
      <c r="X2087" t="s">
        <v>6451</v>
      </c>
      <c r="Y2087" t="s">
        <v>6452</v>
      </c>
      <c r="Z2087" t="s">
        <v>7709</v>
      </c>
    </row>
    <row r="2088" spans="1:26" x14ac:dyDescent="0.3">
      <c r="A2088" t="s">
        <v>330</v>
      </c>
      <c r="B2088" t="s">
        <v>7825</v>
      </c>
      <c r="C2088" t="s">
        <v>7725</v>
      </c>
      <c r="D2088" t="s">
        <v>7709</v>
      </c>
      <c r="E2088" t="s">
        <v>6417</v>
      </c>
      <c r="F2088" t="s">
        <v>1040</v>
      </c>
      <c r="G2088" s="1">
        <v>44562</v>
      </c>
      <c r="H2088" s="1">
        <v>46264</v>
      </c>
      <c r="I2088" t="s">
        <v>665</v>
      </c>
      <c r="J2088" t="s">
        <v>6418</v>
      </c>
      <c r="K2088" t="s">
        <v>958</v>
      </c>
      <c r="L2088" t="s">
        <v>6419</v>
      </c>
      <c r="M2088" t="s">
        <v>1324</v>
      </c>
      <c r="N2088" t="s">
        <v>1325</v>
      </c>
      <c r="O2088" t="s">
        <v>6961</v>
      </c>
      <c r="P2088" t="s">
        <v>6962</v>
      </c>
      <c r="Q2088" t="s">
        <v>6565</v>
      </c>
      <c r="R2088" t="s">
        <v>6566</v>
      </c>
      <c r="S2088" t="s">
        <v>7232</v>
      </c>
      <c r="T2088" t="s">
        <v>550</v>
      </c>
      <c r="U2088" t="s">
        <v>550</v>
      </c>
      <c r="V2088" t="s">
        <v>7826</v>
      </c>
      <c r="W2088" t="s">
        <v>6972</v>
      </c>
      <c r="X2088" t="s">
        <v>6451</v>
      </c>
      <c r="Y2088" t="s">
        <v>6452</v>
      </c>
      <c r="Z2088" t="s">
        <v>7825</v>
      </c>
    </row>
    <row r="2089" spans="1:26" x14ac:dyDescent="0.3">
      <c r="A2089" t="s">
        <v>330</v>
      </c>
      <c r="B2089" t="s">
        <v>7827</v>
      </c>
      <c r="C2089" t="s">
        <v>7167</v>
      </c>
      <c r="D2089" t="s">
        <v>7231</v>
      </c>
      <c r="E2089" t="s">
        <v>6417</v>
      </c>
      <c r="F2089" t="s">
        <v>1040</v>
      </c>
      <c r="G2089" s="1">
        <v>44562</v>
      </c>
      <c r="H2089" s="1">
        <v>44562</v>
      </c>
      <c r="I2089" t="s">
        <v>665</v>
      </c>
      <c r="J2089" t="s">
        <v>6418</v>
      </c>
      <c r="K2089" t="s">
        <v>958</v>
      </c>
      <c r="L2089" t="s">
        <v>6419</v>
      </c>
      <c r="M2089" t="s">
        <v>6464</v>
      </c>
      <c r="N2089" t="s">
        <v>6465</v>
      </c>
      <c r="O2089" t="s">
        <v>6961</v>
      </c>
      <c r="P2089" t="s">
        <v>6962</v>
      </c>
      <c r="Q2089" t="s">
        <v>6565</v>
      </c>
      <c r="R2089" t="s">
        <v>6566</v>
      </c>
      <c r="S2089" t="s">
        <v>7232</v>
      </c>
      <c r="T2089" t="s">
        <v>550</v>
      </c>
      <c r="U2089" t="s">
        <v>550</v>
      </c>
      <c r="V2089" t="s">
        <v>7828</v>
      </c>
      <c r="W2089" t="s">
        <v>6972</v>
      </c>
      <c r="X2089" t="s">
        <v>6451</v>
      </c>
      <c r="Y2089" t="s">
        <v>6452</v>
      </c>
      <c r="Z2089" t="s">
        <v>7827</v>
      </c>
    </row>
    <row r="2090" spans="1:26" x14ac:dyDescent="0.3">
      <c r="A2090" t="s">
        <v>330</v>
      </c>
      <c r="B2090" t="s">
        <v>7829</v>
      </c>
      <c r="C2090" t="s">
        <v>6475</v>
      </c>
      <c r="D2090" t="s">
        <v>7231</v>
      </c>
      <c r="E2090" t="s">
        <v>6417</v>
      </c>
      <c r="F2090" t="s">
        <v>1040</v>
      </c>
      <c r="G2090" s="1">
        <v>44562</v>
      </c>
      <c r="H2090" s="1">
        <v>44562</v>
      </c>
      <c r="I2090" t="s">
        <v>665</v>
      </c>
      <c r="J2090" t="s">
        <v>6418</v>
      </c>
      <c r="K2090" t="s">
        <v>958</v>
      </c>
      <c r="L2090" t="s">
        <v>6419</v>
      </c>
      <c r="M2090" t="s">
        <v>6464</v>
      </c>
      <c r="N2090" t="s">
        <v>6465</v>
      </c>
      <c r="O2090" t="s">
        <v>6961</v>
      </c>
      <c r="P2090" t="s">
        <v>6962</v>
      </c>
      <c r="Q2090" t="s">
        <v>6565</v>
      </c>
      <c r="R2090" t="s">
        <v>6566</v>
      </c>
      <c r="S2090" t="s">
        <v>7232</v>
      </c>
      <c r="T2090" t="s">
        <v>550</v>
      </c>
      <c r="U2090" t="s">
        <v>550</v>
      </c>
      <c r="V2090" t="s">
        <v>7830</v>
      </c>
      <c r="W2090" t="s">
        <v>6972</v>
      </c>
      <c r="X2090" t="s">
        <v>6451</v>
      </c>
      <c r="Y2090" t="s">
        <v>6452</v>
      </c>
      <c r="Z2090" t="s">
        <v>7829</v>
      </c>
    </row>
    <row r="2091" spans="1:26" x14ac:dyDescent="0.3">
      <c r="A2091" t="s">
        <v>330</v>
      </c>
      <c r="B2091" t="s">
        <v>7720</v>
      </c>
      <c r="C2091" t="s">
        <v>6996</v>
      </c>
      <c r="D2091" t="s">
        <v>7357</v>
      </c>
      <c r="E2091" t="s">
        <v>6417</v>
      </c>
      <c r="F2091" t="s">
        <v>1040</v>
      </c>
      <c r="G2091" s="1">
        <v>44562</v>
      </c>
      <c r="H2091" s="1">
        <v>44562</v>
      </c>
      <c r="I2091" t="s">
        <v>665</v>
      </c>
      <c r="J2091" t="s">
        <v>6418</v>
      </c>
      <c r="K2091" t="s">
        <v>958</v>
      </c>
      <c r="L2091" t="s">
        <v>6419</v>
      </c>
      <c r="M2091" t="s">
        <v>6968</v>
      </c>
      <c r="N2091" t="s">
        <v>6969</v>
      </c>
      <c r="O2091" t="s">
        <v>6961</v>
      </c>
      <c r="P2091" t="s">
        <v>6962</v>
      </c>
      <c r="Q2091" t="s">
        <v>6565</v>
      </c>
      <c r="R2091" t="s">
        <v>6566</v>
      </c>
      <c r="S2091" t="s">
        <v>7358</v>
      </c>
      <c r="T2091" t="s">
        <v>550</v>
      </c>
      <c r="U2091" t="s">
        <v>550</v>
      </c>
      <c r="V2091" t="s">
        <v>7359</v>
      </c>
      <c r="W2091" t="s">
        <v>6988</v>
      </c>
      <c r="X2091" t="s">
        <v>6451</v>
      </c>
      <c r="Y2091" t="s">
        <v>6452</v>
      </c>
      <c r="Z2091" t="s">
        <v>7357</v>
      </c>
    </row>
    <row r="2092" spans="1:26" x14ac:dyDescent="0.3">
      <c r="A2092" t="s">
        <v>330</v>
      </c>
      <c r="B2092" t="s">
        <v>7831</v>
      </c>
      <c r="C2092" t="s">
        <v>7832</v>
      </c>
      <c r="D2092" t="s">
        <v>550</v>
      </c>
      <c r="E2092" t="s">
        <v>6417</v>
      </c>
      <c r="F2092" t="s">
        <v>1040</v>
      </c>
      <c r="G2092" s="1">
        <v>43102</v>
      </c>
      <c r="H2092" s="1">
        <v>43465</v>
      </c>
      <c r="I2092" t="s">
        <v>665</v>
      </c>
      <c r="J2092" t="s">
        <v>6418</v>
      </c>
      <c r="K2092" t="s">
        <v>958</v>
      </c>
      <c r="L2092" t="s">
        <v>6502</v>
      </c>
      <c r="M2092" t="s">
        <v>6495</v>
      </c>
      <c r="N2092" t="s">
        <v>6496</v>
      </c>
      <c r="O2092" t="s">
        <v>7833</v>
      </c>
      <c r="P2092" t="s">
        <v>7834</v>
      </c>
      <c r="Q2092" t="s">
        <v>6565</v>
      </c>
      <c r="R2092" t="s">
        <v>6566</v>
      </c>
      <c r="S2092" t="s">
        <v>7835</v>
      </c>
      <c r="T2092" t="s">
        <v>550</v>
      </c>
      <c r="U2092" t="s">
        <v>550</v>
      </c>
      <c r="V2092" t="s">
        <v>7836</v>
      </c>
      <c r="W2092" t="s">
        <v>6972</v>
      </c>
      <c r="X2092" t="s">
        <v>6451</v>
      </c>
      <c r="Y2092" t="s">
        <v>6452</v>
      </c>
      <c r="Z2092" t="s">
        <v>7831</v>
      </c>
    </row>
    <row r="2093" spans="1:26" x14ac:dyDescent="0.3">
      <c r="A2093" t="s">
        <v>330</v>
      </c>
      <c r="B2093" t="s">
        <v>7837</v>
      </c>
      <c r="C2093" t="s">
        <v>7838</v>
      </c>
      <c r="D2093" t="s">
        <v>7839</v>
      </c>
      <c r="E2093" t="s">
        <v>6417</v>
      </c>
      <c r="F2093" t="s">
        <v>1040</v>
      </c>
      <c r="G2093" s="1">
        <v>43102</v>
      </c>
      <c r="H2093" s="1">
        <v>43465</v>
      </c>
      <c r="I2093" t="s">
        <v>665</v>
      </c>
      <c r="J2093" t="s">
        <v>6418</v>
      </c>
      <c r="K2093" t="s">
        <v>958</v>
      </c>
      <c r="L2093" t="s">
        <v>6419</v>
      </c>
      <c r="M2093" t="s">
        <v>7040</v>
      </c>
      <c r="N2093" t="s">
        <v>7041</v>
      </c>
      <c r="O2093" t="s">
        <v>7840</v>
      </c>
      <c r="P2093" t="s">
        <v>7841</v>
      </c>
      <c r="Q2093" t="s">
        <v>6565</v>
      </c>
      <c r="R2093" t="s">
        <v>6566</v>
      </c>
      <c r="S2093" t="s">
        <v>7842</v>
      </c>
      <c r="T2093" t="s">
        <v>550</v>
      </c>
      <c r="U2093" t="s">
        <v>550</v>
      </c>
      <c r="V2093" t="s">
        <v>7843</v>
      </c>
      <c r="W2093" t="s">
        <v>6964</v>
      </c>
      <c r="X2093" t="s">
        <v>6451</v>
      </c>
      <c r="Y2093" t="s">
        <v>6452</v>
      </c>
      <c r="Z2093" t="s">
        <v>7837</v>
      </c>
    </row>
    <row r="2094" spans="1:26" x14ac:dyDescent="0.3">
      <c r="A2094" t="s">
        <v>330</v>
      </c>
      <c r="B2094" t="s">
        <v>7844</v>
      </c>
      <c r="C2094" t="s">
        <v>7007</v>
      </c>
      <c r="D2094" t="s">
        <v>7845</v>
      </c>
      <c r="E2094" t="s">
        <v>6417</v>
      </c>
      <c r="F2094" t="s">
        <v>1040</v>
      </c>
      <c r="G2094" s="1">
        <v>43102</v>
      </c>
      <c r="H2094" s="1">
        <v>43465</v>
      </c>
      <c r="I2094" t="s">
        <v>665</v>
      </c>
      <c r="J2094" t="s">
        <v>6418</v>
      </c>
      <c r="K2094" t="s">
        <v>958</v>
      </c>
      <c r="L2094" t="s">
        <v>6419</v>
      </c>
      <c r="M2094" t="s">
        <v>7040</v>
      </c>
      <c r="N2094" t="s">
        <v>7041</v>
      </c>
      <c r="O2094" t="s">
        <v>7840</v>
      </c>
      <c r="P2094" t="s">
        <v>7841</v>
      </c>
      <c r="Q2094" t="s">
        <v>6565</v>
      </c>
      <c r="R2094" t="s">
        <v>6566</v>
      </c>
      <c r="S2094" t="s">
        <v>7842</v>
      </c>
      <c r="T2094" t="s">
        <v>550</v>
      </c>
      <c r="U2094" t="s">
        <v>550</v>
      </c>
      <c r="V2094" t="s">
        <v>7846</v>
      </c>
      <c r="W2094" t="s">
        <v>6964</v>
      </c>
      <c r="X2094" t="s">
        <v>6451</v>
      </c>
      <c r="Y2094" t="s">
        <v>6452</v>
      </c>
      <c r="Z2094" t="s">
        <v>7844</v>
      </c>
    </row>
    <row r="2095" spans="1:26" x14ac:dyDescent="0.3">
      <c r="A2095" t="s">
        <v>330</v>
      </c>
      <c r="B2095" t="s">
        <v>7847</v>
      </c>
      <c r="C2095" t="s">
        <v>7848</v>
      </c>
      <c r="D2095" t="s">
        <v>550</v>
      </c>
      <c r="E2095" t="s">
        <v>7648</v>
      </c>
      <c r="F2095" t="s">
        <v>3498</v>
      </c>
      <c r="G2095" s="1">
        <v>45413</v>
      </c>
      <c r="H2095" s="1">
        <v>45456</v>
      </c>
      <c r="I2095" t="s">
        <v>665</v>
      </c>
      <c r="J2095" t="s">
        <v>7236</v>
      </c>
      <c r="K2095" t="s">
        <v>24</v>
      </c>
      <c r="L2095" t="s">
        <v>217</v>
      </c>
      <c r="M2095" t="s">
        <v>843</v>
      </c>
      <c r="N2095" t="s">
        <v>319</v>
      </c>
      <c r="O2095" t="s">
        <v>7849</v>
      </c>
      <c r="P2095" t="s">
        <v>7850</v>
      </c>
      <c r="Q2095" t="s">
        <v>6565</v>
      </c>
      <c r="R2095" t="s">
        <v>6566</v>
      </c>
      <c r="S2095" t="s">
        <v>803</v>
      </c>
      <c r="T2095" t="s">
        <v>550</v>
      </c>
      <c r="U2095" t="s">
        <v>550</v>
      </c>
      <c r="V2095" t="s">
        <v>7851</v>
      </c>
      <c r="W2095" t="s">
        <v>7092</v>
      </c>
      <c r="Z2095" t="s">
        <v>7847</v>
      </c>
    </row>
    <row r="2096" spans="1:26" x14ac:dyDescent="0.3">
      <c r="A2096" t="s">
        <v>330</v>
      </c>
      <c r="B2096" t="s">
        <v>7852</v>
      </c>
      <c r="C2096" t="s">
        <v>7853</v>
      </c>
      <c r="D2096" t="s">
        <v>7839</v>
      </c>
      <c r="E2096" t="s">
        <v>6417</v>
      </c>
      <c r="F2096" t="s">
        <v>1040</v>
      </c>
      <c r="G2096" s="1">
        <v>43102</v>
      </c>
      <c r="H2096" s="1">
        <v>43465</v>
      </c>
      <c r="I2096" t="s">
        <v>665</v>
      </c>
      <c r="J2096" t="s">
        <v>6418</v>
      </c>
      <c r="K2096" t="s">
        <v>958</v>
      </c>
      <c r="L2096" t="s">
        <v>6419</v>
      </c>
      <c r="M2096" t="s">
        <v>7854</v>
      </c>
      <c r="N2096" t="s">
        <v>7855</v>
      </c>
      <c r="O2096" t="s">
        <v>7040</v>
      </c>
      <c r="P2096" t="s">
        <v>7041</v>
      </c>
      <c r="Q2096" t="s">
        <v>6565</v>
      </c>
      <c r="R2096" t="s">
        <v>6566</v>
      </c>
      <c r="S2096" t="s">
        <v>7842</v>
      </c>
      <c r="T2096" t="s">
        <v>550</v>
      </c>
      <c r="U2096" t="s">
        <v>550</v>
      </c>
      <c r="V2096" t="s">
        <v>7856</v>
      </c>
      <c r="W2096" t="s">
        <v>6964</v>
      </c>
      <c r="X2096" t="s">
        <v>6451</v>
      </c>
      <c r="Y2096" t="s">
        <v>6452</v>
      </c>
      <c r="Z2096" t="s">
        <v>7852</v>
      </c>
    </row>
    <row r="2097" spans="1:26" x14ac:dyDescent="0.3">
      <c r="A2097" t="s">
        <v>330</v>
      </c>
      <c r="B2097" t="s">
        <v>7857</v>
      </c>
      <c r="C2097" t="s">
        <v>7858</v>
      </c>
      <c r="D2097" t="s">
        <v>7859</v>
      </c>
      <c r="E2097" t="s">
        <v>6417</v>
      </c>
      <c r="F2097" t="s">
        <v>1040</v>
      </c>
      <c r="G2097" s="1">
        <v>43467</v>
      </c>
      <c r="H2097" s="1">
        <v>43830</v>
      </c>
      <c r="I2097" t="s">
        <v>665</v>
      </c>
      <c r="J2097" t="s">
        <v>6418</v>
      </c>
      <c r="K2097" t="s">
        <v>958</v>
      </c>
      <c r="L2097" t="s">
        <v>6419</v>
      </c>
      <c r="M2097" t="s">
        <v>7854</v>
      </c>
      <c r="N2097" t="s">
        <v>7855</v>
      </c>
      <c r="O2097" t="s">
        <v>7040</v>
      </c>
      <c r="P2097" t="s">
        <v>7041</v>
      </c>
      <c r="Q2097" t="s">
        <v>6565</v>
      </c>
      <c r="R2097" t="s">
        <v>6566</v>
      </c>
      <c r="S2097" t="s">
        <v>7860</v>
      </c>
      <c r="T2097" t="s">
        <v>550</v>
      </c>
      <c r="U2097" t="s">
        <v>550</v>
      </c>
      <c r="V2097" t="s">
        <v>7861</v>
      </c>
      <c r="W2097" t="s">
        <v>6964</v>
      </c>
      <c r="X2097" t="s">
        <v>6451</v>
      </c>
      <c r="Y2097" t="s">
        <v>6452</v>
      </c>
      <c r="Z2097" t="s">
        <v>7857</v>
      </c>
    </row>
    <row r="2098" spans="1:26" x14ac:dyDescent="0.3">
      <c r="A2098" t="s">
        <v>330</v>
      </c>
      <c r="B2098" t="s">
        <v>7862</v>
      </c>
      <c r="C2098" t="s">
        <v>7863</v>
      </c>
      <c r="D2098" t="s">
        <v>7839</v>
      </c>
      <c r="E2098" t="s">
        <v>6417</v>
      </c>
      <c r="F2098" t="s">
        <v>1040</v>
      </c>
      <c r="G2098" s="1">
        <v>43102</v>
      </c>
      <c r="H2098" s="1">
        <v>43465</v>
      </c>
      <c r="I2098" t="s">
        <v>665</v>
      </c>
      <c r="J2098" t="s">
        <v>6418</v>
      </c>
      <c r="K2098" t="s">
        <v>958</v>
      </c>
      <c r="L2098" t="s">
        <v>6419</v>
      </c>
      <c r="M2098" t="s">
        <v>913</v>
      </c>
      <c r="N2098" t="s">
        <v>914</v>
      </c>
      <c r="O2098" t="s">
        <v>7040</v>
      </c>
      <c r="P2098" t="s">
        <v>7041</v>
      </c>
      <c r="Q2098" t="s">
        <v>6565</v>
      </c>
      <c r="R2098" t="s">
        <v>6566</v>
      </c>
      <c r="S2098" t="s">
        <v>7842</v>
      </c>
      <c r="T2098" t="s">
        <v>550</v>
      </c>
      <c r="U2098" t="s">
        <v>550</v>
      </c>
      <c r="V2098" t="s">
        <v>7864</v>
      </c>
      <c r="W2098" t="s">
        <v>6964</v>
      </c>
      <c r="X2098" t="s">
        <v>6451</v>
      </c>
      <c r="Y2098" t="s">
        <v>6452</v>
      </c>
      <c r="Z2098" t="s">
        <v>7862</v>
      </c>
    </row>
    <row r="2099" spans="1:26" x14ac:dyDescent="0.3">
      <c r="A2099" t="s">
        <v>330</v>
      </c>
      <c r="B2099" t="s">
        <v>7865</v>
      </c>
      <c r="C2099" t="s">
        <v>7863</v>
      </c>
      <c r="D2099" t="s">
        <v>7859</v>
      </c>
      <c r="E2099" t="s">
        <v>6417</v>
      </c>
      <c r="F2099" t="s">
        <v>1040</v>
      </c>
      <c r="G2099" s="1">
        <v>43467</v>
      </c>
      <c r="H2099" s="1">
        <v>43830</v>
      </c>
      <c r="I2099" t="s">
        <v>665</v>
      </c>
      <c r="J2099" t="s">
        <v>6418</v>
      </c>
      <c r="K2099" t="s">
        <v>958</v>
      </c>
      <c r="L2099" t="s">
        <v>6419</v>
      </c>
      <c r="M2099" t="s">
        <v>913</v>
      </c>
      <c r="N2099" t="s">
        <v>914</v>
      </c>
      <c r="O2099" t="s">
        <v>7040</v>
      </c>
      <c r="P2099" t="s">
        <v>7041</v>
      </c>
      <c r="Q2099" t="s">
        <v>6565</v>
      </c>
      <c r="R2099" t="s">
        <v>6566</v>
      </c>
      <c r="S2099" t="s">
        <v>7860</v>
      </c>
      <c r="T2099" t="s">
        <v>550</v>
      </c>
      <c r="U2099" t="s">
        <v>550</v>
      </c>
      <c r="V2099" t="s">
        <v>7866</v>
      </c>
      <c r="W2099" t="s">
        <v>6964</v>
      </c>
      <c r="X2099" t="s">
        <v>6451</v>
      </c>
      <c r="Y2099" t="s">
        <v>6452</v>
      </c>
      <c r="Z2099" t="s">
        <v>7865</v>
      </c>
    </row>
    <row r="2100" spans="1:26" x14ac:dyDescent="0.3">
      <c r="A2100" t="s">
        <v>330</v>
      </c>
      <c r="B2100" t="s">
        <v>7867</v>
      </c>
      <c r="C2100" t="s">
        <v>7868</v>
      </c>
      <c r="D2100" t="s">
        <v>7859</v>
      </c>
      <c r="E2100" t="s">
        <v>6417</v>
      </c>
      <c r="F2100" t="s">
        <v>1040</v>
      </c>
      <c r="G2100" s="1">
        <v>43467</v>
      </c>
      <c r="H2100" s="1">
        <v>43830</v>
      </c>
      <c r="I2100" t="s">
        <v>665</v>
      </c>
      <c r="J2100" t="s">
        <v>6418</v>
      </c>
      <c r="K2100" t="s">
        <v>958</v>
      </c>
      <c r="L2100" t="s">
        <v>6419</v>
      </c>
      <c r="M2100" t="s">
        <v>7869</v>
      </c>
      <c r="N2100" t="s">
        <v>7870</v>
      </c>
      <c r="O2100" t="s">
        <v>7040</v>
      </c>
      <c r="P2100" t="s">
        <v>7041</v>
      </c>
      <c r="Q2100" t="s">
        <v>6565</v>
      </c>
      <c r="R2100" t="s">
        <v>6566</v>
      </c>
      <c r="S2100" t="s">
        <v>7860</v>
      </c>
      <c r="T2100" t="s">
        <v>550</v>
      </c>
      <c r="U2100" t="s">
        <v>550</v>
      </c>
      <c r="V2100" t="s">
        <v>7871</v>
      </c>
      <c r="W2100" t="s">
        <v>6964</v>
      </c>
      <c r="X2100" t="s">
        <v>6451</v>
      </c>
      <c r="Y2100" t="s">
        <v>6452</v>
      </c>
      <c r="Z2100" t="s">
        <v>7867</v>
      </c>
    </row>
    <row r="2101" spans="1:26" x14ac:dyDescent="0.3">
      <c r="A2101" t="s">
        <v>330</v>
      </c>
      <c r="B2101" t="s">
        <v>7872</v>
      </c>
      <c r="C2101" t="s">
        <v>7868</v>
      </c>
      <c r="D2101" t="s">
        <v>7839</v>
      </c>
      <c r="E2101" t="s">
        <v>6417</v>
      </c>
      <c r="F2101" t="s">
        <v>1040</v>
      </c>
      <c r="G2101" s="1">
        <v>43102</v>
      </c>
      <c r="H2101" s="1">
        <v>43465</v>
      </c>
      <c r="I2101" t="s">
        <v>665</v>
      </c>
      <c r="J2101" t="s">
        <v>6418</v>
      </c>
      <c r="K2101" t="s">
        <v>958</v>
      </c>
      <c r="L2101" t="s">
        <v>6419</v>
      </c>
      <c r="M2101" t="s">
        <v>7869</v>
      </c>
      <c r="N2101" t="s">
        <v>7870</v>
      </c>
      <c r="O2101" t="s">
        <v>7040</v>
      </c>
      <c r="P2101" t="s">
        <v>7041</v>
      </c>
      <c r="Q2101" t="s">
        <v>6565</v>
      </c>
      <c r="R2101" t="s">
        <v>6566</v>
      </c>
      <c r="S2101" t="s">
        <v>7842</v>
      </c>
      <c r="T2101" t="s">
        <v>550</v>
      </c>
      <c r="U2101" t="s">
        <v>550</v>
      </c>
      <c r="V2101" t="s">
        <v>7873</v>
      </c>
      <c r="W2101" t="s">
        <v>6964</v>
      </c>
      <c r="X2101" t="s">
        <v>6451</v>
      </c>
      <c r="Y2101" t="s">
        <v>6452</v>
      </c>
      <c r="Z2101" t="s">
        <v>7872</v>
      </c>
    </row>
    <row r="2102" spans="1:26" x14ac:dyDescent="0.3">
      <c r="A2102" t="s">
        <v>330</v>
      </c>
      <c r="B2102" t="s">
        <v>7874</v>
      </c>
      <c r="C2102" t="s">
        <v>7875</v>
      </c>
      <c r="D2102" t="s">
        <v>7859</v>
      </c>
      <c r="E2102" t="s">
        <v>6417</v>
      </c>
      <c r="F2102" t="s">
        <v>1040</v>
      </c>
      <c r="G2102" s="1">
        <v>43467</v>
      </c>
      <c r="H2102" s="1">
        <v>43830</v>
      </c>
      <c r="I2102" t="s">
        <v>665</v>
      </c>
      <c r="J2102" t="s">
        <v>6418</v>
      </c>
      <c r="K2102" t="s">
        <v>958</v>
      </c>
      <c r="L2102" t="s">
        <v>6419</v>
      </c>
      <c r="M2102" t="s">
        <v>7876</v>
      </c>
      <c r="N2102" t="s">
        <v>7877</v>
      </c>
      <c r="O2102" t="s">
        <v>7040</v>
      </c>
      <c r="P2102" t="s">
        <v>7041</v>
      </c>
      <c r="Q2102" t="s">
        <v>6565</v>
      </c>
      <c r="R2102" t="s">
        <v>6566</v>
      </c>
      <c r="S2102" t="s">
        <v>7860</v>
      </c>
      <c r="T2102" t="s">
        <v>550</v>
      </c>
      <c r="U2102" t="s">
        <v>550</v>
      </c>
      <c r="V2102" t="s">
        <v>7878</v>
      </c>
      <c r="W2102" t="s">
        <v>6964</v>
      </c>
      <c r="X2102" t="s">
        <v>6451</v>
      </c>
      <c r="Y2102" t="s">
        <v>6452</v>
      </c>
      <c r="Z2102" t="s">
        <v>7874</v>
      </c>
    </row>
    <row r="2103" spans="1:26" x14ac:dyDescent="0.3">
      <c r="A2103" t="s">
        <v>330</v>
      </c>
      <c r="B2103" t="s">
        <v>7879</v>
      </c>
      <c r="C2103" t="s">
        <v>7820</v>
      </c>
      <c r="D2103" t="s">
        <v>7845</v>
      </c>
      <c r="E2103" t="s">
        <v>6417</v>
      </c>
      <c r="F2103" t="s">
        <v>1040</v>
      </c>
      <c r="G2103" s="1">
        <v>43102</v>
      </c>
      <c r="H2103" s="1">
        <v>43465</v>
      </c>
      <c r="I2103" t="s">
        <v>665</v>
      </c>
      <c r="J2103" t="s">
        <v>6418</v>
      </c>
      <c r="K2103" t="s">
        <v>958</v>
      </c>
      <c r="L2103" t="s">
        <v>6419</v>
      </c>
      <c r="M2103" t="s">
        <v>7876</v>
      </c>
      <c r="N2103" t="s">
        <v>7877</v>
      </c>
      <c r="O2103" t="s">
        <v>7040</v>
      </c>
      <c r="P2103" t="s">
        <v>7041</v>
      </c>
      <c r="Q2103" t="s">
        <v>6565</v>
      </c>
      <c r="R2103" t="s">
        <v>6566</v>
      </c>
      <c r="S2103" t="s">
        <v>7842</v>
      </c>
      <c r="T2103" t="s">
        <v>550</v>
      </c>
      <c r="U2103" t="s">
        <v>550</v>
      </c>
      <c r="V2103" t="s">
        <v>7880</v>
      </c>
      <c r="W2103" t="s">
        <v>6964</v>
      </c>
      <c r="X2103" t="s">
        <v>6451</v>
      </c>
      <c r="Y2103" t="s">
        <v>6452</v>
      </c>
      <c r="Z2103" t="s">
        <v>7879</v>
      </c>
    </row>
    <row r="2104" spans="1:26" x14ac:dyDescent="0.3">
      <c r="A2104" t="s">
        <v>330</v>
      </c>
      <c r="B2104" t="s">
        <v>7881</v>
      </c>
      <c r="C2104" t="s">
        <v>7875</v>
      </c>
      <c r="D2104" t="s">
        <v>7839</v>
      </c>
      <c r="E2104" t="s">
        <v>6417</v>
      </c>
      <c r="F2104" t="s">
        <v>1040</v>
      </c>
      <c r="G2104" s="1">
        <v>43102</v>
      </c>
      <c r="H2104" s="1">
        <v>43465</v>
      </c>
      <c r="I2104" t="s">
        <v>665</v>
      </c>
      <c r="J2104" t="s">
        <v>6418</v>
      </c>
      <c r="K2104" t="s">
        <v>958</v>
      </c>
      <c r="L2104" t="s">
        <v>6419</v>
      </c>
      <c r="M2104" t="s">
        <v>7876</v>
      </c>
      <c r="N2104" t="s">
        <v>7877</v>
      </c>
      <c r="O2104" t="s">
        <v>7040</v>
      </c>
      <c r="P2104" t="s">
        <v>7041</v>
      </c>
      <c r="Q2104" t="s">
        <v>6565</v>
      </c>
      <c r="R2104" t="s">
        <v>6566</v>
      </c>
      <c r="S2104" t="s">
        <v>7842</v>
      </c>
      <c r="T2104" t="s">
        <v>550</v>
      </c>
      <c r="U2104" t="s">
        <v>550</v>
      </c>
      <c r="V2104" t="s">
        <v>7882</v>
      </c>
      <c r="W2104" t="s">
        <v>6964</v>
      </c>
      <c r="X2104" t="s">
        <v>6451</v>
      </c>
      <c r="Y2104" t="s">
        <v>6452</v>
      </c>
      <c r="Z2104" t="s">
        <v>7881</v>
      </c>
    </row>
    <row r="2105" spans="1:26" x14ac:dyDescent="0.3">
      <c r="A2105" t="s">
        <v>330</v>
      </c>
      <c r="B2105" t="s">
        <v>7883</v>
      </c>
      <c r="C2105" t="s">
        <v>7884</v>
      </c>
      <c r="D2105" t="s">
        <v>7212</v>
      </c>
      <c r="E2105" t="s">
        <v>6417</v>
      </c>
      <c r="F2105" t="s">
        <v>1040</v>
      </c>
      <c r="G2105" s="1">
        <v>43102</v>
      </c>
      <c r="H2105" s="1">
        <v>43465</v>
      </c>
      <c r="I2105" t="s">
        <v>665</v>
      </c>
      <c r="J2105" t="s">
        <v>6418</v>
      </c>
      <c r="K2105" t="s">
        <v>958</v>
      </c>
      <c r="L2105" t="s">
        <v>6419</v>
      </c>
      <c r="M2105" t="s">
        <v>971</v>
      </c>
      <c r="N2105" t="s">
        <v>972</v>
      </c>
      <c r="O2105" t="s">
        <v>3037</v>
      </c>
      <c r="P2105" t="s">
        <v>3038</v>
      </c>
      <c r="Q2105" t="s">
        <v>6565</v>
      </c>
      <c r="R2105" t="s">
        <v>6566</v>
      </c>
      <c r="S2105" t="s">
        <v>7213</v>
      </c>
      <c r="T2105" t="s">
        <v>550</v>
      </c>
      <c r="U2105" t="s">
        <v>550</v>
      </c>
      <c r="V2105" t="s">
        <v>7885</v>
      </c>
      <c r="W2105" t="s">
        <v>6972</v>
      </c>
      <c r="X2105" t="s">
        <v>6451</v>
      </c>
      <c r="Y2105" t="s">
        <v>6452</v>
      </c>
      <c r="Z2105" t="s">
        <v>7883</v>
      </c>
    </row>
    <row r="2106" spans="1:26" x14ac:dyDescent="0.3">
      <c r="A2106" t="s">
        <v>330</v>
      </c>
      <c r="B2106" t="s">
        <v>7886</v>
      </c>
      <c r="C2106" t="s">
        <v>7887</v>
      </c>
      <c r="D2106" t="s">
        <v>7212</v>
      </c>
      <c r="E2106" t="s">
        <v>6417</v>
      </c>
      <c r="F2106" t="s">
        <v>1040</v>
      </c>
      <c r="G2106" s="1">
        <v>43102</v>
      </c>
      <c r="H2106" s="1">
        <v>43465</v>
      </c>
      <c r="I2106" t="s">
        <v>665</v>
      </c>
      <c r="J2106" t="s">
        <v>6418</v>
      </c>
      <c r="K2106" t="s">
        <v>958</v>
      </c>
      <c r="L2106" t="s">
        <v>6419</v>
      </c>
      <c r="M2106" t="s">
        <v>3037</v>
      </c>
      <c r="N2106" t="s">
        <v>3038</v>
      </c>
      <c r="O2106" t="s">
        <v>3037</v>
      </c>
      <c r="P2106" t="s">
        <v>3038</v>
      </c>
      <c r="Q2106" t="s">
        <v>6565</v>
      </c>
      <c r="R2106" t="s">
        <v>6566</v>
      </c>
      <c r="S2106" t="s">
        <v>7213</v>
      </c>
      <c r="T2106" t="s">
        <v>550</v>
      </c>
      <c r="U2106" t="s">
        <v>550</v>
      </c>
      <c r="V2106" t="s">
        <v>7888</v>
      </c>
      <c r="W2106" t="s">
        <v>6972</v>
      </c>
      <c r="X2106" t="s">
        <v>6451</v>
      </c>
      <c r="Y2106" t="s">
        <v>6452</v>
      </c>
      <c r="Z2106" t="s">
        <v>7886</v>
      </c>
    </row>
    <row r="2107" spans="1:26" x14ac:dyDescent="0.3">
      <c r="A2107" t="s">
        <v>330</v>
      </c>
      <c r="B2107" t="s">
        <v>7889</v>
      </c>
      <c r="C2107" t="s">
        <v>7890</v>
      </c>
      <c r="D2107" t="s">
        <v>950</v>
      </c>
      <c r="E2107" t="s">
        <v>816</v>
      </c>
      <c r="F2107" t="s">
        <v>817</v>
      </c>
      <c r="G2107" s="1">
        <v>43710</v>
      </c>
      <c r="H2107" s="1">
        <v>43712</v>
      </c>
      <c r="I2107" t="s">
        <v>665</v>
      </c>
      <c r="J2107" t="s">
        <v>816</v>
      </c>
      <c r="K2107" t="s">
        <v>900</v>
      </c>
      <c r="L2107" t="s">
        <v>901</v>
      </c>
      <c r="M2107" t="s">
        <v>3037</v>
      </c>
      <c r="N2107" t="s">
        <v>3038</v>
      </c>
      <c r="O2107" t="s">
        <v>3037</v>
      </c>
      <c r="P2107" t="s">
        <v>3038</v>
      </c>
      <c r="Q2107" t="s">
        <v>6565</v>
      </c>
      <c r="R2107" t="s">
        <v>6566</v>
      </c>
      <c r="S2107" t="s">
        <v>550</v>
      </c>
      <c r="T2107" t="s">
        <v>550</v>
      </c>
      <c r="U2107" t="s">
        <v>550</v>
      </c>
      <c r="V2107" t="s">
        <v>7891</v>
      </c>
      <c r="W2107" t="s">
        <v>7892</v>
      </c>
      <c r="X2107" t="s">
        <v>908</v>
      </c>
      <c r="Y2107" t="s">
        <v>909</v>
      </c>
      <c r="Z2107" t="s">
        <v>7889</v>
      </c>
    </row>
    <row r="2108" spans="1:26" x14ac:dyDescent="0.3">
      <c r="A2108" t="s">
        <v>330</v>
      </c>
      <c r="B2108" t="s">
        <v>7893</v>
      </c>
      <c r="C2108" t="s">
        <v>7894</v>
      </c>
      <c r="D2108" t="s">
        <v>550</v>
      </c>
      <c r="E2108" t="s">
        <v>7895</v>
      </c>
      <c r="F2108" t="s">
        <v>7896</v>
      </c>
      <c r="G2108" s="1">
        <v>43313</v>
      </c>
      <c r="H2108" s="1">
        <v>43315</v>
      </c>
      <c r="I2108" t="s">
        <v>665</v>
      </c>
      <c r="J2108" t="s">
        <v>7897</v>
      </c>
      <c r="K2108" t="s">
        <v>24</v>
      </c>
      <c r="L2108" t="s">
        <v>809</v>
      </c>
      <c r="M2108" t="s">
        <v>3037</v>
      </c>
      <c r="N2108" t="s">
        <v>3038</v>
      </c>
      <c r="O2108" t="s">
        <v>3037</v>
      </c>
      <c r="P2108" t="s">
        <v>3038</v>
      </c>
      <c r="Q2108" t="s">
        <v>6565</v>
      </c>
      <c r="R2108" t="s">
        <v>6566</v>
      </c>
      <c r="S2108" t="s">
        <v>803</v>
      </c>
      <c r="T2108" t="s">
        <v>550</v>
      </c>
      <c r="U2108" t="s">
        <v>550</v>
      </c>
      <c r="V2108" t="s">
        <v>7898</v>
      </c>
      <c r="W2108" t="s">
        <v>7892</v>
      </c>
      <c r="X2108" t="s">
        <v>809</v>
      </c>
      <c r="Y2108" t="s">
        <v>803</v>
      </c>
      <c r="Z2108" t="s">
        <v>7893</v>
      </c>
    </row>
    <row r="2109" spans="1:26" x14ac:dyDescent="0.3">
      <c r="A2109" t="s">
        <v>330</v>
      </c>
      <c r="B2109" t="s">
        <v>7899</v>
      </c>
      <c r="C2109" t="s">
        <v>7900</v>
      </c>
      <c r="D2109" t="s">
        <v>550</v>
      </c>
      <c r="E2109" t="s">
        <v>7204</v>
      </c>
      <c r="F2109" t="s">
        <v>7901</v>
      </c>
      <c r="G2109" s="1">
        <v>43313</v>
      </c>
      <c r="H2109" s="1">
        <v>43320</v>
      </c>
      <c r="I2109" t="s">
        <v>665</v>
      </c>
      <c r="J2109" t="s">
        <v>7088</v>
      </c>
      <c r="K2109" t="s">
        <v>24</v>
      </c>
      <c r="L2109" t="s">
        <v>809</v>
      </c>
      <c r="M2109" t="s">
        <v>3037</v>
      </c>
      <c r="N2109" t="s">
        <v>3038</v>
      </c>
      <c r="O2109" t="s">
        <v>3037</v>
      </c>
      <c r="P2109" t="s">
        <v>3038</v>
      </c>
      <c r="Q2109" t="s">
        <v>6565</v>
      </c>
      <c r="R2109" t="s">
        <v>6566</v>
      </c>
      <c r="S2109" t="s">
        <v>803</v>
      </c>
      <c r="T2109" t="s">
        <v>550</v>
      </c>
      <c r="U2109" t="s">
        <v>550</v>
      </c>
      <c r="V2109" t="s">
        <v>7902</v>
      </c>
      <c r="W2109" t="s">
        <v>7892</v>
      </c>
      <c r="X2109" t="s">
        <v>809</v>
      </c>
      <c r="Y2109" t="s">
        <v>803</v>
      </c>
      <c r="Z2109" t="s">
        <v>7899</v>
      </c>
    </row>
    <row r="2110" spans="1:26" x14ac:dyDescent="0.3">
      <c r="A2110" t="s">
        <v>330</v>
      </c>
      <c r="B2110" t="s">
        <v>7903</v>
      </c>
      <c r="C2110" t="s">
        <v>7904</v>
      </c>
      <c r="D2110" t="s">
        <v>550</v>
      </c>
      <c r="E2110" t="s">
        <v>7494</v>
      </c>
      <c r="F2110" t="s">
        <v>3057</v>
      </c>
      <c r="G2110" s="1">
        <v>43313</v>
      </c>
      <c r="H2110" s="1">
        <v>43326</v>
      </c>
      <c r="I2110" t="s">
        <v>665</v>
      </c>
      <c r="J2110" t="s">
        <v>7495</v>
      </c>
      <c r="K2110" t="s">
        <v>808</v>
      </c>
      <c r="L2110" t="s">
        <v>809</v>
      </c>
      <c r="M2110" t="s">
        <v>3037</v>
      </c>
      <c r="N2110" t="s">
        <v>3038</v>
      </c>
      <c r="O2110" t="s">
        <v>3037</v>
      </c>
      <c r="P2110" t="s">
        <v>3038</v>
      </c>
      <c r="Q2110" t="s">
        <v>6565</v>
      </c>
      <c r="R2110" t="s">
        <v>6566</v>
      </c>
      <c r="S2110" t="s">
        <v>803</v>
      </c>
      <c r="T2110" t="s">
        <v>550</v>
      </c>
      <c r="U2110" t="s">
        <v>550</v>
      </c>
      <c r="V2110" t="s">
        <v>7905</v>
      </c>
      <c r="W2110" t="s">
        <v>7892</v>
      </c>
      <c r="X2110" t="s">
        <v>809</v>
      </c>
      <c r="Y2110" t="s">
        <v>803</v>
      </c>
      <c r="Z2110" t="s">
        <v>7903</v>
      </c>
    </row>
    <row r="2111" spans="1:26" x14ac:dyDescent="0.3">
      <c r="A2111" t="s">
        <v>330</v>
      </c>
      <c r="B2111" t="s">
        <v>7906</v>
      </c>
      <c r="C2111" t="s">
        <v>7907</v>
      </c>
      <c r="D2111" t="s">
        <v>550</v>
      </c>
      <c r="E2111" t="s">
        <v>7494</v>
      </c>
      <c r="F2111" t="s">
        <v>3057</v>
      </c>
      <c r="G2111" s="1">
        <v>43467</v>
      </c>
      <c r="H2111" s="1">
        <v>43830</v>
      </c>
      <c r="I2111" t="s">
        <v>665</v>
      </c>
      <c r="J2111" t="s">
        <v>7495</v>
      </c>
      <c r="K2111" t="s">
        <v>24</v>
      </c>
      <c r="L2111" t="s">
        <v>809</v>
      </c>
      <c r="M2111" t="s">
        <v>3037</v>
      </c>
      <c r="N2111" t="s">
        <v>3038</v>
      </c>
      <c r="O2111" t="s">
        <v>3037</v>
      </c>
      <c r="P2111" t="s">
        <v>3038</v>
      </c>
      <c r="Q2111" t="s">
        <v>6565</v>
      </c>
      <c r="R2111" t="s">
        <v>6566</v>
      </c>
      <c r="S2111" t="s">
        <v>7208</v>
      </c>
      <c r="T2111" t="s">
        <v>550</v>
      </c>
      <c r="U2111" t="s">
        <v>550</v>
      </c>
      <c r="V2111" t="s">
        <v>7908</v>
      </c>
      <c r="W2111" t="s">
        <v>7892</v>
      </c>
      <c r="X2111" t="s">
        <v>809</v>
      </c>
      <c r="Y2111" t="s">
        <v>803</v>
      </c>
      <c r="Z2111" t="s">
        <v>7906</v>
      </c>
    </row>
    <row r="2112" spans="1:26" x14ac:dyDescent="0.3">
      <c r="A2112" t="s">
        <v>330</v>
      </c>
      <c r="B2112" t="s">
        <v>7909</v>
      </c>
      <c r="C2112" t="s">
        <v>7910</v>
      </c>
      <c r="D2112" t="s">
        <v>550</v>
      </c>
      <c r="E2112" t="s">
        <v>7090</v>
      </c>
      <c r="F2112" t="s">
        <v>3049</v>
      </c>
      <c r="G2112" s="1">
        <v>43467</v>
      </c>
      <c r="H2112" s="1">
        <v>43830</v>
      </c>
      <c r="I2112" t="s">
        <v>665</v>
      </c>
      <c r="J2112" t="s">
        <v>7494</v>
      </c>
      <c r="K2112" t="s">
        <v>24</v>
      </c>
      <c r="L2112" t="s">
        <v>809</v>
      </c>
      <c r="M2112" t="s">
        <v>3037</v>
      </c>
      <c r="N2112" t="s">
        <v>3038</v>
      </c>
      <c r="O2112" t="s">
        <v>3037</v>
      </c>
      <c r="P2112" t="s">
        <v>3038</v>
      </c>
      <c r="Q2112" t="s">
        <v>6565</v>
      </c>
      <c r="R2112" t="s">
        <v>6566</v>
      </c>
      <c r="S2112" t="s">
        <v>7208</v>
      </c>
      <c r="T2112" t="s">
        <v>550</v>
      </c>
      <c r="U2112" t="s">
        <v>550</v>
      </c>
      <c r="V2112" t="s">
        <v>7911</v>
      </c>
      <c r="W2112" t="s">
        <v>7892</v>
      </c>
      <c r="X2112" t="s">
        <v>809</v>
      </c>
      <c r="Y2112" t="s">
        <v>803</v>
      </c>
      <c r="Z2112" t="s">
        <v>7909</v>
      </c>
    </row>
    <row r="2113" spans="1:26" x14ac:dyDescent="0.3">
      <c r="A2113" t="s">
        <v>330</v>
      </c>
      <c r="B2113" t="s">
        <v>7912</v>
      </c>
      <c r="C2113" t="s">
        <v>7913</v>
      </c>
      <c r="D2113" t="s">
        <v>550</v>
      </c>
      <c r="E2113" t="s">
        <v>7177</v>
      </c>
      <c r="F2113" t="s">
        <v>3223</v>
      </c>
      <c r="G2113" s="1">
        <v>43696</v>
      </c>
      <c r="H2113" s="1">
        <v>43713</v>
      </c>
      <c r="I2113" t="s">
        <v>665</v>
      </c>
      <c r="J2113" t="s">
        <v>7178</v>
      </c>
      <c r="K2113" t="s">
        <v>841</v>
      </c>
      <c r="L2113" t="s">
        <v>809</v>
      </c>
      <c r="M2113" t="s">
        <v>3037</v>
      </c>
      <c r="N2113" t="s">
        <v>3038</v>
      </c>
      <c r="O2113" t="s">
        <v>3037</v>
      </c>
      <c r="P2113" t="s">
        <v>3038</v>
      </c>
      <c r="Q2113" t="s">
        <v>6565</v>
      </c>
      <c r="R2113" t="s">
        <v>6566</v>
      </c>
      <c r="S2113" t="s">
        <v>803</v>
      </c>
      <c r="T2113" t="s">
        <v>550</v>
      </c>
      <c r="U2113" t="s">
        <v>550</v>
      </c>
      <c r="V2113" t="s">
        <v>7914</v>
      </c>
      <c r="W2113" t="s">
        <v>7892</v>
      </c>
      <c r="X2113" t="s">
        <v>809</v>
      </c>
      <c r="Y2113" t="s">
        <v>803</v>
      </c>
      <c r="Z2113" t="s">
        <v>7912</v>
      </c>
    </row>
    <row r="2114" spans="1:26" x14ac:dyDescent="0.3">
      <c r="A2114" t="s">
        <v>330</v>
      </c>
      <c r="B2114" t="s">
        <v>7915</v>
      </c>
      <c r="C2114" t="s">
        <v>7916</v>
      </c>
      <c r="D2114" t="s">
        <v>550</v>
      </c>
      <c r="E2114" t="s">
        <v>7494</v>
      </c>
      <c r="F2114" t="s">
        <v>3057</v>
      </c>
      <c r="G2114" s="1">
        <v>43831</v>
      </c>
      <c r="H2114" s="1">
        <v>44092</v>
      </c>
      <c r="I2114" t="s">
        <v>665</v>
      </c>
      <c r="J2114" t="s">
        <v>7495</v>
      </c>
      <c r="K2114" t="s">
        <v>958</v>
      </c>
      <c r="L2114" t="s">
        <v>809</v>
      </c>
      <c r="M2114" t="s">
        <v>3037</v>
      </c>
      <c r="N2114" t="s">
        <v>3038</v>
      </c>
      <c r="O2114" t="s">
        <v>3037</v>
      </c>
      <c r="P2114" t="s">
        <v>3038</v>
      </c>
      <c r="Q2114" t="s">
        <v>6565</v>
      </c>
      <c r="R2114" t="s">
        <v>6566</v>
      </c>
      <c r="S2114" t="s">
        <v>7208</v>
      </c>
      <c r="T2114" t="s">
        <v>550</v>
      </c>
      <c r="U2114" t="s">
        <v>550</v>
      </c>
      <c r="V2114" t="s">
        <v>7917</v>
      </c>
      <c r="W2114" t="s">
        <v>7892</v>
      </c>
      <c r="X2114" t="s">
        <v>809</v>
      </c>
      <c r="Y2114" t="s">
        <v>803</v>
      </c>
      <c r="Z2114" t="s">
        <v>7915</v>
      </c>
    </row>
    <row r="2115" spans="1:26" x14ac:dyDescent="0.3">
      <c r="A2115" t="s">
        <v>330</v>
      </c>
      <c r="B2115" t="s">
        <v>7918</v>
      </c>
      <c r="C2115" t="s">
        <v>7919</v>
      </c>
      <c r="D2115" t="s">
        <v>550</v>
      </c>
      <c r="E2115" t="s">
        <v>7178</v>
      </c>
      <c r="F2115" t="s">
        <v>7920</v>
      </c>
      <c r="G2115" s="1">
        <v>43556</v>
      </c>
      <c r="H2115" s="1">
        <v>43556</v>
      </c>
      <c r="I2115" t="s">
        <v>665</v>
      </c>
      <c r="J2115" t="s">
        <v>7526</v>
      </c>
      <c r="K2115" t="s">
        <v>958</v>
      </c>
      <c r="L2115" t="s">
        <v>809</v>
      </c>
      <c r="M2115" t="s">
        <v>3037</v>
      </c>
      <c r="N2115" t="s">
        <v>3038</v>
      </c>
      <c r="O2115" t="s">
        <v>3037</v>
      </c>
      <c r="P2115" t="s">
        <v>3038</v>
      </c>
      <c r="Q2115" t="s">
        <v>6565</v>
      </c>
      <c r="R2115" t="s">
        <v>6566</v>
      </c>
      <c r="S2115" t="s">
        <v>803</v>
      </c>
      <c r="T2115" t="s">
        <v>550</v>
      </c>
      <c r="U2115" t="s">
        <v>550</v>
      </c>
      <c r="V2115" t="s">
        <v>7921</v>
      </c>
      <c r="W2115" t="s">
        <v>7892</v>
      </c>
      <c r="X2115" t="s">
        <v>809</v>
      </c>
      <c r="Y2115" t="s">
        <v>7099</v>
      </c>
      <c r="Z2115" t="s">
        <v>7918</v>
      </c>
    </row>
    <row r="2116" spans="1:26" x14ac:dyDescent="0.3">
      <c r="A2116" t="s">
        <v>330</v>
      </c>
      <c r="B2116" t="s">
        <v>7922</v>
      </c>
      <c r="C2116" t="s">
        <v>6623</v>
      </c>
      <c r="D2116" t="s">
        <v>7923</v>
      </c>
      <c r="E2116" t="s">
        <v>6417</v>
      </c>
      <c r="F2116" t="s">
        <v>1040</v>
      </c>
      <c r="G2116" s="1">
        <v>44197</v>
      </c>
      <c r="H2116" s="1">
        <v>44428</v>
      </c>
      <c r="I2116" t="s">
        <v>665</v>
      </c>
      <c r="J2116" t="s">
        <v>6418</v>
      </c>
      <c r="K2116" t="s">
        <v>958</v>
      </c>
      <c r="L2116" t="s">
        <v>6419</v>
      </c>
      <c r="M2116" t="s">
        <v>7311</v>
      </c>
      <c r="N2116" t="s">
        <v>7312</v>
      </c>
      <c r="O2116" t="s">
        <v>7750</v>
      </c>
      <c r="P2116" t="s">
        <v>7751</v>
      </c>
      <c r="Q2116" t="s">
        <v>6565</v>
      </c>
      <c r="R2116" t="s">
        <v>6566</v>
      </c>
      <c r="S2116" t="s">
        <v>7924</v>
      </c>
      <c r="T2116" t="s">
        <v>550</v>
      </c>
      <c r="U2116" t="s">
        <v>550</v>
      </c>
      <c r="V2116" t="s">
        <v>7925</v>
      </c>
      <c r="W2116" t="s">
        <v>6428</v>
      </c>
      <c r="X2116" t="s">
        <v>6451</v>
      </c>
      <c r="Y2116" t="s">
        <v>6452</v>
      </c>
      <c r="Z2116" t="s">
        <v>7922</v>
      </c>
    </row>
    <row r="2117" spans="1:26" x14ac:dyDescent="0.3">
      <c r="A2117" t="s">
        <v>330</v>
      </c>
      <c r="B2117" t="s">
        <v>7926</v>
      </c>
      <c r="C2117" t="s">
        <v>6623</v>
      </c>
      <c r="D2117" t="s">
        <v>7927</v>
      </c>
      <c r="E2117" t="s">
        <v>6417</v>
      </c>
      <c r="F2117" t="s">
        <v>1040</v>
      </c>
      <c r="G2117" s="1">
        <v>43102</v>
      </c>
      <c r="H2117" s="1">
        <v>43465</v>
      </c>
      <c r="I2117" t="s">
        <v>665</v>
      </c>
      <c r="J2117" t="s">
        <v>6418</v>
      </c>
      <c r="K2117" t="s">
        <v>958</v>
      </c>
      <c r="L2117" t="s">
        <v>6419</v>
      </c>
      <c r="M2117" t="s">
        <v>7311</v>
      </c>
      <c r="N2117" t="s">
        <v>7312</v>
      </c>
      <c r="O2117" t="s">
        <v>7750</v>
      </c>
      <c r="P2117" t="s">
        <v>7751</v>
      </c>
      <c r="Q2117" t="s">
        <v>6565</v>
      </c>
      <c r="R2117" t="s">
        <v>6566</v>
      </c>
      <c r="S2117" t="s">
        <v>7928</v>
      </c>
      <c r="T2117" t="s">
        <v>550</v>
      </c>
      <c r="U2117" t="s">
        <v>550</v>
      </c>
      <c r="V2117" t="s">
        <v>7929</v>
      </c>
      <c r="W2117" t="s">
        <v>6428</v>
      </c>
      <c r="X2117" t="s">
        <v>6451</v>
      </c>
      <c r="Y2117" t="s">
        <v>6452</v>
      </c>
      <c r="Z2117" t="s">
        <v>7926</v>
      </c>
    </row>
    <row r="2118" spans="1:26" x14ac:dyDescent="0.3">
      <c r="A2118" t="s">
        <v>330</v>
      </c>
      <c r="B2118" t="s">
        <v>7930</v>
      </c>
      <c r="C2118" t="s">
        <v>6623</v>
      </c>
      <c r="D2118" t="s">
        <v>7931</v>
      </c>
      <c r="E2118" t="s">
        <v>6417</v>
      </c>
      <c r="F2118" t="s">
        <v>1040</v>
      </c>
      <c r="G2118" s="1">
        <v>43467</v>
      </c>
      <c r="H2118" s="1">
        <v>43830</v>
      </c>
      <c r="I2118" t="s">
        <v>665</v>
      </c>
      <c r="J2118" t="s">
        <v>6418</v>
      </c>
      <c r="K2118" t="s">
        <v>958</v>
      </c>
      <c r="L2118" t="s">
        <v>6419</v>
      </c>
      <c r="M2118" t="s">
        <v>7311</v>
      </c>
      <c r="N2118" t="s">
        <v>7312</v>
      </c>
      <c r="O2118" t="s">
        <v>7750</v>
      </c>
      <c r="P2118" t="s">
        <v>7751</v>
      </c>
      <c r="Q2118" t="s">
        <v>6565</v>
      </c>
      <c r="R2118" t="s">
        <v>6566</v>
      </c>
      <c r="S2118" t="s">
        <v>7932</v>
      </c>
      <c r="T2118" t="s">
        <v>550</v>
      </c>
      <c r="U2118" t="s">
        <v>550</v>
      </c>
      <c r="V2118" t="s">
        <v>7933</v>
      </c>
      <c r="W2118" t="s">
        <v>6428</v>
      </c>
      <c r="X2118" t="s">
        <v>6451</v>
      </c>
      <c r="Y2118" t="s">
        <v>6452</v>
      </c>
      <c r="Z2118" t="s">
        <v>7930</v>
      </c>
    </row>
    <row r="2119" spans="1:26" x14ac:dyDescent="0.3">
      <c r="A2119" t="s">
        <v>330</v>
      </c>
      <c r="B2119" t="s">
        <v>7934</v>
      </c>
      <c r="C2119" t="s">
        <v>7935</v>
      </c>
      <c r="D2119" t="s">
        <v>7923</v>
      </c>
      <c r="E2119" t="s">
        <v>6417</v>
      </c>
      <c r="F2119" t="s">
        <v>1040</v>
      </c>
      <c r="G2119" s="1">
        <v>44197</v>
      </c>
      <c r="H2119" s="1">
        <v>44258</v>
      </c>
      <c r="I2119" t="s">
        <v>665</v>
      </c>
      <c r="J2119" t="s">
        <v>6418</v>
      </c>
      <c r="K2119" t="s">
        <v>958</v>
      </c>
      <c r="L2119" t="s">
        <v>6419</v>
      </c>
      <c r="M2119" t="s">
        <v>7040</v>
      </c>
      <c r="N2119" t="s">
        <v>7041</v>
      </c>
      <c r="O2119" t="s">
        <v>7750</v>
      </c>
      <c r="P2119" t="s">
        <v>7751</v>
      </c>
      <c r="Q2119" t="s">
        <v>6565</v>
      </c>
      <c r="R2119" t="s">
        <v>6566</v>
      </c>
      <c r="S2119" t="s">
        <v>7924</v>
      </c>
      <c r="T2119" t="s">
        <v>550</v>
      </c>
      <c r="U2119" t="s">
        <v>550</v>
      </c>
      <c r="V2119" t="s">
        <v>7936</v>
      </c>
      <c r="W2119" t="s">
        <v>6428</v>
      </c>
      <c r="X2119" t="s">
        <v>6451</v>
      </c>
      <c r="Y2119" t="s">
        <v>6452</v>
      </c>
      <c r="Z2119" t="s">
        <v>7934</v>
      </c>
    </row>
    <row r="2120" spans="1:26" x14ac:dyDescent="0.3">
      <c r="A2120" t="s">
        <v>330</v>
      </c>
      <c r="B2120" t="s">
        <v>7937</v>
      </c>
      <c r="C2120" t="s">
        <v>6616</v>
      </c>
      <c r="D2120" t="s">
        <v>7927</v>
      </c>
      <c r="E2120" t="s">
        <v>6417</v>
      </c>
      <c r="F2120" t="s">
        <v>1040</v>
      </c>
      <c r="G2120" s="1">
        <v>43102</v>
      </c>
      <c r="H2120" s="1">
        <v>43465</v>
      </c>
      <c r="I2120" t="s">
        <v>665</v>
      </c>
      <c r="J2120" t="s">
        <v>6418</v>
      </c>
      <c r="K2120" t="s">
        <v>958</v>
      </c>
      <c r="L2120" t="s">
        <v>6419</v>
      </c>
      <c r="M2120" t="s">
        <v>7938</v>
      </c>
      <c r="N2120" t="s">
        <v>7939</v>
      </c>
      <c r="O2120" t="s">
        <v>7750</v>
      </c>
      <c r="P2120" t="s">
        <v>7751</v>
      </c>
      <c r="Q2120" t="s">
        <v>6565</v>
      </c>
      <c r="R2120" t="s">
        <v>6566</v>
      </c>
      <c r="S2120" t="s">
        <v>7928</v>
      </c>
      <c r="T2120" t="s">
        <v>550</v>
      </c>
      <c r="U2120" t="s">
        <v>550</v>
      </c>
      <c r="V2120" t="s">
        <v>7940</v>
      </c>
      <c r="W2120" t="s">
        <v>6428</v>
      </c>
      <c r="X2120" t="s">
        <v>6451</v>
      </c>
      <c r="Y2120" t="s">
        <v>6452</v>
      </c>
      <c r="Z2120" t="s">
        <v>7937</v>
      </c>
    </row>
    <row r="2121" spans="1:26" x14ac:dyDescent="0.3">
      <c r="A2121" t="s">
        <v>330</v>
      </c>
      <c r="B2121" t="s">
        <v>7941</v>
      </c>
      <c r="C2121" t="s">
        <v>6616</v>
      </c>
      <c r="D2121" t="s">
        <v>7923</v>
      </c>
      <c r="E2121" t="s">
        <v>6417</v>
      </c>
      <c r="F2121" t="s">
        <v>1040</v>
      </c>
      <c r="G2121" s="1">
        <v>44197</v>
      </c>
      <c r="H2121" s="1">
        <v>44385</v>
      </c>
      <c r="I2121" t="s">
        <v>665</v>
      </c>
      <c r="J2121" t="s">
        <v>6418</v>
      </c>
      <c r="K2121" t="s">
        <v>958</v>
      </c>
      <c r="L2121" t="s">
        <v>6419</v>
      </c>
      <c r="M2121" t="s">
        <v>7938</v>
      </c>
      <c r="N2121" t="s">
        <v>7939</v>
      </c>
      <c r="O2121" t="s">
        <v>7750</v>
      </c>
      <c r="P2121" t="s">
        <v>7751</v>
      </c>
      <c r="Q2121" t="s">
        <v>6565</v>
      </c>
      <c r="R2121" t="s">
        <v>6566</v>
      </c>
      <c r="S2121" t="s">
        <v>7924</v>
      </c>
      <c r="T2121" t="s">
        <v>550</v>
      </c>
      <c r="U2121" t="s">
        <v>550</v>
      </c>
      <c r="V2121" t="s">
        <v>7942</v>
      </c>
      <c r="W2121" t="s">
        <v>6428</v>
      </c>
      <c r="X2121" t="s">
        <v>6451</v>
      </c>
      <c r="Y2121" t="s">
        <v>6452</v>
      </c>
      <c r="Z2121" t="s">
        <v>7941</v>
      </c>
    </row>
    <row r="2122" spans="1:26" x14ac:dyDescent="0.3">
      <c r="A2122" t="s">
        <v>330</v>
      </c>
      <c r="B2122" t="s">
        <v>7943</v>
      </c>
      <c r="C2122" t="s">
        <v>6616</v>
      </c>
      <c r="D2122" t="s">
        <v>7931</v>
      </c>
      <c r="E2122" t="s">
        <v>6417</v>
      </c>
      <c r="F2122" t="s">
        <v>1040</v>
      </c>
      <c r="G2122" s="1">
        <v>43467</v>
      </c>
      <c r="H2122" s="1">
        <v>43830</v>
      </c>
      <c r="I2122" t="s">
        <v>665</v>
      </c>
      <c r="J2122" t="s">
        <v>6418</v>
      </c>
      <c r="K2122" t="s">
        <v>958</v>
      </c>
      <c r="L2122" t="s">
        <v>6419</v>
      </c>
      <c r="M2122" t="s">
        <v>7938</v>
      </c>
      <c r="N2122" t="s">
        <v>7939</v>
      </c>
      <c r="O2122" t="s">
        <v>7750</v>
      </c>
      <c r="P2122" t="s">
        <v>7751</v>
      </c>
      <c r="Q2122" t="s">
        <v>6565</v>
      </c>
      <c r="R2122" t="s">
        <v>6566</v>
      </c>
      <c r="S2122" t="s">
        <v>7932</v>
      </c>
      <c r="T2122" t="s">
        <v>550</v>
      </c>
      <c r="U2122" t="s">
        <v>550</v>
      </c>
      <c r="V2122" t="s">
        <v>7944</v>
      </c>
      <c r="W2122" t="s">
        <v>6428</v>
      </c>
      <c r="X2122" t="s">
        <v>6451</v>
      </c>
      <c r="Y2122" t="s">
        <v>6452</v>
      </c>
      <c r="Z2122" t="s">
        <v>7943</v>
      </c>
    </row>
    <row r="2123" spans="1:26" x14ac:dyDescent="0.3">
      <c r="A2123" t="s">
        <v>330</v>
      </c>
      <c r="B2123" t="s">
        <v>7923</v>
      </c>
      <c r="C2123" t="s">
        <v>6980</v>
      </c>
      <c r="D2123" t="s">
        <v>550</v>
      </c>
      <c r="E2123" t="s">
        <v>6417</v>
      </c>
      <c r="F2123" t="s">
        <v>1040</v>
      </c>
      <c r="G2123" s="1">
        <v>44197</v>
      </c>
      <c r="H2123" s="1">
        <v>44197</v>
      </c>
      <c r="I2123" t="s">
        <v>665</v>
      </c>
      <c r="J2123" t="s">
        <v>6418</v>
      </c>
      <c r="K2123" t="s">
        <v>958</v>
      </c>
      <c r="L2123" t="s">
        <v>6419</v>
      </c>
      <c r="M2123" t="s">
        <v>6867</v>
      </c>
      <c r="N2123" t="s">
        <v>6868</v>
      </c>
      <c r="O2123" t="s">
        <v>7750</v>
      </c>
      <c r="P2123" t="s">
        <v>7751</v>
      </c>
      <c r="Q2123" t="s">
        <v>6565</v>
      </c>
      <c r="R2123" t="s">
        <v>6566</v>
      </c>
      <c r="S2123" t="s">
        <v>7924</v>
      </c>
      <c r="T2123" t="s">
        <v>550</v>
      </c>
      <c r="U2123" t="s">
        <v>550</v>
      </c>
      <c r="V2123" t="s">
        <v>7945</v>
      </c>
      <c r="W2123" t="s">
        <v>6428</v>
      </c>
      <c r="X2123" t="s">
        <v>6451</v>
      </c>
      <c r="Y2123" t="s">
        <v>6452</v>
      </c>
      <c r="Z2123" t="s">
        <v>7923</v>
      </c>
    </row>
    <row r="2124" spans="1:26" x14ac:dyDescent="0.3">
      <c r="A2124" t="s">
        <v>330</v>
      </c>
      <c r="B2124" t="s">
        <v>7946</v>
      </c>
      <c r="C2124" t="s">
        <v>7947</v>
      </c>
      <c r="D2124" t="s">
        <v>7923</v>
      </c>
      <c r="E2124" t="s">
        <v>6417</v>
      </c>
      <c r="F2124" t="s">
        <v>1040</v>
      </c>
      <c r="G2124" s="1">
        <v>44197</v>
      </c>
      <c r="H2124" s="1">
        <v>45425</v>
      </c>
      <c r="I2124" t="s">
        <v>665</v>
      </c>
      <c r="J2124" t="s">
        <v>6418</v>
      </c>
      <c r="K2124" t="s">
        <v>958</v>
      </c>
      <c r="L2124" t="s">
        <v>6419</v>
      </c>
      <c r="M2124" t="s">
        <v>6867</v>
      </c>
      <c r="N2124" t="s">
        <v>6868</v>
      </c>
      <c r="O2124" t="s">
        <v>7750</v>
      </c>
      <c r="P2124" t="s">
        <v>7751</v>
      </c>
      <c r="Q2124" t="s">
        <v>6565</v>
      </c>
      <c r="R2124" t="s">
        <v>6566</v>
      </c>
      <c r="S2124" t="s">
        <v>7924</v>
      </c>
      <c r="T2124" t="s">
        <v>550</v>
      </c>
      <c r="U2124" t="s">
        <v>550</v>
      </c>
      <c r="V2124" t="s">
        <v>7948</v>
      </c>
      <c r="W2124" t="s">
        <v>6428</v>
      </c>
      <c r="X2124" t="s">
        <v>6451</v>
      </c>
      <c r="Y2124" t="s">
        <v>6452</v>
      </c>
      <c r="Z2124" t="s">
        <v>7946</v>
      </c>
    </row>
    <row r="2125" spans="1:26" x14ac:dyDescent="0.3">
      <c r="A2125" t="s">
        <v>330</v>
      </c>
      <c r="B2125" t="s">
        <v>7949</v>
      </c>
      <c r="C2125" t="s">
        <v>6626</v>
      </c>
      <c r="D2125" t="s">
        <v>7923</v>
      </c>
      <c r="E2125" t="s">
        <v>6417</v>
      </c>
      <c r="F2125" t="s">
        <v>1040</v>
      </c>
      <c r="G2125" s="1">
        <v>44197</v>
      </c>
      <c r="H2125" s="1">
        <v>44688</v>
      </c>
      <c r="I2125" t="s">
        <v>665</v>
      </c>
      <c r="J2125" t="s">
        <v>6418</v>
      </c>
      <c r="K2125" t="s">
        <v>958</v>
      </c>
      <c r="L2125" t="s">
        <v>6419</v>
      </c>
      <c r="M2125" t="s">
        <v>6867</v>
      </c>
      <c r="N2125" t="s">
        <v>6868</v>
      </c>
      <c r="O2125" t="s">
        <v>7750</v>
      </c>
      <c r="P2125" t="s">
        <v>7751</v>
      </c>
      <c r="Q2125" t="s">
        <v>6565</v>
      </c>
      <c r="R2125" t="s">
        <v>6566</v>
      </c>
      <c r="S2125" t="s">
        <v>7924</v>
      </c>
      <c r="T2125" t="s">
        <v>550</v>
      </c>
      <c r="U2125" t="s">
        <v>550</v>
      </c>
      <c r="V2125" t="s">
        <v>7950</v>
      </c>
      <c r="W2125" t="s">
        <v>6428</v>
      </c>
      <c r="X2125" t="s">
        <v>6451</v>
      </c>
      <c r="Y2125" t="s">
        <v>6452</v>
      </c>
      <c r="Z2125" t="s">
        <v>7949</v>
      </c>
    </row>
    <row r="2126" spans="1:26" x14ac:dyDescent="0.3">
      <c r="A2126" t="s">
        <v>330</v>
      </c>
      <c r="B2126" t="s">
        <v>7951</v>
      </c>
      <c r="C2126" t="s">
        <v>7947</v>
      </c>
      <c r="D2126" t="s">
        <v>7931</v>
      </c>
      <c r="E2126" t="s">
        <v>6417</v>
      </c>
      <c r="F2126" t="s">
        <v>1040</v>
      </c>
      <c r="G2126" s="1">
        <v>43467</v>
      </c>
      <c r="H2126" s="1">
        <v>43830</v>
      </c>
      <c r="I2126" t="s">
        <v>665</v>
      </c>
      <c r="J2126" t="s">
        <v>6418</v>
      </c>
      <c r="K2126" t="s">
        <v>958</v>
      </c>
      <c r="L2126" t="s">
        <v>6419</v>
      </c>
      <c r="M2126" t="s">
        <v>7952</v>
      </c>
      <c r="N2126" t="s">
        <v>7953</v>
      </c>
      <c r="O2126" t="s">
        <v>7750</v>
      </c>
      <c r="P2126" t="s">
        <v>7751</v>
      </c>
      <c r="Q2126" t="s">
        <v>6565</v>
      </c>
      <c r="R2126" t="s">
        <v>6566</v>
      </c>
      <c r="S2126" t="s">
        <v>7932</v>
      </c>
      <c r="T2126" t="s">
        <v>550</v>
      </c>
      <c r="U2126" t="s">
        <v>550</v>
      </c>
      <c r="V2126" t="s">
        <v>7954</v>
      </c>
      <c r="W2126" t="s">
        <v>6428</v>
      </c>
      <c r="X2126" t="s">
        <v>6451</v>
      </c>
      <c r="Y2126" t="s">
        <v>6452</v>
      </c>
      <c r="Z2126" t="s">
        <v>7951</v>
      </c>
    </row>
    <row r="2127" spans="1:26" x14ac:dyDescent="0.3">
      <c r="A2127" t="s">
        <v>330</v>
      </c>
      <c r="B2127" t="s">
        <v>7955</v>
      </c>
      <c r="C2127" t="s">
        <v>7947</v>
      </c>
      <c r="D2127" t="s">
        <v>7927</v>
      </c>
      <c r="E2127" t="s">
        <v>6417</v>
      </c>
      <c r="F2127" t="s">
        <v>1040</v>
      </c>
      <c r="G2127" s="1">
        <v>43102</v>
      </c>
      <c r="H2127" s="1">
        <v>43465</v>
      </c>
      <c r="I2127" t="s">
        <v>665</v>
      </c>
      <c r="J2127" t="s">
        <v>6418</v>
      </c>
      <c r="K2127" t="s">
        <v>958</v>
      </c>
      <c r="L2127" t="s">
        <v>6419</v>
      </c>
      <c r="M2127" t="s">
        <v>7435</v>
      </c>
      <c r="N2127" t="s">
        <v>7436</v>
      </c>
      <c r="O2127" t="s">
        <v>7750</v>
      </c>
      <c r="P2127" t="s">
        <v>7751</v>
      </c>
      <c r="Q2127" t="s">
        <v>6565</v>
      </c>
      <c r="R2127" t="s">
        <v>6566</v>
      </c>
      <c r="S2127" t="s">
        <v>7928</v>
      </c>
      <c r="T2127" t="s">
        <v>550</v>
      </c>
      <c r="U2127" t="s">
        <v>550</v>
      </c>
      <c r="V2127" t="s">
        <v>7956</v>
      </c>
      <c r="W2127" t="s">
        <v>6428</v>
      </c>
      <c r="X2127" t="s">
        <v>6451</v>
      </c>
      <c r="Y2127" t="s">
        <v>6452</v>
      </c>
      <c r="Z2127" t="s">
        <v>7955</v>
      </c>
    </row>
    <row r="2128" spans="1:26" x14ac:dyDescent="0.3">
      <c r="A2128" t="s">
        <v>330</v>
      </c>
      <c r="B2128" t="s">
        <v>7957</v>
      </c>
      <c r="C2128" t="s">
        <v>7958</v>
      </c>
      <c r="D2128" t="s">
        <v>7959</v>
      </c>
      <c r="E2128" t="s">
        <v>6417</v>
      </c>
      <c r="F2128" t="s">
        <v>1040</v>
      </c>
      <c r="G2128" s="1">
        <v>43102</v>
      </c>
      <c r="H2128" s="1">
        <v>43465</v>
      </c>
      <c r="I2128" t="s">
        <v>665</v>
      </c>
      <c r="J2128" t="s">
        <v>6418</v>
      </c>
      <c r="K2128" t="s">
        <v>958</v>
      </c>
      <c r="L2128" t="s">
        <v>6502</v>
      </c>
      <c r="M2128" t="s">
        <v>7435</v>
      </c>
      <c r="N2128" t="s">
        <v>7436</v>
      </c>
      <c r="O2128" t="s">
        <v>7750</v>
      </c>
      <c r="P2128" t="s">
        <v>7751</v>
      </c>
      <c r="Q2128" t="s">
        <v>6565</v>
      </c>
      <c r="R2128" t="s">
        <v>6566</v>
      </c>
      <c r="S2128" t="s">
        <v>7960</v>
      </c>
      <c r="T2128" t="s">
        <v>550</v>
      </c>
      <c r="U2128" t="s">
        <v>550</v>
      </c>
      <c r="V2128" t="s">
        <v>7961</v>
      </c>
      <c r="W2128" t="s">
        <v>6428</v>
      </c>
      <c r="X2128" t="s">
        <v>6451</v>
      </c>
      <c r="Y2128" t="s">
        <v>6452</v>
      </c>
      <c r="Z2128" t="s">
        <v>7957</v>
      </c>
    </row>
    <row r="2129" spans="1:26" x14ac:dyDescent="0.3">
      <c r="A2129" t="s">
        <v>330</v>
      </c>
      <c r="B2129" t="s">
        <v>7962</v>
      </c>
      <c r="C2129" t="s">
        <v>7963</v>
      </c>
      <c r="D2129" t="s">
        <v>7959</v>
      </c>
      <c r="E2129" t="s">
        <v>6417</v>
      </c>
      <c r="F2129" t="s">
        <v>1040</v>
      </c>
      <c r="G2129" s="1">
        <v>43102</v>
      </c>
      <c r="H2129" s="1">
        <v>43465</v>
      </c>
      <c r="I2129" t="s">
        <v>665</v>
      </c>
      <c r="J2129" t="s">
        <v>6418</v>
      </c>
      <c r="K2129" t="s">
        <v>958</v>
      </c>
      <c r="L2129" t="s">
        <v>6502</v>
      </c>
      <c r="M2129" t="s">
        <v>7435</v>
      </c>
      <c r="N2129" t="s">
        <v>7436</v>
      </c>
      <c r="O2129" t="s">
        <v>7750</v>
      </c>
      <c r="P2129" t="s">
        <v>7751</v>
      </c>
      <c r="Q2129" t="s">
        <v>6565</v>
      </c>
      <c r="R2129" t="s">
        <v>6566</v>
      </c>
      <c r="S2129" t="s">
        <v>7960</v>
      </c>
      <c r="T2129" t="s">
        <v>550</v>
      </c>
      <c r="U2129" t="s">
        <v>550</v>
      </c>
      <c r="V2129" t="s">
        <v>7964</v>
      </c>
      <c r="W2129" t="s">
        <v>6428</v>
      </c>
      <c r="X2129" t="s">
        <v>6451</v>
      </c>
      <c r="Y2129" t="s">
        <v>6452</v>
      </c>
      <c r="Z2129" t="s">
        <v>7962</v>
      </c>
    </row>
    <row r="2130" spans="1:26" x14ac:dyDescent="0.3">
      <c r="A2130" t="s">
        <v>330</v>
      </c>
      <c r="B2130" t="s">
        <v>7965</v>
      </c>
      <c r="C2130" t="s">
        <v>7966</v>
      </c>
      <c r="D2130" t="s">
        <v>7959</v>
      </c>
      <c r="E2130" t="s">
        <v>6417</v>
      </c>
      <c r="F2130" t="s">
        <v>1040</v>
      </c>
      <c r="G2130" s="1">
        <v>43102</v>
      </c>
      <c r="H2130" s="1">
        <v>43465</v>
      </c>
      <c r="I2130" t="s">
        <v>665</v>
      </c>
      <c r="J2130" t="s">
        <v>6418</v>
      </c>
      <c r="K2130" t="s">
        <v>958</v>
      </c>
      <c r="L2130" t="s">
        <v>6502</v>
      </c>
      <c r="M2130" t="s">
        <v>7435</v>
      </c>
      <c r="N2130" t="s">
        <v>7436</v>
      </c>
      <c r="O2130" t="s">
        <v>7750</v>
      </c>
      <c r="P2130" t="s">
        <v>7751</v>
      </c>
      <c r="Q2130" t="s">
        <v>6565</v>
      </c>
      <c r="R2130" t="s">
        <v>6566</v>
      </c>
      <c r="S2130" t="s">
        <v>7960</v>
      </c>
      <c r="T2130" t="s">
        <v>550</v>
      </c>
      <c r="U2130" t="s">
        <v>550</v>
      </c>
      <c r="V2130" t="s">
        <v>7967</v>
      </c>
      <c r="W2130" t="s">
        <v>6428</v>
      </c>
      <c r="X2130" t="s">
        <v>6451</v>
      </c>
      <c r="Y2130" t="s">
        <v>6452</v>
      </c>
      <c r="Z2130" t="s">
        <v>7965</v>
      </c>
    </row>
    <row r="2131" spans="1:26" x14ac:dyDescent="0.3">
      <c r="A2131" t="s">
        <v>330</v>
      </c>
      <c r="B2131" t="s">
        <v>7968</v>
      </c>
      <c r="C2131" t="s">
        <v>6626</v>
      </c>
      <c r="D2131" t="s">
        <v>7927</v>
      </c>
      <c r="E2131" t="s">
        <v>6417</v>
      </c>
      <c r="F2131" t="s">
        <v>1040</v>
      </c>
      <c r="G2131" s="1">
        <v>43102</v>
      </c>
      <c r="H2131" s="1">
        <v>43465</v>
      </c>
      <c r="I2131" t="s">
        <v>665</v>
      </c>
      <c r="J2131" t="s">
        <v>6418</v>
      </c>
      <c r="K2131" t="s">
        <v>958</v>
      </c>
      <c r="L2131" t="s">
        <v>6419</v>
      </c>
      <c r="M2131" t="s">
        <v>6601</v>
      </c>
      <c r="N2131" t="s">
        <v>6602</v>
      </c>
      <c r="O2131" t="s">
        <v>7750</v>
      </c>
      <c r="P2131" t="s">
        <v>7751</v>
      </c>
      <c r="Q2131" t="s">
        <v>6565</v>
      </c>
      <c r="R2131" t="s">
        <v>6566</v>
      </c>
      <c r="S2131" t="s">
        <v>7928</v>
      </c>
      <c r="T2131" t="s">
        <v>550</v>
      </c>
      <c r="U2131" t="s">
        <v>550</v>
      </c>
      <c r="V2131" t="s">
        <v>7969</v>
      </c>
      <c r="W2131" t="s">
        <v>6428</v>
      </c>
      <c r="X2131" t="s">
        <v>6451</v>
      </c>
      <c r="Y2131" t="s">
        <v>6452</v>
      </c>
      <c r="Z2131" t="s">
        <v>7968</v>
      </c>
    </row>
    <row r="2132" spans="1:26" x14ac:dyDescent="0.3">
      <c r="A2132" t="s">
        <v>330</v>
      </c>
      <c r="B2132" t="s">
        <v>7931</v>
      </c>
      <c r="C2132" t="s">
        <v>6980</v>
      </c>
      <c r="D2132" t="s">
        <v>550</v>
      </c>
      <c r="E2132" t="s">
        <v>6417</v>
      </c>
      <c r="F2132" t="s">
        <v>1040</v>
      </c>
      <c r="G2132" s="1">
        <v>43467</v>
      </c>
      <c r="H2132" s="1">
        <v>43830</v>
      </c>
      <c r="I2132" t="s">
        <v>665</v>
      </c>
      <c r="J2132" t="s">
        <v>6418</v>
      </c>
      <c r="K2132" t="s">
        <v>958</v>
      </c>
      <c r="L2132" t="s">
        <v>6419</v>
      </c>
      <c r="M2132" t="s">
        <v>6601</v>
      </c>
      <c r="N2132" t="s">
        <v>6602</v>
      </c>
      <c r="O2132" t="s">
        <v>7750</v>
      </c>
      <c r="P2132" t="s">
        <v>7751</v>
      </c>
      <c r="Q2132" t="s">
        <v>6565</v>
      </c>
      <c r="R2132" t="s">
        <v>6566</v>
      </c>
      <c r="S2132" t="s">
        <v>7932</v>
      </c>
      <c r="T2132" t="s">
        <v>550</v>
      </c>
      <c r="U2132" t="s">
        <v>550</v>
      </c>
      <c r="V2132" t="s">
        <v>7970</v>
      </c>
      <c r="W2132" t="s">
        <v>6428</v>
      </c>
      <c r="X2132" t="s">
        <v>6451</v>
      </c>
      <c r="Y2132" t="s">
        <v>6452</v>
      </c>
      <c r="Z2132" t="s">
        <v>7931</v>
      </c>
    </row>
    <row r="2133" spans="1:26" x14ac:dyDescent="0.3">
      <c r="A2133" t="s">
        <v>330</v>
      </c>
      <c r="B2133" t="s">
        <v>7971</v>
      </c>
      <c r="C2133" t="s">
        <v>7947</v>
      </c>
      <c r="D2133" t="s">
        <v>7972</v>
      </c>
      <c r="E2133" t="s">
        <v>6417</v>
      </c>
      <c r="F2133" t="s">
        <v>1040</v>
      </c>
      <c r="G2133" s="1">
        <v>43831</v>
      </c>
      <c r="H2133" s="1">
        <v>45062</v>
      </c>
      <c r="I2133" t="s">
        <v>665</v>
      </c>
      <c r="J2133" t="s">
        <v>6418</v>
      </c>
      <c r="K2133" t="s">
        <v>958</v>
      </c>
      <c r="L2133" t="s">
        <v>6419</v>
      </c>
      <c r="M2133" t="s">
        <v>6601</v>
      </c>
      <c r="N2133" t="s">
        <v>6602</v>
      </c>
      <c r="O2133" t="s">
        <v>7750</v>
      </c>
      <c r="P2133" t="s">
        <v>7751</v>
      </c>
      <c r="Q2133" t="s">
        <v>6565</v>
      </c>
      <c r="R2133" t="s">
        <v>6566</v>
      </c>
      <c r="S2133" t="s">
        <v>7973</v>
      </c>
      <c r="T2133" t="s">
        <v>550</v>
      </c>
      <c r="U2133" t="s">
        <v>550</v>
      </c>
      <c r="V2133" t="s">
        <v>7974</v>
      </c>
      <c r="W2133" t="s">
        <v>6428</v>
      </c>
      <c r="X2133" t="s">
        <v>6451</v>
      </c>
      <c r="Y2133" t="s">
        <v>6452</v>
      </c>
      <c r="Z2133" t="s">
        <v>7971</v>
      </c>
    </row>
    <row r="2134" spans="1:26" x14ac:dyDescent="0.3">
      <c r="A2134" t="s">
        <v>330</v>
      </c>
      <c r="B2134" t="s">
        <v>7975</v>
      </c>
      <c r="C2134" t="s">
        <v>6626</v>
      </c>
      <c r="D2134" t="s">
        <v>7931</v>
      </c>
      <c r="E2134" t="s">
        <v>6417</v>
      </c>
      <c r="F2134" t="s">
        <v>1040</v>
      </c>
      <c r="G2134" s="1">
        <v>43467</v>
      </c>
      <c r="H2134" s="1">
        <v>43830</v>
      </c>
      <c r="I2134" t="s">
        <v>665</v>
      </c>
      <c r="J2134" t="s">
        <v>6418</v>
      </c>
      <c r="K2134" t="s">
        <v>958</v>
      </c>
      <c r="L2134" t="s">
        <v>6419</v>
      </c>
      <c r="M2134" t="s">
        <v>6601</v>
      </c>
      <c r="N2134" t="s">
        <v>6602</v>
      </c>
      <c r="O2134" t="s">
        <v>7750</v>
      </c>
      <c r="P2134" t="s">
        <v>7751</v>
      </c>
      <c r="Q2134" t="s">
        <v>6565</v>
      </c>
      <c r="R2134" t="s">
        <v>6566</v>
      </c>
      <c r="S2134" t="s">
        <v>7932</v>
      </c>
      <c r="T2134" t="s">
        <v>550</v>
      </c>
      <c r="U2134" t="s">
        <v>550</v>
      </c>
      <c r="V2134" t="s">
        <v>7976</v>
      </c>
      <c r="W2134" t="s">
        <v>6428</v>
      </c>
      <c r="X2134" t="s">
        <v>6451</v>
      </c>
      <c r="Y2134" t="s">
        <v>6452</v>
      </c>
      <c r="Z2134" t="s">
        <v>7975</v>
      </c>
    </row>
    <row r="2135" spans="1:26" x14ac:dyDescent="0.3">
      <c r="A2135" t="s">
        <v>330</v>
      </c>
      <c r="B2135" t="s">
        <v>7977</v>
      </c>
      <c r="C2135" t="s">
        <v>6626</v>
      </c>
      <c r="D2135" t="s">
        <v>7972</v>
      </c>
      <c r="E2135" t="s">
        <v>6417</v>
      </c>
      <c r="F2135" t="s">
        <v>1040</v>
      </c>
      <c r="G2135" s="1">
        <v>43831</v>
      </c>
      <c r="H2135" s="1">
        <v>44384</v>
      </c>
      <c r="I2135" t="s">
        <v>665</v>
      </c>
      <c r="J2135" t="s">
        <v>6418</v>
      </c>
      <c r="K2135" t="s">
        <v>958</v>
      </c>
      <c r="L2135" t="s">
        <v>6419</v>
      </c>
      <c r="M2135" t="s">
        <v>6601</v>
      </c>
      <c r="N2135" t="s">
        <v>6602</v>
      </c>
      <c r="O2135" t="s">
        <v>7750</v>
      </c>
      <c r="P2135" t="s">
        <v>7751</v>
      </c>
      <c r="Q2135" t="s">
        <v>6565</v>
      </c>
      <c r="R2135" t="s">
        <v>6566</v>
      </c>
      <c r="S2135" t="s">
        <v>7973</v>
      </c>
      <c r="T2135" t="s">
        <v>550</v>
      </c>
      <c r="U2135" t="s">
        <v>550</v>
      </c>
      <c r="V2135" t="s">
        <v>7978</v>
      </c>
      <c r="W2135" t="s">
        <v>6428</v>
      </c>
      <c r="X2135" t="s">
        <v>6451</v>
      </c>
      <c r="Y2135" t="s">
        <v>6452</v>
      </c>
      <c r="Z2135" t="s">
        <v>7977</v>
      </c>
    </row>
    <row r="2136" spans="1:26" x14ac:dyDescent="0.3">
      <c r="A2136" t="s">
        <v>330</v>
      </c>
      <c r="B2136" t="s">
        <v>7927</v>
      </c>
      <c r="C2136" t="s">
        <v>6980</v>
      </c>
      <c r="D2136" t="s">
        <v>550</v>
      </c>
      <c r="E2136" t="s">
        <v>6417</v>
      </c>
      <c r="F2136" t="s">
        <v>1040</v>
      </c>
      <c r="G2136" s="1">
        <v>43102</v>
      </c>
      <c r="H2136" s="1">
        <v>43465</v>
      </c>
      <c r="I2136" t="s">
        <v>665</v>
      </c>
      <c r="J2136" t="s">
        <v>6418</v>
      </c>
      <c r="K2136" t="s">
        <v>958</v>
      </c>
      <c r="L2136" t="s">
        <v>6419</v>
      </c>
      <c r="M2136" t="s">
        <v>6601</v>
      </c>
      <c r="N2136" t="s">
        <v>6602</v>
      </c>
      <c r="O2136" t="s">
        <v>7750</v>
      </c>
      <c r="P2136" t="s">
        <v>7751</v>
      </c>
      <c r="Q2136" t="s">
        <v>6565</v>
      </c>
      <c r="R2136" t="s">
        <v>6566</v>
      </c>
      <c r="S2136" t="s">
        <v>7928</v>
      </c>
      <c r="T2136" t="s">
        <v>550</v>
      </c>
      <c r="U2136" t="s">
        <v>550</v>
      </c>
      <c r="V2136" t="s">
        <v>7979</v>
      </c>
      <c r="W2136" t="s">
        <v>6428</v>
      </c>
      <c r="X2136" t="s">
        <v>6451</v>
      </c>
      <c r="Y2136" t="s">
        <v>6452</v>
      </c>
      <c r="Z2136" t="s">
        <v>7927</v>
      </c>
    </row>
    <row r="2137" spans="1:26" x14ac:dyDescent="0.3">
      <c r="A2137" t="s">
        <v>330</v>
      </c>
      <c r="B2137" t="s">
        <v>7980</v>
      </c>
      <c r="C2137" t="s">
        <v>7981</v>
      </c>
      <c r="D2137" t="s">
        <v>7845</v>
      </c>
      <c r="E2137" t="s">
        <v>6417</v>
      </c>
      <c r="F2137" t="s">
        <v>1040</v>
      </c>
      <c r="G2137" s="1">
        <v>43102</v>
      </c>
      <c r="H2137" s="1">
        <v>43465</v>
      </c>
      <c r="I2137" t="s">
        <v>665</v>
      </c>
      <c r="J2137" t="s">
        <v>6418</v>
      </c>
      <c r="K2137" t="s">
        <v>958</v>
      </c>
      <c r="L2137" t="s">
        <v>6419</v>
      </c>
      <c r="M2137" t="s">
        <v>7443</v>
      </c>
      <c r="N2137" t="s">
        <v>7444</v>
      </c>
      <c r="O2137" t="s">
        <v>7982</v>
      </c>
      <c r="P2137" t="s">
        <v>7983</v>
      </c>
      <c r="Q2137" t="s">
        <v>6565</v>
      </c>
      <c r="R2137" t="s">
        <v>6566</v>
      </c>
      <c r="S2137" t="s">
        <v>7842</v>
      </c>
      <c r="T2137" t="s">
        <v>550</v>
      </c>
      <c r="U2137" t="s">
        <v>550</v>
      </c>
      <c r="V2137" t="s">
        <v>7984</v>
      </c>
      <c r="W2137" t="s">
        <v>7758</v>
      </c>
      <c r="X2137" t="s">
        <v>6451</v>
      </c>
      <c r="Y2137" t="s">
        <v>6452</v>
      </c>
      <c r="Z2137" t="s">
        <v>7980</v>
      </c>
    </row>
    <row r="2138" spans="1:26" x14ac:dyDescent="0.3">
      <c r="A2138" t="s">
        <v>330</v>
      </c>
      <c r="B2138" t="s">
        <v>7985</v>
      </c>
      <c r="C2138" t="s">
        <v>7986</v>
      </c>
      <c r="D2138" t="s">
        <v>7845</v>
      </c>
      <c r="E2138" t="s">
        <v>6417</v>
      </c>
      <c r="F2138" t="s">
        <v>1040</v>
      </c>
      <c r="G2138" s="1">
        <v>43102</v>
      </c>
      <c r="H2138" s="1">
        <v>43465</v>
      </c>
      <c r="I2138" t="s">
        <v>665</v>
      </c>
      <c r="J2138" t="s">
        <v>6418</v>
      </c>
      <c r="K2138" t="s">
        <v>958</v>
      </c>
      <c r="L2138" t="s">
        <v>6419</v>
      </c>
      <c r="M2138" t="s">
        <v>7443</v>
      </c>
      <c r="N2138" t="s">
        <v>7444</v>
      </c>
      <c r="O2138" t="s">
        <v>7982</v>
      </c>
      <c r="P2138" t="s">
        <v>7983</v>
      </c>
      <c r="Q2138" t="s">
        <v>6565</v>
      </c>
      <c r="R2138" t="s">
        <v>6566</v>
      </c>
      <c r="S2138" t="s">
        <v>7842</v>
      </c>
      <c r="T2138" t="s">
        <v>550</v>
      </c>
      <c r="U2138" t="s">
        <v>550</v>
      </c>
      <c r="V2138" t="s">
        <v>7987</v>
      </c>
      <c r="W2138" t="s">
        <v>7758</v>
      </c>
      <c r="X2138" t="s">
        <v>6451</v>
      </c>
      <c r="Y2138" t="s">
        <v>6452</v>
      </c>
      <c r="Z2138" t="s">
        <v>7985</v>
      </c>
    </row>
    <row r="2139" spans="1:26" x14ac:dyDescent="0.3">
      <c r="A2139" t="s">
        <v>330</v>
      </c>
      <c r="B2139" t="s">
        <v>7988</v>
      </c>
      <c r="C2139" t="s">
        <v>7725</v>
      </c>
      <c r="D2139" t="s">
        <v>7839</v>
      </c>
      <c r="E2139" t="s">
        <v>6417</v>
      </c>
      <c r="F2139" t="s">
        <v>1040</v>
      </c>
      <c r="G2139" s="1">
        <v>43102</v>
      </c>
      <c r="H2139" s="1">
        <v>43465</v>
      </c>
      <c r="I2139" t="s">
        <v>665</v>
      </c>
      <c r="J2139" t="s">
        <v>6418</v>
      </c>
      <c r="K2139" t="s">
        <v>958</v>
      </c>
      <c r="L2139" t="s">
        <v>6419</v>
      </c>
      <c r="M2139" t="s">
        <v>7443</v>
      </c>
      <c r="N2139" t="s">
        <v>7444</v>
      </c>
      <c r="O2139" t="s">
        <v>7982</v>
      </c>
      <c r="P2139" t="s">
        <v>7983</v>
      </c>
      <c r="Q2139" t="s">
        <v>6565</v>
      </c>
      <c r="R2139" t="s">
        <v>6566</v>
      </c>
      <c r="S2139" t="s">
        <v>7842</v>
      </c>
      <c r="T2139" t="s">
        <v>550</v>
      </c>
      <c r="U2139" t="s">
        <v>550</v>
      </c>
      <c r="V2139" t="s">
        <v>7989</v>
      </c>
      <c r="W2139" t="s">
        <v>6964</v>
      </c>
      <c r="X2139" t="s">
        <v>6451</v>
      </c>
      <c r="Y2139" t="s">
        <v>6452</v>
      </c>
      <c r="Z2139" t="s">
        <v>7988</v>
      </c>
    </row>
    <row r="2140" spans="1:26" x14ac:dyDescent="0.3">
      <c r="A2140" t="s">
        <v>330</v>
      </c>
      <c r="B2140" t="s">
        <v>7990</v>
      </c>
      <c r="C2140" t="s">
        <v>7442</v>
      </c>
      <c r="D2140" t="s">
        <v>7991</v>
      </c>
      <c r="E2140" t="s">
        <v>6417</v>
      </c>
      <c r="F2140" t="s">
        <v>1040</v>
      </c>
      <c r="G2140" s="1">
        <v>43831</v>
      </c>
      <c r="H2140" s="1">
        <v>43952</v>
      </c>
      <c r="I2140" t="s">
        <v>665</v>
      </c>
      <c r="J2140" t="s">
        <v>6418</v>
      </c>
      <c r="K2140" t="s">
        <v>958</v>
      </c>
      <c r="L2140" t="s">
        <v>6419</v>
      </c>
      <c r="M2140" t="s">
        <v>7443</v>
      </c>
      <c r="N2140" t="s">
        <v>7444</v>
      </c>
      <c r="O2140" t="s">
        <v>7982</v>
      </c>
      <c r="P2140" t="s">
        <v>7983</v>
      </c>
      <c r="Q2140" t="s">
        <v>6565</v>
      </c>
      <c r="R2140" t="s">
        <v>6566</v>
      </c>
      <c r="S2140" t="s">
        <v>7992</v>
      </c>
      <c r="T2140" t="s">
        <v>550</v>
      </c>
      <c r="U2140" t="s">
        <v>550</v>
      </c>
      <c r="V2140" t="s">
        <v>7993</v>
      </c>
      <c r="W2140" t="s">
        <v>6964</v>
      </c>
      <c r="X2140" t="s">
        <v>6451</v>
      </c>
      <c r="Y2140" t="s">
        <v>6452</v>
      </c>
      <c r="Z2140" t="s">
        <v>7990</v>
      </c>
    </row>
    <row r="2141" spans="1:26" x14ac:dyDescent="0.3">
      <c r="A2141" t="s">
        <v>330</v>
      </c>
      <c r="B2141" t="s">
        <v>7994</v>
      </c>
      <c r="C2141" t="s">
        <v>7820</v>
      </c>
      <c r="D2141" t="s">
        <v>7991</v>
      </c>
      <c r="E2141" t="s">
        <v>6417</v>
      </c>
      <c r="F2141" t="s">
        <v>1040</v>
      </c>
      <c r="G2141" s="1">
        <v>43831</v>
      </c>
      <c r="H2141" s="1">
        <v>43865</v>
      </c>
      <c r="I2141" t="s">
        <v>665</v>
      </c>
      <c r="J2141" t="s">
        <v>6418</v>
      </c>
      <c r="K2141" t="s">
        <v>958</v>
      </c>
      <c r="L2141" t="s">
        <v>6419</v>
      </c>
      <c r="M2141" t="s">
        <v>7443</v>
      </c>
      <c r="N2141" t="s">
        <v>7444</v>
      </c>
      <c r="O2141" t="s">
        <v>7982</v>
      </c>
      <c r="P2141" t="s">
        <v>7983</v>
      </c>
      <c r="Q2141" t="s">
        <v>6565</v>
      </c>
      <c r="R2141" t="s">
        <v>6566</v>
      </c>
      <c r="S2141" t="s">
        <v>7992</v>
      </c>
      <c r="T2141" t="s">
        <v>550</v>
      </c>
      <c r="U2141" t="s">
        <v>550</v>
      </c>
      <c r="V2141" t="s">
        <v>7995</v>
      </c>
      <c r="W2141" t="s">
        <v>6964</v>
      </c>
      <c r="X2141" t="s">
        <v>6451</v>
      </c>
      <c r="Y2141" t="s">
        <v>6452</v>
      </c>
      <c r="Z2141" t="s">
        <v>7994</v>
      </c>
    </row>
    <row r="2142" spans="1:26" x14ac:dyDescent="0.3">
      <c r="A2142" t="s">
        <v>330</v>
      </c>
      <c r="B2142" t="s">
        <v>7996</v>
      </c>
      <c r="C2142" t="s">
        <v>7997</v>
      </c>
      <c r="D2142" t="s">
        <v>7845</v>
      </c>
      <c r="E2142" t="s">
        <v>6417</v>
      </c>
      <c r="F2142" t="s">
        <v>1040</v>
      </c>
      <c r="G2142" s="1">
        <v>43102</v>
      </c>
      <c r="H2142" s="1">
        <v>43465</v>
      </c>
      <c r="I2142" t="s">
        <v>665</v>
      </c>
      <c r="J2142" t="s">
        <v>6418</v>
      </c>
      <c r="K2142" t="s">
        <v>958</v>
      </c>
      <c r="L2142" t="s">
        <v>6419</v>
      </c>
      <c r="M2142" t="s">
        <v>7443</v>
      </c>
      <c r="N2142" t="s">
        <v>7444</v>
      </c>
      <c r="O2142" t="s">
        <v>7982</v>
      </c>
      <c r="P2142" t="s">
        <v>7983</v>
      </c>
      <c r="Q2142" t="s">
        <v>6565</v>
      </c>
      <c r="R2142" t="s">
        <v>6566</v>
      </c>
      <c r="S2142" t="s">
        <v>7842</v>
      </c>
      <c r="T2142" t="s">
        <v>550</v>
      </c>
      <c r="U2142" t="s">
        <v>550</v>
      </c>
      <c r="V2142" t="s">
        <v>7998</v>
      </c>
      <c r="W2142" t="s">
        <v>6964</v>
      </c>
      <c r="X2142" t="s">
        <v>6451</v>
      </c>
      <c r="Y2142" t="s">
        <v>6452</v>
      </c>
      <c r="Z2142" t="s">
        <v>7996</v>
      </c>
    </row>
    <row r="2143" spans="1:26" x14ac:dyDescent="0.3">
      <c r="A2143" t="s">
        <v>330</v>
      </c>
      <c r="B2143" t="s">
        <v>7999</v>
      </c>
      <c r="C2143" t="s">
        <v>7442</v>
      </c>
      <c r="D2143" t="s">
        <v>7845</v>
      </c>
      <c r="E2143" t="s">
        <v>6417</v>
      </c>
      <c r="F2143" t="s">
        <v>1040</v>
      </c>
      <c r="G2143" s="1">
        <v>43102</v>
      </c>
      <c r="H2143" s="1">
        <v>43465</v>
      </c>
      <c r="I2143" t="s">
        <v>665</v>
      </c>
      <c r="J2143" t="s">
        <v>6418</v>
      </c>
      <c r="K2143" t="s">
        <v>958</v>
      </c>
      <c r="L2143" t="s">
        <v>6419</v>
      </c>
      <c r="M2143" t="s">
        <v>7443</v>
      </c>
      <c r="N2143" t="s">
        <v>7444</v>
      </c>
      <c r="O2143" t="s">
        <v>7982</v>
      </c>
      <c r="P2143" t="s">
        <v>7983</v>
      </c>
      <c r="Q2143" t="s">
        <v>6565</v>
      </c>
      <c r="R2143" t="s">
        <v>6566</v>
      </c>
      <c r="S2143" t="s">
        <v>7842</v>
      </c>
      <c r="T2143" t="s">
        <v>550</v>
      </c>
      <c r="U2143" t="s">
        <v>550</v>
      </c>
      <c r="V2143" t="s">
        <v>8000</v>
      </c>
      <c r="W2143" t="s">
        <v>6964</v>
      </c>
      <c r="X2143" t="s">
        <v>6451</v>
      </c>
      <c r="Y2143" t="s">
        <v>6452</v>
      </c>
      <c r="Z2143" t="s">
        <v>7999</v>
      </c>
    </row>
    <row r="2144" spans="1:26" x14ac:dyDescent="0.3">
      <c r="A2144" t="s">
        <v>330</v>
      </c>
      <c r="B2144" t="s">
        <v>7859</v>
      </c>
      <c r="C2144" t="s">
        <v>8001</v>
      </c>
      <c r="D2144" t="s">
        <v>8002</v>
      </c>
      <c r="E2144" t="s">
        <v>6417</v>
      </c>
      <c r="F2144" t="s">
        <v>1040</v>
      </c>
      <c r="G2144" s="1">
        <v>43467</v>
      </c>
      <c r="H2144" s="1">
        <v>43830</v>
      </c>
      <c r="I2144" t="s">
        <v>665</v>
      </c>
      <c r="J2144" t="s">
        <v>6418</v>
      </c>
      <c r="K2144" t="s">
        <v>958</v>
      </c>
      <c r="L2144" t="s">
        <v>6419</v>
      </c>
      <c r="M2144" t="s">
        <v>7443</v>
      </c>
      <c r="N2144" t="s">
        <v>7444</v>
      </c>
      <c r="O2144" t="s">
        <v>7982</v>
      </c>
      <c r="P2144" t="s">
        <v>7983</v>
      </c>
      <c r="Q2144" t="s">
        <v>6565</v>
      </c>
      <c r="R2144" t="s">
        <v>6566</v>
      </c>
      <c r="S2144" t="s">
        <v>7860</v>
      </c>
      <c r="T2144" t="s">
        <v>550</v>
      </c>
      <c r="U2144" t="s">
        <v>550</v>
      </c>
      <c r="V2144" t="s">
        <v>8003</v>
      </c>
      <c r="W2144" t="s">
        <v>6964</v>
      </c>
      <c r="X2144" t="s">
        <v>6451</v>
      </c>
      <c r="Y2144" t="s">
        <v>6452</v>
      </c>
      <c r="Z2144" t="s">
        <v>7859</v>
      </c>
    </row>
    <row r="2145" spans="1:26" x14ac:dyDescent="0.3">
      <c r="A2145" t="s">
        <v>330</v>
      </c>
      <c r="B2145" t="s">
        <v>8004</v>
      </c>
      <c r="C2145" t="s">
        <v>7725</v>
      </c>
      <c r="D2145" t="s">
        <v>7859</v>
      </c>
      <c r="E2145" t="s">
        <v>6417</v>
      </c>
      <c r="F2145" t="s">
        <v>1040</v>
      </c>
      <c r="G2145" s="1">
        <v>43467</v>
      </c>
      <c r="H2145" s="1">
        <v>43830</v>
      </c>
      <c r="I2145" t="s">
        <v>665</v>
      </c>
      <c r="J2145" t="s">
        <v>6418</v>
      </c>
      <c r="K2145" t="s">
        <v>958</v>
      </c>
      <c r="L2145" t="s">
        <v>6419</v>
      </c>
      <c r="M2145" t="s">
        <v>7443</v>
      </c>
      <c r="N2145" t="s">
        <v>7444</v>
      </c>
      <c r="O2145" t="s">
        <v>7982</v>
      </c>
      <c r="P2145" t="s">
        <v>7983</v>
      </c>
      <c r="Q2145" t="s">
        <v>6565</v>
      </c>
      <c r="R2145" t="s">
        <v>6566</v>
      </c>
      <c r="S2145" t="s">
        <v>7860</v>
      </c>
      <c r="T2145" t="s">
        <v>550</v>
      </c>
      <c r="U2145" t="s">
        <v>550</v>
      </c>
      <c r="V2145" t="s">
        <v>8005</v>
      </c>
      <c r="W2145" t="s">
        <v>6964</v>
      </c>
      <c r="X2145" t="s">
        <v>6451</v>
      </c>
      <c r="Y2145" t="s">
        <v>6452</v>
      </c>
      <c r="Z2145" t="s">
        <v>8004</v>
      </c>
    </row>
    <row r="2146" spans="1:26" x14ac:dyDescent="0.3">
      <c r="A2146" t="s">
        <v>330</v>
      </c>
      <c r="B2146" t="s">
        <v>8006</v>
      </c>
      <c r="C2146" t="s">
        <v>7442</v>
      </c>
      <c r="D2146" t="s">
        <v>8002</v>
      </c>
      <c r="E2146" t="s">
        <v>6417</v>
      </c>
      <c r="F2146" t="s">
        <v>1040</v>
      </c>
      <c r="G2146" s="1">
        <v>43467</v>
      </c>
      <c r="H2146" s="1">
        <v>43830</v>
      </c>
      <c r="I2146" t="s">
        <v>665</v>
      </c>
      <c r="J2146" t="s">
        <v>6418</v>
      </c>
      <c r="K2146" t="s">
        <v>958</v>
      </c>
      <c r="L2146" t="s">
        <v>6419</v>
      </c>
      <c r="M2146" t="s">
        <v>7443</v>
      </c>
      <c r="N2146" t="s">
        <v>7444</v>
      </c>
      <c r="O2146" t="s">
        <v>7982</v>
      </c>
      <c r="P2146" t="s">
        <v>7983</v>
      </c>
      <c r="Q2146" t="s">
        <v>6565</v>
      </c>
      <c r="R2146" t="s">
        <v>6566</v>
      </c>
      <c r="S2146" t="s">
        <v>7860</v>
      </c>
      <c r="T2146" t="s">
        <v>550</v>
      </c>
      <c r="U2146" t="s">
        <v>550</v>
      </c>
      <c r="V2146" t="s">
        <v>8007</v>
      </c>
      <c r="W2146" t="s">
        <v>6964</v>
      </c>
      <c r="X2146" t="s">
        <v>6451</v>
      </c>
      <c r="Y2146" t="s">
        <v>6452</v>
      </c>
      <c r="Z2146" t="s">
        <v>8006</v>
      </c>
    </row>
    <row r="2147" spans="1:26" x14ac:dyDescent="0.3">
      <c r="A2147" t="s">
        <v>330</v>
      </c>
      <c r="B2147" t="s">
        <v>8008</v>
      </c>
      <c r="C2147" t="s">
        <v>8001</v>
      </c>
      <c r="D2147" t="s">
        <v>7991</v>
      </c>
      <c r="E2147" t="s">
        <v>6417</v>
      </c>
      <c r="F2147" t="s">
        <v>1040</v>
      </c>
      <c r="G2147" s="1">
        <v>43831</v>
      </c>
      <c r="H2147" s="1">
        <v>43831</v>
      </c>
      <c r="I2147" t="s">
        <v>665</v>
      </c>
      <c r="J2147" t="s">
        <v>6418</v>
      </c>
      <c r="K2147" t="s">
        <v>958</v>
      </c>
      <c r="L2147" t="s">
        <v>6419</v>
      </c>
      <c r="M2147" t="s">
        <v>7443</v>
      </c>
      <c r="N2147" t="s">
        <v>7444</v>
      </c>
      <c r="O2147" t="s">
        <v>7982</v>
      </c>
      <c r="P2147" t="s">
        <v>7983</v>
      </c>
      <c r="Q2147" t="s">
        <v>6565</v>
      </c>
      <c r="R2147" t="s">
        <v>6566</v>
      </c>
      <c r="S2147" t="s">
        <v>7992</v>
      </c>
      <c r="T2147" t="s">
        <v>550</v>
      </c>
      <c r="U2147" t="s">
        <v>550</v>
      </c>
      <c r="V2147" t="s">
        <v>8009</v>
      </c>
      <c r="W2147" t="s">
        <v>6964</v>
      </c>
      <c r="X2147" t="s">
        <v>6451</v>
      </c>
      <c r="Y2147" t="s">
        <v>6452</v>
      </c>
      <c r="Z2147" t="s">
        <v>8008</v>
      </c>
    </row>
    <row r="2148" spans="1:26" x14ac:dyDescent="0.3">
      <c r="A2148" t="s">
        <v>330</v>
      </c>
      <c r="B2148" t="s">
        <v>8010</v>
      </c>
      <c r="C2148" t="s">
        <v>7725</v>
      </c>
      <c r="D2148" t="s">
        <v>8008</v>
      </c>
      <c r="E2148" t="s">
        <v>6417</v>
      </c>
      <c r="F2148" t="s">
        <v>1040</v>
      </c>
      <c r="G2148" s="1">
        <v>43831</v>
      </c>
      <c r="H2148" s="1">
        <v>45272</v>
      </c>
      <c r="I2148" t="s">
        <v>665</v>
      </c>
      <c r="J2148" t="s">
        <v>6418</v>
      </c>
      <c r="K2148" t="s">
        <v>958</v>
      </c>
      <c r="L2148" t="s">
        <v>6419</v>
      </c>
      <c r="M2148" t="s">
        <v>7443</v>
      </c>
      <c r="N2148" t="s">
        <v>7444</v>
      </c>
      <c r="O2148" t="s">
        <v>7982</v>
      </c>
      <c r="P2148" t="s">
        <v>7983</v>
      </c>
      <c r="Q2148" t="s">
        <v>6565</v>
      </c>
      <c r="R2148" t="s">
        <v>6566</v>
      </c>
      <c r="S2148" t="s">
        <v>7992</v>
      </c>
      <c r="T2148" t="s">
        <v>550</v>
      </c>
      <c r="U2148" t="s">
        <v>550</v>
      </c>
      <c r="V2148" t="s">
        <v>8011</v>
      </c>
      <c r="W2148" t="s">
        <v>6964</v>
      </c>
      <c r="X2148" t="s">
        <v>6451</v>
      </c>
      <c r="Y2148" t="s">
        <v>6452</v>
      </c>
      <c r="Z2148" t="s">
        <v>8010</v>
      </c>
    </row>
    <row r="2149" spans="1:26" x14ac:dyDescent="0.3">
      <c r="A2149" t="s">
        <v>330</v>
      </c>
      <c r="B2149" t="s">
        <v>8012</v>
      </c>
      <c r="C2149" t="s">
        <v>6590</v>
      </c>
      <c r="D2149" t="s">
        <v>8002</v>
      </c>
      <c r="E2149" t="s">
        <v>6417</v>
      </c>
      <c r="F2149" t="s">
        <v>1040</v>
      </c>
      <c r="G2149" s="1">
        <v>43467</v>
      </c>
      <c r="H2149" s="1">
        <v>43830</v>
      </c>
      <c r="I2149" t="s">
        <v>665</v>
      </c>
      <c r="J2149" t="s">
        <v>6418</v>
      </c>
      <c r="K2149" t="s">
        <v>958</v>
      </c>
      <c r="L2149" t="s">
        <v>6419</v>
      </c>
      <c r="M2149" t="s">
        <v>7443</v>
      </c>
      <c r="N2149" t="s">
        <v>7444</v>
      </c>
      <c r="O2149" t="s">
        <v>7982</v>
      </c>
      <c r="P2149" t="s">
        <v>7983</v>
      </c>
      <c r="Q2149" t="s">
        <v>6565</v>
      </c>
      <c r="R2149" t="s">
        <v>6566</v>
      </c>
      <c r="S2149" t="s">
        <v>7860</v>
      </c>
      <c r="T2149" t="s">
        <v>550</v>
      </c>
      <c r="U2149" t="s">
        <v>550</v>
      </c>
      <c r="V2149" t="s">
        <v>8013</v>
      </c>
      <c r="W2149" t="s">
        <v>6964</v>
      </c>
      <c r="X2149" t="s">
        <v>6451</v>
      </c>
      <c r="Y2149" t="s">
        <v>6452</v>
      </c>
      <c r="Z2149" t="s">
        <v>8012</v>
      </c>
    </row>
    <row r="2150" spans="1:26" x14ac:dyDescent="0.3">
      <c r="A2150" t="s">
        <v>330</v>
      </c>
      <c r="B2150" t="s">
        <v>8014</v>
      </c>
      <c r="C2150" t="s">
        <v>6590</v>
      </c>
      <c r="D2150" t="s">
        <v>7845</v>
      </c>
      <c r="E2150" t="s">
        <v>6417</v>
      </c>
      <c r="F2150" t="s">
        <v>1040</v>
      </c>
      <c r="G2150" s="1">
        <v>43102</v>
      </c>
      <c r="H2150" s="1">
        <v>43465</v>
      </c>
      <c r="I2150" t="s">
        <v>665</v>
      </c>
      <c r="J2150" t="s">
        <v>6418</v>
      </c>
      <c r="K2150" t="s">
        <v>958</v>
      </c>
      <c r="L2150" t="s">
        <v>6419</v>
      </c>
      <c r="M2150" t="s">
        <v>7443</v>
      </c>
      <c r="N2150" t="s">
        <v>7444</v>
      </c>
      <c r="O2150" t="s">
        <v>7982</v>
      </c>
      <c r="P2150" t="s">
        <v>7983</v>
      </c>
      <c r="Q2150" t="s">
        <v>6565</v>
      </c>
      <c r="R2150" t="s">
        <v>6566</v>
      </c>
      <c r="S2150" t="s">
        <v>7842</v>
      </c>
      <c r="T2150" t="s">
        <v>550</v>
      </c>
      <c r="U2150" t="s">
        <v>550</v>
      </c>
      <c r="V2150" t="s">
        <v>8015</v>
      </c>
      <c r="W2150" t="s">
        <v>6964</v>
      </c>
      <c r="X2150" t="s">
        <v>6451</v>
      </c>
      <c r="Y2150" t="s">
        <v>6452</v>
      </c>
      <c r="Z2150" t="s">
        <v>8014</v>
      </c>
    </row>
    <row r="2151" spans="1:26" x14ac:dyDescent="0.3">
      <c r="A2151" t="s">
        <v>330</v>
      </c>
      <c r="B2151" t="s">
        <v>8016</v>
      </c>
      <c r="C2151" t="s">
        <v>8017</v>
      </c>
      <c r="D2151" t="s">
        <v>550</v>
      </c>
      <c r="E2151" t="s">
        <v>6417</v>
      </c>
      <c r="F2151" t="s">
        <v>1040</v>
      </c>
      <c r="G2151" s="1">
        <v>43221</v>
      </c>
      <c r="H2151" s="1">
        <v>43430</v>
      </c>
      <c r="I2151" t="s">
        <v>665</v>
      </c>
      <c r="J2151" t="s">
        <v>6418</v>
      </c>
      <c r="K2151" t="s">
        <v>24</v>
      </c>
      <c r="L2151" t="s">
        <v>6502</v>
      </c>
      <c r="M2151" t="s">
        <v>7443</v>
      </c>
      <c r="N2151" t="s">
        <v>7444</v>
      </c>
      <c r="O2151" t="s">
        <v>7982</v>
      </c>
      <c r="P2151" t="s">
        <v>7983</v>
      </c>
      <c r="Q2151" t="s">
        <v>6565</v>
      </c>
      <c r="R2151" t="s">
        <v>6566</v>
      </c>
      <c r="S2151" t="s">
        <v>803</v>
      </c>
      <c r="T2151" t="s">
        <v>550</v>
      </c>
      <c r="U2151" t="s">
        <v>550</v>
      </c>
      <c r="V2151" t="s">
        <v>8018</v>
      </c>
      <c r="W2151" t="s">
        <v>6972</v>
      </c>
      <c r="X2151" t="s">
        <v>6451</v>
      </c>
      <c r="Y2151" t="s">
        <v>6452</v>
      </c>
      <c r="Z2151" t="s">
        <v>8016</v>
      </c>
    </row>
    <row r="2152" spans="1:26" x14ac:dyDescent="0.3">
      <c r="A2152" t="s">
        <v>330</v>
      </c>
      <c r="B2152" t="s">
        <v>7212</v>
      </c>
      <c r="C2152" t="s">
        <v>7221</v>
      </c>
      <c r="D2152" t="s">
        <v>550</v>
      </c>
      <c r="E2152" t="s">
        <v>6417</v>
      </c>
      <c r="F2152" t="s">
        <v>1040</v>
      </c>
      <c r="G2152" s="1">
        <v>43102</v>
      </c>
      <c r="H2152" s="1">
        <v>43465</v>
      </c>
      <c r="I2152" t="s">
        <v>665</v>
      </c>
      <c r="J2152" t="s">
        <v>6418</v>
      </c>
      <c r="K2152" t="s">
        <v>958</v>
      </c>
      <c r="L2152" t="s">
        <v>6419</v>
      </c>
      <c r="M2152" t="s">
        <v>3037</v>
      </c>
      <c r="N2152" t="s">
        <v>3038</v>
      </c>
      <c r="O2152" t="s">
        <v>7982</v>
      </c>
      <c r="P2152" t="s">
        <v>7983</v>
      </c>
      <c r="Q2152" t="s">
        <v>6565</v>
      </c>
      <c r="R2152" t="s">
        <v>6566</v>
      </c>
      <c r="S2152" t="s">
        <v>7213</v>
      </c>
      <c r="T2152" t="s">
        <v>550</v>
      </c>
      <c r="U2152" t="s">
        <v>550</v>
      </c>
      <c r="V2152" t="s">
        <v>8019</v>
      </c>
      <c r="W2152" t="s">
        <v>6972</v>
      </c>
      <c r="X2152" t="s">
        <v>6451</v>
      </c>
      <c r="Y2152" t="s">
        <v>6452</v>
      </c>
      <c r="Z2152" t="s">
        <v>7212</v>
      </c>
    </row>
    <row r="2153" spans="1:26" x14ac:dyDescent="0.3">
      <c r="A2153" t="s">
        <v>330</v>
      </c>
      <c r="B2153" t="s">
        <v>8020</v>
      </c>
      <c r="C2153" t="s">
        <v>7384</v>
      </c>
      <c r="D2153" t="s">
        <v>7845</v>
      </c>
      <c r="E2153" t="s">
        <v>6417</v>
      </c>
      <c r="F2153" t="s">
        <v>1040</v>
      </c>
      <c r="G2153" s="1">
        <v>43102</v>
      </c>
      <c r="H2153" s="1">
        <v>43465</v>
      </c>
      <c r="I2153" t="s">
        <v>665</v>
      </c>
      <c r="J2153" t="s">
        <v>6418</v>
      </c>
      <c r="K2153" t="s">
        <v>958</v>
      </c>
      <c r="L2153" t="s">
        <v>6419</v>
      </c>
      <c r="M2153" t="s">
        <v>7833</v>
      </c>
      <c r="N2153" t="s">
        <v>7834</v>
      </c>
      <c r="O2153" t="s">
        <v>7982</v>
      </c>
      <c r="P2153" t="s">
        <v>7983</v>
      </c>
      <c r="Q2153" t="s">
        <v>6565</v>
      </c>
      <c r="R2153" t="s">
        <v>6566</v>
      </c>
      <c r="S2153" t="s">
        <v>7842</v>
      </c>
      <c r="T2153" t="s">
        <v>550</v>
      </c>
      <c r="U2153" t="s">
        <v>550</v>
      </c>
      <c r="V2153" t="s">
        <v>8021</v>
      </c>
      <c r="W2153" t="s">
        <v>7388</v>
      </c>
      <c r="X2153" t="s">
        <v>6451</v>
      </c>
      <c r="Y2153" t="s">
        <v>6452</v>
      </c>
      <c r="Z2153" t="s">
        <v>8020</v>
      </c>
    </row>
    <row r="2154" spans="1:26" x14ac:dyDescent="0.3">
      <c r="A2154" t="s">
        <v>330</v>
      </c>
      <c r="B2154" t="s">
        <v>8022</v>
      </c>
      <c r="C2154" t="s">
        <v>8023</v>
      </c>
      <c r="D2154" t="s">
        <v>7845</v>
      </c>
      <c r="E2154" t="s">
        <v>6417</v>
      </c>
      <c r="F2154" t="s">
        <v>1040</v>
      </c>
      <c r="G2154" s="1">
        <v>43102</v>
      </c>
      <c r="H2154" s="1">
        <v>43465</v>
      </c>
      <c r="I2154" t="s">
        <v>665</v>
      </c>
      <c r="J2154" t="s">
        <v>6418</v>
      </c>
      <c r="K2154" t="s">
        <v>958</v>
      </c>
      <c r="L2154" t="s">
        <v>6419</v>
      </c>
      <c r="M2154" t="s">
        <v>7833</v>
      </c>
      <c r="N2154" t="s">
        <v>7834</v>
      </c>
      <c r="O2154" t="s">
        <v>7982</v>
      </c>
      <c r="P2154" t="s">
        <v>7983</v>
      </c>
      <c r="Q2154" t="s">
        <v>6565</v>
      </c>
      <c r="R2154" t="s">
        <v>6566</v>
      </c>
      <c r="S2154" t="s">
        <v>7842</v>
      </c>
      <c r="T2154" t="s">
        <v>550</v>
      </c>
      <c r="U2154" t="s">
        <v>550</v>
      </c>
      <c r="V2154" t="s">
        <v>8024</v>
      </c>
      <c r="W2154" t="s">
        <v>7388</v>
      </c>
      <c r="X2154" t="s">
        <v>6451</v>
      </c>
      <c r="Y2154" t="s">
        <v>6452</v>
      </c>
      <c r="Z2154" t="s">
        <v>8022</v>
      </c>
    </row>
    <row r="2155" spans="1:26" x14ac:dyDescent="0.3">
      <c r="A2155" t="s">
        <v>330</v>
      </c>
      <c r="B2155" t="s">
        <v>7839</v>
      </c>
      <c r="C2155" t="s">
        <v>8001</v>
      </c>
      <c r="D2155" t="s">
        <v>7845</v>
      </c>
      <c r="E2155" t="s">
        <v>6417</v>
      </c>
      <c r="F2155" t="s">
        <v>1040</v>
      </c>
      <c r="G2155" s="1">
        <v>43102</v>
      </c>
      <c r="H2155" s="1">
        <v>43465</v>
      </c>
      <c r="I2155" t="s">
        <v>665</v>
      </c>
      <c r="J2155" t="s">
        <v>6418</v>
      </c>
      <c r="K2155" t="s">
        <v>958</v>
      </c>
      <c r="L2155" t="s">
        <v>6419</v>
      </c>
      <c r="M2155" t="s">
        <v>7840</v>
      </c>
      <c r="N2155" t="s">
        <v>7841</v>
      </c>
      <c r="O2155" t="s">
        <v>7982</v>
      </c>
      <c r="P2155" t="s">
        <v>7983</v>
      </c>
      <c r="Q2155" t="s">
        <v>6565</v>
      </c>
      <c r="R2155" t="s">
        <v>6566</v>
      </c>
      <c r="S2155" t="s">
        <v>7842</v>
      </c>
      <c r="T2155" t="s">
        <v>550</v>
      </c>
      <c r="U2155" t="s">
        <v>550</v>
      </c>
      <c r="V2155" t="s">
        <v>8025</v>
      </c>
      <c r="W2155" t="s">
        <v>6964</v>
      </c>
      <c r="X2155" t="s">
        <v>6451</v>
      </c>
      <c r="Y2155" t="s">
        <v>6452</v>
      </c>
      <c r="Z2155" t="s">
        <v>7839</v>
      </c>
    </row>
    <row r="2156" spans="1:26" x14ac:dyDescent="0.3">
      <c r="A2156" t="s">
        <v>330</v>
      </c>
      <c r="B2156" t="s">
        <v>8026</v>
      </c>
      <c r="C2156" t="s">
        <v>8027</v>
      </c>
      <c r="D2156" t="s">
        <v>550</v>
      </c>
      <c r="E2156" t="s">
        <v>6417</v>
      </c>
      <c r="F2156" t="s">
        <v>1040</v>
      </c>
      <c r="G2156" s="1">
        <v>43102</v>
      </c>
      <c r="H2156" s="1">
        <v>43465</v>
      </c>
      <c r="I2156" t="s">
        <v>665</v>
      </c>
      <c r="J2156" t="s">
        <v>6418</v>
      </c>
      <c r="K2156" t="s">
        <v>958</v>
      </c>
      <c r="L2156" t="s">
        <v>8028</v>
      </c>
      <c r="M2156" t="s">
        <v>7750</v>
      </c>
      <c r="N2156" t="s">
        <v>7751</v>
      </c>
      <c r="O2156" t="s">
        <v>7982</v>
      </c>
      <c r="P2156" t="s">
        <v>7983</v>
      </c>
      <c r="Q2156" t="s">
        <v>6565</v>
      </c>
      <c r="R2156" t="s">
        <v>6566</v>
      </c>
      <c r="S2156" t="s">
        <v>8029</v>
      </c>
      <c r="T2156" t="s">
        <v>550</v>
      </c>
      <c r="U2156" t="s">
        <v>550</v>
      </c>
      <c r="V2156" t="s">
        <v>8030</v>
      </c>
      <c r="W2156" t="s">
        <v>6428</v>
      </c>
      <c r="X2156" t="s">
        <v>6451</v>
      </c>
      <c r="Y2156" t="s">
        <v>8028</v>
      </c>
      <c r="Z2156" t="s">
        <v>8026</v>
      </c>
    </row>
    <row r="2157" spans="1:26" x14ac:dyDescent="0.3">
      <c r="A2157" t="s">
        <v>330</v>
      </c>
      <c r="B2157" t="s">
        <v>7972</v>
      </c>
      <c r="C2157" t="s">
        <v>6980</v>
      </c>
      <c r="D2157" t="s">
        <v>550</v>
      </c>
      <c r="E2157" t="s">
        <v>6417</v>
      </c>
      <c r="F2157" t="s">
        <v>1040</v>
      </c>
      <c r="G2157" s="1">
        <v>43831</v>
      </c>
      <c r="H2157" s="1">
        <v>43831</v>
      </c>
      <c r="I2157" t="s">
        <v>665</v>
      </c>
      <c r="J2157" t="s">
        <v>6418</v>
      </c>
      <c r="K2157" t="s">
        <v>958</v>
      </c>
      <c r="L2157" t="s">
        <v>6419</v>
      </c>
      <c r="M2157" t="s">
        <v>7750</v>
      </c>
      <c r="N2157" t="s">
        <v>7751</v>
      </c>
      <c r="O2157" t="s">
        <v>7982</v>
      </c>
      <c r="P2157" t="s">
        <v>7983</v>
      </c>
      <c r="Q2157" t="s">
        <v>6565</v>
      </c>
      <c r="R2157" t="s">
        <v>6566</v>
      </c>
      <c r="S2157" t="s">
        <v>7973</v>
      </c>
      <c r="T2157" t="s">
        <v>550</v>
      </c>
      <c r="U2157" t="s">
        <v>550</v>
      </c>
      <c r="V2157" t="s">
        <v>8031</v>
      </c>
      <c r="W2157" t="s">
        <v>6428</v>
      </c>
      <c r="X2157" t="s">
        <v>6451</v>
      </c>
      <c r="Y2157" t="s">
        <v>6452</v>
      </c>
      <c r="Z2157" t="s">
        <v>7972</v>
      </c>
    </row>
    <row r="2158" spans="1:26" x14ac:dyDescent="0.3">
      <c r="A2158" t="s">
        <v>330</v>
      </c>
      <c r="B2158" t="s">
        <v>7959</v>
      </c>
      <c r="C2158" t="s">
        <v>8032</v>
      </c>
      <c r="D2158" t="s">
        <v>550</v>
      </c>
      <c r="E2158" t="s">
        <v>6417</v>
      </c>
      <c r="F2158" t="s">
        <v>1040</v>
      </c>
      <c r="G2158" s="1">
        <v>43102</v>
      </c>
      <c r="H2158" s="1">
        <v>43465</v>
      </c>
      <c r="I2158" t="s">
        <v>665</v>
      </c>
      <c r="J2158" t="s">
        <v>6418</v>
      </c>
      <c r="K2158" t="s">
        <v>958</v>
      </c>
      <c r="L2158" t="s">
        <v>6502</v>
      </c>
      <c r="M2158" t="s">
        <v>7750</v>
      </c>
      <c r="N2158" t="s">
        <v>7751</v>
      </c>
      <c r="O2158" t="s">
        <v>7982</v>
      </c>
      <c r="P2158" t="s">
        <v>7983</v>
      </c>
      <c r="Q2158" t="s">
        <v>6565</v>
      </c>
      <c r="R2158" t="s">
        <v>6566</v>
      </c>
      <c r="S2158" t="s">
        <v>7960</v>
      </c>
      <c r="T2158" t="s">
        <v>550</v>
      </c>
      <c r="U2158" t="s">
        <v>550</v>
      </c>
      <c r="V2158" t="s">
        <v>8033</v>
      </c>
      <c r="W2158" t="s">
        <v>6428</v>
      </c>
      <c r="X2158" t="s">
        <v>6451</v>
      </c>
      <c r="Y2158" t="s">
        <v>6452</v>
      </c>
      <c r="Z2158" t="s">
        <v>7959</v>
      </c>
    </row>
    <row r="2159" spans="1:26" x14ac:dyDescent="0.3">
      <c r="A2159" t="s">
        <v>330</v>
      </c>
      <c r="B2159" t="s">
        <v>8034</v>
      </c>
      <c r="C2159" t="s">
        <v>7007</v>
      </c>
      <c r="D2159" t="s">
        <v>7991</v>
      </c>
      <c r="E2159" t="s">
        <v>6417</v>
      </c>
      <c r="F2159" t="s">
        <v>1040</v>
      </c>
      <c r="G2159" s="1">
        <v>43831</v>
      </c>
      <c r="H2159" s="1">
        <v>43962</v>
      </c>
      <c r="I2159" t="s">
        <v>665</v>
      </c>
      <c r="J2159" t="s">
        <v>6418</v>
      </c>
      <c r="K2159" t="s">
        <v>958</v>
      </c>
      <c r="L2159" t="s">
        <v>6419</v>
      </c>
      <c r="M2159" t="s">
        <v>7040</v>
      </c>
      <c r="N2159" t="s">
        <v>7041</v>
      </c>
      <c r="O2159" t="s">
        <v>7982</v>
      </c>
      <c r="P2159" t="s">
        <v>7983</v>
      </c>
      <c r="Q2159" t="s">
        <v>6565</v>
      </c>
      <c r="R2159" t="s">
        <v>6566</v>
      </c>
      <c r="S2159" t="s">
        <v>7992</v>
      </c>
      <c r="T2159" t="s">
        <v>550</v>
      </c>
      <c r="U2159" t="s">
        <v>550</v>
      </c>
      <c r="V2159" t="s">
        <v>8035</v>
      </c>
      <c r="W2159" t="s">
        <v>6964</v>
      </c>
      <c r="X2159" t="s">
        <v>6451</v>
      </c>
      <c r="Y2159" t="s">
        <v>6452</v>
      </c>
      <c r="Z2159" t="s">
        <v>8034</v>
      </c>
    </row>
    <row r="2160" spans="1:26" x14ac:dyDescent="0.3">
      <c r="A2160" t="s">
        <v>330</v>
      </c>
      <c r="B2160" t="s">
        <v>8036</v>
      </c>
      <c r="C2160" t="s">
        <v>7981</v>
      </c>
      <c r="D2160" t="s">
        <v>8002</v>
      </c>
      <c r="E2160" t="s">
        <v>6417</v>
      </c>
      <c r="F2160" t="s">
        <v>1040</v>
      </c>
      <c r="G2160" s="1">
        <v>43467</v>
      </c>
      <c r="H2160" s="1">
        <v>43830</v>
      </c>
      <c r="I2160" t="s">
        <v>665</v>
      </c>
      <c r="J2160" t="s">
        <v>6418</v>
      </c>
      <c r="K2160" t="s">
        <v>958</v>
      </c>
      <c r="L2160" t="s">
        <v>6419</v>
      </c>
      <c r="M2160" t="s">
        <v>7073</v>
      </c>
      <c r="N2160" t="s">
        <v>7074</v>
      </c>
      <c r="O2160" t="s">
        <v>7982</v>
      </c>
      <c r="P2160" t="s">
        <v>7983</v>
      </c>
      <c r="Q2160" t="s">
        <v>6565</v>
      </c>
      <c r="R2160" t="s">
        <v>6566</v>
      </c>
      <c r="S2160" t="s">
        <v>7860</v>
      </c>
      <c r="T2160" t="s">
        <v>550</v>
      </c>
      <c r="U2160" t="s">
        <v>550</v>
      </c>
      <c r="V2160" t="s">
        <v>8037</v>
      </c>
      <c r="W2160" t="s">
        <v>7758</v>
      </c>
      <c r="X2160" t="s">
        <v>6451</v>
      </c>
      <c r="Y2160" t="s">
        <v>6452</v>
      </c>
      <c r="Z2160" t="s">
        <v>8036</v>
      </c>
    </row>
    <row r="2161" spans="1:26" x14ac:dyDescent="0.3">
      <c r="A2161" t="s">
        <v>330</v>
      </c>
      <c r="B2161" t="s">
        <v>8038</v>
      </c>
      <c r="C2161" t="s">
        <v>8039</v>
      </c>
      <c r="D2161" t="s">
        <v>8002</v>
      </c>
      <c r="E2161" t="s">
        <v>6417</v>
      </c>
      <c r="F2161" t="s">
        <v>1040</v>
      </c>
      <c r="G2161" s="1">
        <v>43467</v>
      </c>
      <c r="H2161" s="1">
        <v>43830</v>
      </c>
      <c r="I2161" t="s">
        <v>665</v>
      </c>
      <c r="J2161" t="s">
        <v>6418</v>
      </c>
      <c r="K2161" t="s">
        <v>958</v>
      </c>
      <c r="L2161" t="s">
        <v>6419</v>
      </c>
      <c r="M2161" t="s">
        <v>7073</v>
      </c>
      <c r="N2161" t="s">
        <v>7074</v>
      </c>
      <c r="O2161" t="s">
        <v>7982</v>
      </c>
      <c r="P2161" t="s">
        <v>7983</v>
      </c>
      <c r="Q2161" t="s">
        <v>6565</v>
      </c>
      <c r="R2161" t="s">
        <v>6566</v>
      </c>
      <c r="S2161" t="s">
        <v>7860</v>
      </c>
      <c r="T2161" t="s">
        <v>550</v>
      </c>
      <c r="U2161" t="s">
        <v>550</v>
      </c>
      <c r="V2161" t="s">
        <v>8040</v>
      </c>
      <c r="W2161" t="s">
        <v>7758</v>
      </c>
      <c r="X2161" t="s">
        <v>6451</v>
      </c>
      <c r="Y2161" t="s">
        <v>6452</v>
      </c>
      <c r="Z2161" t="s">
        <v>8038</v>
      </c>
    </row>
    <row r="2162" spans="1:26" x14ac:dyDescent="0.3">
      <c r="A2162" t="s">
        <v>330</v>
      </c>
      <c r="B2162" t="s">
        <v>8041</v>
      </c>
      <c r="C2162" t="s">
        <v>7230</v>
      </c>
      <c r="D2162" t="s">
        <v>7991</v>
      </c>
      <c r="E2162" t="s">
        <v>6417</v>
      </c>
      <c r="F2162" t="s">
        <v>1040</v>
      </c>
      <c r="G2162" s="1">
        <v>43831</v>
      </c>
      <c r="H2162" s="1">
        <v>46574</v>
      </c>
      <c r="I2162" t="s">
        <v>665</v>
      </c>
      <c r="J2162" t="s">
        <v>6418</v>
      </c>
      <c r="K2162" t="s">
        <v>958</v>
      </c>
      <c r="L2162" t="s">
        <v>6419</v>
      </c>
      <c r="M2162" t="s">
        <v>7073</v>
      </c>
      <c r="N2162" t="s">
        <v>7074</v>
      </c>
      <c r="O2162" t="s">
        <v>7982</v>
      </c>
      <c r="P2162" t="s">
        <v>7983</v>
      </c>
      <c r="Q2162" t="s">
        <v>6565</v>
      </c>
      <c r="R2162" t="s">
        <v>6566</v>
      </c>
      <c r="S2162" t="s">
        <v>7992</v>
      </c>
      <c r="T2162" t="s">
        <v>550</v>
      </c>
      <c r="U2162" t="s">
        <v>550</v>
      </c>
      <c r="V2162" t="s">
        <v>8042</v>
      </c>
      <c r="W2162" t="s">
        <v>7758</v>
      </c>
      <c r="X2162" t="s">
        <v>6451</v>
      </c>
      <c r="Y2162" t="s">
        <v>6452</v>
      </c>
      <c r="Z2162" t="s">
        <v>8041</v>
      </c>
    </row>
    <row r="2163" spans="1:26" x14ac:dyDescent="0.3">
      <c r="A2163" t="s">
        <v>330</v>
      </c>
      <c r="B2163" t="s">
        <v>8043</v>
      </c>
      <c r="C2163" t="s">
        <v>8044</v>
      </c>
      <c r="D2163" t="s">
        <v>7991</v>
      </c>
      <c r="E2163" t="s">
        <v>6417</v>
      </c>
      <c r="F2163" t="s">
        <v>1040</v>
      </c>
      <c r="G2163" s="1">
        <v>43831</v>
      </c>
      <c r="H2163" s="1">
        <v>43944</v>
      </c>
      <c r="I2163" t="s">
        <v>665</v>
      </c>
      <c r="J2163" t="s">
        <v>6418</v>
      </c>
      <c r="K2163" t="s">
        <v>958</v>
      </c>
      <c r="L2163" t="s">
        <v>6419</v>
      </c>
      <c r="M2163" t="s">
        <v>7073</v>
      </c>
      <c r="N2163" t="s">
        <v>7074</v>
      </c>
      <c r="O2163" t="s">
        <v>7982</v>
      </c>
      <c r="P2163" t="s">
        <v>7983</v>
      </c>
      <c r="Q2163" t="s">
        <v>6565</v>
      </c>
      <c r="R2163" t="s">
        <v>6566</v>
      </c>
      <c r="S2163" t="s">
        <v>7992</v>
      </c>
      <c r="T2163" t="s">
        <v>550</v>
      </c>
      <c r="U2163" t="s">
        <v>550</v>
      </c>
      <c r="V2163" t="s">
        <v>8045</v>
      </c>
      <c r="W2163" t="s">
        <v>7758</v>
      </c>
      <c r="X2163" t="s">
        <v>6451</v>
      </c>
      <c r="Y2163" t="s">
        <v>6452</v>
      </c>
      <c r="Z2163" t="s">
        <v>8043</v>
      </c>
    </row>
    <row r="2164" spans="1:26" x14ac:dyDescent="0.3">
      <c r="A2164" t="s">
        <v>330</v>
      </c>
      <c r="B2164" t="s">
        <v>8046</v>
      </c>
      <c r="C2164" t="s">
        <v>7405</v>
      </c>
      <c r="D2164" t="s">
        <v>7845</v>
      </c>
      <c r="E2164" t="s">
        <v>6417</v>
      </c>
      <c r="F2164" t="s">
        <v>1040</v>
      </c>
      <c r="G2164" s="1">
        <v>43102</v>
      </c>
      <c r="H2164" s="1">
        <v>43465</v>
      </c>
      <c r="I2164" t="s">
        <v>665</v>
      </c>
      <c r="J2164" t="s">
        <v>6418</v>
      </c>
      <c r="K2164" t="s">
        <v>958</v>
      </c>
      <c r="L2164" t="s">
        <v>6419</v>
      </c>
      <c r="M2164" t="s">
        <v>7073</v>
      </c>
      <c r="N2164" t="s">
        <v>7074</v>
      </c>
      <c r="O2164" t="s">
        <v>7982</v>
      </c>
      <c r="P2164" t="s">
        <v>7983</v>
      </c>
      <c r="Q2164" t="s">
        <v>6565</v>
      </c>
      <c r="R2164" t="s">
        <v>6566</v>
      </c>
      <c r="S2164" t="s">
        <v>7842</v>
      </c>
      <c r="T2164" t="s">
        <v>550</v>
      </c>
      <c r="U2164" t="s">
        <v>550</v>
      </c>
      <c r="V2164" t="s">
        <v>8047</v>
      </c>
      <c r="W2164" t="s">
        <v>7706</v>
      </c>
      <c r="X2164" t="s">
        <v>6451</v>
      </c>
      <c r="Y2164" t="s">
        <v>6452</v>
      </c>
      <c r="Z2164" t="s">
        <v>8046</v>
      </c>
    </row>
    <row r="2165" spans="1:26" x14ac:dyDescent="0.3">
      <c r="A2165" t="s">
        <v>330</v>
      </c>
      <c r="B2165" t="s">
        <v>8048</v>
      </c>
      <c r="C2165" t="s">
        <v>8039</v>
      </c>
      <c r="D2165" t="s">
        <v>7845</v>
      </c>
      <c r="E2165" t="s">
        <v>6417</v>
      </c>
      <c r="F2165" t="s">
        <v>1040</v>
      </c>
      <c r="G2165" s="1">
        <v>43102</v>
      </c>
      <c r="H2165" s="1">
        <v>43465</v>
      </c>
      <c r="I2165" t="s">
        <v>665</v>
      </c>
      <c r="J2165" t="s">
        <v>6418</v>
      </c>
      <c r="K2165" t="s">
        <v>958</v>
      </c>
      <c r="L2165" t="s">
        <v>6419</v>
      </c>
      <c r="M2165" t="s">
        <v>7073</v>
      </c>
      <c r="N2165" t="s">
        <v>7074</v>
      </c>
      <c r="O2165" t="s">
        <v>7982</v>
      </c>
      <c r="P2165" t="s">
        <v>7983</v>
      </c>
      <c r="Q2165" t="s">
        <v>6565</v>
      </c>
      <c r="R2165" t="s">
        <v>6566</v>
      </c>
      <c r="S2165" t="s">
        <v>7842</v>
      </c>
      <c r="T2165" t="s">
        <v>550</v>
      </c>
      <c r="U2165" t="s">
        <v>550</v>
      </c>
      <c r="V2165" t="s">
        <v>8049</v>
      </c>
      <c r="W2165" t="s">
        <v>7706</v>
      </c>
      <c r="X2165" t="s">
        <v>6451</v>
      </c>
      <c r="Y2165" t="s">
        <v>6452</v>
      </c>
      <c r="Z2165" t="s">
        <v>8048</v>
      </c>
    </row>
    <row r="2166" spans="1:26" x14ac:dyDescent="0.3">
      <c r="A2166" t="s">
        <v>330</v>
      </c>
      <c r="B2166" t="s">
        <v>8050</v>
      </c>
      <c r="C2166" t="s">
        <v>8023</v>
      </c>
      <c r="D2166" t="s">
        <v>7991</v>
      </c>
      <c r="E2166" t="s">
        <v>6417</v>
      </c>
      <c r="F2166" t="s">
        <v>1040</v>
      </c>
      <c r="G2166" s="1">
        <v>43831</v>
      </c>
      <c r="H2166" s="1">
        <v>43853</v>
      </c>
      <c r="I2166" t="s">
        <v>665</v>
      </c>
      <c r="J2166" t="s">
        <v>6418</v>
      </c>
      <c r="K2166" t="s">
        <v>958</v>
      </c>
      <c r="L2166" t="s">
        <v>6419</v>
      </c>
      <c r="M2166" t="s">
        <v>7750</v>
      </c>
      <c r="N2166" t="s">
        <v>7751</v>
      </c>
      <c r="O2166" t="s">
        <v>7982</v>
      </c>
      <c r="P2166" t="s">
        <v>7983</v>
      </c>
      <c r="Q2166" t="s">
        <v>6565</v>
      </c>
      <c r="R2166" t="s">
        <v>6566</v>
      </c>
      <c r="S2166" t="s">
        <v>7992</v>
      </c>
      <c r="T2166" t="s">
        <v>550</v>
      </c>
      <c r="U2166" t="s">
        <v>550</v>
      </c>
      <c r="V2166" t="s">
        <v>8051</v>
      </c>
      <c r="W2166" t="s">
        <v>7388</v>
      </c>
      <c r="X2166" t="s">
        <v>6451</v>
      </c>
      <c r="Y2166" t="s">
        <v>6452</v>
      </c>
      <c r="Z2166" t="s">
        <v>8050</v>
      </c>
    </row>
    <row r="2167" spans="1:26" x14ac:dyDescent="0.3">
      <c r="A2167" t="s">
        <v>330</v>
      </c>
      <c r="B2167" t="s">
        <v>8052</v>
      </c>
      <c r="C2167" t="s">
        <v>6490</v>
      </c>
      <c r="D2167" t="s">
        <v>8053</v>
      </c>
      <c r="E2167" t="s">
        <v>6417</v>
      </c>
      <c r="F2167" t="s">
        <v>1040</v>
      </c>
      <c r="G2167" s="1">
        <v>43102</v>
      </c>
      <c r="H2167" s="1">
        <v>43465</v>
      </c>
      <c r="I2167" t="s">
        <v>665</v>
      </c>
      <c r="J2167" t="s">
        <v>6418</v>
      </c>
      <c r="K2167" t="s">
        <v>958</v>
      </c>
      <c r="L2167" t="s">
        <v>6419</v>
      </c>
      <c r="M2167" t="s">
        <v>7750</v>
      </c>
      <c r="N2167" t="s">
        <v>7751</v>
      </c>
      <c r="O2167" t="s">
        <v>7982</v>
      </c>
      <c r="P2167" t="s">
        <v>7983</v>
      </c>
      <c r="Q2167" t="s">
        <v>6565</v>
      </c>
      <c r="R2167" t="s">
        <v>6566</v>
      </c>
      <c r="S2167" t="s">
        <v>7842</v>
      </c>
      <c r="T2167" t="s">
        <v>550</v>
      </c>
      <c r="U2167" t="s">
        <v>550</v>
      </c>
      <c r="V2167" t="s">
        <v>8054</v>
      </c>
      <c r="W2167" t="s">
        <v>6972</v>
      </c>
      <c r="X2167" t="s">
        <v>6451</v>
      </c>
      <c r="Y2167" t="s">
        <v>6452</v>
      </c>
      <c r="Z2167" t="s">
        <v>8052</v>
      </c>
    </row>
    <row r="2168" spans="1:26" x14ac:dyDescent="0.3">
      <c r="A2168" t="s">
        <v>330</v>
      </c>
      <c r="B2168" t="s">
        <v>8055</v>
      </c>
      <c r="C2168" t="s">
        <v>6490</v>
      </c>
      <c r="D2168" t="s">
        <v>8056</v>
      </c>
      <c r="E2168" t="s">
        <v>6417</v>
      </c>
      <c r="F2168" t="s">
        <v>1040</v>
      </c>
      <c r="G2168" s="1">
        <v>43467</v>
      </c>
      <c r="H2168" s="1">
        <v>43830</v>
      </c>
      <c r="I2168" t="s">
        <v>665</v>
      </c>
      <c r="J2168" t="s">
        <v>6418</v>
      </c>
      <c r="K2168" t="s">
        <v>958</v>
      </c>
      <c r="L2168" t="s">
        <v>6419</v>
      </c>
      <c r="M2168" t="s">
        <v>7750</v>
      </c>
      <c r="N2168" t="s">
        <v>7751</v>
      </c>
      <c r="O2168" t="s">
        <v>7982</v>
      </c>
      <c r="P2168" t="s">
        <v>7983</v>
      </c>
      <c r="Q2168" t="s">
        <v>6565</v>
      </c>
      <c r="R2168" t="s">
        <v>6566</v>
      </c>
      <c r="S2168" t="s">
        <v>7860</v>
      </c>
      <c r="T2168" t="s">
        <v>550</v>
      </c>
      <c r="U2168" t="s">
        <v>550</v>
      </c>
      <c r="V2168" t="s">
        <v>8057</v>
      </c>
      <c r="W2168" t="s">
        <v>6972</v>
      </c>
      <c r="X2168" t="s">
        <v>6451</v>
      </c>
      <c r="Y2168" t="s">
        <v>6452</v>
      </c>
      <c r="Z2168" t="s">
        <v>8055</v>
      </c>
    </row>
    <row r="2169" spans="1:26" x14ac:dyDescent="0.3">
      <c r="A2169" t="s">
        <v>330</v>
      </c>
      <c r="B2169" t="s">
        <v>8058</v>
      </c>
      <c r="C2169" t="s">
        <v>6490</v>
      </c>
      <c r="D2169" t="s">
        <v>8059</v>
      </c>
      <c r="E2169" t="s">
        <v>6417</v>
      </c>
      <c r="F2169" t="s">
        <v>1040</v>
      </c>
      <c r="G2169" s="1">
        <v>43831</v>
      </c>
      <c r="H2169" s="1">
        <v>44458</v>
      </c>
      <c r="I2169" t="s">
        <v>665</v>
      </c>
      <c r="J2169" t="s">
        <v>6418</v>
      </c>
      <c r="K2169" t="s">
        <v>958</v>
      </c>
      <c r="L2169" t="s">
        <v>6419</v>
      </c>
      <c r="M2169" t="s">
        <v>7750</v>
      </c>
      <c r="N2169" t="s">
        <v>7751</v>
      </c>
      <c r="O2169" t="s">
        <v>7982</v>
      </c>
      <c r="P2169" t="s">
        <v>7983</v>
      </c>
      <c r="Q2169" t="s">
        <v>6565</v>
      </c>
      <c r="R2169" t="s">
        <v>6566</v>
      </c>
      <c r="S2169" t="s">
        <v>7992</v>
      </c>
      <c r="T2169" t="s">
        <v>550</v>
      </c>
      <c r="U2169" t="s">
        <v>550</v>
      </c>
      <c r="V2169" t="s">
        <v>8060</v>
      </c>
      <c r="W2169" t="s">
        <v>6972</v>
      </c>
      <c r="X2169" t="s">
        <v>6451</v>
      </c>
      <c r="Y2169" t="s">
        <v>6452</v>
      </c>
      <c r="Z2169" t="s">
        <v>8058</v>
      </c>
    </row>
    <row r="2170" spans="1:26" x14ac:dyDescent="0.3">
      <c r="A2170" t="s">
        <v>330</v>
      </c>
      <c r="B2170" t="s">
        <v>8061</v>
      </c>
      <c r="C2170" t="s">
        <v>6590</v>
      </c>
      <c r="D2170" t="s">
        <v>7991</v>
      </c>
      <c r="E2170" t="s">
        <v>6417</v>
      </c>
      <c r="F2170" t="s">
        <v>1040</v>
      </c>
      <c r="G2170" s="1">
        <v>43831</v>
      </c>
      <c r="H2170" s="1">
        <v>44683</v>
      </c>
      <c r="I2170" t="s">
        <v>665</v>
      </c>
      <c r="J2170" t="s">
        <v>6418</v>
      </c>
      <c r="K2170" t="s">
        <v>958</v>
      </c>
      <c r="L2170" t="s">
        <v>6419</v>
      </c>
      <c r="M2170" t="s">
        <v>7068</v>
      </c>
      <c r="N2170" t="s">
        <v>7069</v>
      </c>
      <c r="O2170" t="s">
        <v>7982</v>
      </c>
      <c r="P2170" t="s">
        <v>7983</v>
      </c>
      <c r="Q2170" t="s">
        <v>6565</v>
      </c>
      <c r="R2170" t="s">
        <v>6566</v>
      </c>
      <c r="S2170" t="s">
        <v>7992</v>
      </c>
      <c r="T2170" t="s">
        <v>550</v>
      </c>
      <c r="U2170" t="s">
        <v>550</v>
      </c>
      <c r="V2170" t="s">
        <v>8062</v>
      </c>
      <c r="W2170" t="s">
        <v>6964</v>
      </c>
      <c r="X2170" t="s">
        <v>6451</v>
      </c>
      <c r="Y2170" t="s">
        <v>6452</v>
      </c>
      <c r="Z2170" t="s">
        <v>8061</v>
      </c>
    </row>
    <row r="2171" spans="1:26" x14ac:dyDescent="0.3">
      <c r="A2171" t="s">
        <v>330</v>
      </c>
      <c r="B2171" t="s">
        <v>8063</v>
      </c>
      <c r="C2171" t="s">
        <v>7221</v>
      </c>
      <c r="D2171" t="s">
        <v>550</v>
      </c>
      <c r="E2171" t="s">
        <v>6417</v>
      </c>
      <c r="F2171" t="s">
        <v>1040</v>
      </c>
      <c r="G2171" s="1">
        <v>43467</v>
      </c>
      <c r="H2171" s="1">
        <v>43830</v>
      </c>
      <c r="I2171" t="s">
        <v>665</v>
      </c>
      <c r="J2171" t="s">
        <v>6418</v>
      </c>
      <c r="K2171" t="s">
        <v>958</v>
      </c>
      <c r="L2171" t="s">
        <v>6419</v>
      </c>
      <c r="M2171" t="s">
        <v>883</v>
      </c>
      <c r="N2171" t="s">
        <v>884</v>
      </c>
      <c r="O2171" t="s">
        <v>7982</v>
      </c>
      <c r="P2171" t="s">
        <v>7983</v>
      </c>
      <c r="Q2171" t="s">
        <v>6565</v>
      </c>
      <c r="R2171" t="s">
        <v>6566</v>
      </c>
      <c r="S2171" t="s">
        <v>8064</v>
      </c>
      <c r="T2171" t="s">
        <v>550</v>
      </c>
      <c r="U2171" t="s">
        <v>550</v>
      </c>
      <c r="V2171" t="s">
        <v>8065</v>
      </c>
      <c r="W2171" t="s">
        <v>6972</v>
      </c>
      <c r="X2171" t="s">
        <v>6451</v>
      </c>
      <c r="Y2171" t="s">
        <v>6452</v>
      </c>
      <c r="Z2171" t="s">
        <v>8063</v>
      </c>
    </row>
    <row r="2172" spans="1:26" x14ac:dyDescent="0.3">
      <c r="A2172" t="s">
        <v>330</v>
      </c>
      <c r="B2172" t="s">
        <v>8066</v>
      </c>
      <c r="C2172" t="s">
        <v>8067</v>
      </c>
      <c r="D2172" t="s">
        <v>8063</v>
      </c>
      <c r="E2172" t="s">
        <v>6417</v>
      </c>
      <c r="F2172" t="s">
        <v>1040</v>
      </c>
      <c r="G2172" s="1">
        <v>43467</v>
      </c>
      <c r="H2172" s="1">
        <v>43830</v>
      </c>
      <c r="I2172" t="s">
        <v>665</v>
      </c>
      <c r="J2172" t="s">
        <v>6418</v>
      </c>
      <c r="K2172" t="s">
        <v>958</v>
      </c>
      <c r="L2172" t="s">
        <v>6419</v>
      </c>
      <c r="M2172" t="s">
        <v>883</v>
      </c>
      <c r="N2172" t="s">
        <v>884</v>
      </c>
      <c r="O2172" t="s">
        <v>7982</v>
      </c>
      <c r="P2172" t="s">
        <v>7983</v>
      </c>
      <c r="Q2172" t="s">
        <v>6565</v>
      </c>
      <c r="R2172" t="s">
        <v>6566</v>
      </c>
      <c r="S2172" t="s">
        <v>8064</v>
      </c>
      <c r="T2172" t="s">
        <v>550</v>
      </c>
      <c r="U2172" t="s">
        <v>550</v>
      </c>
      <c r="V2172" t="s">
        <v>8068</v>
      </c>
      <c r="W2172" t="s">
        <v>6972</v>
      </c>
      <c r="X2172" t="s">
        <v>6451</v>
      </c>
      <c r="Y2172" t="s">
        <v>6452</v>
      </c>
      <c r="Z2172" t="s">
        <v>8066</v>
      </c>
    </row>
    <row r="2173" spans="1:26" x14ac:dyDescent="0.3">
      <c r="A2173" t="s">
        <v>330</v>
      </c>
      <c r="B2173" t="s">
        <v>8069</v>
      </c>
      <c r="C2173" t="s">
        <v>8070</v>
      </c>
      <c r="D2173" t="s">
        <v>8063</v>
      </c>
      <c r="E2173" t="s">
        <v>6417</v>
      </c>
      <c r="F2173" t="s">
        <v>1040</v>
      </c>
      <c r="G2173" s="1">
        <v>43467</v>
      </c>
      <c r="H2173" s="1">
        <v>43830</v>
      </c>
      <c r="I2173" t="s">
        <v>665</v>
      </c>
      <c r="J2173" t="s">
        <v>6418</v>
      </c>
      <c r="K2173" t="s">
        <v>958</v>
      </c>
      <c r="L2173" t="s">
        <v>6419</v>
      </c>
      <c r="M2173" t="s">
        <v>883</v>
      </c>
      <c r="N2173" t="s">
        <v>884</v>
      </c>
      <c r="O2173" t="s">
        <v>7982</v>
      </c>
      <c r="P2173" t="s">
        <v>7983</v>
      </c>
      <c r="Q2173" t="s">
        <v>6565</v>
      </c>
      <c r="R2173" t="s">
        <v>6566</v>
      </c>
      <c r="S2173" t="s">
        <v>8064</v>
      </c>
      <c r="T2173" t="s">
        <v>550</v>
      </c>
      <c r="U2173" t="s">
        <v>550</v>
      </c>
      <c r="V2173" t="s">
        <v>8071</v>
      </c>
      <c r="W2173" t="s">
        <v>6972</v>
      </c>
      <c r="X2173" t="s">
        <v>6451</v>
      </c>
      <c r="Y2173" t="s">
        <v>6452</v>
      </c>
      <c r="Z2173" t="s">
        <v>8069</v>
      </c>
    </row>
    <row r="2174" spans="1:26" x14ac:dyDescent="0.3">
      <c r="A2174" t="s">
        <v>330</v>
      </c>
      <c r="B2174" t="s">
        <v>7259</v>
      </c>
      <c r="C2174" t="s">
        <v>7221</v>
      </c>
      <c r="D2174" t="s">
        <v>550</v>
      </c>
      <c r="E2174" t="s">
        <v>6417</v>
      </c>
      <c r="F2174" t="s">
        <v>1040</v>
      </c>
      <c r="G2174" s="1">
        <v>43831</v>
      </c>
      <c r="H2174" s="1">
        <v>43831</v>
      </c>
      <c r="I2174" t="s">
        <v>665</v>
      </c>
      <c r="J2174" t="s">
        <v>6418</v>
      </c>
      <c r="K2174" t="s">
        <v>958</v>
      </c>
      <c r="L2174" t="s">
        <v>6419</v>
      </c>
      <c r="M2174" t="s">
        <v>883</v>
      </c>
      <c r="N2174" t="s">
        <v>884</v>
      </c>
      <c r="O2174" t="s">
        <v>7982</v>
      </c>
      <c r="P2174" t="s">
        <v>7983</v>
      </c>
      <c r="Q2174" t="s">
        <v>6565</v>
      </c>
      <c r="R2174" t="s">
        <v>6566</v>
      </c>
      <c r="S2174" t="s">
        <v>7260</v>
      </c>
      <c r="T2174" t="s">
        <v>550</v>
      </c>
      <c r="U2174" t="s">
        <v>550</v>
      </c>
      <c r="V2174" t="s">
        <v>8072</v>
      </c>
      <c r="W2174" t="s">
        <v>6972</v>
      </c>
      <c r="X2174" t="s">
        <v>6451</v>
      </c>
      <c r="Y2174" t="s">
        <v>6452</v>
      </c>
      <c r="Z2174" t="s">
        <v>7259</v>
      </c>
    </row>
    <row r="2175" spans="1:26" x14ac:dyDescent="0.3">
      <c r="A2175" t="s">
        <v>330</v>
      </c>
      <c r="B2175" t="s">
        <v>8073</v>
      </c>
      <c r="C2175" t="s">
        <v>8074</v>
      </c>
      <c r="D2175" t="s">
        <v>7291</v>
      </c>
      <c r="E2175" t="s">
        <v>6417</v>
      </c>
      <c r="F2175" t="s">
        <v>1040</v>
      </c>
      <c r="G2175" s="1">
        <v>43467</v>
      </c>
      <c r="H2175" s="1">
        <v>43830</v>
      </c>
      <c r="I2175" t="s">
        <v>665</v>
      </c>
      <c r="J2175" t="s">
        <v>6418</v>
      </c>
      <c r="K2175" t="s">
        <v>958</v>
      </c>
      <c r="L2175" t="s">
        <v>6419</v>
      </c>
      <c r="M2175" t="s">
        <v>7277</v>
      </c>
      <c r="N2175" t="s">
        <v>7278</v>
      </c>
      <c r="O2175" t="s">
        <v>7982</v>
      </c>
      <c r="P2175" t="s">
        <v>7983</v>
      </c>
      <c r="Q2175" t="s">
        <v>6565</v>
      </c>
      <c r="R2175" t="s">
        <v>6566</v>
      </c>
      <c r="S2175" t="s">
        <v>7292</v>
      </c>
      <c r="T2175" t="s">
        <v>550</v>
      </c>
      <c r="U2175" t="s">
        <v>550</v>
      </c>
      <c r="V2175" t="s">
        <v>8075</v>
      </c>
      <c r="W2175" t="s">
        <v>6988</v>
      </c>
      <c r="X2175" t="s">
        <v>6451</v>
      </c>
      <c r="Y2175" t="s">
        <v>6452</v>
      </c>
      <c r="Z2175" t="s">
        <v>8073</v>
      </c>
    </row>
    <row r="2176" spans="1:26" x14ac:dyDescent="0.3">
      <c r="A2176" t="s">
        <v>330</v>
      </c>
      <c r="B2176" t="s">
        <v>8076</v>
      </c>
      <c r="C2176" t="s">
        <v>6999</v>
      </c>
      <c r="D2176" t="s">
        <v>7286</v>
      </c>
      <c r="E2176" t="s">
        <v>6417</v>
      </c>
      <c r="F2176" t="s">
        <v>1040</v>
      </c>
      <c r="G2176" s="1">
        <v>43467</v>
      </c>
      <c r="H2176" s="1">
        <v>43830</v>
      </c>
      <c r="I2176" t="s">
        <v>665</v>
      </c>
      <c r="J2176" t="s">
        <v>6418</v>
      </c>
      <c r="K2176" t="s">
        <v>958</v>
      </c>
      <c r="L2176" t="s">
        <v>6419</v>
      </c>
      <c r="M2176" t="s">
        <v>7277</v>
      </c>
      <c r="N2176" t="s">
        <v>7278</v>
      </c>
      <c r="O2176" t="s">
        <v>7982</v>
      </c>
      <c r="P2176" t="s">
        <v>7983</v>
      </c>
      <c r="Q2176" t="s">
        <v>6565</v>
      </c>
      <c r="R2176" t="s">
        <v>6566</v>
      </c>
      <c r="S2176" t="s">
        <v>7287</v>
      </c>
      <c r="T2176" t="s">
        <v>550</v>
      </c>
      <c r="U2176" t="s">
        <v>550</v>
      </c>
      <c r="V2176" t="s">
        <v>8077</v>
      </c>
      <c r="W2176" t="s">
        <v>6988</v>
      </c>
      <c r="X2176" t="s">
        <v>6451</v>
      </c>
      <c r="Y2176" t="s">
        <v>6452</v>
      </c>
      <c r="Z2176" t="s">
        <v>8076</v>
      </c>
    </row>
    <row r="2177" spans="1:26" x14ac:dyDescent="0.3">
      <c r="A2177" t="s">
        <v>330</v>
      </c>
      <c r="B2177" t="s">
        <v>7283</v>
      </c>
      <c r="C2177" t="s">
        <v>8078</v>
      </c>
      <c r="D2177" t="s">
        <v>550</v>
      </c>
      <c r="E2177" t="s">
        <v>6417</v>
      </c>
      <c r="F2177" t="s">
        <v>1040</v>
      </c>
      <c r="G2177" s="1">
        <v>43102</v>
      </c>
      <c r="H2177" s="1">
        <v>43465</v>
      </c>
      <c r="I2177" t="s">
        <v>665</v>
      </c>
      <c r="J2177" t="s">
        <v>6418</v>
      </c>
      <c r="K2177" t="s">
        <v>958</v>
      </c>
      <c r="L2177" t="s">
        <v>6419</v>
      </c>
      <c r="M2177" t="s">
        <v>7277</v>
      </c>
      <c r="N2177" t="s">
        <v>7278</v>
      </c>
      <c r="O2177" t="s">
        <v>7982</v>
      </c>
      <c r="P2177" t="s">
        <v>7983</v>
      </c>
      <c r="Q2177" t="s">
        <v>6565</v>
      </c>
      <c r="R2177" t="s">
        <v>6566</v>
      </c>
      <c r="S2177" t="s">
        <v>7279</v>
      </c>
      <c r="T2177" t="s">
        <v>550</v>
      </c>
      <c r="U2177" t="s">
        <v>550</v>
      </c>
      <c r="V2177" t="s">
        <v>8079</v>
      </c>
      <c r="W2177" t="s">
        <v>6988</v>
      </c>
      <c r="X2177" t="s">
        <v>6451</v>
      </c>
      <c r="Y2177" t="s">
        <v>6452</v>
      </c>
      <c r="Z2177" t="s">
        <v>7283</v>
      </c>
    </row>
    <row r="2178" spans="1:26" x14ac:dyDescent="0.3">
      <c r="A2178" t="s">
        <v>330</v>
      </c>
      <c r="B2178" t="s">
        <v>8080</v>
      </c>
      <c r="C2178" t="s">
        <v>8081</v>
      </c>
      <c r="D2178" t="s">
        <v>7212</v>
      </c>
      <c r="E2178" t="s">
        <v>6417</v>
      </c>
      <c r="F2178" t="s">
        <v>1040</v>
      </c>
      <c r="G2178" s="1">
        <v>43102</v>
      </c>
      <c r="H2178" s="1">
        <v>43465</v>
      </c>
      <c r="I2178" t="s">
        <v>665</v>
      </c>
      <c r="J2178" t="s">
        <v>6418</v>
      </c>
      <c r="K2178" t="s">
        <v>958</v>
      </c>
      <c r="L2178" t="s">
        <v>6419</v>
      </c>
      <c r="M2178" t="s">
        <v>7703</v>
      </c>
      <c r="N2178" t="s">
        <v>7704</v>
      </c>
      <c r="O2178" t="s">
        <v>7982</v>
      </c>
      <c r="P2178" t="s">
        <v>7983</v>
      </c>
      <c r="Q2178" t="s">
        <v>6565</v>
      </c>
      <c r="R2178" t="s">
        <v>6566</v>
      </c>
      <c r="S2178" t="s">
        <v>7213</v>
      </c>
      <c r="T2178" t="s">
        <v>550</v>
      </c>
      <c r="U2178" t="s">
        <v>550</v>
      </c>
      <c r="V2178" t="s">
        <v>8082</v>
      </c>
      <c r="W2178" t="s">
        <v>6972</v>
      </c>
      <c r="X2178" t="s">
        <v>6451</v>
      </c>
      <c r="Y2178" t="s">
        <v>6452</v>
      </c>
      <c r="Z2178" t="s">
        <v>8080</v>
      </c>
    </row>
    <row r="2179" spans="1:26" x14ac:dyDescent="0.3">
      <c r="A2179" t="s">
        <v>330</v>
      </c>
      <c r="B2179" t="s">
        <v>8083</v>
      </c>
      <c r="C2179" t="s">
        <v>7405</v>
      </c>
      <c r="D2179" t="s">
        <v>8002</v>
      </c>
      <c r="E2179" t="s">
        <v>6417</v>
      </c>
      <c r="F2179" t="s">
        <v>1040</v>
      </c>
      <c r="G2179" s="1">
        <v>43467</v>
      </c>
      <c r="H2179" s="1">
        <v>43830</v>
      </c>
      <c r="I2179" t="s">
        <v>665</v>
      </c>
      <c r="J2179" t="s">
        <v>6418</v>
      </c>
      <c r="K2179" t="s">
        <v>958</v>
      </c>
      <c r="L2179" t="s">
        <v>6419</v>
      </c>
      <c r="M2179" t="s">
        <v>7703</v>
      </c>
      <c r="N2179" t="s">
        <v>7704</v>
      </c>
      <c r="O2179" t="s">
        <v>7982</v>
      </c>
      <c r="P2179" t="s">
        <v>7983</v>
      </c>
      <c r="Q2179" t="s">
        <v>6565</v>
      </c>
      <c r="R2179" t="s">
        <v>6566</v>
      </c>
      <c r="S2179" t="s">
        <v>7860</v>
      </c>
      <c r="T2179" t="s">
        <v>550</v>
      </c>
      <c r="U2179" t="s">
        <v>550</v>
      </c>
      <c r="V2179" t="s">
        <v>8084</v>
      </c>
      <c r="W2179" t="s">
        <v>7706</v>
      </c>
      <c r="X2179" t="s">
        <v>6451</v>
      </c>
      <c r="Y2179" t="s">
        <v>6452</v>
      </c>
      <c r="Z2179" t="s">
        <v>8083</v>
      </c>
    </row>
    <row r="2180" spans="1:26" x14ac:dyDescent="0.3">
      <c r="A2180" t="s">
        <v>330</v>
      </c>
      <c r="B2180" t="s">
        <v>8085</v>
      </c>
      <c r="C2180" t="s">
        <v>7405</v>
      </c>
      <c r="D2180" t="s">
        <v>7991</v>
      </c>
      <c r="E2180" t="s">
        <v>6417</v>
      </c>
      <c r="F2180" t="s">
        <v>1040</v>
      </c>
      <c r="G2180" s="1">
        <v>43831</v>
      </c>
      <c r="H2180" s="1">
        <v>45607</v>
      </c>
      <c r="I2180" t="s">
        <v>665</v>
      </c>
      <c r="J2180" t="s">
        <v>6418</v>
      </c>
      <c r="K2180" t="s">
        <v>958</v>
      </c>
      <c r="L2180" t="s">
        <v>6419</v>
      </c>
      <c r="M2180" t="s">
        <v>7703</v>
      </c>
      <c r="N2180" t="s">
        <v>7704</v>
      </c>
      <c r="O2180" t="s">
        <v>7982</v>
      </c>
      <c r="P2180" t="s">
        <v>7983</v>
      </c>
      <c r="Q2180" t="s">
        <v>6565</v>
      </c>
      <c r="R2180" t="s">
        <v>6566</v>
      </c>
      <c r="S2180" t="s">
        <v>7992</v>
      </c>
      <c r="T2180" t="s">
        <v>550</v>
      </c>
      <c r="U2180" t="s">
        <v>550</v>
      </c>
      <c r="V2180" t="s">
        <v>8086</v>
      </c>
      <c r="W2180" t="s">
        <v>7706</v>
      </c>
      <c r="X2180" t="s">
        <v>6451</v>
      </c>
      <c r="Y2180" t="s">
        <v>6452</v>
      </c>
      <c r="Z2180" t="s">
        <v>8085</v>
      </c>
    </row>
    <row r="2181" spans="1:26" x14ac:dyDescent="0.3">
      <c r="A2181" t="s">
        <v>330</v>
      </c>
      <c r="B2181" t="s">
        <v>8087</v>
      </c>
      <c r="C2181" t="s">
        <v>6552</v>
      </c>
      <c r="D2181" t="s">
        <v>8002</v>
      </c>
      <c r="E2181" t="s">
        <v>6417</v>
      </c>
      <c r="F2181" t="s">
        <v>1040</v>
      </c>
      <c r="G2181" s="1">
        <v>43467</v>
      </c>
      <c r="H2181" s="1">
        <v>43830</v>
      </c>
      <c r="I2181" t="s">
        <v>665</v>
      </c>
      <c r="J2181" t="s">
        <v>6418</v>
      </c>
      <c r="K2181" t="s">
        <v>958</v>
      </c>
      <c r="L2181" t="s">
        <v>6419</v>
      </c>
      <c r="M2181" t="s">
        <v>6968</v>
      </c>
      <c r="N2181" t="s">
        <v>6969</v>
      </c>
      <c r="O2181" t="s">
        <v>7982</v>
      </c>
      <c r="P2181" t="s">
        <v>7983</v>
      </c>
      <c r="Q2181" t="s">
        <v>6565</v>
      </c>
      <c r="R2181" t="s">
        <v>6566</v>
      </c>
      <c r="S2181" t="s">
        <v>7860</v>
      </c>
      <c r="T2181" t="s">
        <v>550</v>
      </c>
      <c r="U2181" t="s">
        <v>550</v>
      </c>
      <c r="V2181" t="s">
        <v>8088</v>
      </c>
      <c r="W2181" t="s">
        <v>6964</v>
      </c>
      <c r="X2181" t="s">
        <v>6451</v>
      </c>
      <c r="Y2181" t="s">
        <v>6452</v>
      </c>
      <c r="Z2181" t="s">
        <v>8087</v>
      </c>
    </row>
    <row r="2182" spans="1:26" x14ac:dyDescent="0.3">
      <c r="A2182" t="s">
        <v>330</v>
      </c>
      <c r="B2182" t="s">
        <v>8089</v>
      </c>
      <c r="C2182" t="s">
        <v>8090</v>
      </c>
      <c r="D2182" t="s">
        <v>550</v>
      </c>
      <c r="E2182" t="s">
        <v>6417</v>
      </c>
      <c r="F2182" t="s">
        <v>1040</v>
      </c>
      <c r="G2182" s="1">
        <v>43467</v>
      </c>
      <c r="H2182" s="1">
        <v>43830</v>
      </c>
      <c r="I2182" t="s">
        <v>665</v>
      </c>
      <c r="J2182" t="s">
        <v>6418</v>
      </c>
      <c r="K2182" t="s">
        <v>958</v>
      </c>
      <c r="L2182" t="s">
        <v>6502</v>
      </c>
      <c r="M2182" t="s">
        <v>6968</v>
      </c>
      <c r="N2182" t="s">
        <v>6969</v>
      </c>
      <c r="O2182" t="s">
        <v>7982</v>
      </c>
      <c r="P2182" t="s">
        <v>7983</v>
      </c>
      <c r="Q2182" t="s">
        <v>6565</v>
      </c>
      <c r="R2182" t="s">
        <v>6566</v>
      </c>
      <c r="S2182" t="s">
        <v>8091</v>
      </c>
      <c r="T2182" t="s">
        <v>550</v>
      </c>
      <c r="U2182" t="s">
        <v>550</v>
      </c>
      <c r="V2182" t="s">
        <v>8092</v>
      </c>
      <c r="W2182" t="s">
        <v>6972</v>
      </c>
      <c r="X2182" t="s">
        <v>6451</v>
      </c>
      <c r="Y2182" t="s">
        <v>6452</v>
      </c>
      <c r="Z2182" t="s">
        <v>8089</v>
      </c>
    </row>
    <row r="2183" spans="1:26" x14ac:dyDescent="0.3">
      <c r="A2183" t="s">
        <v>330</v>
      </c>
      <c r="B2183" t="s">
        <v>8093</v>
      </c>
      <c r="C2183" t="s">
        <v>8094</v>
      </c>
      <c r="D2183" t="s">
        <v>8089</v>
      </c>
      <c r="E2183" t="s">
        <v>6417</v>
      </c>
      <c r="F2183" t="s">
        <v>1040</v>
      </c>
      <c r="G2183" s="1">
        <v>43467</v>
      </c>
      <c r="H2183" s="1">
        <v>43830</v>
      </c>
      <c r="I2183" t="s">
        <v>665</v>
      </c>
      <c r="J2183" t="s">
        <v>6418</v>
      </c>
      <c r="K2183" t="s">
        <v>958</v>
      </c>
      <c r="L2183" t="s">
        <v>6502</v>
      </c>
      <c r="M2183" t="s">
        <v>6968</v>
      </c>
      <c r="N2183" t="s">
        <v>6969</v>
      </c>
      <c r="O2183" t="s">
        <v>7982</v>
      </c>
      <c r="P2183" t="s">
        <v>7983</v>
      </c>
      <c r="Q2183" t="s">
        <v>6565</v>
      </c>
      <c r="R2183" t="s">
        <v>6566</v>
      </c>
      <c r="S2183" t="s">
        <v>8091</v>
      </c>
      <c r="T2183" t="s">
        <v>550</v>
      </c>
      <c r="U2183" t="s">
        <v>550</v>
      </c>
      <c r="V2183" t="s">
        <v>8095</v>
      </c>
      <c r="W2183" t="s">
        <v>6972</v>
      </c>
      <c r="X2183" t="s">
        <v>6451</v>
      </c>
      <c r="Y2183" t="s">
        <v>6452</v>
      </c>
      <c r="Z2183" t="s">
        <v>8093</v>
      </c>
    </row>
    <row r="2184" spans="1:26" x14ac:dyDescent="0.3">
      <c r="A2184" t="s">
        <v>330</v>
      </c>
      <c r="B2184" t="s">
        <v>8096</v>
      </c>
      <c r="C2184" t="s">
        <v>8097</v>
      </c>
      <c r="D2184" t="s">
        <v>8089</v>
      </c>
      <c r="E2184" t="s">
        <v>6417</v>
      </c>
      <c r="F2184" t="s">
        <v>1040</v>
      </c>
      <c r="G2184" s="1">
        <v>43467</v>
      </c>
      <c r="H2184" s="1">
        <v>43830</v>
      </c>
      <c r="I2184" t="s">
        <v>665</v>
      </c>
      <c r="J2184" t="s">
        <v>6418</v>
      </c>
      <c r="K2184" t="s">
        <v>958</v>
      </c>
      <c r="L2184" t="s">
        <v>6502</v>
      </c>
      <c r="M2184" t="s">
        <v>6968</v>
      </c>
      <c r="N2184" t="s">
        <v>6969</v>
      </c>
      <c r="O2184" t="s">
        <v>7982</v>
      </c>
      <c r="P2184" t="s">
        <v>7983</v>
      </c>
      <c r="Q2184" t="s">
        <v>6565</v>
      </c>
      <c r="R2184" t="s">
        <v>6566</v>
      </c>
      <c r="S2184" t="s">
        <v>8091</v>
      </c>
      <c r="T2184" t="s">
        <v>550</v>
      </c>
      <c r="U2184" t="s">
        <v>550</v>
      </c>
      <c r="V2184" t="s">
        <v>8098</v>
      </c>
      <c r="W2184" t="s">
        <v>6972</v>
      </c>
      <c r="X2184" t="s">
        <v>6451</v>
      </c>
      <c r="Y2184" t="s">
        <v>6452</v>
      </c>
      <c r="Z2184" t="s">
        <v>8096</v>
      </c>
    </row>
    <row r="2185" spans="1:26" x14ac:dyDescent="0.3">
      <c r="A2185" t="s">
        <v>330</v>
      </c>
      <c r="B2185" t="s">
        <v>8099</v>
      </c>
      <c r="C2185" t="s">
        <v>8100</v>
      </c>
      <c r="D2185" t="s">
        <v>8089</v>
      </c>
      <c r="E2185" t="s">
        <v>6417</v>
      </c>
      <c r="F2185" t="s">
        <v>1040</v>
      </c>
      <c r="G2185" s="1">
        <v>43467</v>
      </c>
      <c r="H2185" s="1">
        <v>43830</v>
      </c>
      <c r="I2185" t="s">
        <v>665</v>
      </c>
      <c r="J2185" t="s">
        <v>6418</v>
      </c>
      <c r="K2185" t="s">
        <v>958</v>
      </c>
      <c r="L2185" t="s">
        <v>6502</v>
      </c>
      <c r="M2185" t="s">
        <v>6968</v>
      </c>
      <c r="N2185" t="s">
        <v>6969</v>
      </c>
      <c r="O2185" t="s">
        <v>7982</v>
      </c>
      <c r="P2185" t="s">
        <v>7983</v>
      </c>
      <c r="Q2185" t="s">
        <v>6565</v>
      </c>
      <c r="R2185" t="s">
        <v>6566</v>
      </c>
      <c r="S2185" t="s">
        <v>8091</v>
      </c>
      <c r="T2185" t="s">
        <v>550</v>
      </c>
      <c r="U2185" t="s">
        <v>550</v>
      </c>
      <c r="V2185" t="s">
        <v>8101</v>
      </c>
      <c r="W2185" t="s">
        <v>6972</v>
      </c>
      <c r="X2185" t="s">
        <v>6451</v>
      </c>
      <c r="Y2185" t="s">
        <v>6452</v>
      </c>
      <c r="Z2185" t="s">
        <v>8099</v>
      </c>
    </row>
    <row r="2186" spans="1:26" x14ac:dyDescent="0.3">
      <c r="A2186" t="s">
        <v>330</v>
      </c>
      <c r="B2186" t="s">
        <v>8102</v>
      </c>
      <c r="C2186" t="s">
        <v>8103</v>
      </c>
      <c r="D2186" t="s">
        <v>550</v>
      </c>
      <c r="E2186" t="s">
        <v>6417</v>
      </c>
      <c r="F2186" t="s">
        <v>1040</v>
      </c>
      <c r="G2186" s="1">
        <v>43102</v>
      </c>
      <c r="H2186" s="1">
        <v>43465</v>
      </c>
      <c r="I2186" t="s">
        <v>665</v>
      </c>
      <c r="J2186" t="s">
        <v>6418</v>
      </c>
      <c r="K2186" t="s">
        <v>958</v>
      </c>
      <c r="L2186" t="s">
        <v>6502</v>
      </c>
      <c r="M2186" t="s">
        <v>6968</v>
      </c>
      <c r="N2186" t="s">
        <v>6969</v>
      </c>
      <c r="O2186" t="s">
        <v>7982</v>
      </c>
      <c r="P2186" t="s">
        <v>7983</v>
      </c>
      <c r="Q2186" t="s">
        <v>6565</v>
      </c>
      <c r="R2186" t="s">
        <v>6566</v>
      </c>
      <c r="S2186" t="s">
        <v>8104</v>
      </c>
      <c r="T2186" t="s">
        <v>550</v>
      </c>
      <c r="U2186" t="s">
        <v>550</v>
      </c>
      <c r="V2186" t="s">
        <v>8105</v>
      </c>
      <c r="W2186" t="s">
        <v>6972</v>
      </c>
      <c r="X2186" t="s">
        <v>6451</v>
      </c>
      <c r="Y2186" t="s">
        <v>6452</v>
      </c>
      <c r="Z2186" t="s">
        <v>8102</v>
      </c>
    </row>
    <row r="2187" spans="1:26" x14ac:dyDescent="0.3">
      <c r="A2187" t="s">
        <v>330</v>
      </c>
      <c r="B2187" t="s">
        <v>8106</v>
      </c>
      <c r="C2187" t="s">
        <v>8107</v>
      </c>
      <c r="D2187" t="s">
        <v>550</v>
      </c>
      <c r="E2187" t="s">
        <v>6417</v>
      </c>
      <c r="F2187" t="s">
        <v>1040</v>
      </c>
      <c r="G2187" s="1">
        <v>44013</v>
      </c>
      <c r="H2187" s="1">
        <v>44039</v>
      </c>
      <c r="I2187" t="s">
        <v>665</v>
      </c>
      <c r="J2187" t="s">
        <v>6418</v>
      </c>
      <c r="K2187" t="s">
        <v>958</v>
      </c>
      <c r="L2187" t="s">
        <v>6502</v>
      </c>
      <c r="M2187" t="s">
        <v>6968</v>
      </c>
      <c r="N2187" t="s">
        <v>6969</v>
      </c>
      <c r="O2187" t="s">
        <v>7982</v>
      </c>
      <c r="P2187" t="s">
        <v>7983</v>
      </c>
      <c r="Q2187" t="s">
        <v>6565</v>
      </c>
      <c r="R2187" t="s">
        <v>6566</v>
      </c>
      <c r="S2187" t="s">
        <v>8108</v>
      </c>
      <c r="T2187" t="s">
        <v>550</v>
      </c>
      <c r="U2187" t="s">
        <v>550</v>
      </c>
      <c r="V2187" t="s">
        <v>8109</v>
      </c>
      <c r="W2187" t="s">
        <v>6972</v>
      </c>
      <c r="X2187" t="s">
        <v>6451</v>
      </c>
      <c r="Y2187" t="s">
        <v>6452</v>
      </c>
      <c r="Z2187" t="s">
        <v>8106</v>
      </c>
    </row>
    <row r="2188" spans="1:26" x14ac:dyDescent="0.3">
      <c r="A2188" t="s">
        <v>330</v>
      </c>
      <c r="B2188" t="s">
        <v>8110</v>
      </c>
      <c r="C2188" t="s">
        <v>6552</v>
      </c>
      <c r="D2188" t="s">
        <v>7991</v>
      </c>
      <c r="E2188" t="s">
        <v>6417</v>
      </c>
      <c r="F2188" t="s">
        <v>1040</v>
      </c>
      <c r="G2188" s="1">
        <v>43831</v>
      </c>
      <c r="H2188" s="1">
        <v>43874</v>
      </c>
      <c r="I2188" t="s">
        <v>665</v>
      </c>
      <c r="J2188" t="s">
        <v>6418</v>
      </c>
      <c r="K2188" t="s">
        <v>958</v>
      </c>
      <c r="L2188" t="s">
        <v>6419</v>
      </c>
      <c r="M2188" t="s">
        <v>6968</v>
      </c>
      <c r="N2188" t="s">
        <v>6969</v>
      </c>
      <c r="O2188" t="s">
        <v>7982</v>
      </c>
      <c r="P2188" t="s">
        <v>7983</v>
      </c>
      <c r="Q2188" t="s">
        <v>6565</v>
      </c>
      <c r="R2188" t="s">
        <v>6566</v>
      </c>
      <c r="S2188" t="s">
        <v>7992</v>
      </c>
      <c r="T2188" t="s">
        <v>550</v>
      </c>
      <c r="U2188" t="s">
        <v>550</v>
      </c>
      <c r="V2188" t="s">
        <v>8111</v>
      </c>
      <c r="W2188" t="s">
        <v>6972</v>
      </c>
      <c r="X2188" t="s">
        <v>6451</v>
      </c>
      <c r="Y2188" t="s">
        <v>6452</v>
      </c>
      <c r="Z2188" t="s">
        <v>8110</v>
      </c>
    </row>
    <row r="2189" spans="1:26" x14ac:dyDescent="0.3">
      <c r="A2189" t="s">
        <v>330</v>
      </c>
      <c r="B2189" t="s">
        <v>8112</v>
      </c>
      <c r="C2189" t="s">
        <v>8090</v>
      </c>
      <c r="D2189" t="s">
        <v>550</v>
      </c>
      <c r="E2189" t="s">
        <v>6417</v>
      </c>
      <c r="F2189" t="s">
        <v>1040</v>
      </c>
      <c r="G2189" s="1">
        <v>43831</v>
      </c>
      <c r="H2189" s="1">
        <v>43831</v>
      </c>
      <c r="I2189" t="s">
        <v>665</v>
      </c>
      <c r="J2189" t="s">
        <v>6418</v>
      </c>
      <c r="K2189" t="s">
        <v>958</v>
      </c>
      <c r="L2189" t="s">
        <v>6502</v>
      </c>
      <c r="M2189" t="s">
        <v>6968</v>
      </c>
      <c r="N2189" t="s">
        <v>6969</v>
      </c>
      <c r="O2189" t="s">
        <v>7982</v>
      </c>
      <c r="P2189" t="s">
        <v>7983</v>
      </c>
      <c r="Q2189" t="s">
        <v>6565</v>
      </c>
      <c r="R2189" t="s">
        <v>6566</v>
      </c>
      <c r="S2189" t="s">
        <v>8113</v>
      </c>
      <c r="T2189" t="s">
        <v>550</v>
      </c>
      <c r="U2189" t="s">
        <v>550</v>
      </c>
      <c r="V2189" t="s">
        <v>8114</v>
      </c>
      <c r="W2189" t="s">
        <v>6972</v>
      </c>
      <c r="X2189" t="s">
        <v>6451</v>
      </c>
      <c r="Y2189" t="s">
        <v>6452</v>
      </c>
      <c r="Z2189" t="s">
        <v>8112</v>
      </c>
    </row>
    <row r="2190" spans="1:26" x14ac:dyDescent="0.3">
      <c r="A2190" t="s">
        <v>330</v>
      </c>
      <c r="B2190" t="s">
        <v>8115</v>
      </c>
      <c r="C2190" t="s">
        <v>8094</v>
      </c>
      <c r="D2190" t="s">
        <v>8112</v>
      </c>
      <c r="E2190" t="s">
        <v>6417</v>
      </c>
      <c r="F2190" t="s">
        <v>1040</v>
      </c>
      <c r="G2190" s="1">
        <v>43831</v>
      </c>
      <c r="H2190" s="1">
        <v>43970</v>
      </c>
      <c r="I2190" t="s">
        <v>665</v>
      </c>
      <c r="J2190" t="s">
        <v>6418</v>
      </c>
      <c r="K2190" t="s">
        <v>958</v>
      </c>
      <c r="L2190" t="s">
        <v>6502</v>
      </c>
      <c r="M2190" t="s">
        <v>6968</v>
      </c>
      <c r="N2190" t="s">
        <v>6969</v>
      </c>
      <c r="O2190" t="s">
        <v>7982</v>
      </c>
      <c r="P2190" t="s">
        <v>7983</v>
      </c>
      <c r="Q2190" t="s">
        <v>6565</v>
      </c>
      <c r="R2190" t="s">
        <v>6566</v>
      </c>
      <c r="S2190" t="s">
        <v>8113</v>
      </c>
      <c r="T2190" t="s">
        <v>550</v>
      </c>
      <c r="U2190" t="s">
        <v>550</v>
      </c>
      <c r="V2190" t="s">
        <v>8116</v>
      </c>
      <c r="W2190" t="s">
        <v>6972</v>
      </c>
      <c r="X2190" t="s">
        <v>6451</v>
      </c>
      <c r="Y2190" t="s">
        <v>6452</v>
      </c>
      <c r="Z2190" t="s">
        <v>8115</v>
      </c>
    </row>
    <row r="2191" spans="1:26" x14ac:dyDescent="0.3">
      <c r="A2191" t="s">
        <v>330</v>
      </c>
      <c r="B2191" t="s">
        <v>8117</v>
      </c>
      <c r="C2191" t="s">
        <v>8118</v>
      </c>
      <c r="D2191" t="s">
        <v>8112</v>
      </c>
      <c r="E2191" t="s">
        <v>6417</v>
      </c>
      <c r="F2191" t="s">
        <v>1040</v>
      </c>
      <c r="G2191" s="1">
        <v>43831</v>
      </c>
      <c r="H2191" s="1">
        <v>43882</v>
      </c>
      <c r="I2191" t="s">
        <v>665</v>
      </c>
      <c r="J2191" t="s">
        <v>6418</v>
      </c>
      <c r="K2191" t="s">
        <v>958</v>
      </c>
      <c r="L2191" t="s">
        <v>6502</v>
      </c>
      <c r="M2191" t="s">
        <v>6968</v>
      </c>
      <c r="N2191" t="s">
        <v>6969</v>
      </c>
      <c r="O2191" t="s">
        <v>7982</v>
      </c>
      <c r="P2191" t="s">
        <v>7983</v>
      </c>
      <c r="Q2191" t="s">
        <v>6565</v>
      </c>
      <c r="R2191" t="s">
        <v>6566</v>
      </c>
      <c r="S2191" t="s">
        <v>8113</v>
      </c>
      <c r="T2191" t="s">
        <v>550</v>
      </c>
      <c r="U2191" t="s">
        <v>550</v>
      </c>
      <c r="V2191" t="s">
        <v>8119</v>
      </c>
      <c r="W2191" t="s">
        <v>6972</v>
      </c>
      <c r="X2191" t="s">
        <v>6451</v>
      </c>
      <c r="Y2191" t="s">
        <v>6452</v>
      </c>
      <c r="Z2191" t="s">
        <v>8117</v>
      </c>
    </row>
    <row r="2192" spans="1:26" x14ac:dyDescent="0.3">
      <c r="A2192" t="s">
        <v>330</v>
      </c>
      <c r="B2192" t="s">
        <v>8120</v>
      </c>
      <c r="C2192" t="s">
        <v>6999</v>
      </c>
      <c r="D2192" t="s">
        <v>7350</v>
      </c>
      <c r="E2192" t="s">
        <v>6417</v>
      </c>
      <c r="F2192" t="s">
        <v>1040</v>
      </c>
      <c r="G2192" s="1">
        <v>43831</v>
      </c>
      <c r="H2192" s="1">
        <v>44323</v>
      </c>
      <c r="I2192" t="s">
        <v>665</v>
      </c>
      <c r="J2192" t="s">
        <v>6418</v>
      </c>
      <c r="K2192" t="s">
        <v>958</v>
      </c>
      <c r="L2192" t="s">
        <v>6419</v>
      </c>
      <c r="M2192" t="s">
        <v>6968</v>
      </c>
      <c r="N2192" t="s">
        <v>6969</v>
      </c>
      <c r="O2192" t="s">
        <v>7982</v>
      </c>
      <c r="P2192" t="s">
        <v>7983</v>
      </c>
      <c r="Q2192" t="s">
        <v>6565</v>
      </c>
      <c r="R2192" t="s">
        <v>6566</v>
      </c>
      <c r="S2192" t="s">
        <v>7353</v>
      </c>
      <c r="T2192" t="s">
        <v>550</v>
      </c>
      <c r="U2192" t="s">
        <v>550</v>
      </c>
      <c r="V2192" t="s">
        <v>8121</v>
      </c>
      <c r="W2192" t="s">
        <v>6988</v>
      </c>
      <c r="X2192" t="s">
        <v>6451</v>
      </c>
      <c r="Y2192" t="s">
        <v>6452</v>
      </c>
      <c r="Z2192" t="s">
        <v>8120</v>
      </c>
    </row>
    <row r="2193" spans="1:26" x14ac:dyDescent="0.3">
      <c r="A2193" t="s">
        <v>330</v>
      </c>
      <c r="B2193" t="s">
        <v>7355</v>
      </c>
      <c r="C2193" t="s">
        <v>6983</v>
      </c>
      <c r="D2193" t="s">
        <v>550</v>
      </c>
      <c r="E2193" t="s">
        <v>6417</v>
      </c>
      <c r="F2193" t="s">
        <v>1040</v>
      </c>
      <c r="G2193" s="1">
        <v>43831</v>
      </c>
      <c r="H2193" s="1">
        <v>43831</v>
      </c>
      <c r="I2193" t="s">
        <v>665</v>
      </c>
      <c r="J2193" t="s">
        <v>6418</v>
      </c>
      <c r="K2193" t="s">
        <v>958</v>
      </c>
      <c r="L2193" t="s">
        <v>6419</v>
      </c>
      <c r="M2193" t="s">
        <v>6968</v>
      </c>
      <c r="N2193" t="s">
        <v>6969</v>
      </c>
      <c r="O2193" t="s">
        <v>7982</v>
      </c>
      <c r="P2193" t="s">
        <v>7983</v>
      </c>
      <c r="Q2193" t="s">
        <v>6565</v>
      </c>
      <c r="R2193" t="s">
        <v>6566</v>
      </c>
      <c r="S2193" t="s">
        <v>7353</v>
      </c>
      <c r="T2193" t="s">
        <v>550</v>
      </c>
      <c r="U2193" t="s">
        <v>550</v>
      </c>
      <c r="V2193" t="s">
        <v>8122</v>
      </c>
      <c r="W2193" t="s">
        <v>6988</v>
      </c>
      <c r="X2193" t="s">
        <v>6451</v>
      </c>
      <c r="Y2193" t="s">
        <v>6452</v>
      </c>
      <c r="Z2193" t="s">
        <v>7355</v>
      </c>
    </row>
    <row r="2194" spans="1:26" x14ac:dyDescent="0.3">
      <c r="A2194" t="s">
        <v>330</v>
      </c>
      <c r="B2194" t="s">
        <v>7304</v>
      </c>
      <c r="C2194" t="s">
        <v>8123</v>
      </c>
      <c r="D2194" t="s">
        <v>550</v>
      </c>
      <c r="E2194" t="s">
        <v>6417</v>
      </c>
      <c r="F2194" t="s">
        <v>1040</v>
      </c>
      <c r="G2194" s="1">
        <v>43467</v>
      </c>
      <c r="H2194" s="1">
        <v>43830</v>
      </c>
      <c r="I2194" t="s">
        <v>665</v>
      </c>
      <c r="J2194" t="s">
        <v>6418</v>
      </c>
      <c r="K2194" t="s">
        <v>958</v>
      </c>
      <c r="L2194" t="s">
        <v>6419</v>
      </c>
      <c r="M2194" t="s">
        <v>7277</v>
      </c>
      <c r="N2194" t="s">
        <v>7278</v>
      </c>
      <c r="O2194" t="s">
        <v>7982</v>
      </c>
      <c r="P2194" t="s">
        <v>7983</v>
      </c>
      <c r="Q2194" t="s">
        <v>6565</v>
      </c>
      <c r="R2194" t="s">
        <v>6566</v>
      </c>
      <c r="S2194" t="s">
        <v>7287</v>
      </c>
      <c r="T2194" t="s">
        <v>550</v>
      </c>
      <c r="U2194" t="s">
        <v>550</v>
      </c>
      <c r="V2194" t="s">
        <v>8124</v>
      </c>
      <c r="W2194" t="s">
        <v>6988</v>
      </c>
      <c r="X2194" t="s">
        <v>6451</v>
      </c>
      <c r="Y2194" t="s">
        <v>6452</v>
      </c>
      <c r="Z2194" t="s">
        <v>7304</v>
      </c>
    </row>
    <row r="2195" spans="1:26" x14ac:dyDescent="0.3">
      <c r="A2195" t="s">
        <v>330</v>
      </c>
      <c r="B2195" t="s">
        <v>7307</v>
      </c>
      <c r="C2195" t="s">
        <v>8125</v>
      </c>
      <c r="D2195" t="s">
        <v>550</v>
      </c>
      <c r="E2195" t="s">
        <v>6417</v>
      </c>
      <c r="F2195" t="s">
        <v>1040</v>
      </c>
      <c r="G2195" s="1">
        <v>43467</v>
      </c>
      <c r="H2195" s="1">
        <v>43830</v>
      </c>
      <c r="I2195" t="s">
        <v>665</v>
      </c>
      <c r="J2195" t="s">
        <v>6418</v>
      </c>
      <c r="K2195" t="s">
        <v>958</v>
      </c>
      <c r="L2195" t="s">
        <v>6419</v>
      </c>
      <c r="M2195" t="s">
        <v>7277</v>
      </c>
      <c r="N2195" t="s">
        <v>7278</v>
      </c>
      <c r="O2195" t="s">
        <v>7982</v>
      </c>
      <c r="P2195" t="s">
        <v>7983</v>
      </c>
      <c r="Q2195" t="s">
        <v>6565</v>
      </c>
      <c r="R2195" t="s">
        <v>6566</v>
      </c>
      <c r="S2195" t="s">
        <v>7292</v>
      </c>
      <c r="T2195" t="s">
        <v>550</v>
      </c>
      <c r="U2195" t="s">
        <v>550</v>
      </c>
      <c r="V2195" t="s">
        <v>8126</v>
      </c>
      <c r="W2195" t="s">
        <v>6988</v>
      </c>
      <c r="X2195" t="s">
        <v>6451</v>
      </c>
      <c r="Y2195" t="s">
        <v>6452</v>
      </c>
      <c r="Z2195" t="s">
        <v>7307</v>
      </c>
    </row>
    <row r="2196" spans="1:26" x14ac:dyDescent="0.3">
      <c r="A2196" t="s">
        <v>330</v>
      </c>
      <c r="B2196" t="s">
        <v>7301</v>
      </c>
      <c r="C2196" t="s">
        <v>8125</v>
      </c>
      <c r="D2196" t="s">
        <v>550</v>
      </c>
      <c r="E2196" t="s">
        <v>6417</v>
      </c>
      <c r="F2196" t="s">
        <v>1040</v>
      </c>
      <c r="G2196" s="1">
        <v>43102</v>
      </c>
      <c r="H2196" s="1">
        <v>43465</v>
      </c>
      <c r="I2196" t="s">
        <v>665</v>
      </c>
      <c r="J2196" t="s">
        <v>6418</v>
      </c>
      <c r="K2196" t="s">
        <v>958</v>
      </c>
      <c r="L2196" t="s">
        <v>6419</v>
      </c>
      <c r="M2196" t="s">
        <v>7277</v>
      </c>
      <c r="N2196" t="s">
        <v>7278</v>
      </c>
      <c r="O2196" t="s">
        <v>7982</v>
      </c>
      <c r="P2196" t="s">
        <v>7983</v>
      </c>
      <c r="Q2196" t="s">
        <v>6565</v>
      </c>
      <c r="R2196" t="s">
        <v>6566</v>
      </c>
      <c r="S2196" t="s">
        <v>7297</v>
      </c>
      <c r="T2196" t="s">
        <v>550</v>
      </c>
      <c r="U2196" t="s">
        <v>550</v>
      </c>
      <c r="V2196" t="s">
        <v>8127</v>
      </c>
      <c r="W2196" t="s">
        <v>6988</v>
      </c>
      <c r="X2196" t="s">
        <v>6451</v>
      </c>
      <c r="Y2196" t="s">
        <v>6452</v>
      </c>
      <c r="Z2196" t="s">
        <v>7301</v>
      </c>
    </row>
    <row r="2197" spans="1:26" x14ac:dyDescent="0.3">
      <c r="A2197" t="s">
        <v>330</v>
      </c>
      <c r="B2197" t="s">
        <v>8128</v>
      </c>
      <c r="C2197" t="s">
        <v>8129</v>
      </c>
      <c r="D2197" t="s">
        <v>550</v>
      </c>
      <c r="E2197" t="s">
        <v>6417</v>
      </c>
      <c r="F2197" t="s">
        <v>1040</v>
      </c>
      <c r="G2197" s="1">
        <v>43102</v>
      </c>
      <c r="H2197" s="1">
        <v>43465</v>
      </c>
      <c r="I2197" t="s">
        <v>665</v>
      </c>
      <c r="J2197" t="s">
        <v>6418</v>
      </c>
      <c r="K2197" t="s">
        <v>958</v>
      </c>
      <c r="L2197" t="s">
        <v>6419</v>
      </c>
      <c r="M2197" t="s">
        <v>6593</v>
      </c>
      <c r="N2197" t="s">
        <v>6594</v>
      </c>
      <c r="O2197" t="s">
        <v>7982</v>
      </c>
      <c r="P2197" t="s">
        <v>7983</v>
      </c>
      <c r="Q2197" t="s">
        <v>6565</v>
      </c>
      <c r="R2197" t="s">
        <v>6566</v>
      </c>
      <c r="S2197" t="s">
        <v>8130</v>
      </c>
      <c r="T2197" t="s">
        <v>550</v>
      </c>
      <c r="U2197" t="s">
        <v>550</v>
      </c>
      <c r="V2197" t="s">
        <v>8131</v>
      </c>
      <c r="W2197" t="s">
        <v>7171</v>
      </c>
      <c r="X2197" t="s">
        <v>6451</v>
      </c>
      <c r="Y2197" t="s">
        <v>6452</v>
      </c>
      <c r="Z2197" t="s">
        <v>8128</v>
      </c>
    </row>
    <row r="2198" spans="1:26" x14ac:dyDescent="0.3">
      <c r="A2198" t="s">
        <v>330</v>
      </c>
      <c r="B2198" t="s">
        <v>8132</v>
      </c>
      <c r="C2198" t="s">
        <v>7167</v>
      </c>
      <c r="D2198" t="s">
        <v>7845</v>
      </c>
      <c r="E2198" t="s">
        <v>6417</v>
      </c>
      <c r="F2198" t="s">
        <v>1040</v>
      </c>
      <c r="G2198" s="1">
        <v>43102</v>
      </c>
      <c r="H2198" s="1">
        <v>43465</v>
      </c>
      <c r="I2198" t="s">
        <v>665</v>
      </c>
      <c r="J2198" t="s">
        <v>6418</v>
      </c>
      <c r="K2198" t="s">
        <v>958</v>
      </c>
      <c r="L2198" t="s">
        <v>6419</v>
      </c>
      <c r="M2198" t="s">
        <v>6593</v>
      </c>
      <c r="N2198" t="s">
        <v>6594</v>
      </c>
      <c r="O2198" t="s">
        <v>7982</v>
      </c>
      <c r="P2198" t="s">
        <v>7983</v>
      </c>
      <c r="Q2198" t="s">
        <v>6565</v>
      </c>
      <c r="R2198" t="s">
        <v>6566</v>
      </c>
      <c r="S2198" t="s">
        <v>7842</v>
      </c>
      <c r="T2198" t="s">
        <v>550</v>
      </c>
      <c r="U2198" t="s">
        <v>550</v>
      </c>
      <c r="V2198" t="s">
        <v>8133</v>
      </c>
      <c r="W2198" t="s">
        <v>7171</v>
      </c>
      <c r="X2198" t="s">
        <v>6451</v>
      </c>
      <c r="Y2198" t="s">
        <v>6452</v>
      </c>
      <c r="Z2198" t="s">
        <v>8132</v>
      </c>
    </row>
    <row r="2199" spans="1:26" x14ac:dyDescent="0.3">
      <c r="A2199" t="s">
        <v>330</v>
      </c>
      <c r="B2199" t="s">
        <v>8134</v>
      </c>
      <c r="C2199" t="s">
        <v>8135</v>
      </c>
      <c r="D2199" t="s">
        <v>7845</v>
      </c>
      <c r="E2199" t="s">
        <v>6417</v>
      </c>
      <c r="F2199" t="s">
        <v>1040</v>
      </c>
      <c r="G2199" s="1">
        <v>43102</v>
      </c>
      <c r="H2199" s="1">
        <v>43465</v>
      </c>
      <c r="I2199" t="s">
        <v>665</v>
      </c>
      <c r="J2199" t="s">
        <v>6418</v>
      </c>
      <c r="K2199" t="s">
        <v>958</v>
      </c>
      <c r="L2199" t="s">
        <v>6419</v>
      </c>
      <c r="M2199" t="s">
        <v>6593</v>
      </c>
      <c r="N2199" t="s">
        <v>6594</v>
      </c>
      <c r="O2199" t="s">
        <v>7982</v>
      </c>
      <c r="P2199" t="s">
        <v>7983</v>
      </c>
      <c r="Q2199" t="s">
        <v>6565</v>
      </c>
      <c r="R2199" t="s">
        <v>6566</v>
      </c>
      <c r="S2199" t="s">
        <v>7842</v>
      </c>
      <c r="T2199" t="s">
        <v>550</v>
      </c>
      <c r="U2199" t="s">
        <v>550</v>
      </c>
      <c r="V2199" t="s">
        <v>8136</v>
      </c>
      <c r="W2199" t="s">
        <v>7171</v>
      </c>
      <c r="X2199" t="s">
        <v>6451</v>
      </c>
      <c r="Y2199" t="s">
        <v>6452</v>
      </c>
      <c r="Z2199" t="s">
        <v>8134</v>
      </c>
    </row>
    <row r="2200" spans="1:26" x14ac:dyDescent="0.3">
      <c r="A2200" t="s">
        <v>330</v>
      </c>
      <c r="B2200" t="s">
        <v>8137</v>
      </c>
      <c r="C2200" t="s">
        <v>7167</v>
      </c>
      <c r="D2200" t="s">
        <v>8002</v>
      </c>
      <c r="E2200" t="s">
        <v>6417</v>
      </c>
      <c r="F2200" t="s">
        <v>1040</v>
      </c>
      <c r="G2200" s="1">
        <v>43467</v>
      </c>
      <c r="H2200" s="1">
        <v>43830</v>
      </c>
      <c r="I2200" t="s">
        <v>665</v>
      </c>
      <c r="J2200" t="s">
        <v>6418</v>
      </c>
      <c r="K2200" t="s">
        <v>958</v>
      </c>
      <c r="L2200" t="s">
        <v>6419</v>
      </c>
      <c r="M2200" t="s">
        <v>6593</v>
      </c>
      <c r="N2200" t="s">
        <v>6594</v>
      </c>
      <c r="O2200" t="s">
        <v>7982</v>
      </c>
      <c r="P2200" t="s">
        <v>7983</v>
      </c>
      <c r="Q2200" t="s">
        <v>6565</v>
      </c>
      <c r="R2200" t="s">
        <v>6566</v>
      </c>
      <c r="S2200" t="s">
        <v>7860</v>
      </c>
      <c r="T2200" t="s">
        <v>550</v>
      </c>
      <c r="U2200" t="s">
        <v>550</v>
      </c>
      <c r="V2200" t="s">
        <v>8138</v>
      </c>
      <c r="W2200" t="s">
        <v>7171</v>
      </c>
      <c r="X2200" t="s">
        <v>6451</v>
      </c>
      <c r="Y2200" t="s">
        <v>6452</v>
      </c>
      <c r="Z2200" t="s">
        <v>8137</v>
      </c>
    </row>
    <row r="2201" spans="1:26" x14ac:dyDescent="0.3">
      <c r="A2201" t="s">
        <v>330</v>
      </c>
      <c r="B2201" t="s">
        <v>8139</v>
      </c>
      <c r="C2201" t="s">
        <v>8135</v>
      </c>
      <c r="D2201" t="s">
        <v>8002</v>
      </c>
      <c r="E2201" t="s">
        <v>6417</v>
      </c>
      <c r="F2201" t="s">
        <v>1040</v>
      </c>
      <c r="G2201" s="1">
        <v>43467</v>
      </c>
      <c r="H2201" s="1">
        <v>43830</v>
      </c>
      <c r="I2201" t="s">
        <v>665</v>
      </c>
      <c r="J2201" t="s">
        <v>6418</v>
      </c>
      <c r="K2201" t="s">
        <v>958</v>
      </c>
      <c r="L2201" t="s">
        <v>6419</v>
      </c>
      <c r="M2201" t="s">
        <v>6593</v>
      </c>
      <c r="N2201" t="s">
        <v>6594</v>
      </c>
      <c r="O2201" t="s">
        <v>7982</v>
      </c>
      <c r="P2201" t="s">
        <v>7983</v>
      </c>
      <c r="Q2201" t="s">
        <v>6565</v>
      </c>
      <c r="R2201" t="s">
        <v>6566</v>
      </c>
      <c r="S2201" t="s">
        <v>7860</v>
      </c>
      <c r="T2201" t="s">
        <v>550</v>
      </c>
      <c r="U2201" t="s">
        <v>550</v>
      </c>
      <c r="V2201" t="s">
        <v>8140</v>
      </c>
      <c r="W2201" t="s">
        <v>7171</v>
      </c>
      <c r="X2201" t="s">
        <v>6451</v>
      </c>
      <c r="Y2201" t="s">
        <v>6452</v>
      </c>
      <c r="Z2201" t="s">
        <v>8139</v>
      </c>
    </row>
    <row r="2202" spans="1:26" x14ac:dyDescent="0.3">
      <c r="A2202" t="s">
        <v>330</v>
      </c>
      <c r="B2202" t="s">
        <v>8141</v>
      </c>
      <c r="C2202" t="s">
        <v>7167</v>
      </c>
      <c r="D2202" t="s">
        <v>7991</v>
      </c>
      <c r="E2202" t="s">
        <v>6417</v>
      </c>
      <c r="F2202" t="s">
        <v>1040</v>
      </c>
      <c r="G2202" s="1">
        <v>43831</v>
      </c>
      <c r="H2202" s="1">
        <v>46904</v>
      </c>
      <c r="I2202" t="s">
        <v>665</v>
      </c>
      <c r="J2202" t="s">
        <v>6418</v>
      </c>
      <c r="K2202" t="s">
        <v>958</v>
      </c>
      <c r="L2202" t="s">
        <v>6419</v>
      </c>
      <c r="M2202" t="s">
        <v>6593</v>
      </c>
      <c r="N2202" t="s">
        <v>6594</v>
      </c>
      <c r="O2202" t="s">
        <v>7982</v>
      </c>
      <c r="P2202" t="s">
        <v>7983</v>
      </c>
      <c r="Q2202" t="s">
        <v>6565</v>
      </c>
      <c r="R2202" t="s">
        <v>6566</v>
      </c>
      <c r="S2202" t="s">
        <v>7992</v>
      </c>
      <c r="T2202" t="s">
        <v>550</v>
      </c>
      <c r="U2202" t="s">
        <v>550</v>
      </c>
      <c r="V2202" t="s">
        <v>8142</v>
      </c>
      <c r="W2202" t="s">
        <v>7171</v>
      </c>
      <c r="X2202" t="s">
        <v>6451</v>
      </c>
      <c r="Y2202" t="s">
        <v>6452</v>
      </c>
      <c r="Z2202" t="s">
        <v>8141</v>
      </c>
    </row>
    <row r="2203" spans="1:26" x14ac:dyDescent="0.3">
      <c r="A2203" t="s">
        <v>330</v>
      </c>
      <c r="B2203" t="s">
        <v>8143</v>
      </c>
      <c r="C2203" t="s">
        <v>8135</v>
      </c>
      <c r="D2203" t="s">
        <v>7991</v>
      </c>
      <c r="E2203" t="s">
        <v>6417</v>
      </c>
      <c r="F2203" t="s">
        <v>1040</v>
      </c>
      <c r="G2203" s="1">
        <v>43831</v>
      </c>
      <c r="H2203" s="1">
        <v>43900</v>
      </c>
      <c r="I2203" t="s">
        <v>665</v>
      </c>
      <c r="J2203" t="s">
        <v>6418</v>
      </c>
      <c r="K2203" t="s">
        <v>958</v>
      </c>
      <c r="L2203" t="s">
        <v>6419</v>
      </c>
      <c r="M2203" t="s">
        <v>6593</v>
      </c>
      <c r="N2203" t="s">
        <v>6594</v>
      </c>
      <c r="O2203" t="s">
        <v>7982</v>
      </c>
      <c r="P2203" t="s">
        <v>7983</v>
      </c>
      <c r="Q2203" t="s">
        <v>6565</v>
      </c>
      <c r="R2203" t="s">
        <v>6566</v>
      </c>
      <c r="S2203" t="s">
        <v>7992</v>
      </c>
      <c r="T2203" t="s">
        <v>550</v>
      </c>
      <c r="U2203" t="s">
        <v>550</v>
      </c>
      <c r="V2203" t="s">
        <v>8144</v>
      </c>
      <c r="W2203" t="s">
        <v>7171</v>
      </c>
      <c r="X2203" t="s">
        <v>6451</v>
      </c>
      <c r="Y2203" t="s">
        <v>6452</v>
      </c>
      <c r="Z2203" t="s">
        <v>8143</v>
      </c>
    </row>
    <row r="2204" spans="1:26" x14ac:dyDescent="0.3">
      <c r="A2204" t="s">
        <v>330</v>
      </c>
      <c r="B2204" t="s">
        <v>8145</v>
      </c>
      <c r="C2204" t="s">
        <v>6416</v>
      </c>
      <c r="D2204" t="s">
        <v>550</v>
      </c>
      <c r="E2204" t="s">
        <v>6417</v>
      </c>
      <c r="F2204" t="s">
        <v>1040</v>
      </c>
      <c r="G2204" s="1">
        <v>43102</v>
      </c>
      <c r="H2204" s="1">
        <v>43465</v>
      </c>
      <c r="I2204" t="s">
        <v>665</v>
      </c>
      <c r="J2204" t="s">
        <v>6418</v>
      </c>
      <c r="K2204" t="s">
        <v>958</v>
      </c>
      <c r="L2204" t="s">
        <v>6419</v>
      </c>
      <c r="M2204" t="s">
        <v>1301</v>
      </c>
      <c r="N2204" t="s">
        <v>1302</v>
      </c>
      <c r="O2204" t="s">
        <v>7982</v>
      </c>
      <c r="P2204" t="s">
        <v>7983</v>
      </c>
      <c r="Q2204" t="s">
        <v>6565</v>
      </c>
      <c r="R2204" t="s">
        <v>6566</v>
      </c>
      <c r="S2204" t="s">
        <v>8146</v>
      </c>
      <c r="T2204" t="s">
        <v>550</v>
      </c>
      <c r="U2204" t="s">
        <v>550</v>
      </c>
      <c r="V2204" t="s">
        <v>8147</v>
      </c>
      <c r="W2204" t="s">
        <v>6972</v>
      </c>
      <c r="X2204" t="s">
        <v>6451</v>
      </c>
      <c r="Y2204" t="s">
        <v>6452</v>
      </c>
      <c r="Z2204" t="s">
        <v>8145</v>
      </c>
    </row>
    <row r="2205" spans="1:26" x14ac:dyDescent="0.3">
      <c r="A2205" t="s">
        <v>330</v>
      </c>
      <c r="B2205" t="s">
        <v>8148</v>
      </c>
      <c r="C2205" t="s">
        <v>6416</v>
      </c>
      <c r="D2205" t="s">
        <v>550</v>
      </c>
      <c r="E2205" t="s">
        <v>6417</v>
      </c>
      <c r="F2205" t="s">
        <v>1040</v>
      </c>
      <c r="G2205" s="1">
        <v>43467</v>
      </c>
      <c r="H2205" s="1">
        <v>43830</v>
      </c>
      <c r="I2205" t="s">
        <v>665</v>
      </c>
      <c r="J2205" t="s">
        <v>6418</v>
      </c>
      <c r="K2205" t="s">
        <v>958</v>
      </c>
      <c r="L2205" t="s">
        <v>6419</v>
      </c>
      <c r="M2205" t="s">
        <v>1301</v>
      </c>
      <c r="N2205" t="s">
        <v>1302</v>
      </c>
      <c r="O2205" t="s">
        <v>7982</v>
      </c>
      <c r="P2205" t="s">
        <v>7983</v>
      </c>
      <c r="Q2205" t="s">
        <v>6565</v>
      </c>
      <c r="R2205" t="s">
        <v>6566</v>
      </c>
      <c r="S2205" t="s">
        <v>8149</v>
      </c>
      <c r="T2205" t="s">
        <v>550</v>
      </c>
      <c r="U2205" t="s">
        <v>550</v>
      </c>
      <c r="V2205" t="s">
        <v>8150</v>
      </c>
      <c r="W2205" t="s">
        <v>6972</v>
      </c>
      <c r="X2205" t="s">
        <v>6451</v>
      </c>
      <c r="Y2205" t="s">
        <v>6452</v>
      </c>
      <c r="Z2205" t="s">
        <v>8148</v>
      </c>
    </row>
    <row r="2206" spans="1:26" x14ac:dyDescent="0.3">
      <c r="A2206" t="s">
        <v>330</v>
      </c>
      <c r="B2206" t="s">
        <v>8059</v>
      </c>
      <c r="C2206" t="s">
        <v>8151</v>
      </c>
      <c r="D2206" t="s">
        <v>7991</v>
      </c>
      <c r="E2206" t="s">
        <v>6417</v>
      </c>
      <c r="F2206" t="s">
        <v>1040</v>
      </c>
      <c r="G2206" s="1">
        <v>43831</v>
      </c>
      <c r="H2206" s="1">
        <v>43831</v>
      </c>
      <c r="I2206" t="s">
        <v>665</v>
      </c>
      <c r="J2206" t="s">
        <v>6418</v>
      </c>
      <c r="K2206" t="s">
        <v>958</v>
      </c>
      <c r="L2206" t="s">
        <v>6419</v>
      </c>
      <c r="M2206" t="s">
        <v>6565</v>
      </c>
      <c r="N2206" t="s">
        <v>6566</v>
      </c>
      <c r="O2206" t="s">
        <v>7982</v>
      </c>
      <c r="P2206" t="s">
        <v>7983</v>
      </c>
      <c r="Q2206" t="s">
        <v>6565</v>
      </c>
      <c r="R2206" t="s">
        <v>6566</v>
      </c>
      <c r="S2206" t="s">
        <v>7992</v>
      </c>
      <c r="T2206" t="s">
        <v>550</v>
      </c>
      <c r="U2206" t="s">
        <v>550</v>
      </c>
      <c r="V2206" t="s">
        <v>8152</v>
      </c>
      <c r="W2206" t="s">
        <v>6972</v>
      </c>
      <c r="X2206" t="s">
        <v>6451</v>
      </c>
      <c r="Y2206" t="s">
        <v>6452</v>
      </c>
      <c r="Z2206" t="s">
        <v>8059</v>
      </c>
    </row>
    <row r="2207" spans="1:26" x14ac:dyDescent="0.3">
      <c r="A2207" t="s">
        <v>330</v>
      </c>
      <c r="B2207" t="s">
        <v>8153</v>
      </c>
      <c r="C2207" t="s">
        <v>7009</v>
      </c>
      <c r="D2207" t="s">
        <v>8059</v>
      </c>
      <c r="E2207" t="s">
        <v>6417</v>
      </c>
      <c r="F2207" t="s">
        <v>1040</v>
      </c>
      <c r="G2207" s="1">
        <v>43831</v>
      </c>
      <c r="H2207" s="1">
        <v>44823</v>
      </c>
      <c r="I2207" t="s">
        <v>665</v>
      </c>
      <c r="J2207" t="s">
        <v>6418</v>
      </c>
      <c r="K2207" t="s">
        <v>958</v>
      </c>
      <c r="L2207" t="s">
        <v>6419</v>
      </c>
      <c r="M2207" t="s">
        <v>6565</v>
      </c>
      <c r="N2207" t="s">
        <v>6566</v>
      </c>
      <c r="O2207" t="s">
        <v>7982</v>
      </c>
      <c r="P2207" t="s">
        <v>7983</v>
      </c>
      <c r="Q2207" t="s">
        <v>6565</v>
      </c>
      <c r="R2207" t="s">
        <v>6566</v>
      </c>
      <c r="S2207" t="s">
        <v>7992</v>
      </c>
      <c r="T2207" t="s">
        <v>550</v>
      </c>
      <c r="U2207" t="s">
        <v>550</v>
      </c>
      <c r="V2207" t="s">
        <v>8154</v>
      </c>
      <c r="W2207" t="s">
        <v>6972</v>
      </c>
      <c r="X2207" t="s">
        <v>6451</v>
      </c>
      <c r="Y2207" t="s">
        <v>6452</v>
      </c>
      <c r="Z2207" t="s">
        <v>8153</v>
      </c>
    </row>
    <row r="2208" spans="1:26" x14ac:dyDescent="0.3">
      <c r="A2208" t="s">
        <v>330</v>
      </c>
      <c r="B2208" t="s">
        <v>8002</v>
      </c>
      <c r="C2208" t="s">
        <v>7004</v>
      </c>
      <c r="D2208" t="s">
        <v>550</v>
      </c>
      <c r="E2208" t="s">
        <v>6417</v>
      </c>
      <c r="F2208" t="s">
        <v>1040</v>
      </c>
      <c r="G2208" s="1">
        <v>43467</v>
      </c>
      <c r="H2208" s="1">
        <v>43830</v>
      </c>
      <c r="I2208" t="s">
        <v>665</v>
      </c>
      <c r="J2208" t="s">
        <v>6418</v>
      </c>
      <c r="K2208" t="s">
        <v>958</v>
      </c>
      <c r="L2208" t="s">
        <v>6419</v>
      </c>
      <c r="M2208" t="s">
        <v>6565</v>
      </c>
      <c r="N2208" t="s">
        <v>6566</v>
      </c>
      <c r="O2208" t="s">
        <v>7982</v>
      </c>
      <c r="P2208" t="s">
        <v>7983</v>
      </c>
      <c r="Q2208" t="s">
        <v>6565</v>
      </c>
      <c r="R2208" t="s">
        <v>6566</v>
      </c>
      <c r="S2208" t="s">
        <v>7860</v>
      </c>
      <c r="T2208" t="s">
        <v>550</v>
      </c>
      <c r="U2208" t="s">
        <v>550</v>
      </c>
      <c r="V2208" t="s">
        <v>8155</v>
      </c>
      <c r="W2208" t="s">
        <v>6972</v>
      </c>
      <c r="X2208" t="s">
        <v>6451</v>
      </c>
      <c r="Y2208" t="s">
        <v>6452</v>
      </c>
      <c r="Z2208" t="s">
        <v>8002</v>
      </c>
    </row>
    <row r="2209" spans="1:26" x14ac:dyDescent="0.3">
      <c r="A2209" t="s">
        <v>330</v>
      </c>
      <c r="B2209" t="s">
        <v>8056</v>
      </c>
      <c r="C2209" t="s">
        <v>8151</v>
      </c>
      <c r="D2209" t="s">
        <v>8002</v>
      </c>
      <c r="E2209" t="s">
        <v>6417</v>
      </c>
      <c r="F2209" t="s">
        <v>1040</v>
      </c>
      <c r="G2209" s="1">
        <v>43467</v>
      </c>
      <c r="H2209" s="1">
        <v>43830</v>
      </c>
      <c r="I2209" t="s">
        <v>665</v>
      </c>
      <c r="J2209" t="s">
        <v>6418</v>
      </c>
      <c r="K2209" t="s">
        <v>958</v>
      </c>
      <c r="L2209" t="s">
        <v>6419</v>
      </c>
      <c r="M2209" t="s">
        <v>6565</v>
      </c>
      <c r="N2209" t="s">
        <v>6566</v>
      </c>
      <c r="O2209" t="s">
        <v>7982</v>
      </c>
      <c r="P2209" t="s">
        <v>7983</v>
      </c>
      <c r="Q2209" t="s">
        <v>6565</v>
      </c>
      <c r="R2209" t="s">
        <v>6566</v>
      </c>
      <c r="S2209" t="s">
        <v>7860</v>
      </c>
      <c r="T2209" t="s">
        <v>550</v>
      </c>
      <c r="U2209" t="s">
        <v>550</v>
      </c>
      <c r="V2209" t="s">
        <v>8156</v>
      </c>
      <c r="W2209" t="s">
        <v>6972</v>
      </c>
      <c r="X2209" t="s">
        <v>6451</v>
      </c>
      <c r="Y2209" t="s">
        <v>6452</v>
      </c>
      <c r="Z2209" t="s">
        <v>8056</v>
      </c>
    </row>
    <row r="2210" spans="1:26" x14ac:dyDescent="0.3">
      <c r="A2210" t="s">
        <v>330</v>
      </c>
      <c r="B2210" t="s">
        <v>8157</v>
      </c>
      <c r="C2210" t="s">
        <v>7009</v>
      </c>
      <c r="D2210" t="s">
        <v>8056</v>
      </c>
      <c r="E2210" t="s">
        <v>6417</v>
      </c>
      <c r="F2210" t="s">
        <v>1040</v>
      </c>
      <c r="G2210" s="1">
        <v>43467</v>
      </c>
      <c r="H2210" s="1">
        <v>43830</v>
      </c>
      <c r="I2210" t="s">
        <v>665</v>
      </c>
      <c r="J2210" t="s">
        <v>6418</v>
      </c>
      <c r="K2210" t="s">
        <v>958</v>
      </c>
      <c r="L2210" t="s">
        <v>6419</v>
      </c>
      <c r="M2210" t="s">
        <v>6565</v>
      </c>
      <c r="N2210" t="s">
        <v>6566</v>
      </c>
      <c r="O2210" t="s">
        <v>7982</v>
      </c>
      <c r="P2210" t="s">
        <v>7983</v>
      </c>
      <c r="Q2210" t="s">
        <v>6565</v>
      </c>
      <c r="R2210" t="s">
        <v>6566</v>
      </c>
      <c r="S2210" t="s">
        <v>7860</v>
      </c>
      <c r="T2210" t="s">
        <v>550</v>
      </c>
      <c r="U2210" t="s">
        <v>550</v>
      </c>
      <c r="V2210" t="s">
        <v>8158</v>
      </c>
      <c r="W2210" t="s">
        <v>6972</v>
      </c>
      <c r="X2210" t="s">
        <v>6451</v>
      </c>
      <c r="Y2210" t="s">
        <v>6452</v>
      </c>
      <c r="Z2210" t="s">
        <v>8157</v>
      </c>
    </row>
    <row r="2211" spans="1:26" x14ac:dyDescent="0.3">
      <c r="A2211" t="s">
        <v>330</v>
      </c>
      <c r="B2211" t="s">
        <v>8159</v>
      </c>
      <c r="C2211" t="s">
        <v>8160</v>
      </c>
      <c r="D2211" t="s">
        <v>550</v>
      </c>
      <c r="E2211" t="s">
        <v>6417</v>
      </c>
      <c r="F2211" t="s">
        <v>1040</v>
      </c>
      <c r="G2211" s="1">
        <v>43523</v>
      </c>
      <c r="H2211" s="1">
        <v>43523</v>
      </c>
      <c r="I2211" t="s">
        <v>665</v>
      </c>
      <c r="J2211" t="s">
        <v>6418</v>
      </c>
      <c r="K2211" t="s">
        <v>958</v>
      </c>
      <c r="L2211" t="s">
        <v>6502</v>
      </c>
      <c r="M2211" t="s">
        <v>7435</v>
      </c>
      <c r="N2211" t="s">
        <v>7436</v>
      </c>
      <c r="O2211" t="s">
        <v>7982</v>
      </c>
      <c r="P2211" t="s">
        <v>7983</v>
      </c>
      <c r="Q2211" t="s">
        <v>6565</v>
      </c>
      <c r="R2211" t="s">
        <v>6566</v>
      </c>
      <c r="S2211" t="s">
        <v>8161</v>
      </c>
      <c r="T2211" t="s">
        <v>550</v>
      </c>
      <c r="U2211" t="s">
        <v>550</v>
      </c>
      <c r="V2211" t="s">
        <v>8162</v>
      </c>
      <c r="W2211" t="s">
        <v>6428</v>
      </c>
      <c r="X2211" t="s">
        <v>6451</v>
      </c>
      <c r="Y2211" t="s">
        <v>6452</v>
      </c>
      <c r="Z2211" t="s">
        <v>8159</v>
      </c>
    </row>
    <row r="2212" spans="1:26" x14ac:dyDescent="0.3">
      <c r="A2212" t="s">
        <v>330</v>
      </c>
      <c r="B2212" t="s">
        <v>8163</v>
      </c>
      <c r="C2212" t="s">
        <v>7384</v>
      </c>
      <c r="D2212" t="s">
        <v>7991</v>
      </c>
      <c r="E2212" t="s">
        <v>6417</v>
      </c>
      <c r="F2212" t="s">
        <v>1040</v>
      </c>
      <c r="G2212" s="1">
        <v>43831</v>
      </c>
      <c r="H2212" s="1">
        <v>46328</v>
      </c>
      <c r="I2212" t="s">
        <v>665</v>
      </c>
      <c r="J2212" t="s">
        <v>6418</v>
      </c>
      <c r="K2212" t="s">
        <v>958</v>
      </c>
      <c r="L2212" t="s">
        <v>6419</v>
      </c>
      <c r="M2212" t="s">
        <v>7435</v>
      </c>
      <c r="N2212" t="s">
        <v>7436</v>
      </c>
      <c r="O2212" t="s">
        <v>7982</v>
      </c>
      <c r="P2212" t="s">
        <v>7983</v>
      </c>
      <c r="Q2212" t="s">
        <v>6565</v>
      </c>
      <c r="R2212" t="s">
        <v>6566</v>
      </c>
      <c r="S2212" t="s">
        <v>7992</v>
      </c>
      <c r="T2212" t="s">
        <v>550</v>
      </c>
      <c r="U2212" t="s">
        <v>550</v>
      </c>
      <c r="V2212" t="s">
        <v>8164</v>
      </c>
      <c r="W2212" t="s">
        <v>7388</v>
      </c>
      <c r="X2212" t="s">
        <v>6451</v>
      </c>
      <c r="Y2212" t="s">
        <v>6452</v>
      </c>
      <c r="Z2212" t="s">
        <v>8163</v>
      </c>
    </row>
    <row r="2213" spans="1:26" x14ac:dyDescent="0.3">
      <c r="A2213" t="s">
        <v>330</v>
      </c>
      <c r="B2213" t="s">
        <v>8165</v>
      </c>
      <c r="C2213" t="s">
        <v>7384</v>
      </c>
      <c r="D2213" t="s">
        <v>8002</v>
      </c>
      <c r="E2213" t="s">
        <v>6417</v>
      </c>
      <c r="F2213" t="s">
        <v>1040</v>
      </c>
      <c r="G2213" s="1">
        <v>43467</v>
      </c>
      <c r="H2213" s="1">
        <v>43830</v>
      </c>
      <c r="I2213" t="s">
        <v>665</v>
      </c>
      <c r="J2213" t="s">
        <v>6418</v>
      </c>
      <c r="K2213" t="s">
        <v>958</v>
      </c>
      <c r="L2213" t="s">
        <v>6419</v>
      </c>
      <c r="M2213" t="s">
        <v>7435</v>
      </c>
      <c r="N2213" t="s">
        <v>7436</v>
      </c>
      <c r="O2213" t="s">
        <v>7982</v>
      </c>
      <c r="P2213" t="s">
        <v>7983</v>
      </c>
      <c r="Q2213" t="s">
        <v>6565</v>
      </c>
      <c r="R2213" t="s">
        <v>6566</v>
      </c>
      <c r="S2213" t="s">
        <v>7860</v>
      </c>
      <c r="T2213" t="s">
        <v>550</v>
      </c>
      <c r="U2213" t="s">
        <v>550</v>
      </c>
      <c r="V2213" t="s">
        <v>8166</v>
      </c>
      <c r="W2213" t="s">
        <v>7388</v>
      </c>
      <c r="X2213" t="s">
        <v>6451</v>
      </c>
      <c r="Y2213" t="s">
        <v>6452</v>
      </c>
      <c r="Z2213" t="s">
        <v>8165</v>
      </c>
    </row>
    <row r="2214" spans="1:26" x14ac:dyDescent="0.3">
      <c r="A2214" t="s">
        <v>330</v>
      </c>
      <c r="B2214" t="s">
        <v>8167</v>
      </c>
      <c r="C2214" t="s">
        <v>8168</v>
      </c>
      <c r="D2214" t="s">
        <v>8002</v>
      </c>
      <c r="E2214" t="s">
        <v>6417</v>
      </c>
      <c r="F2214" t="s">
        <v>1040</v>
      </c>
      <c r="G2214" s="1">
        <v>43467</v>
      </c>
      <c r="H2214" s="1">
        <v>43830</v>
      </c>
      <c r="I2214" t="s">
        <v>665</v>
      </c>
      <c r="J2214" t="s">
        <v>6418</v>
      </c>
      <c r="K2214" t="s">
        <v>958</v>
      </c>
      <c r="L2214" t="s">
        <v>6419</v>
      </c>
      <c r="M2214" t="s">
        <v>7435</v>
      </c>
      <c r="N2214" t="s">
        <v>7436</v>
      </c>
      <c r="O2214" t="s">
        <v>7982</v>
      </c>
      <c r="P2214" t="s">
        <v>7983</v>
      </c>
      <c r="Q2214" t="s">
        <v>6565</v>
      </c>
      <c r="R2214" t="s">
        <v>6566</v>
      </c>
      <c r="S2214" t="s">
        <v>7860</v>
      </c>
      <c r="T2214" t="s">
        <v>550</v>
      </c>
      <c r="U2214" t="s">
        <v>550</v>
      </c>
      <c r="V2214" t="s">
        <v>8169</v>
      </c>
      <c r="W2214" t="s">
        <v>7388</v>
      </c>
      <c r="X2214" t="s">
        <v>6451</v>
      </c>
      <c r="Y2214" t="s">
        <v>6452</v>
      </c>
      <c r="Z2214" t="s">
        <v>8167</v>
      </c>
    </row>
    <row r="2215" spans="1:26" x14ac:dyDescent="0.3">
      <c r="A2215" t="s">
        <v>330</v>
      </c>
      <c r="B2215" t="s">
        <v>7845</v>
      </c>
      <c r="C2215" t="s">
        <v>7004</v>
      </c>
      <c r="D2215" t="s">
        <v>550</v>
      </c>
      <c r="E2215" t="s">
        <v>6417</v>
      </c>
      <c r="F2215" t="s">
        <v>1040</v>
      </c>
      <c r="G2215" s="1">
        <v>43102</v>
      </c>
      <c r="H2215" s="1">
        <v>43465</v>
      </c>
      <c r="I2215" t="s">
        <v>665</v>
      </c>
      <c r="J2215" t="s">
        <v>6418</v>
      </c>
      <c r="K2215" t="s">
        <v>958</v>
      </c>
      <c r="L2215" t="s">
        <v>6419</v>
      </c>
      <c r="M2215" t="s">
        <v>6565</v>
      </c>
      <c r="N2215" t="s">
        <v>6566</v>
      </c>
      <c r="O2215" t="s">
        <v>7982</v>
      </c>
      <c r="P2215" t="s">
        <v>7983</v>
      </c>
      <c r="Q2215" t="s">
        <v>6565</v>
      </c>
      <c r="R2215" t="s">
        <v>6566</v>
      </c>
      <c r="S2215" t="s">
        <v>7842</v>
      </c>
      <c r="T2215" t="s">
        <v>550</v>
      </c>
      <c r="U2215" t="s">
        <v>550</v>
      </c>
      <c r="V2215" t="s">
        <v>8170</v>
      </c>
      <c r="W2215" t="s">
        <v>6972</v>
      </c>
      <c r="X2215" t="s">
        <v>6451</v>
      </c>
      <c r="Y2215" t="s">
        <v>6452</v>
      </c>
      <c r="Z2215" t="s">
        <v>7845</v>
      </c>
    </row>
    <row r="2216" spans="1:26" x14ac:dyDescent="0.3">
      <c r="A2216" t="s">
        <v>330</v>
      </c>
      <c r="B2216" t="s">
        <v>8053</v>
      </c>
      <c r="C2216" t="s">
        <v>8151</v>
      </c>
      <c r="D2216" t="s">
        <v>7845</v>
      </c>
      <c r="E2216" t="s">
        <v>6417</v>
      </c>
      <c r="F2216" t="s">
        <v>1040</v>
      </c>
      <c r="G2216" s="1">
        <v>43102</v>
      </c>
      <c r="H2216" s="1">
        <v>43465</v>
      </c>
      <c r="I2216" t="s">
        <v>665</v>
      </c>
      <c r="J2216" t="s">
        <v>6418</v>
      </c>
      <c r="K2216" t="s">
        <v>958</v>
      </c>
      <c r="L2216" t="s">
        <v>6419</v>
      </c>
      <c r="M2216" t="s">
        <v>6565</v>
      </c>
      <c r="N2216" t="s">
        <v>6566</v>
      </c>
      <c r="O2216" t="s">
        <v>7982</v>
      </c>
      <c r="P2216" t="s">
        <v>7983</v>
      </c>
      <c r="Q2216" t="s">
        <v>6565</v>
      </c>
      <c r="R2216" t="s">
        <v>6566</v>
      </c>
      <c r="S2216" t="s">
        <v>7842</v>
      </c>
      <c r="T2216" t="s">
        <v>550</v>
      </c>
      <c r="U2216" t="s">
        <v>550</v>
      </c>
      <c r="V2216" t="s">
        <v>8171</v>
      </c>
      <c r="W2216" t="s">
        <v>6972</v>
      </c>
      <c r="X2216" t="s">
        <v>6451</v>
      </c>
      <c r="Y2216" t="s">
        <v>6452</v>
      </c>
      <c r="Z2216" t="s">
        <v>8053</v>
      </c>
    </row>
    <row r="2217" spans="1:26" x14ac:dyDescent="0.3">
      <c r="A2217" t="s">
        <v>330</v>
      </c>
      <c r="B2217" t="s">
        <v>8172</v>
      </c>
      <c r="C2217" t="s">
        <v>7009</v>
      </c>
      <c r="D2217" t="s">
        <v>8053</v>
      </c>
      <c r="E2217" t="s">
        <v>6417</v>
      </c>
      <c r="F2217" t="s">
        <v>1040</v>
      </c>
      <c r="G2217" s="1">
        <v>43102</v>
      </c>
      <c r="H2217" s="1">
        <v>43465</v>
      </c>
      <c r="I2217" t="s">
        <v>665</v>
      </c>
      <c r="J2217" t="s">
        <v>6418</v>
      </c>
      <c r="K2217" t="s">
        <v>958</v>
      </c>
      <c r="L2217" t="s">
        <v>6419</v>
      </c>
      <c r="M2217" t="s">
        <v>6565</v>
      </c>
      <c r="N2217" t="s">
        <v>6566</v>
      </c>
      <c r="O2217" t="s">
        <v>7982</v>
      </c>
      <c r="P2217" t="s">
        <v>7983</v>
      </c>
      <c r="Q2217" t="s">
        <v>6565</v>
      </c>
      <c r="R2217" t="s">
        <v>6566</v>
      </c>
      <c r="S2217" t="s">
        <v>7842</v>
      </c>
      <c r="T2217" t="s">
        <v>550</v>
      </c>
      <c r="U2217" t="s">
        <v>550</v>
      </c>
      <c r="V2217" t="s">
        <v>8173</v>
      </c>
      <c r="W2217" t="s">
        <v>6972</v>
      </c>
      <c r="X2217" t="s">
        <v>6451</v>
      </c>
      <c r="Y2217" t="s">
        <v>6452</v>
      </c>
      <c r="Z2217" t="s">
        <v>8172</v>
      </c>
    </row>
    <row r="2218" spans="1:26" x14ac:dyDescent="0.3">
      <c r="A2218" t="s">
        <v>330</v>
      </c>
      <c r="B2218" t="s">
        <v>8174</v>
      </c>
      <c r="C2218" t="s">
        <v>7339</v>
      </c>
      <c r="D2218" t="s">
        <v>7709</v>
      </c>
      <c r="E2218" t="s">
        <v>6417</v>
      </c>
      <c r="F2218" t="s">
        <v>1040</v>
      </c>
      <c r="G2218" s="1">
        <v>44562</v>
      </c>
      <c r="H2218" s="1">
        <v>44702</v>
      </c>
      <c r="I2218" t="s">
        <v>665</v>
      </c>
      <c r="J2218" t="s">
        <v>6418</v>
      </c>
      <c r="K2218" t="s">
        <v>958</v>
      </c>
      <c r="L2218" t="s">
        <v>6419</v>
      </c>
      <c r="M2218" t="s">
        <v>1324</v>
      </c>
      <c r="N2218" t="s">
        <v>1325</v>
      </c>
      <c r="O2218" t="s">
        <v>7443</v>
      </c>
      <c r="P2218" t="s">
        <v>7444</v>
      </c>
      <c r="Q2218" t="s">
        <v>6565</v>
      </c>
      <c r="R2218" t="s">
        <v>6566</v>
      </c>
      <c r="S2218" t="s">
        <v>7232</v>
      </c>
      <c r="T2218" t="s">
        <v>550</v>
      </c>
      <c r="U2218" t="s">
        <v>550</v>
      </c>
      <c r="V2218" t="s">
        <v>8175</v>
      </c>
      <c r="W2218" t="s">
        <v>6972</v>
      </c>
      <c r="X2218" t="s">
        <v>6451</v>
      </c>
      <c r="Y2218" t="s">
        <v>6452</v>
      </c>
      <c r="Z2218" t="s">
        <v>8174</v>
      </c>
    </row>
    <row r="2219" spans="1:26" x14ac:dyDescent="0.3">
      <c r="A2219" t="s">
        <v>330</v>
      </c>
      <c r="B2219" t="s">
        <v>8176</v>
      </c>
      <c r="C2219" t="s">
        <v>8177</v>
      </c>
      <c r="D2219" t="s">
        <v>7709</v>
      </c>
      <c r="E2219" t="s">
        <v>6417</v>
      </c>
      <c r="F2219" t="s">
        <v>1040</v>
      </c>
      <c r="G2219" s="1">
        <v>44562</v>
      </c>
      <c r="H2219" s="1">
        <v>44725</v>
      </c>
      <c r="I2219" t="s">
        <v>665</v>
      </c>
      <c r="J2219" t="s">
        <v>6418</v>
      </c>
      <c r="K2219" t="s">
        <v>958</v>
      </c>
      <c r="L2219" t="s">
        <v>6419</v>
      </c>
      <c r="M2219" t="s">
        <v>1324</v>
      </c>
      <c r="N2219" t="s">
        <v>1325</v>
      </c>
      <c r="O2219" t="s">
        <v>7443</v>
      </c>
      <c r="P2219" t="s">
        <v>7444</v>
      </c>
      <c r="Q2219" t="s">
        <v>6565</v>
      </c>
      <c r="R2219" t="s">
        <v>6566</v>
      </c>
      <c r="S2219" t="s">
        <v>7232</v>
      </c>
      <c r="T2219" t="s">
        <v>550</v>
      </c>
      <c r="U2219" t="s">
        <v>550</v>
      </c>
      <c r="V2219" t="s">
        <v>8178</v>
      </c>
      <c r="W2219" t="s">
        <v>6972</v>
      </c>
      <c r="X2219" t="s">
        <v>6451</v>
      </c>
      <c r="Y2219" t="s">
        <v>6452</v>
      </c>
      <c r="Z2219" t="s">
        <v>8176</v>
      </c>
    </row>
    <row r="2220" spans="1:26" x14ac:dyDescent="0.3">
      <c r="A2220" t="s">
        <v>330</v>
      </c>
      <c r="B2220" t="s">
        <v>8179</v>
      </c>
      <c r="C2220" t="s">
        <v>7044</v>
      </c>
      <c r="D2220" t="s">
        <v>7709</v>
      </c>
      <c r="E2220" t="s">
        <v>6417</v>
      </c>
      <c r="F2220" t="s">
        <v>1040</v>
      </c>
      <c r="G2220" s="1">
        <v>44562</v>
      </c>
      <c r="H2220" s="1">
        <v>44686</v>
      </c>
      <c r="I2220" t="s">
        <v>665</v>
      </c>
      <c r="J2220" t="s">
        <v>6418</v>
      </c>
      <c r="K2220" t="s">
        <v>958</v>
      </c>
      <c r="L2220" t="s">
        <v>6419</v>
      </c>
      <c r="M2220" t="s">
        <v>1324</v>
      </c>
      <c r="N2220" t="s">
        <v>1325</v>
      </c>
      <c r="O2220" t="s">
        <v>7443</v>
      </c>
      <c r="P2220" t="s">
        <v>7444</v>
      </c>
      <c r="Q2220" t="s">
        <v>6565</v>
      </c>
      <c r="R2220" t="s">
        <v>6566</v>
      </c>
      <c r="S2220" t="s">
        <v>7232</v>
      </c>
      <c r="T2220" t="s">
        <v>550</v>
      </c>
      <c r="U2220" t="s">
        <v>550</v>
      </c>
      <c r="V2220" t="s">
        <v>8180</v>
      </c>
      <c r="W2220" t="s">
        <v>6972</v>
      </c>
      <c r="X2220" t="s">
        <v>6451</v>
      </c>
      <c r="Y2220" t="s">
        <v>6452</v>
      </c>
      <c r="Z2220" t="s">
        <v>8179</v>
      </c>
    </row>
    <row r="2221" spans="1:26" x14ac:dyDescent="0.3">
      <c r="A2221" t="s">
        <v>330</v>
      </c>
      <c r="B2221" t="s">
        <v>8181</v>
      </c>
      <c r="C2221" t="s">
        <v>7345</v>
      </c>
      <c r="D2221" t="s">
        <v>7709</v>
      </c>
      <c r="E2221" t="s">
        <v>6417</v>
      </c>
      <c r="F2221" t="s">
        <v>1040</v>
      </c>
      <c r="G2221" s="1">
        <v>44562</v>
      </c>
      <c r="H2221" s="1">
        <v>44906</v>
      </c>
      <c r="I2221" t="s">
        <v>665</v>
      </c>
      <c r="J2221" t="s">
        <v>6418</v>
      </c>
      <c r="K2221" t="s">
        <v>958</v>
      </c>
      <c r="L2221" t="s">
        <v>6419</v>
      </c>
      <c r="M2221" t="s">
        <v>1324</v>
      </c>
      <c r="N2221" t="s">
        <v>1325</v>
      </c>
      <c r="O2221" t="s">
        <v>7443</v>
      </c>
      <c r="P2221" t="s">
        <v>7444</v>
      </c>
      <c r="Q2221" t="s">
        <v>6565</v>
      </c>
      <c r="R2221" t="s">
        <v>6566</v>
      </c>
      <c r="S2221" t="s">
        <v>7232</v>
      </c>
      <c r="T2221" t="s">
        <v>550</v>
      </c>
      <c r="U2221" t="s">
        <v>550</v>
      </c>
      <c r="V2221" t="s">
        <v>8182</v>
      </c>
      <c r="W2221" t="s">
        <v>6972</v>
      </c>
      <c r="X2221" t="s">
        <v>6451</v>
      </c>
      <c r="Y2221" t="s">
        <v>6452</v>
      </c>
      <c r="Z2221" t="s">
        <v>8181</v>
      </c>
    </row>
    <row r="2222" spans="1:26" x14ac:dyDescent="0.3">
      <c r="A2222" t="s">
        <v>330</v>
      </c>
      <c r="B2222" t="s">
        <v>8183</v>
      </c>
      <c r="C2222" t="s">
        <v>8184</v>
      </c>
      <c r="D2222" t="s">
        <v>7709</v>
      </c>
      <c r="E2222" t="s">
        <v>6417</v>
      </c>
      <c r="F2222" t="s">
        <v>1040</v>
      </c>
      <c r="G2222" s="1">
        <v>44562</v>
      </c>
      <c r="H2222" s="1">
        <v>44854</v>
      </c>
      <c r="I2222" t="s">
        <v>665</v>
      </c>
      <c r="J2222" t="s">
        <v>6418</v>
      </c>
      <c r="K2222" t="s">
        <v>958</v>
      </c>
      <c r="L2222" t="s">
        <v>6419</v>
      </c>
      <c r="M2222" t="s">
        <v>1324</v>
      </c>
      <c r="N2222" t="s">
        <v>1325</v>
      </c>
      <c r="O2222" t="s">
        <v>7443</v>
      </c>
      <c r="P2222" t="s">
        <v>7444</v>
      </c>
      <c r="Q2222" t="s">
        <v>6565</v>
      </c>
      <c r="R2222" t="s">
        <v>6566</v>
      </c>
      <c r="S2222" t="s">
        <v>7232</v>
      </c>
      <c r="T2222" t="s">
        <v>550</v>
      </c>
      <c r="U2222" t="s">
        <v>550</v>
      </c>
      <c r="V2222" t="s">
        <v>8185</v>
      </c>
      <c r="W2222" t="s">
        <v>6972</v>
      </c>
      <c r="X2222" t="s">
        <v>6451</v>
      </c>
      <c r="Y2222" t="s">
        <v>6452</v>
      </c>
      <c r="Z2222" t="s">
        <v>8183</v>
      </c>
    </row>
    <row r="2223" spans="1:26" x14ac:dyDescent="0.3">
      <c r="A2223" t="s">
        <v>330</v>
      </c>
      <c r="B2223" t="s">
        <v>8186</v>
      </c>
      <c r="C2223" t="s">
        <v>7838</v>
      </c>
      <c r="D2223" t="s">
        <v>7721</v>
      </c>
      <c r="E2223" t="s">
        <v>6417</v>
      </c>
      <c r="F2223" t="s">
        <v>1040</v>
      </c>
      <c r="G2223" s="1">
        <v>44197</v>
      </c>
      <c r="H2223" s="1">
        <v>44371</v>
      </c>
      <c r="I2223" t="s">
        <v>665</v>
      </c>
      <c r="J2223" t="s">
        <v>6418</v>
      </c>
      <c r="K2223" t="s">
        <v>958</v>
      </c>
      <c r="L2223" t="s">
        <v>6419</v>
      </c>
      <c r="M2223" t="s">
        <v>7040</v>
      </c>
      <c r="N2223" t="s">
        <v>7041</v>
      </c>
      <c r="O2223" t="s">
        <v>7443</v>
      </c>
      <c r="P2223" t="s">
        <v>7444</v>
      </c>
      <c r="Q2223" t="s">
        <v>6565</v>
      </c>
      <c r="R2223" t="s">
        <v>6566</v>
      </c>
      <c r="S2223" t="s">
        <v>7169</v>
      </c>
      <c r="T2223" t="s">
        <v>550</v>
      </c>
      <c r="U2223" t="s">
        <v>550</v>
      </c>
      <c r="V2223" t="s">
        <v>8187</v>
      </c>
      <c r="W2223" t="s">
        <v>6964</v>
      </c>
      <c r="X2223" t="s">
        <v>6451</v>
      </c>
      <c r="Y2223" t="s">
        <v>6452</v>
      </c>
      <c r="Z2223" t="s">
        <v>8186</v>
      </c>
    </row>
    <row r="2224" spans="1:26" x14ac:dyDescent="0.3">
      <c r="A2224" t="s">
        <v>330</v>
      </c>
      <c r="B2224" t="s">
        <v>8188</v>
      </c>
      <c r="C2224" t="s">
        <v>7868</v>
      </c>
      <c r="D2224" t="s">
        <v>7721</v>
      </c>
      <c r="E2224" t="s">
        <v>6417</v>
      </c>
      <c r="F2224" t="s">
        <v>1040</v>
      </c>
      <c r="G2224" s="1">
        <v>44197</v>
      </c>
      <c r="H2224" s="1">
        <v>44406</v>
      </c>
      <c r="I2224" t="s">
        <v>665</v>
      </c>
      <c r="J2224" t="s">
        <v>6418</v>
      </c>
      <c r="K2224" t="s">
        <v>958</v>
      </c>
      <c r="L2224" t="s">
        <v>6419</v>
      </c>
      <c r="M2224" t="s">
        <v>7040</v>
      </c>
      <c r="N2224" t="s">
        <v>7041</v>
      </c>
      <c r="O2224" t="s">
        <v>7443</v>
      </c>
      <c r="P2224" t="s">
        <v>7444</v>
      </c>
      <c r="Q2224" t="s">
        <v>6565</v>
      </c>
      <c r="R2224" t="s">
        <v>6566</v>
      </c>
      <c r="S2224" t="s">
        <v>7169</v>
      </c>
      <c r="T2224" t="s">
        <v>550</v>
      </c>
      <c r="U2224" t="s">
        <v>550</v>
      </c>
      <c r="V2224" t="s">
        <v>8189</v>
      </c>
      <c r="W2224" t="s">
        <v>6964</v>
      </c>
      <c r="X2224" t="s">
        <v>6451</v>
      </c>
      <c r="Y2224" t="s">
        <v>6452</v>
      </c>
      <c r="Z2224" t="s">
        <v>8188</v>
      </c>
    </row>
    <row r="2225" spans="1:26" x14ac:dyDescent="0.3">
      <c r="A2225" t="s">
        <v>330</v>
      </c>
      <c r="B2225" t="s">
        <v>8190</v>
      </c>
      <c r="C2225" t="s">
        <v>8191</v>
      </c>
      <c r="D2225" t="s">
        <v>7721</v>
      </c>
      <c r="E2225" t="s">
        <v>6417</v>
      </c>
      <c r="F2225" t="s">
        <v>1040</v>
      </c>
      <c r="G2225" s="1">
        <v>44197</v>
      </c>
      <c r="H2225" s="1">
        <v>44460</v>
      </c>
      <c r="I2225" t="s">
        <v>665</v>
      </c>
      <c r="J2225" t="s">
        <v>6418</v>
      </c>
      <c r="K2225" t="s">
        <v>958</v>
      </c>
      <c r="L2225" t="s">
        <v>6419</v>
      </c>
      <c r="M2225" t="s">
        <v>7040</v>
      </c>
      <c r="N2225" t="s">
        <v>7041</v>
      </c>
      <c r="O2225" t="s">
        <v>7443</v>
      </c>
      <c r="P2225" t="s">
        <v>7444</v>
      </c>
      <c r="Q2225" t="s">
        <v>6565</v>
      </c>
      <c r="R2225" t="s">
        <v>6566</v>
      </c>
      <c r="S2225" t="s">
        <v>7169</v>
      </c>
      <c r="T2225" t="s">
        <v>550</v>
      </c>
      <c r="U2225" t="s">
        <v>550</v>
      </c>
      <c r="V2225" t="s">
        <v>8192</v>
      </c>
      <c r="W2225" t="s">
        <v>6964</v>
      </c>
      <c r="X2225" t="s">
        <v>6451</v>
      </c>
      <c r="Y2225" t="s">
        <v>6452</v>
      </c>
      <c r="Z2225" t="s">
        <v>8190</v>
      </c>
    </row>
    <row r="2226" spans="1:26" x14ac:dyDescent="0.3">
      <c r="A2226" t="s">
        <v>330</v>
      </c>
      <c r="B2226" t="s">
        <v>8193</v>
      </c>
      <c r="C2226" t="s">
        <v>7858</v>
      </c>
      <c r="D2226" t="s">
        <v>7721</v>
      </c>
      <c r="E2226" t="s">
        <v>6417</v>
      </c>
      <c r="F2226" t="s">
        <v>1040</v>
      </c>
      <c r="G2226" s="1">
        <v>44197</v>
      </c>
      <c r="H2226" s="1">
        <v>44277</v>
      </c>
      <c r="I2226" t="s">
        <v>665</v>
      </c>
      <c r="J2226" t="s">
        <v>6418</v>
      </c>
      <c r="K2226" t="s">
        <v>958</v>
      </c>
      <c r="L2226" t="s">
        <v>6419</v>
      </c>
      <c r="M2226" t="s">
        <v>7040</v>
      </c>
      <c r="N2226" t="s">
        <v>7041</v>
      </c>
      <c r="O2226" t="s">
        <v>7443</v>
      </c>
      <c r="P2226" t="s">
        <v>7444</v>
      </c>
      <c r="Q2226" t="s">
        <v>6565</v>
      </c>
      <c r="R2226" t="s">
        <v>6566</v>
      </c>
      <c r="S2226" t="s">
        <v>7169</v>
      </c>
      <c r="T2226" t="s">
        <v>550</v>
      </c>
      <c r="U2226" t="s">
        <v>550</v>
      </c>
      <c r="V2226" t="s">
        <v>8194</v>
      </c>
      <c r="W2226" t="s">
        <v>6964</v>
      </c>
      <c r="X2226" t="s">
        <v>6451</v>
      </c>
      <c r="Y2226" t="s">
        <v>6452</v>
      </c>
      <c r="Z2226" t="s">
        <v>8193</v>
      </c>
    </row>
    <row r="2227" spans="1:26" x14ac:dyDescent="0.3">
      <c r="A2227" t="s">
        <v>330</v>
      </c>
      <c r="B2227" t="s">
        <v>8195</v>
      </c>
      <c r="C2227" t="s">
        <v>8196</v>
      </c>
      <c r="D2227" t="s">
        <v>7721</v>
      </c>
      <c r="E2227" t="s">
        <v>6417</v>
      </c>
      <c r="F2227" t="s">
        <v>1040</v>
      </c>
      <c r="G2227" s="1">
        <v>44197</v>
      </c>
      <c r="H2227" s="1">
        <v>45342</v>
      </c>
      <c r="I2227" t="s">
        <v>665</v>
      </c>
      <c r="J2227" t="s">
        <v>6418</v>
      </c>
      <c r="K2227" t="s">
        <v>958</v>
      </c>
      <c r="L2227" t="s">
        <v>6419</v>
      </c>
      <c r="M2227" t="s">
        <v>7040</v>
      </c>
      <c r="N2227" t="s">
        <v>7041</v>
      </c>
      <c r="O2227" t="s">
        <v>7443</v>
      </c>
      <c r="P2227" t="s">
        <v>7444</v>
      </c>
      <c r="Q2227" t="s">
        <v>6565</v>
      </c>
      <c r="R2227" t="s">
        <v>6566</v>
      </c>
      <c r="S2227" t="s">
        <v>7169</v>
      </c>
      <c r="T2227" t="s">
        <v>550</v>
      </c>
      <c r="U2227" t="s">
        <v>550</v>
      </c>
      <c r="V2227" t="s">
        <v>8197</v>
      </c>
      <c r="W2227" t="s">
        <v>6964</v>
      </c>
      <c r="X2227" t="s">
        <v>6451</v>
      </c>
      <c r="Y2227" t="s">
        <v>6452</v>
      </c>
      <c r="Z2227" t="s">
        <v>8195</v>
      </c>
    </row>
    <row r="2228" spans="1:26" x14ac:dyDescent="0.3">
      <c r="A2228" t="s">
        <v>330</v>
      </c>
      <c r="B2228" t="s">
        <v>8198</v>
      </c>
      <c r="C2228" t="s">
        <v>8199</v>
      </c>
      <c r="D2228" t="s">
        <v>7721</v>
      </c>
      <c r="E2228" t="s">
        <v>6417</v>
      </c>
      <c r="F2228" t="s">
        <v>1040</v>
      </c>
      <c r="G2228" s="1">
        <v>44197</v>
      </c>
      <c r="H2228" s="1">
        <v>44197</v>
      </c>
      <c r="I2228" t="s">
        <v>665</v>
      </c>
      <c r="J2228" t="s">
        <v>6418</v>
      </c>
      <c r="K2228" t="s">
        <v>958</v>
      </c>
      <c r="L2228" t="s">
        <v>6419</v>
      </c>
      <c r="M2228" t="s">
        <v>7040</v>
      </c>
      <c r="N2228" t="s">
        <v>7041</v>
      </c>
      <c r="O2228" t="s">
        <v>7443</v>
      </c>
      <c r="P2228" t="s">
        <v>7444</v>
      </c>
      <c r="Q2228" t="s">
        <v>6565</v>
      </c>
      <c r="R2228" t="s">
        <v>6566</v>
      </c>
      <c r="S2228" t="s">
        <v>7169</v>
      </c>
      <c r="T2228" t="s">
        <v>550</v>
      </c>
      <c r="U2228" t="s">
        <v>550</v>
      </c>
      <c r="V2228" t="s">
        <v>8200</v>
      </c>
      <c r="W2228" t="s">
        <v>6964</v>
      </c>
      <c r="X2228" t="s">
        <v>6451</v>
      </c>
      <c r="Y2228" t="s">
        <v>6452</v>
      </c>
      <c r="Z2228" t="s">
        <v>8198</v>
      </c>
    </row>
    <row r="2229" spans="1:26" x14ac:dyDescent="0.3">
      <c r="A2229" t="s">
        <v>330</v>
      </c>
      <c r="B2229" t="s">
        <v>8201</v>
      </c>
      <c r="C2229" t="s">
        <v>7838</v>
      </c>
      <c r="D2229" t="s">
        <v>7859</v>
      </c>
      <c r="E2229" t="s">
        <v>6417</v>
      </c>
      <c r="F2229" t="s">
        <v>1040</v>
      </c>
      <c r="G2229" s="1">
        <v>43467</v>
      </c>
      <c r="H2229" s="1">
        <v>43830</v>
      </c>
      <c r="I2229" t="s">
        <v>665</v>
      </c>
      <c r="J2229" t="s">
        <v>6418</v>
      </c>
      <c r="K2229" t="s">
        <v>958</v>
      </c>
      <c r="L2229" t="s">
        <v>6419</v>
      </c>
      <c r="M2229" t="s">
        <v>7040</v>
      </c>
      <c r="N2229" t="s">
        <v>7041</v>
      </c>
      <c r="O2229" t="s">
        <v>7443</v>
      </c>
      <c r="P2229" t="s">
        <v>7444</v>
      </c>
      <c r="Q2229" t="s">
        <v>6565</v>
      </c>
      <c r="R2229" t="s">
        <v>6566</v>
      </c>
      <c r="S2229" t="s">
        <v>7860</v>
      </c>
      <c r="T2229" t="s">
        <v>550</v>
      </c>
      <c r="U2229" t="s">
        <v>550</v>
      </c>
      <c r="V2229" t="s">
        <v>8202</v>
      </c>
      <c r="W2229" t="s">
        <v>6964</v>
      </c>
      <c r="X2229" t="s">
        <v>6451</v>
      </c>
      <c r="Y2229" t="s">
        <v>6452</v>
      </c>
      <c r="Z2229" t="s">
        <v>8201</v>
      </c>
    </row>
    <row r="2230" spans="1:26" x14ac:dyDescent="0.3">
      <c r="A2230" t="s">
        <v>330</v>
      </c>
      <c r="B2230" t="s">
        <v>8203</v>
      </c>
      <c r="C2230" t="s">
        <v>8204</v>
      </c>
      <c r="D2230" t="s">
        <v>7859</v>
      </c>
      <c r="E2230" t="s">
        <v>6417</v>
      </c>
      <c r="F2230" t="s">
        <v>1040</v>
      </c>
      <c r="G2230" s="1">
        <v>43467</v>
      </c>
      <c r="H2230" s="1">
        <v>43467</v>
      </c>
      <c r="I2230" t="s">
        <v>665</v>
      </c>
      <c r="J2230" t="s">
        <v>6418</v>
      </c>
      <c r="K2230" t="s">
        <v>958</v>
      </c>
      <c r="L2230" t="s">
        <v>6419</v>
      </c>
      <c r="M2230" t="s">
        <v>7040</v>
      </c>
      <c r="N2230" t="s">
        <v>7041</v>
      </c>
      <c r="O2230" t="s">
        <v>7443</v>
      </c>
      <c r="P2230" t="s">
        <v>7444</v>
      </c>
      <c r="Q2230" t="s">
        <v>6565</v>
      </c>
      <c r="R2230" t="s">
        <v>6566</v>
      </c>
      <c r="S2230" t="s">
        <v>7860</v>
      </c>
      <c r="T2230" t="s">
        <v>550</v>
      </c>
      <c r="U2230" t="s">
        <v>550</v>
      </c>
      <c r="V2230" t="s">
        <v>8205</v>
      </c>
      <c r="W2230" t="s">
        <v>6964</v>
      </c>
      <c r="X2230" t="s">
        <v>6451</v>
      </c>
      <c r="Y2230" t="s">
        <v>6452</v>
      </c>
      <c r="Z2230" t="s">
        <v>8203</v>
      </c>
    </row>
    <row r="2231" spans="1:26" x14ac:dyDescent="0.3">
      <c r="A2231" t="s">
        <v>330</v>
      </c>
      <c r="B2231" t="s">
        <v>8206</v>
      </c>
      <c r="C2231" t="s">
        <v>7007</v>
      </c>
      <c r="D2231" t="s">
        <v>8002</v>
      </c>
      <c r="E2231" t="s">
        <v>6417</v>
      </c>
      <c r="F2231" t="s">
        <v>1040</v>
      </c>
      <c r="G2231" s="1">
        <v>43467</v>
      </c>
      <c r="H2231" s="1">
        <v>43830</v>
      </c>
      <c r="I2231" t="s">
        <v>665</v>
      </c>
      <c r="J2231" t="s">
        <v>6418</v>
      </c>
      <c r="K2231" t="s">
        <v>958</v>
      </c>
      <c r="L2231" t="s">
        <v>6419</v>
      </c>
      <c r="M2231" t="s">
        <v>7040</v>
      </c>
      <c r="N2231" t="s">
        <v>7041</v>
      </c>
      <c r="O2231" t="s">
        <v>7443</v>
      </c>
      <c r="P2231" t="s">
        <v>7444</v>
      </c>
      <c r="Q2231" t="s">
        <v>6565</v>
      </c>
      <c r="R2231" t="s">
        <v>6566</v>
      </c>
      <c r="S2231" t="s">
        <v>7860</v>
      </c>
      <c r="T2231" t="s">
        <v>550</v>
      </c>
      <c r="U2231" t="s">
        <v>550</v>
      </c>
      <c r="V2231" t="s">
        <v>8207</v>
      </c>
      <c r="W2231" t="s">
        <v>6964</v>
      </c>
      <c r="X2231" t="s">
        <v>6451</v>
      </c>
      <c r="Y2231" t="s">
        <v>6452</v>
      </c>
      <c r="Z2231" t="s">
        <v>8206</v>
      </c>
    </row>
    <row r="2232" spans="1:26" x14ac:dyDescent="0.3">
      <c r="A2232" t="s">
        <v>330</v>
      </c>
      <c r="B2232" t="s">
        <v>8208</v>
      </c>
      <c r="C2232" t="s">
        <v>7838</v>
      </c>
      <c r="D2232" t="s">
        <v>8008</v>
      </c>
      <c r="E2232" t="s">
        <v>6417</v>
      </c>
      <c r="F2232" t="s">
        <v>1040</v>
      </c>
      <c r="G2232" s="1">
        <v>43831</v>
      </c>
      <c r="H2232" s="1">
        <v>44005</v>
      </c>
      <c r="I2232" t="s">
        <v>665</v>
      </c>
      <c r="J2232" t="s">
        <v>6418</v>
      </c>
      <c r="K2232" t="s">
        <v>958</v>
      </c>
      <c r="L2232" t="s">
        <v>6419</v>
      </c>
      <c r="M2232" t="s">
        <v>7040</v>
      </c>
      <c r="N2232" t="s">
        <v>7041</v>
      </c>
      <c r="O2232" t="s">
        <v>7443</v>
      </c>
      <c r="P2232" t="s">
        <v>7444</v>
      </c>
      <c r="Q2232" t="s">
        <v>6565</v>
      </c>
      <c r="R2232" t="s">
        <v>6566</v>
      </c>
      <c r="S2232" t="s">
        <v>7992</v>
      </c>
      <c r="T2232" t="s">
        <v>550</v>
      </c>
      <c r="U2232" t="s">
        <v>550</v>
      </c>
      <c r="V2232" t="s">
        <v>8209</v>
      </c>
      <c r="W2232" t="s">
        <v>6964</v>
      </c>
      <c r="X2232" t="s">
        <v>6451</v>
      </c>
      <c r="Y2232" t="s">
        <v>6452</v>
      </c>
      <c r="Z2232" t="s">
        <v>8208</v>
      </c>
    </row>
    <row r="2233" spans="1:26" x14ac:dyDescent="0.3">
      <c r="A2233" t="s">
        <v>330</v>
      </c>
      <c r="B2233" t="s">
        <v>8210</v>
      </c>
      <c r="C2233" t="s">
        <v>8211</v>
      </c>
      <c r="D2233" t="s">
        <v>8008</v>
      </c>
      <c r="E2233" t="s">
        <v>6417</v>
      </c>
      <c r="F2233" t="s">
        <v>1040</v>
      </c>
      <c r="G2233" s="1">
        <v>43831</v>
      </c>
      <c r="H2233" s="1">
        <v>44067</v>
      </c>
      <c r="I2233" t="s">
        <v>665</v>
      </c>
      <c r="J2233" t="s">
        <v>6418</v>
      </c>
      <c r="K2233" t="s">
        <v>958</v>
      </c>
      <c r="L2233" t="s">
        <v>6419</v>
      </c>
      <c r="M2233" t="s">
        <v>7040</v>
      </c>
      <c r="N2233" t="s">
        <v>7041</v>
      </c>
      <c r="O2233" t="s">
        <v>7443</v>
      </c>
      <c r="P2233" t="s">
        <v>7444</v>
      </c>
      <c r="Q2233" t="s">
        <v>6565</v>
      </c>
      <c r="R2233" t="s">
        <v>6566</v>
      </c>
      <c r="S2233" t="s">
        <v>7992</v>
      </c>
      <c r="T2233" t="s">
        <v>550</v>
      </c>
      <c r="U2233" t="s">
        <v>550</v>
      </c>
      <c r="V2233" t="s">
        <v>8212</v>
      </c>
      <c r="W2233" t="s">
        <v>6964</v>
      </c>
      <c r="X2233" t="s">
        <v>6451</v>
      </c>
      <c r="Y2233" t="s">
        <v>6452</v>
      </c>
      <c r="Z2233" t="s">
        <v>8210</v>
      </c>
    </row>
    <row r="2234" spans="1:26" x14ac:dyDescent="0.3">
      <c r="A2234" t="s">
        <v>330</v>
      </c>
      <c r="B2234" t="s">
        <v>8213</v>
      </c>
      <c r="C2234" t="s">
        <v>7858</v>
      </c>
      <c r="D2234" t="s">
        <v>8008</v>
      </c>
      <c r="E2234" t="s">
        <v>6417</v>
      </c>
      <c r="F2234" t="s">
        <v>1040</v>
      </c>
      <c r="G2234" s="1">
        <v>43831</v>
      </c>
      <c r="H2234" s="1">
        <v>43895</v>
      </c>
      <c r="I2234" t="s">
        <v>665</v>
      </c>
      <c r="J2234" t="s">
        <v>6418</v>
      </c>
      <c r="K2234" t="s">
        <v>958</v>
      </c>
      <c r="L2234" t="s">
        <v>6419</v>
      </c>
      <c r="M2234" t="s">
        <v>7040</v>
      </c>
      <c r="N2234" t="s">
        <v>7041</v>
      </c>
      <c r="O2234" t="s">
        <v>7443</v>
      </c>
      <c r="P2234" t="s">
        <v>7444</v>
      </c>
      <c r="Q2234" t="s">
        <v>6565</v>
      </c>
      <c r="R2234" t="s">
        <v>6566</v>
      </c>
      <c r="S2234" t="s">
        <v>7992</v>
      </c>
      <c r="T2234" t="s">
        <v>550</v>
      </c>
      <c r="U2234" t="s">
        <v>550</v>
      </c>
      <c r="V2234" t="s">
        <v>8214</v>
      </c>
      <c r="W2234" t="s">
        <v>6964</v>
      </c>
      <c r="X2234" t="s">
        <v>6451</v>
      </c>
      <c r="Y2234" t="s">
        <v>6452</v>
      </c>
      <c r="Z2234" t="s">
        <v>8213</v>
      </c>
    </row>
    <row r="2235" spans="1:26" x14ac:dyDescent="0.3">
      <c r="A2235" t="s">
        <v>330</v>
      </c>
      <c r="B2235" t="s">
        <v>8215</v>
      </c>
      <c r="C2235" t="s">
        <v>8216</v>
      </c>
      <c r="D2235" t="s">
        <v>8008</v>
      </c>
      <c r="E2235" t="s">
        <v>6417</v>
      </c>
      <c r="F2235" t="s">
        <v>1040</v>
      </c>
      <c r="G2235" s="1">
        <v>43831</v>
      </c>
      <c r="H2235" s="1">
        <v>45433</v>
      </c>
      <c r="I2235" t="s">
        <v>665</v>
      </c>
      <c r="J2235" t="s">
        <v>6418</v>
      </c>
      <c r="K2235" t="s">
        <v>958</v>
      </c>
      <c r="L2235" t="s">
        <v>6419</v>
      </c>
      <c r="M2235" t="s">
        <v>7040</v>
      </c>
      <c r="N2235" t="s">
        <v>7041</v>
      </c>
      <c r="O2235" t="s">
        <v>7443</v>
      </c>
      <c r="P2235" t="s">
        <v>7444</v>
      </c>
      <c r="Q2235" t="s">
        <v>6565</v>
      </c>
      <c r="R2235" t="s">
        <v>6566</v>
      </c>
      <c r="S2235" t="s">
        <v>7992</v>
      </c>
      <c r="T2235" t="s">
        <v>550</v>
      </c>
      <c r="U2235" t="s">
        <v>550</v>
      </c>
      <c r="V2235" t="s">
        <v>8217</v>
      </c>
      <c r="W2235" t="s">
        <v>6964</v>
      </c>
      <c r="X2235" t="s">
        <v>6451</v>
      </c>
      <c r="Y2235" t="s">
        <v>6452</v>
      </c>
      <c r="Z2235" t="s">
        <v>8215</v>
      </c>
    </row>
    <row r="2236" spans="1:26" x14ac:dyDescent="0.3">
      <c r="A2236" t="s">
        <v>330</v>
      </c>
      <c r="B2236" t="s">
        <v>8218</v>
      </c>
      <c r="C2236" t="s">
        <v>8191</v>
      </c>
      <c r="D2236" t="s">
        <v>8008</v>
      </c>
      <c r="E2236" t="s">
        <v>6417</v>
      </c>
      <c r="F2236" t="s">
        <v>1040</v>
      </c>
      <c r="G2236" s="1">
        <v>43831</v>
      </c>
      <c r="H2236" s="1">
        <v>44172</v>
      </c>
      <c r="I2236" t="s">
        <v>665</v>
      </c>
      <c r="J2236" t="s">
        <v>6418</v>
      </c>
      <c r="K2236" t="s">
        <v>958</v>
      </c>
      <c r="L2236" t="s">
        <v>6419</v>
      </c>
      <c r="M2236" t="s">
        <v>7876</v>
      </c>
      <c r="N2236" t="s">
        <v>7877</v>
      </c>
      <c r="O2236" t="s">
        <v>7443</v>
      </c>
      <c r="P2236" t="s">
        <v>7444</v>
      </c>
      <c r="Q2236" t="s">
        <v>6565</v>
      </c>
      <c r="R2236" t="s">
        <v>6566</v>
      </c>
      <c r="S2236" t="s">
        <v>7992</v>
      </c>
      <c r="T2236" t="s">
        <v>550</v>
      </c>
      <c r="U2236" t="s">
        <v>550</v>
      </c>
      <c r="V2236" t="s">
        <v>8219</v>
      </c>
      <c r="W2236" t="s">
        <v>6964</v>
      </c>
      <c r="X2236" t="s">
        <v>6451</v>
      </c>
      <c r="Y2236" t="s">
        <v>6452</v>
      </c>
      <c r="Z2236" t="s">
        <v>8218</v>
      </c>
    </row>
    <row r="2237" spans="1:26" x14ac:dyDescent="0.3">
      <c r="A2237" t="s">
        <v>330</v>
      </c>
      <c r="B2237" t="s">
        <v>8220</v>
      </c>
      <c r="C2237" t="s">
        <v>7820</v>
      </c>
      <c r="D2237" t="s">
        <v>8002</v>
      </c>
      <c r="E2237" t="s">
        <v>6417</v>
      </c>
      <c r="F2237" t="s">
        <v>1040</v>
      </c>
      <c r="G2237" s="1">
        <v>43467</v>
      </c>
      <c r="H2237" s="1">
        <v>43830</v>
      </c>
      <c r="I2237" t="s">
        <v>665</v>
      </c>
      <c r="J2237" t="s">
        <v>6418</v>
      </c>
      <c r="K2237" t="s">
        <v>958</v>
      </c>
      <c r="L2237" t="s">
        <v>6419</v>
      </c>
      <c r="M2237" t="s">
        <v>7876</v>
      </c>
      <c r="N2237" t="s">
        <v>7877</v>
      </c>
      <c r="O2237" t="s">
        <v>7443</v>
      </c>
      <c r="P2237" t="s">
        <v>7444</v>
      </c>
      <c r="Q2237" t="s">
        <v>6565</v>
      </c>
      <c r="R2237" t="s">
        <v>6566</v>
      </c>
      <c r="S2237" t="s">
        <v>7860</v>
      </c>
      <c r="T2237" t="s">
        <v>550</v>
      </c>
      <c r="U2237" t="s">
        <v>550</v>
      </c>
      <c r="V2237" t="s">
        <v>8221</v>
      </c>
      <c r="W2237" t="s">
        <v>6964</v>
      </c>
      <c r="X2237" t="s">
        <v>6451</v>
      </c>
      <c r="Y2237" t="s">
        <v>6452</v>
      </c>
      <c r="Z2237" t="s">
        <v>8220</v>
      </c>
    </row>
    <row r="2238" spans="1:26" x14ac:dyDescent="0.3">
      <c r="A2238" t="s">
        <v>330</v>
      </c>
      <c r="B2238" t="s">
        <v>7296</v>
      </c>
      <c r="C2238" t="s">
        <v>7324</v>
      </c>
      <c r="D2238" t="s">
        <v>7301</v>
      </c>
      <c r="E2238" t="s">
        <v>6417</v>
      </c>
      <c r="F2238" t="s">
        <v>1040</v>
      </c>
      <c r="G2238" s="1">
        <v>43102</v>
      </c>
      <c r="H2238" s="1">
        <v>43465</v>
      </c>
      <c r="I2238" t="s">
        <v>665</v>
      </c>
      <c r="J2238" t="s">
        <v>6418</v>
      </c>
      <c r="K2238" t="s">
        <v>958</v>
      </c>
      <c r="L2238" t="s">
        <v>6419</v>
      </c>
      <c r="M2238" t="s">
        <v>7277</v>
      </c>
      <c r="N2238" t="s">
        <v>7278</v>
      </c>
      <c r="O2238" t="s">
        <v>6565</v>
      </c>
      <c r="P2238" t="s">
        <v>6566</v>
      </c>
      <c r="Q2238" t="s">
        <v>6565</v>
      </c>
      <c r="R2238" t="s">
        <v>6566</v>
      </c>
      <c r="S2238" t="s">
        <v>7297</v>
      </c>
      <c r="T2238" t="s">
        <v>550</v>
      </c>
      <c r="U2238" t="s">
        <v>550</v>
      </c>
      <c r="V2238" t="s">
        <v>8222</v>
      </c>
      <c r="W2238" t="s">
        <v>6988</v>
      </c>
      <c r="X2238" t="s">
        <v>6451</v>
      </c>
      <c r="Y2238" t="s">
        <v>6452</v>
      </c>
      <c r="Z2238" t="s">
        <v>7296</v>
      </c>
    </row>
    <row r="2239" spans="1:26" x14ac:dyDescent="0.3">
      <c r="A2239" t="s">
        <v>330</v>
      </c>
      <c r="B2239" t="s">
        <v>8223</v>
      </c>
      <c r="C2239" t="s">
        <v>8224</v>
      </c>
      <c r="D2239" t="s">
        <v>7274</v>
      </c>
      <c r="E2239" t="s">
        <v>6417</v>
      </c>
      <c r="F2239" t="s">
        <v>1040</v>
      </c>
      <c r="G2239" s="1">
        <v>43102</v>
      </c>
      <c r="H2239" s="1">
        <v>43465</v>
      </c>
      <c r="I2239" t="s">
        <v>665</v>
      </c>
      <c r="J2239" t="s">
        <v>6418</v>
      </c>
      <c r="K2239" t="s">
        <v>958</v>
      </c>
      <c r="L2239" t="s">
        <v>6419</v>
      </c>
      <c r="M2239" t="s">
        <v>7277</v>
      </c>
      <c r="N2239" t="s">
        <v>7278</v>
      </c>
      <c r="O2239" t="s">
        <v>6565</v>
      </c>
      <c r="P2239" t="s">
        <v>6566</v>
      </c>
      <c r="Q2239" t="s">
        <v>6565</v>
      </c>
      <c r="R2239" t="s">
        <v>6566</v>
      </c>
      <c r="S2239" t="s">
        <v>7279</v>
      </c>
      <c r="T2239" t="s">
        <v>550</v>
      </c>
      <c r="U2239" t="s">
        <v>550</v>
      </c>
      <c r="V2239" t="s">
        <v>8225</v>
      </c>
      <c r="W2239" t="s">
        <v>6988</v>
      </c>
      <c r="X2239" t="s">
        <v>6451</v>
      </c>
      <c r="Y2239" t="s">
        <v>6452</v>
      </c>
      <c r="Z2239" t="s">
        <v>8223</v>
      </c>
    </row>
    <row r="2240" spans="1:26" x14ac:dyDescent="0.3">
      <c r="A2240" t="s">
        <v>330</v>
      </c>
      <c r="B2240" t="s">
        <v>8226</v>
      </c>
      <c r="C2240" t="s">
        <v>935</v>
      </c>
      <c r="D2240" t="s">
        <v>550</v>
      </c>
      <c r="E2240" t="s">
        <v>816</v>
      </c>
      <c r="F2240" t="s">
        <v>817</v>
      </c>
      <c r="G2240" s="1">
        <v>44562</v>
      </c>
      <c r="H2240" s="1">
        <v>44562</v>
      </c>
      <c r="I2240" t="s">
        <v>665</v>
      </c>
      <c r="J2240" t="s">
        <v>816</v>
      </c>
      <c r="K2240" t="s">
        <v>900</v>
      </c>
      <c r="L2240" t="s">
        <v>901</v>
      </c>
      <c r="M2240" t="s">
        <v>936</v>
      </c>
      <c r="N2240" t="s">
        <v>937</v>
      </c>
      <c r="O2240" t="s">
        <v>938</v>
      </c>
      <c r="P2240" t="s">
        <v>939</v>
      </c>
      <c r="Q2240" t="s">
        <v>6565</v>
      </c>
      <c r="R2240" t="s">
        <v>6566</v>
      </c>
      <c r="S2240" t="s">
        <v>550</v>
      </c>
      <c r="T2240" t="s">
        <v>550</v>
      </c>
      <c r="U2240" t="s">
        <v>550</v>
      </c>
      <c r="V2240" t="s">
        <v>8227</v>
      </c>
      <c r="Z2240" t="s">
        <v>8226</v>
      </c>
    </row>
    <row r="2241" spans="1:26" x14ac:dyDescent="0.3">
      <c r="A2241" t="s">
        <v>330</v>
      </c>
      <c r="B2241" t="s">
        <v>8228</v>
      </c>
      <c r="C2241" t="s">
        <v>935</v>
      </c>
      <c r="D2241" t="s">
        <v>550</v>
      </c>
      <c r="E2241" t="s">
        <v>816</v>
      </c>
      <c r="F2241" t="s">
        <v>817</v>
      </c>
      <c r="G2241" s="1">
        <v>44197</v>
      </c>
      <c r="H2241" s="1">
        <v>44197</v>
      </c>
      <c r="I2241" t="s">
        <v>665</v>
      </c>
      <c r="J2241" t="s">
        <v>816</v>
      </c>
      <c r="K2241" t="s">
        <v>958</v>
      </c>
      <c r="L2241" t="s">
        <v>901</v>
      </c>
      <c r="M2241" t="s">
        <v>936</v>
      </c>
      <c r="N2241" t="s">
        <v>937</v>
      </c>
      <c r="O2241" t="s">
        <v>938</v>
      </c>
      <c r="P2241" t="s">
        <v>939</v>
      </c>
      <c r="Q2241" t="s">
        <v>6565</v>
      </c>
      <c r="R2241" t="s">
        <v>6566</v>
      </c>
      <c r="S2241" t="s">
        <v>550</v>
      </c>
      <c r="T2241" t="s">
        <v>550</v>
      </c>
      <c r="U2241" t="s">
        <v>550</v>
      </c>
      <c r="V2241" t="s">
        <v>8229</v>
      </c>
      <c r="W2241" t="s">
        <v>941</v>
      </c>
      <c r="X2241" t="s">
        <v>908</v>
      </c>
      <c r="Y2241" t="s">
        <v>909</v>
      </c>
      <c r="Z2241" t="s">
        <v>8228</v>
      </c>
    </row>
    <row r="2242" spans="1:26" x14ac:dyDescent="0.3">
      <c r="A2242" t="s">
        <v>330</v>
      </c>
      <c r="B2242" t="s">
        <v>8230</v>
      </c>
      <c r="C2242" t="s">
        <v>8231</v>
      </c>
      <c r="D2242" t="s">
        <v>8228</v>
      </c>
      <c r="E2242" t="s">
        <v>816</v>
      </c>
      <c r="F2242" t="s">
        <v>817</v>
      </c>
      <c r="G2242" s="1">
        <v>44197</v>
      </c>
      <c r="H2242" s="1">
        <v>44217</v>
      </c>
      <c r="I2242" t="s">
        <v>665</v>
      </c>
      <c r="J2242" t="s">
        <v>816</v>
      </c>
      <c r="K2242" t="s">
        <v>958</v>
      </c>
      <c r="L2242" t="s">
        <v>901</v>
      </c>
      <c r="M2242" t="s">
        <v>936</v>
      </c>
      <c r="N2242" t="s">
        <v>937</v>
      </c>
      <c r="O2242" t="s">
        <v>938</v>
      </c>
      <c r="P2242" t="s">
        <v>939</v>
      </c>
      <c r="Q2242" t="s">
        <v>6565</v>
      </c>
      <c r="R2242" t="s">
        <v>6566</v>
      </c>
      <c r="S2242" t="s">
        <v>550</v>
      </c>
      <c r="T2242" t="s">
        <v>550</v>
      </c>
      <c r="U2242" t="s">
        <v>550</v>
      </c>
      <c r="V2242" t="s">
        <v>8232</v>
      </c>
      <c r="W2242" t="s">
        <v>941</v>
      </c>
      <c r="X2242" t="s">
        <v>908</v>
      </c>
      <c r="Y2242" t="s">
        <v>909</v>
      </c>
      <c r="Z2242" t="s">
        <v>8230</v>
      </c>
    </row>
    <row r="2243" spans="1:26" x14ac:dyDescent="0.3">
      <c r="A2243" t="s">
        <v>330</v>
      </c>
      <c r="B2243" t="s">
        <v>8233</v>
      </c>
      <c r="C2243" t="s">
        <v>8234</v>
      </c>
      <c r="D2243" t="s">
        <v>8228</v>
      </c>
      <c r="E2243" t="s">
        <v>816</v>
      </c>
      <c r="F2243" t="s">
        <v>817</v>
      </c>
      <c r="G2243" s="1">
        <v>44197</v>
      </c>
      <c r="H2243" s="1">
        <v>44295</v>
      </c>
      <c r="I2243" t="s">
        <v>665</v>
      </c>
      <c r="J2243" t="s">
        <v>816</v>
      </c>
      <c r="K2243" t="s">
        <v>958</v>
      </c>
      <c r="L2243" t="s">
        <v>901</v>
      </c>
      <c r="M2243" t="s">
        <v>936</v>
      </c>
      <c r="N2243" t="s">
        <v>937</v>
      </c>
      <c r="O2243" t="s">
        <v>938</v>
      </c>
      <c r="P2243" t="s">
        <v>939</v>
      </c>
      <c r="Q2243" t="s">
        <v>6565</v>
      </c>
      <c r="R2243" t="s">
        <v>6566</v>
      </c>
      <c r="S2243" t="s">
        <v>550</v>
      </c>
      <c r="T2243" t="s">
        <v>550</v>
      </c>
      <c r="U2243" t="s">
        <v>550</v>
      </c>
      <c r="V2243" t="s">
        <v>8235</v>
      </c>
      <c r="W2243" t="s">
        <v>941</v>
      </c>
      <c r="X2243" t="s">
        <v>908</v>
      </c>
      <c r="Y2243" t="s">
        <v>909</v>
      </c>
      <c r="Z2243" t="s">
        <v>8233</v>
      </c>
    </row>
    <row r="2244" spans="1:26" x14ac:dyDescent="0.3">
      <c r="A2244" t="s">
        <v>330</v>
      </c>
      <c r="B2244" t="s">
        <v>8236</v>
      </c>
      <c r="C2244" t="s">
        <v>7058</v>
      </c>
      <c r="D2244" t="s">
        <v>8226</v>
      </c>
      <c r="E2244" t="s">
        <v>816</v>
      </c>
      <c r="F2244" t="s">
        <v>817</v>
      </c>
      <c r="G2244" s="1">
        <v>44562</v>
      </c>
      <c r="H2244" s="1">
        <v>44577</v>
      </c>
      <c r="I2244" t="s">
        <v>665</v>
      </c>
      <c r="J2244" t="s">
        <v>816</v>
      </c>
      <c r="K2244" t="s">
        <v>900</v>
      </c>
      <c r="L2244" t="s">
        <v>901</v>
      </c>
      <c r="M2244" t="s">
        <v>936</v>
      </c>
      <c r="N2244" t="s">
        <v>937</v>
      </c>
      <c r="O2244" t="s">
        <v>938</v>
      </c>
      <c r="P2244" t="s">
        <v>939</v>
      </c>
      <c r="Q2244" t="s">
        <v>6565</v>
      </c>
      <c r="R2244" t="s">
        <v>6566</v>
      </c>
      <c r="S2244" t="s">
        <v>550</v>
      </c>
      <c r="T2244" t="s">
        <v>550</v>
      </c>
      <c r="U2244" t="s">
        <v>550</v>
      </c>
      <c r="V2244" t="s">
        <v>8237</v>
      </c>
      <c r="W2244" t="s">
        <v>941</v>
      </c>
      <c r="X2244" t="s">
        <v>908</v>
      </c>
      <c r="Y2244" t="s">
        <v>909</v>
      </c>
      <c r="Z2244" t="s">
        <v>8236</v>
      </c>
    </row>
    <row r="2245" spans="1:26" x14ac:dyDescent="0.3">
      <c r="A2245" t="s">
        <v>330</v>
      </c>
      <c r="B2245" t="s">
        <v>8238</v>
      </c>
      <c r="C2245" t="s">
        <v>7061</v>
      </c>
      <c r="D2245" t="s">
        <v>8226</v>
      </c>
      <c r="E2245" t="s">
        <v>816</v>
      </c>
      <c r="F2245" t="s">
        <v>817</v>
      </c>
      <c r="G2245" s="1">
        <v>44562</v>
      </c>
      <c r="H2245" s="1">
        <v>44581</v>
      </c>
      <c r="I2245" t="s">
        <v>665</v>
      </c>
      <c r="J2245" t="s">
        <v>816</v>
      </c>
      <c r="K2245" t="s">
        <v>900</v>
      </c>
      <c r="L2245" t="s">
        <v>901</v>
      </c>
      <c r="M2245" t="s">
        <v>936</v>
      </c>
      <c r="N2245" t="s">
        <v>937</v>
      </c>
      <c r="O2245" t="s">
        <v>938</v>
      </c>
      <c r="P2245" t="s">
        <v>939</v>
      </c>
      <c r="Q2245" t="s">
        <v>6565</v>
      </c>
      <c r="R2245" t="s">
        <v>6566</v>
      </c>
      <c r="S2245" t="s">
        <v>550</v>
      </c>
      <c r="T2245" t="s">
        <v>550</v>
      </c>
      <c r="U2245" t="s">
        <v>550</v>
      </c>
      <c r="V2245" t="s">
        <v>8239</v>
      </c>
      <c r="W2245" t="s">
        <v>941</v>
      </c>
      <c r="X2245" t="s">
        <v>908</v>
      </c>
      <c r="Y2245" t="s">
        <v>909</v>
      </c>
      <c r="Z2245" t="s">
        <v>8238</v>
      </c>
    </row>
    <row r="2246" spans="1:26" x14ac:dyDescent="0.3">
      <c r="A2246" t="s">
        <v>330</v>
      </c>
      <c r="B2246" t="s">
        <v>8240</v>
      </c>
      <c r="C2246" t="s">
        <v>7064</v>
      </c>
      <c r="D2246" t="s">
        <v>8226</v>
      </c>
      <c r="E2246" t="s">
        <v>816</v>
      </c>
      <c r="F2246" t="s">
        <v>817</v>
      </c>
      <c r="G2246" s="1">
        <v>44562</v>
      </c>
      <c r="H2246" s="1">
        <v>44582</v>
      </c>
      <c r="I2246" t="s">
        <v>665</v>
      </c>
      <c r="J2246" t="s">
        <v>816</v>
      </c>
      <c r="K2246" t="s">
        <v>900</v>
      </c>
      <c r="L2246" t="s">
        <v>901</v>
      </c>
      <c r="M2246" t="s">
        <v>936</v>
      </c>
      <c r="N2246" t="s">
        <v>937</v>
      </c>
      <c r="O2246" t="s">
        <v>938</v>
      </c>
      <c r="P2246" t="s">
        <v>939</v>
      </c>
      <c r="Q2246" t="s">
        <v>6565</v>
      </c>
      <c r="R2246" t="s">
        <v>6566</v>
      </c>
      <c r="S2246" t="s">
        <v>550</v>
      </c>
      <c r="T2246" t="s">
        <v>550</v>
      </c>
      <c r="U2246" t="s">
        <v>550</v>
      </c>
      <c r="V2246" t="s">
        <v>8241</v>
      </c>
      <c r="W2246" t="s">
        <v>941</v>
      </c>
      <c r="X2246" t="s">
        <v>908</v>
      </c>
      <c r="Y2246" t="s">
        <v>909</v>
      </c>
      <c r="Z2246" t="s">
        <v>8240</v>
      </c>
    </row>
    <row r="2247" spans="1:26" x14ac:dyDescent="0.3">
      <c r="A2247" t="s">
        <v>330</v>
      </c>
      <c r="B2247" t="s">
        <v>8242</v>
      </c>
      <c r="C2247" t="s">
        <v>8243</v>
      </c>
      <c r="D2247" t="s">
        <v>550</v>
      </c>
      <c r="E2247" t="s">
        <v>816</v>
      </c>
      <c r="F2247" t="s">
        <v>817</v>
      </c>
      <c r="G2247" s="1">
        <v>43831</v>
      </c>
      <c r="H2247" s="1">
        <v>43831</v>
      </c>
      <c r="I2247" t="s">
        <v>665</v>
      </c>
      <c r="J2247" t="s">
        <v>816</v>
      </c>
      <c r="K2247" t="s">
        <v>900</v>
      </c>
      <c r="L2247" t="s">
        <v>901</v>
      </c>
      <c r="M2247" t="s">
        <v>818</v>
      </c>
      <c r="N2247" t="s">
        <v>819</v>
      </c>
      <c r="O2247" t="s">
        <v>818</v>
      </c>
      <c r="P2247" t="s">
        <v>819</v>
      </c>
      <c r="Q2247" t="s">
        <v>6565</v>
      </c>
      <c r="R2247" t="s">
        <v>6566</v>
      </c>
      <c r="S2247" t="s">
        <v>550</v>
      </c>
      <c r="T2247" t="s">
        <v>550</v>
      </c>
      <c r="U2247" t="s">
        <v>550</v>
      </c>
      <c r="V2247" t="s">
        <v>8244</v>
      </c>
      <c r="W2247" t="s">
        <v>2155</v>
      </c>
      <c r="X2247" t="s">
        <v>908</v>
      </c>
      <c r="Y2247" t="s">
        <v>909</v>
      </c>
      <c r="Z2247" t="s">
        <v>8242</v>
      </c>
    </row>
    <row r="2248" spans="1:26" x14ac:dyDescent="0.3">
      <c r="A2248" t="s">
        <v>330</v>
      </c>
      <c r="B2248" t="s">
        <v>8245</v>
      </c>
      <c r="C2248" t="s">
        <v>8246</v>
      </c>
      <c r="D2248" t="s">
        <v>550</v>
      </c>
      <c r="E2248" t="s">
        <v>816</v>
      </c>
      <c r="F2248" t="s">
        <v>817</v>
      </c>
      <c r="G2248" s="1">
        <v>43467</v>
      </c>
      <c r="H2248" s="1">
        <v>43467</v>
      </c>
      <c r="I2248" t="s">
        <v>665</v>
      </c>
      <c r="J2248" t="s">
        <v>816</v>
      </c>
      <c r="K2248" t="s">
        <v>900</v>
      </c>
      <c r="L2248" t="s">
        <v>901</v>
      </c>
      <c r="M2248" t="s">
        <v>8247</v>
      </c>
      <c r="N2248" t="s">
        <v>8248</v>
      </c>
      <c r="O2248" t="s">
        <v>8247</v>
      </c>
      <c r="P2248" t="s">
        <v>8248</v>
      </c>
      <c r="Q2248" t="s">
        <v>6565</v>
      </c>
      <c r="R2248" t="s">
        <v>6566</v>
      </c>
      <c r="S2248" t="s">
        <v>550</v>
      </c>
      <c r="T2248" t="s">
        <v>550</v>
      </c>
      <c r="U2248" t="s">
        <v>550</v>
      </c>
      <c r="V2248" t="s">
        <v>8249</v>
      </c>
      <c r="W2248" t="s">
        <v>2155</v>
      </c>
      <c r="X2248" t="s">
        <v>908</v>
      </c>
      <c r="Y2248" t="s">
        <v>909</v>
      </c>
      <c r="Z2248" t="s">
        <v>8245</v>
      </c>
    </row>
    <row r="2249" spans="1:26" x14ac:dyDescent="0.3">
      <c r="A2249" t="s">
        <v>330</v>
      </c>
      <c r="B2249" t="s">
        <v>8250</v>
      </c>
      <c r="C2249" t="s">
        <v>8251</v>
      </c>
      <c r="D2249" t="s">
        <v>550</v>
      </c>
      <c r="E2249" t="s">
        <v>6417</v>
      </c>
      <c r="F2249" t="s">
        <v>1040</v>
      </c>
      <c r="G2249" s="1">
        <v>44197</v>
      </c>
      <c r="H2249" s="1">
        <v>44250</v>
      </c>
      <c r="I2249" t="s">
        <v>665</v>
      </c>
      <c r="J2249" t="s">
        <v>6418</v>
      </c>
      <c r="K2249" t="s">
        <v>958</v>
      </c>
      <c r="L2249" t="s">
        <v>6502</v>
      </c>
      <c r="M2249" t="s">
        <v>6968</v>
      </c>
      <c r="N2249" t="s">
        <v>6969</v>
      </c>
      <c r="O2249" t="s">
        <v>7435</v>
      </c>
      <c r="P2249" t="s">
        <v>7436</v>
      </c>
      <c r="Q2249" t="s">
        <v>6565</v>
      </c>
      <c r="R2249" t="s">
        <v>6566</v>
      </c>
      <c r="S2249" t="s">
        <v>8252</v>
      </c>
      <c r="T2249" t="s">
        <v>550</v>
      </c>
      <c r="U2249" t="s">
        <v>550</v>
      </c>
      <c r="V2249" t="s">
        <v>8253</v>
      </c>
      <c r="W2249" t="s">
        <v>6972</v>
      </c>
      <c r="X2249" t="s">
        <v>6451</v>
      </c>
      <c r="Y2249" t="s">
        <v>6452</v>
      </c>
      <c r="Z2249" t="s">
        <v>8250</v>
      </c>
    </row>
    <row r="2250" spans="1:26" x14ac:dyDescent="0.3">
      <c r="A2250" t="s">
        <v>330</v>
      </c>
      <c r="B2250" t="s">
        <v>7991</v>
      </c>
      <c r="C2250" t="s">
        <v>7004</v>
      </c>
      <c r="D2250" t="s">
        <v>550</v>
      </c>
      <c r="E2250" t="s">
        <v>6417</v>
      </c>
      <c r="F2250" t="s">
        <v>1040</v>
      </c>
      <c r="G2250" s="1">
        <v>43831</v>
      </c>
      <c r="H2250" s="1">
        <v>43831</v>
      </c>
      <c r="I2250" t="s">
        <v>665</v>
      </c>
      <c r="J2250" t="s">
        <v>6418</v>
      </c>
      <c r="K2250" t="s">
        <v>958</v>
      </c>
      <c r="L2250" t="s">
        <v>6419</v>
      </c>
      <c r="M2250" t="s">
        <v>6565</v>
      </c>
      <c r="N2250" t="s">
        <v>6566</v>
      </c>
      <c r="O2250" t="s">
        <v>7435</v>
      </c>
      <c r="P2250" t="s">
        <v>7436</v>
      </c>
      <c r="Q2250" t="s">
        <v>6565</v>
      </c>
      <c r="R2250" t="s">
        <v>6566</v>
      </c>
      <c r="S2250" t="s">
        <v>7992</v>
      </c>
      <c r="T2250" t="s">
        <v>550</v>
      </c>
      <c r="U2250" t="s">
        <v>550</v>
      </c>
      <c r="V2250" t="s">
        <v>8254</v>
      </c>
      <c r="W2250" t="s">
        <v>6972</v>
      </c>
      <c r="X2250" t="s">
        <v>6451</v>
      </c>
      <c r="Y2250" t="s">
        <v>6452</v>
      </c>
      <c r="Z2250" t="s">
        <v>7991</v>
      </c>
    </row>
    <row r="2251" spans="1:26" x14ac:dyDescent="0.3">
      <c r="A2251" t="s">
        <v>330</v>
      </c>
      <c r="B2251" t="s">
        <v>8255</v>
      </c>
      <c r="C2251" t="s">
        <v>6416</v>
      </c>
      <c r="D2251" t="s">
        <v>550</v>
      </c>
      <c r="E2251" t="s">
        <v>6417</v>
      </c>
      <c r="F2251" t="s">
        <v>1040</v>
      </c>
      <c r="G2251" s="1">
        <v>43831</v>
      </c>
      <c r="H2251" s="1">
        <v>43831</v>
      </c>
      <c r="I2251" t="s">
        <v>665</v>
      </c>
      <c r="J2251" t="s">
        <v>6418</v>
      </c>
      <c r="K2251" t="s">
        <v>958</v>
      </c>
      <c r="L2251" t="s">
        <v>6419</v>
      </c>
      <c r="M2251" t="s">
        <v>1301</v>
      </c>
      <c r="N2251" t="s">
        <v>1302</v>
      </c>
      <c r="O2251" t="s">
        <v>7435</v>
      </c>
      <c r="P2251" t="s">
        <v>7436</v>
      </c>
      <c r="Q2251" t="s">
        <v>6565</v>
      </c>
      <c r="R2251" t="s">
        <v>6566</v>
      </c>
      <c r="S2251" t="s">
        <v>8256</v>
      </c>
      <c r="T2251" t="s">
        <v>550</v>
      </c>
      <c r="U2251" t="s">
        <v>550</v>
      </c>
      <c r="V2251" t="s">
        <v>8257</v>
      </c>
      <c r="W2251" t="s">
        <v>6972</v>
      </c>
      <c r="X2251" t="s">
        <v>6451</v>
      </c>
      <c r="Y2251" t="s">
        <v>6452</v>
      </c>
      <c r="Z2251" t="s">
        <v>8255</v>
      </c>
    </row>
    <row r="2252" spans="1:26" x14ac:dyDescent="0.3">
      <c r="A2252" t="s">
        <v>330</v>
      </c>
      <c r="B2252" t="s">
        <v>8258</v>
      </c>
      <c r="C2252" t="s">
        <v>8259</v>
      </c>
      <c r="D2252" t="s">
        <v>550</v>
      </c>
      <c r="E2252" t="s">
        <v>6417</v>
      </c>
      <c r="F2252" t="s">
        <v>1040</v>
      </c>
      <c r="G2252" s="1">
        <v>43467</v>
      </c>
      <c r="H2252" s="1">
        <v>43830</v>
      </c>
      <c r="I2252" t="s">
        <v>665</v>
      </c>
      <c r="J2252" t="s">
        <v>6418</v>
      </c>
      <c r="K2252" t="s">
        <v>958</v>
      </c>
      <c r="L2252" t="s">
        <v>6502</v>
      </c>
      <c r="M2252" t="s">
        <v>6495</v>
      </c>
      <c r="N2252" t="s">
        <v>6496</v>
      </c>
      <c r="O2252" t="s">
        <v>7435</v>
      </c>
      <c r="P2252" t="s">
        <v>7436</v>
      </c>
      <c r="Q2252" t="s">
        <v>6565</v>
      </c>
      <c r="R2252" t="s">
        <v>6566</v>
      </c>
      <c r="S2252" t="s">
        <v>8260</v>
      </c>
      <c r="T2252" t="s">
        <v>550</v>
      </c>
      <c r="U2252" t="s">
        <v>550</v>
      </c>
      <c r="V2252" t="s">
        <v>8261</v>
      </c>
      <c r="W2252" t="s">
        <v>7388</v>
      </c>
      <c r="X2252" t="s">
        <v>6451</v>
      </c>
      <c r="Y2252" t="s">
        <v>6452</v>
      </c>
      <c r="Z2252" t="s">
        <v>8258</v>
      </c>
    </row>
    <row r="2253" spans="1:26" x14ac:dyDescent="0.3">
      <c r="A2253" t="s">
        <v>330</v>
      </c>
      <c r="B2253" t="s">
        <v>8262</v>
      </c>
      <c r="C2253" t="s">
        <v>8263</v>
      </c>
      <c r="D2253" t="s">
        <v>912</v>
      </c>
      <c r="E2253" t="s">
        <v>816</v>
      </c>
      <c r="F2253" t="s">
        <v>817</v>
      </c>
      <c r="G2253" s="1">
        <v>43102</v>
      </c>
      <c r="H2253" s="1">
        <v>43102</v>
      </c>
      <c r="I2253" t="s">
        <v>665</v>
      </c>
      <c r="J2253" t="s">
        <v>816</v>
      </c>
      <c r="K2253" t="s">
        <v>900</v>
      </c>
      <c r="L2253" t="s">
        <v>901</v>
      </c>
      <c r="M2253" t="s">
        <v>8264</v>
      </c>
      <c r="N2253" t="s">
        <v>8265</v>
      </c>
      <c r="O2253" t="s">
        <v>915</v>
      </c>
      <c r="P2253" t="s">
        <v>916</v>
      </c>
      <c r="Q2253" t="s">
        <v>6565</v>
      </c>
      <c r="R2253" t="s">
        <v>6566</v>
      </c>
      <c r="S2253" t="s">
        <v>550</v>
      </c>
      <c r="T2253" t="s">
        <v>550</v>
      </c>
      <c r="U2253" t="s">
        <v>550</v>
      </c>
      <c r="V2253" t="s">
        <v>8266</v>
      </c>
      <c r="W2253" t="s">
        <v>918</v>
      </c>
      <c r="X2253" t="s">
        <v>908</v>
      </c>
      <c r="Y2253" t="s">
        <v>909</v>
      </c>
      <c r="Z2253" t="s">
        <v>8262</v>
      </c>
    </row>
    <row r="2254" spans="1:26" x14ac:dyDescent="0.3">
      <c r="A2254" t="s">
        <v>330</v>
      </c>
      <c r="B2254" t="s">
        <v>8267</v>
      </c>
      <c r="C2254" t="s">
        <v>8268</v>
      </c>
      <c r="D2254" t="s">
        <v>7394</v>
      </c>
      <c r="E2254" t="s">
        <v>6417</v>
      </c>
      <c r="F2254" t="s">
        <v>1040</v>
      </c>
      <c r="G2254" s="1">
        <v>44564</v>
      </c>
      <c r="H2254" s="1">
        <v>44564</v>
      </c>
      <c r="I2254" t="s">
        <v>665</v>
      </c>
      <c r="J2254" t="s">
        <v>6418</v>
      </c>
      <c r="K2254" t="s">
        <v>958</v>
      </c>
      <c r="L2254" t="s">
        <v>6419</v>
      </c>
      <c r="M2254" t="s">
        <v>6867</v>
      </c>
      <c r="N2254" t="s">
        <v>6868</v>
      </c>
      <c r="O2254" t="s">
        <v>6601</v>
      </c>
      <c r="P2254" t="s">
        <v>6602</v>
      </c>
      <c r="Q2254" t="s">
        <v>6565</v>
      </c>
      <c r="R2254" t="s">
        <v>6566</v>
      </c>
      <c r="S2254" t="s">
        <v>7395</v>
      </c>
      <c r="T2254" t="s">
        <v>550</v>
      </c>
      <c r="U2254" t="s">
        <v>550</v>
      </c>
      <c r="V2254" t="s">
        <v>8269</v>
      </c>
      <c r="W2254" t="s">
        <v>6428</v>
      </c>
      <c r="X2254" t="s">
        <v>6451</v>
      </c>
      <c r="Y2254" t="s">
        <v>6452</v>
      </c>
      <c r="Z2254" t="s">
        <v>8267</v>
      </c>
    </row>
    <row r="2255" spans="1:26" x14ac:dyDescent="0.3">
      <c r="A2255" t="s">
        <v>330</v>
      </c>
      <c r="B2255" t="s">
        <v>8270</v>
      </c>
      <c r="C2255" t="s">
        <v>8271</v>
      </c>
      <c r="D2255" t="s">
        <v>6600</v>
      </c>
      <c r="E2255" t="s">
        <v>6417</v>
      </c>
      <c r="F2255" t="s">
        <v>1040</v>
      </c>
      <c r="G2255" s="1">
        <v>44927</v>
      </c>
      <c r="H2255" s="1">
        <v>46280</v>
      </c>
      <c r="I2255" t="s">
        <v>665</v>
      </c>
      <c r="J2255" t="s">
        <v>6418</v>
      </c>
      <c r="K2255" t="s">
        <v>958</v>
      </c>
      <c r="L2255" t="s">
        <v>6419</v>
      </c>
      <c r="M2255" t="s">
        <v>6867</v>
      </c>
      <c r="N2255" t="s">
        <v>6868</v>
      </c>
      <c r="O2255" t="s">
        <v>6601</v>
      </c>
      <c r="P2255" t="s">
        <v>6602</v>
      </c>
      <c r="Q2255" t="s">
        <v>6565</v>
      </c>
      <c r="R2255" t="s">
        <v>6566</v>
      </c>
      <c r="S2255" t="s">
        <v>6603</v>
      </c>
      <c r="T2255" t="s">
        <v>550</v>
      </c>
      <c r="U2255" t="s">
        <v>550</v>
      </c>
      <c r="V2255" t="s">
        <v>8272</v>
      </c>
      <c r="W2255" t="s">
        <v>6428</v>
      </c>
      <c r="X2255" t="s">
        <v>6451</v>
      </c>
      <c r="Y2255" t="s">
        <v>6452</v>
      </c>
      <c r="Z2255" t="s">
        <v>8270</v>
      </c>
    </row>
    <row r="2256" spans="1:26" x14ac:dyDescent="0.3">
      <c r="A2256" t="s">
        <v>330</v>
      </c>
      <c r="B2256" t="s">
        <v>8273</v>
      </c>
      <c r="C2256" t="s">
        <v>8274</v>
      </c>
      <c r="D2256" t="s">
        <v>6600</v>
      </c>
      <c r="E2256" t="s">
        <v>6417</v>
      </c>
      <c r="F2256" t="s">
        <v>1040</v>
      </c>
      <c r="G2256" s="1">
        <v>44928</v>
      </c>
      <c r="H2256" s="1">
        <v>45910</v>
      </c>
      <c r="I2256" t="s">
        <v>665</v>
      </c>
      <c r="J2256" t="s">
        <v>6418</v>
      </c>
      <c r="K2256" t="s">
        <v>958</v>
      </c>
      <c r="L2256" t="s">
        <v>6419</v>
      </c>
      <c r="M2256" t="s">
        <v>6867</v>
      </c>
      <c r="N2256" t="s">
        <v>6868</v>
      </c>
      <c r="O2256" t="s">
        <v>6601</v>
      </c>
      <c r="P2256" t="s">
        <v>6602</v>
      </c>
      <c r="Q2256" t="s">
        <v>6565</v>
      </c>
      <c r="R2256" t="s">
        <v>6566</v>
      </c>
      <c r="S2256" t="s">
        <v>8275</v>
      </c>
      <c r="T2256" t="s">
        <v>550</v>
      </c>
      <c r="U2256" t="s">
        <v>550</v>
      </c>
      <c r="V2256" t="s">
        <v>8276</v>
      </c>
      <c r="W2256" t="s">
        <v>6428</v>
      </c>
      <c r="X2256" t="s">
        <v>6451</v>
      </c>
      <c r="Y2256" t="s">
        <v>6452</v>
      </c>
      <c r="Z2256" t="s">
        <v>8273</v>
      </c>
    </row>
    <row r="2257" spans="1:26" x14ac:dyDescent="0.3">
      <c r="A2257" t="s">
        <v>330</v>
      </c>
      <c r="B2257" t="s">
        <v>8277</v>
      </c>
      <c r="C2257" t="s">
        <v>6616</v>
      </c>
      <c r="D2257" t="s">
        <v>7972</v>
      </c>
      <c r="E2257" t="s">
        <v>6417</v>
      </c>
      <c r="F2257" t="s">
        <v>1040</v>
      </c>
      <c r="G2257" s="1">
        <v>43831</v>
      </c>
      <c r="H2257" s="1">
        <v>44092</v>
      </c>
      <c r="I2257" t="s">
        <v>665</v>
      </c>
      <c r="J2257" t="s">
        <v>6418</v>
      </c>
      <c r="K2257" t="s">
        <v>958</v>
      </c>
      <c r="L2257" t="s">
        <v>6419</v>
      </c>
      <c r="M2257" t="s">
        <v>7938</v>
      </c>
      <c r="N2257" t="s">
        <v>7939</v>
      </c>
      <c r="O2257" t="s">
        <v>6601</v>
      </c>
      <c r="P2257" t="s">
        <v>6602</v>
      </c>
      <c r="Q2257" t="s">
        <v>6565</v>
      </c>
      <c r="R2257" t="s">
        <v>6566</v>
      </c>
      <c r="S2257" t="s">
        <v>7973</v>
      </c>
      <c r="T2257" t="s">
        <v>550</v>
      </c>
      <c r="U2257" t="s">
        <v>550</v>
      </c>
      <c r="V2257" t="s">
        <v>8278</v>
      </c>
      <c r="W2257" t="s">
        <v>6428</v>
      </c>
      <c r="X2257" t="s">
        <v>6451</v>
      </c>
      <c r="Y2257" t="s">
        <v>6452</v>
      </c>
      <c r="Z2257" t="s">
        <v>8277</v>
      </c>
    </row>
    <row r="2258" spans="1:26" x14ac:dyDescent="0.3">
      <c r="A2258" t="s">
        <v>330</v>
      </c>
      <c r="B2258" t="s">
        <v>8279</v>
      </c>
      <c r="C2258" t="s">
        <v>6623</v>
      </c>
      <c r="D2258" t="s">
        <v>7972</v>
      </c>
      <c r="E2258" t="s">
        <v>6417</v>
      </c>
      <c r="F2258" t="s">
        <v>1040</v>
      </c>
      <c r="G2258" s="1">
        <v>43831</v>
      </c>
      <c r="H2258" s="1">
        <v>44249</v>
      </c>
      <c r="I2258" t="s">
        <v>665</v>
      </c>
      <c r="J2258" t="s">
        <v>6418</v>
      </c>
      <c r="K2258" t="s">
        <v>958</v>
      </c>
      <c r="L2258" t="s">
        <v>6419</v>
      </c>
      <c r="M2258" t="s">
        <v>7311</v>
      </c>
      <c r="N2258" t="s">
        <v>7312</v>
      </c>
      <c r="O2258" t="s">
        <v>6601</v>
      </c>
      <c r="P2258" t="s">
        <v>6602</v>
      </c>
      <c r="Q2258" t="s">
        <v>6565</v>
      </c>
      <c r="R2258" t="s">
        <v>6566</v>
      </c>
      <c r="S2258" t="s">
        <v>7973</v>
      </c>
      <c r="T2258" t="s">
        <v>550</v>
      </c>
      <c r="U2258" t="s">
        <v>550</v>
      </c>
      <c r="V2258" t="s">
        <v>8280</v>
      </c>
      <c r="W2258" t="s">
        <v>6428</v>
      </c>
      <c r="X2258" t="s">
        <v>6451</v>
      </c>
      <c r="Y2258" t="s">
        <v>6452</v>
      </c>
      <c r="Z2258" t="s">
        <v>8279</v>
      </c>
    </row>
    <row r="2259" spans="1:26" x14ac:dyDescent="0.3">
      <c r="A2259" t="s">
        <v>330</v>
      </c>
      <c r="B2259" t="s">
        <v>8281</v>
      </c>
      <c r="C2259" t="s">
        <v>7935</v>
      </c>
      <c r="D2259" t="s">
        <v>7972</v>
      </c>
      <c r="E2259" t="s">
        <v>6417</v>
      </c>
      <c r="F2259" t="s">
        <v>1040</v>
      </c>
      <c r="G2259" s="1">
        <v>43831</v>
      </c>
      <c r="H2259" s="1">
        <v>43831</v>
      </c>
      <c r="I2259" t="s">
        <v>665</v>
      </c>
      <c r="J2259" t="s">
        <v>6418</v>
      </c>
      <c r="K2259" t="s">
        <v>958</v>
      </c>
      <c r="L2259" t="s">
        <v>6419</v>
      </c>
      <c r="M2259" t="s">
        <v>7040</v>
      </c>
      <c r="N2259" t="s">
        <v>7041</v>
      </c>
      <c r="O2259" t="s">
        <v>6601</v>
      </c>
      <c r="P2259" t="s">
        <v>6602</v>
      </c>
      <c r="Q2259" t="s">
        <v>6565</v>
      </c>
      <c r="R2259" t="s">
        <v>6566</v>
      </c>
      <c r="S2259" t="s">
        <v>7973</v>
      </c>
      <c r="T2259" t="s">
        <v>550</v>
      </c>
      <c r="U2259" t="s">
        <v>550</v>
      </c>
      <c r="V2259" t="s">
        <v>8282</v>
      </c>
      <c r="W2259" t="s">
        <v>6428</v>
      </c>
      <c r="X2259" t="s">
        <v>6451</v>
      </c>
      <c r="Y2259" t="s">
        <v>6452</v>
      </c>
      <c r="Z2259" t="s">
        <v>8281</v>
      </c>
    </row>
    <row r="2260" spans="1:26" x14ac:dyDescent="0.3">
      <c r="A2260" t="s">
        <v>330</v>
      </c>
      <c r="B2260" t="s">
        <v>8283</v>
      </c>
      <c r="C2260" t="s">
        <v>6416</v>
      </c>
      <c r="D2260" t="s">
        <v>550</v>
      </c>
      <c r="E2260" t="s">
        <v>6417</v>
      </c>
      <c r="F2260" t="s">
        <v>1040</v>
      </c>
      <c r="G2260" s="1">
        <v>44928</v>
      </c>
      <c r="H2260" s="1">
        <v>44928</v>
      </c>
      <c r="I2260" t="s">
        <v>665</v>
      </c>
      <c r="J2260" t="s">
        <v>6418</v>
      </c>
      <c r="K2260" t="s">
        <v>958</v>
      </c>
      <c r="L2260" t="s">
        <v>6419</v>
      </c>
      <c r="M2260" t="s">
        <v>6601</v>
      </c>
      <c r="N2260" t="s">
        <v>6602</v>
      </c>
      <c r="O2260" t="s">
        <v>6601</v>
      </c>
      <c r="P2260" t="s">
        <v>6602</v>
      </c>
      <c r="Q2260" t="s">
        <v>6565</v>
      </c>
      <c r="R2260" t="s">
        <v>6566</v>
      </c>
      <c r="S2260" t="s">
        <v>8284</v>
      </c>
      <c r="T2260" t="s">
        <v>550</v>
      </c>
      <c r="U2260" t="s">
        <v>550</v>
      </c>
      <c r="V2260" t="s">
        <v>8285</v>
      </c>
      <c r="W2260" t="s">
        <v>6428</v>
      </c>
      <c r="X2260" t="s">
        <v>6451</v>
      </c>
      <c r="Y2260" t="s">
        <v>6452</v>
      </c>
      <c r="Z2260" t="s">
        <v>8283</v>
      </c>
    </row>
    <row r="2261" spans="1:26" x14ac:dyDescent="0.3">
      <c r="A2261" t="s">
        <v>330</v>
      </c>
      <c r="B2261" t="s">
        <v>8286</v>
      </c>
      <c r="C2261" t="s">
        <v>8287</v>
      </c>
      <c r="D2261" t="s">
        <v>8283</v>
      </c>
      <c r="E2261" t="s">
        <v>6417</v>
      </c>
      <c r="F2261" t="s">
        <v>1040</v>
      </c>
      <c r="G2261" s="1">
        <v>44927</v>
      </c>
      <c r="H2261" s="1">
        <v>45075</v>
      </c>
      <c r="I2261" t="s">
        <v>665</v>
      </c>
      <c r="J2261" t="s">
        <v>6418</v>
      </c>
      <c r="K2261" t="s">
        <v>958</v>
      </c>
      <c r="L2261" t="s">
        <v>6419</v>
      </c>
      <c r="M2261" t="s">
        <v>6601</v>
      </c>
      <c r="N2261" t="s">
        <v>6602</v>
      </c>
      <c r="O2261" t="s">
        <v>6601</v>
      </c>
      <c r="P2261" t="s">
        <v>6602</v>
      </c>
      <c r="Q2261" t="s">
        <v>6565</v>
      </c>
      <c r="R2261" t="s">
        <v>6566</v>
      </c>
      <c r="S2261" t="s">
        <v>8284</v>
      </c>
      <c r="T2261" t="s">
        <v>550</v>
      </c>
      <c r="U2261" t="s">
        <v>550</v>
      </c>
      <c r="V2261" t="s">
        <v>8288</v>
      </c>
      <c r="W2261" t="s">
        <v>6428</v>
      </c>
      <c r="X2261" t="s">
        <v>6451</v>
      </c>
      <c r="Y2261" t="s">
        <v>6452</v>
      </c>
      <c r="Z2261" t="s">
        <v>8286</v>
      </c>
    </row>
    <row r="2262" spans="1:26" x14ac:dyDescent="0.3">
      <c r="A2262" t="s">
        <v>330</v>
      </c>
      <c r="B2262" t="s">
        <v>8289</v>
      </c>
      <c r="C2262" t="s">
        <v>8290</v>
      </c>
      <c r="D2262" t="s">
        <v>8283</v>
      </c>
      <c r="E2262" t="s">
        <v>6417</v>
      </c>
      <c r="F2262" t="s">
        <v>1040</v>
      </c>
      <c r="G2262" s="1">
        <v>44927</v>
      </c>
      <c r="H2262" s="1">
        <v>44978</v>
      </c>
      <c r="I2262" t="s">
        <v>665</v>
      </c>
      <c r="J2262" t="s">
        <v>6418</v>
      </c>
      <c r="K2262" t="s">
        <v>958</v>
      </c>
      <c r="L2262" t="s">
        <v>6419</v>
      </c>
      <c r="M2262" t="s">
        <v>6601</v>
      </c>
      <c r="N2262" t="s">
        <v>6602</v>
      </c>
      <c r="O2262" t="s">
        <v>6601</v>
      </c>
      <c r="P2262" t="s">
        <v>6602</v>
      </c>
      <c r="Q2262" t="s">
        <v>6565</v>
      </c>
      <c r="R2262" t="s">
        <v>6566</v>
      </c>
      <c r="S2262" t="s">
        <v>8284</v>
      </c>
      <c r="T2262" t="s">
        <v>550</v>
      </c>
      <c r="U2262" t="s">
        <v>550</v>
      </c>
      <c r="V2262" t="s">
        <v>8291</v>
      </c>
      <c r="W2262" t="s">
        <v>6428</v>
      </c>
      <c r="X2262" t="s">
        <v>6451</v>
      </c>
      <c r="Y2262" t="s">
        <v>6452</v>
      </c>
      <c r="Z2262" t="s">
        <v>8289</v>
      </c>
    </row>
    <row r="2263" spans="1:26" x14ac:dyDescent="0.3">
      <c r="A2263" t="s">
        <v>330</v>
      </c>
      <c r="B2263" t="s">
        <v>8292</v>
      </c>
      <c r="C2263" t="s">
        <v>8293</v>
      </c>
      <c r="D2263" t="s">
        <v>8283</v>
      </c>
      <c r="E2263" t="s">
        <v>6417</v>
      </c>
      <c r="F2263" t="s">
        <v>1040</v>
      </c>
      <c r="G2263" s="1">
        <v>44927</v>
      </c>
      <c r="H2263" s="1">
        <v>45083</v>
      </c>
      <c r="I2263" t="s">
        <v>665</v>
      </c>
      <c r="J2263" t="s">
        <v>6418</v>
      </c>
      <c r="K2263" t="s">
        <v>958</v>
      </c>
      <c r="L2263" t="s">
        <v>6419</v>
      </c>
      <c r="M2263" t="s">
        <v>6601</v>
      </c>
      <c r="N2263" t="s">
        <v>6602</v>
      </c>
      <c r="O2263" t="s">
        <v>6601</v>
      </c>
      <c r="P2263" t="s">
        <v>6602</v>
      </c>
      <c r="Q2263" t="s">
        <v>6565</v>
      </c>
      <c r="R2263" t="s">
        <v>6566</v>
      </c>
      <c r="S2263" t="s">
        <v>8284</v>
      </c>
      <c r="T2263" t="s">
        <v>550</v>
      </c>
      <c r="U2263" t="s">
        <v>550</v>
      </c>
      <c r="V2263" t="s">
        <v>8294</v>
      </c>
      <c r="W2263" t="s">
        <v>6428</v>
      </c>
      <c r="X2263" t="s">
        <v>6451</v>
      </c>
      <c r="Y2263" t="s">
        <v>6452</v>
      </c>
      <c r="Z2263" t="s">
        <v>8292</v>
      </c>
    </row>
    <row r="2264" spans="1:26" x14ac:dyDescent="0.3">
      <c r="A2264" t="s">
        <v>330</v>
      </c>
      <c r="B2264" t="s">
        <v>8295</v>
      </c>
      <c r="C2264" t="s">
        <v>8296</v>
      </c>
      <c r="D2264" t="s">
        <v>8283</v>
      </c>
      <c r="E2264" t="s">
        <v>6417</v>
      </c>
      <c r="F2264" t="s">
        <v>1040</v>
      </c>
      <c r="G2264" s="1">
        <v>44927</v>
      </c>
      <c r="H2264" s="1">
        <v>44970</v>
      </c>
      <c r="I2264" t="s">
        <v>665</v>
      </c>
      <c r="J2264" t="s">
        <v>6418</v>
      </c>
      <c r="K2264" t="s">
        <v>958</v>
      </c>
      <c r="L2264" t="s">
        <v>6419</v>
      </c>
      <c r="M2264" t="s">
        <v>6601</v>
      </c>
      <c r="N2264" t="s">
        <v>6602</v>
      </c>
      <c r="O2264" t="s">
        <v>6601</v>
      </c>
      <c r="P2264" t="s">
        <v>6602</v>
      </c>
      <c r="Q2264" t="s">
        <v>6565</v>
      </c>
      <c r="R2264" t="s">
        <v>6566</v>
      </c>
      <c r="S2264" t="s">
        <v>8284</v>
      </c>
      <c r="T2264" t="s">
        <v>550</v>
      </c>
      <c r="U2264" t="s">
        <v>550</v>
      </c>
      <c r="V2264" t="s">
        <v>8297</v>
      </c>
      <c r="W2264" t="s">
        <v>6428</v>
      </c>
      <c r="X2264" t="s">
        <v>6451</v>
      </c>
      <c r="Y2264" t="s">
        <v>6452</v>
      </c>
      <c r="Z2264" t="s">
        <v>8295</v>
      </c>
    </row>
    <row r="2265" spans="1:26" x14ac:dyDescent="0.3">
      <c r="A2265" t="s">
        <v>330</v>
      </c>
      <c r="B2265" t="s">
        <v>8298</v>
      </c>
      <c r="C2265" t="s">
        <v>8299</v>
      </c>
      <c r="D2265" t="s">
        <v>8283</v>
      </c>
      <c r="E2265" t="s">
        <v>6417</v>
      </c>
      <c r="F2265" t="s">
        <v>1040</v>
      </c>
      <c r="G2265" s="1">
        <v>44927</v>
      </c>
      <c r="H2265" s="1">
        <v>45090</v>
      </c>
      <c r="I2265" t="s">
        <v>665</v>
      </c>
      <c r="J2265" t="s">
        <v>6418</v>
      </c>
      <c r="K2265" t="s">
        <v>958</v>
      </c>
      <c r="L2265" t="s">
        <v>6419</v>
      </c>
      <c r="M2265" t="s">
        <v>6601</v>
      </c>
      <c r="N2265" t="s">
        <v>6602</v>
      </c>
      <c r="O2265" t="s">
        <v>6601</v>
      </c>
      <c r="P2265" t="s">
        <v>6602</v>
      </c>
      <c r="Q2265" t="s">
        <v>6565</v>
      </c>
      <c r="R2265" t="s">
        <v>6566</v>
      </c>
      <c r="S2265" t="s">
        <v>8284</v>
      </c>
      <c r="T2265" t="s">
        <v>550</v>
      </c>
      <c r="U2265" t="s">
        <v>550</v>
      </c>
      <c r="V2265" t="s">
        <v>8300</v>
      </c>
      <c r="W2265" t="s">
        <v>6428</v>
      </c>
      <c r="X2265" t="s">
        <v>6451</v>
      </c>
      <c r="Y2265" t="s">
        <v>6452</v>
      </c>
      <c r="Z2265" t="s">
        <v>8298</v>
      </c>
    </row>
    <row r="2266" spans="1:26" x14ac:dyDescent="0.3">
      <c r="A2266" t="s">
        <v>330</v>
      </c>
      <c r="B2266" t="s">
        <v>8301</v>
      </c>
      <c r="C2266" t="s">
        <v>8302</v>
      </c>
      <c r="D2266" t="s">
        <v>8283</v>
      </c>
      <c r="E2266" t="s">
        <v>6417</v>
      </c>
      <c r="F2266" t="s">
        <v>1040</v>
      </c>
      <c r="G2266" s="1">
        <v>44927</v>
      </c>
      <c r="H2266" s="1">
        <v>45113</v>
      </c>
      <c r="I2266" t="s">
        <v>665</v>
      </c>
      <c r="J2266" t="s">
        <v>6418</v>
      </c>
      <c r="K2266" t="s">
        <v>958</v>
      </c>
      <c r="L2266" t="s">
        <v>6419</v>
      </c>
      <c r="M2266" t="s">
        <v>6601</v>
      </c>
      <c r="N2266" t="s">
        <v>6602</v>
      </c>
      <c r="O2266" t="s">
        <v>6601</v>
      </c>
      <c r="P2266" t="s">
        <v>6602</v>
      </c>
      <c r="Q2266" t="s">
        <v>6565</v>
      </c>
      <c r="R2266" t="s">
        <v>6566</v>
      </c>
      <c r="S2266" t="s">
        <v>8284</v>
      </c>
      <c r="T2266" t="s">
        <v>550</v>
      </c>
      <c r="U2266" t="s">
        <v>550</v>
      </c>
      <c r="V2266" t="s">
        <v>8303</v>
      </c>
      <c r="W2266" t="s">
        <v>6428</v>
      </c>
      <c r="X2266" t="s">
        <v>6451</v>
      </c>
      <c r="Y2266" t="s">
        <v>6452</v>
      </c>
      <c r="Z2266" t="s">
        <v>8301</v>
      </c>
    </row>
    <row r="2267" spans="1:26" x14ac:dyDescent="0.3">
      <c r="A2267" t="s">
        <v>330</v>
      </c>
      <c r="B2267" t="s">
        <v>8304</v>
      </c>
      <c r="C2267" t="s">
        <v>6980</v>
      </c>
      <c r="D2267" t="s">
        <v>550</v>
      </c>
      <c r="E2267" t="s">
        <v>6417</v>
      </c>
      <c r="F2267" t="s">
        <v>1040</v>
      </c>
      <c r="G2267" s="1">
        <v>44562</v>
      </c>
      <c r="H2267" s="1">
        <v>44562</v>
      </c>
      <c r="I2267" t="s">
        <v>665</v>
      </c>
      <c r="J2267" t="s">
        <v>6418</v>
      </c>
      <c r="K2267" t="s">
        <v>958</v>
      </c>
      <c r="L2267" t="s">
        <v>6419</v>
      </c>
      <c r="M2267" t="s">
        <v>6601</v>
      </c>
      <c r="N2267" t="s">
        <v>6602</v>
      </c>
      <c r="O2267" t="s">
        <v>6601</v>
      </c>
      <c r="P2267" t="s">
        <v>6602</v>
      </c>
      <c r="Q2267" t="s">
        <v>6565</v>
      </c>
      <c r="R2267" t="s">
        <v>6566</v>
      </c>
      <c r="S2267" t="s">
        <v>8305</v>
      </c>
      <c r="T2267" t="s">
        <v>550</v>
      </c>
      <c r="U2267" t="s">
        <v>550</v>
      </c>
      <c r="V2267" t="s">
        <v>8306</v>
      </c>
      <c r="W2267" t="s">
        <v>6428</v>
      </c>
      <c r="X2267" t="s">
        <v>6451</v>
      </c>
      <c r="Y2267" t="s">
        <v>6452</v>
      </c>
      <c r="Z2267" t="s">
        <v>8304</v>
      </c>
    </row>
    <row r="2268" spans="1:26" x14ac:dyDescent="0.3">
      <c r="A2268" t="s">
        <v>330</v>
      </c>
      <c r="B2268" t="s">
        <v>8307</v>
      </c>
      <c r="C2268" t="s">
        <v>7947</v>
      </c>
      <c r="D2268" t="s">
        <v>8304</v>
      </c>
      <c r="E2268" t="s">
        <v>6417</v>
      </c>
      <c r="F2268" t="s">
        <v>1040</v>
      </c>
      <c r="G2268" s="1">
        <v>44562</v>
      </c>
      <c r="H2268" s="1">
        <v>44562</v>
      </c>
      <c r="I2268" t="s">
        <v>665</v>
      </c>
      <c r="J2268" t="s">
        <v>6418</v>
      </c>
      <c r="K2268" t="s">
        <v>958</v>
      </c>
      <c r="L2268" t="s">
        <v>6419</v>
      </c>
      <c r="M2268" t="s">
        <v>6601</v>
      </c>
      <c r="N2268" t="s">
        <v>6602</v>
      </c>
      <c r="O2268" t="s">
        <v>6601</v>
      </c>
      <c r="P2268" t="s">
        <v>6602</v>
      </c>
      <c r="Q2268" t="s">
        <v>6565</v>
      </c>
      <c r="R2268" t="s">
        <v>6566</v>
      </c>
      <c r="S2268" t="s">
        <v>8305</v>
      </c>
      <c r="T2268" t="s">
        <v>550</v>
      </c>
      <c r="U2268" t="s">
        <v>550</v>
      </c>
      <c r="V2268" t="s">
        <v>8308</v>
      </c>
      <c r="W2268" t="s">
        <v>6428</v>
      </c>
      <c r="X2268" t="s">
        <v>6451</v>
      </c>
      <c r="Y2268" t="s">
        <v>6452</v>
      </c>
      <c r="Z2268" t="s">
        <v>8307</v>
      </c>
    </row>
    <row r="2269" spans="1:26" x14ac:dyDescent="0.3">
      <c r="A2269" t="s">
        <v>330</v>
      </c>
      <c r="B2269" t="s">
        <v>8309</v>
      </c>
      <c r="C2269" t="s">
        <v>6616</v>
      </c>
      <c r="D2269" t="s">
        <v>8304</v>
      </c>
      <c r="E2269" t="s">
        <v>6417</v>
      </c>
      <c r="F2269" t="s">
        <v>1040</v>
      </c>
      <c r="G2269" s="1">
        <v>44562</v>
      </c>
      <c r="H2269" s="1">
        <v>44562</v>
      </c>
      <c r="I2269" t="s">
        <v>665</v>
      </c>
      <c r="J2269" t="s">
        <v>6418</v>
      </c>
      <c r="K2269" t="s">
        <v>958</v>
      </c>
      <c r="L2269" t="s">
        <v>6419</v>
      </c>
      <c r="M2269" t="s">
        <v>6601</v>
      </c>
      <c r="N2269" t="s">
        <v>6602</v>
      </c>
      <c r="O2269" t="s">
        <v>6601</v>
      </c>
      <c r="P2269" t="s">
        <v>6602</v>
      </c>
      <c r="Q2269" t="s">
        <v>6565</v>
      </c>
      <c r="R2269" t="s">
        <v>6566</v>
      </c>
      <c r="S2269" t="s">
        <v>8305</v>
      </c>
      <c r="T2269" t="s">
        <v>550</v>
      </c>
      <c r="U2269" t="s">
        <v>550</v>
      </c>
      <c r="V2269" t="s">
        <v>8310</v>
      </c>
      <c r="W2269" t="s">
        <v>6428</v>
      </c>
      <c r="X2269" t="s">
        <v>6451</v>
      </c>
      <c r="Y2269" t="s">
        <v>6452</v>
      </c>
      <c r="Z2269" t="s">
        <v>8309</v>
      </c>
    </row>
    <row r="2270" spans="1:26" x14ac:dyDescent="0.3">
      <c r="A2270" t="s">
        <v>330</v>
      </c>
      <c r="B2270" t="s">
        <v>8311</v>
      </c>
      <c r="C2270" t="s">
        <v>6623</v>
      </c>
      <c r="D2270" t="s">
        <v>8304</v>
      </c>
      <c r="E2270" t="s">
        <v>6417</v>
      </c>
      <c r="F2270" t="s">
        <v>1040</v>
      </c>
      <c r="G2270" s="1">
        <v>44562</v>
      </c>
      <c r="H2270" s="1">
        <v>44562</v>
      </c>
      <c r="I2270" t="s">
        <v>665</v>
      </c>
      <c r="J2270" t="s">
        <v>6418</v>
      </c>
      <c r="K2270" t="s">
        <v>958</v>
      </c>
      <c r="L2270" t="s">
        <v>6419</v>
      </c>
      <c r="M2270" t="s">
        <v>6601</v>
      </c>
      <c r="N2270" t="s">
        <v>6602</v>
      </c>
      <c r="O2270" t="s">
        <v>6601</v>
      </c>
      <c r="P2270" t="s">
        <v>6602</v>
      </c>
      <c r="Q2270" t="s">
        <v>6565</v>
      </c>
      <c r="R2270" t="s">
        <v>6566</v>
      </c>
      <c r="S2270" t="s">
        <v>8305</v>
      </c>
      <c r="T2270" t="s">
        <v>550</v>
      </c>
      <c r="U2270" t="s">
        <v>550</v>
      </c>
      <c r="V2270" t="s">
        <v>8312</v>
      </c>
      <c r="W2270" t="s">
        <v>6428</v>
      </c>
      <c r="X2270" t="s">
        <v>6451</v>
      </c>
      <c r="Y2270" t="s">
        <v>6452</v>
      </c>
      <c r="Z2270" t="s">
        <v>8311</v>
      </c>
    </row>
    <row r="2271" spans="1:26" x14ac:dyDescent="0.3">
      <c r="A2271" t="s">
        <v>330</v>
      </c>
      <c r="B2271" t="s">
        <v>8313</v>
      </c>
      <c r="C2271" t="s">
        <v>6626</v>
      </c>
      <c r="D2271" t="s">
        <v>8304</v>
      </c>
      <c r="E2271" t="s">
        <v>6417</v>
      </c>
      <c r="F2271" t="s">
        <v>1040</v>
      </c>
      <c r="G2271" s="1">
        <v>44562</v>
      </c>
      <c r="H2271" s="1">
        <v>44562</v>
      </c>
      <c r="I2271" t="s">
        <v>665</v>
      </c>
      <c r="J2271" t="s">
        <v>6418</v>
      </c>
      <c r="K2271" t="s">
        <v>958</v>
      </c>
      <c r="L2271" t="s">
        <v>6419</v>
      </c>
      <c r="M2271" t="s">
        <v>6601</v>
      </c>
      <c r="N2271" t="s">
        <v>6602</v>
      </c>
      <c r="O2271" t="s">
        <v>6601</v>
      </c>
      <c r="P2271" t="s">
        <v>6602</v>
      </c>
      <c r="Q2271" t="s">
        <v>6565</v>
      </c>
      <c r="R2271" t="s">
        <v>6566</v>
      </c>
      <c r="S2271" t="s">
        <v>8305</v>
      </c>
      <c r="T2271" t="s">
        <v>550</v>
      </c>
      <c r="U2271" t="s">
        <v>550</v>
      </c>
      <c r="V2271" t="s">
        <v>8314</v>
      </c>
      <c r="W2271" t="s">
        <v>6428</v>
      </c>
      <c r="X2271" t="s">
        <v>6451</v>
      </c>
      <c r="Y2271" t="s">
        <v>6452</v>
      </c>
      <c r="Z2271" t="s">
        <v>8313</v>
      </c>
    </row>
    <row r="2272" spans="1:26" x14ac:dyDescent="0.3">
      <c r="A2272" t="s">
        <v>330</v>
      </c>
      <c r="B2272" t="s">
        <v>8315</v>
      </c>
      <c r="C2272" t="s">
        <v>7935</v>
      </c>
      <c r="D2272" t="s">
        <v>8304</v>
      </c>
      <c r="E2272" t="s">
        <v>6417</v>
      </c>
      <c r="F2272" t="s">
        <v>1040</v>
      </c>
      <c r="G2272" s="1">
        <v>44562</v>
      </c>
      <c r="H2272" s="1">
        <v>44730</v>
      </c>
      <c r="I2272" t="s">
        <v>665</v>
      </c>
      <c r="J2272" t="s">
        <v>6418</v>
      </c>
      <c r="K2272" t="s">
        <v>958</v>
      </c>
      <c r="L2272" t="s">
        <v>6419</v>
      </c>
      <c r="M2272" t="s">
        <v>6601</v>
      </c>
      <c r="N2272" t="s">
        <v>6602</v>
      </c>
      <c r="O2272" t="s">
        <v>6601</v>
      </c>
      <c r="P2272" t="s">
        <v>6602</v>
      </c>
      <c r="Q2272" t="s">
        <v>6565</v>
      </c>
      <c r="R2272" t="s">
        <v>6566</v>
      </c>
      <c r="S2272" t="s">
        <v>8305</v>
      </c>
      <c r="T2272" t="s">
        <v>550</v>
      </c>
      <c r="U2272" t="s">
        <v>550</v>
      </c>
      <c r="V2272" t="s">
        <v>8316</v>
      </c>
      <c r="W2272" t="s">
        <v>6428</v>
      </c>
      <c r="X2272" t="s">
        <v>6451</v>
      </c>
      <c r="Y2272" t="s">
        <v>6452</v>
      </c>
      <c r="Z2272" t="s">
        <v>8315</v>
      </c>
    </row>
    <row r="2273" spans="1:26" x14ac:dyDescent="0.3">
      <c r="A2273" t="s">
        <v>330</v>
      </c>
      <c r="B2273" t="s">
        <v>8317</v>
      </c>
      <c r="C2273" t="s">
        <v>8318</v>
      </c>
      <c r="D2273" t="s">
        <v>7394</v>
      </c>
      <c r="E2273" t="s">
        <v>6417</v>
      </c>
      <c r="F2273" t="s">
        <v>1040</v>
      </c>
      <c r="G2273" s="1">
        <v>44562</v>
      </c>
      <c r="H2273" s="1">
        <v>44562</v>
      </c>
      <c r="I2273" t="s">
        <v>665</v>
      </c>
      <c r="J2273" t="s">
        <v>6418</v>
      </c>
      <c r="K2273" t="s">
        <v>958</v>
      </c>
      <c r="L2273" t="s">
        <v>6419</v>
      </c>
      <c r="M2273" t="s">
        <v>6601</v>
      </c>
      <c r="N2273" t="s">
        <v>6602</v>
      </c>
      <c r="O2273" t="s">
        <v>6601</v>
      </c>
      <c r="P2273" t="s">
        <v>6602</v>
      </c>
      <c r="Q2273" t="s">
        <v>6565</v>
      </c>
      <c r="R2273" t="s">
        <v>6566</v>
      </c>
      <c r="S2273" t="s">
        <v>7395</v>
      </c>
      <c r="T2273" t="s">
        <v>550</v>
      </c>
      <c r="U2273" t="s">
        <v>550</v>
      </c>
      <c r="V2273" t="s">
        <v>7396</v>
      </c>
      <c r="W2273" t="s">
        <v>6428</v>
      </c>
      <c r="X2273" t="s">
        <v>6451</v>
      </c>
      <c r="Y2273" t="s">
        <v>6452</v>
      </c>
      <c r="Z2273" t="s">
        <v>7394</v>
      </c>
    </row>
    <row r="2274" spans="1:26" x14ac:dyDescent="0.3">
      <c r="A2274" t="s">
        <v>330</v>
      </c>
      <c r="B2274" t="s">
        <v>8319</v>
      </c>
      <c r="C2274" t="s">
        <v>6606</v>
      </c>
      <c r="D2274" t="s">
        <v>7394</v>
      </c>
      <c r="E2274" t="s">
        <v>6417</v>
      </c>
      <c r="F2274" t="s">
        <v>1040</v>
      </c>
      <c r="G2274" s="1">
        <v>44562</v>
      </c>
      <c r="H2274" s="1">
        <v>44562</v>
      </c>
      <c r="I2274" t="s">
        <v>665</v>
      </c>
      <c r="J2274" t="s">
        <v>6418</v>
      </c>
      <c r="K2274" t="s">
        <v>958</v>
      </c>
      <c r="L2274" t="s">
        <v>6419</v>
      </c>
      <c r="M2274" t="s">
        <v>6601</v>
      </c>
      <c r="N2274" t="s">
        <v>6602</v>
      </c>
      <c r="O2274" t="s">
        <v>6601</v>
      </c>
      <c r="P2274" t="s">
        <v>6602</v>
      </c>
      <c r="Q2274" t="s">
        <v>6565</v>
      </c>
      <c r="R2274" t="s">
        <v>6566</v>
      </c>
      <c r="S2274" t="s">
        <v>7395</v>
      </c>
      <c r="T2274" t="s">
        <v>550</v>
      </c>
      <c r="U2274" t="s">
        <v>550</v>
      </c>
      <c r="V2274" t="s">
        <v>7396</v>
      </c>
      <c r="W2274" t="s">
        <v>6428</v>
      </c>
      <c r="X2274" t="s">
        <v>6451</v>
      </c>
      <c r="Y2274" t="s">
        <v>6452</v>
      </c>
      <c r="Z2274" t="s">
        <v>7394</v>
      </c>
    </row>
    <row r="2275" spans="1:26" x14ac:dyDescent="0.3">
      <c r="A2275" t="s">
        <v>330</v>
      </c>
      <c r="B2275" t="s">
        <v>8320</v>
      </c>
      <c r="C2275" t="s">
        <v>8321</v>
      </c>
      <c r="D2275" t="s">
        <v>8322</v>
      </c>
      <c r="E2275" t="s">
        <v>7142</v>
      </c>
      <c r="F2275" t="s">
        <v>7143</v>
      </c>
      <c r="G2275" s="1">
        <v>44986</v>
      </c>
      <c r="H2275" s="1">
        <v>44992</v>
      </c>
      <c r="I2275" t="s">
        <v>665</v>
      </c>
      <c r="J2275" t="s">
        <v>7144</v>
      </c>
      <c r="K2275" t="s">
        <v>24</v>
      </c>
      <c r="L2275" t="s">
        <v>809</v>
      </c>
      <c r="M2275" t="s">
        <v>810</v>
      </c>
      <c r="N2275" t="s">
        <v>811</v>
      </c>
      <c r="O2275" t="s">
        <v>810</v>
      </c>
      <c r="P2275" t="s">
        <v>811</v>
      </c>
      <c r="Q2275" t="s">
        <v>6565</v>
      </c>
      <c r="R2275" t="s">
        <v>6566</v>
      </c>
      <c r="S2275" t="s">
        <v>803</v>
      </c>
      <c r="T2275" t="s">
        <v>550</v>
      </c>
      <c r="U2275" t="s">
        <v>550</v>
      </c>
      <c r="V2275" t="s">
        <v>8323</v>
      </c>
      <c r="W2275" t="s">
        <v>813</v>
      </c>
      <c r="X2275" t="s">
        <v>8324</v>
      </c>
      <c r="Y2275" t="s">
        <v>803</v>
      </c>
      <c r="Z2275" t="s">
        <v>8320</v>
      </c>
    </row>
    <row r="2276" spans="1:26" x14ac:dyDescent="0.3">
      <c r="A2276" t="s">
        <v>330</v>
      </c>
      <c r="B2276" t="s">
        <v>8325</v>
      </c>
      <c r="C2276" t="s">
        <v>8326</v>
      </c>
      <c r="D2276" t="s">
        <v>8322</v>
      </c>
      <c r="E2276" t="s">
        <v>7185</v>
      </c>
      <c r="F2276" t="s">
        <v>2129</v>
      </c>
      <c r="G2276" s="1">
        <v>44958</v>
      </c>
      <c r="H2276" s="1">
        <v>44958</v>
      </c>
      <c r="I2276" t="s">
        <v>665</v>
      </c>
      <c r="J2276" t="s">
        <v>7186</v>
      </c>
      <c r="K2276" t="s">
        <v>862</v>
      </c>
      <c r="L2276" t="s">
        <v>809</v>
      </c>
      <c r="M2276" t="s">
        <v>810</v>
      </c>
      <c r="N2276" t="s">
        <v>811</v>
      </c>
      <c r="O2276" t="s">
        <v>810</v>
      </c>
      <c r="P2276" t="s">
        <v>811</v>
      </c>
      <c r="Q2276" t="s">
        <v>6565</v>
      </c>
      <c r="R2276" t="s">
        <v>6566</v>
      </c>
      <c r="S2276" t="s">
        <v>803</v>
      </c>
      <c r="T2276" t="s">
        <v>550</v>
      </c>
      <c r="U2276" t="s">
        <v>550</v>
      </c>
      <c r="V2276" t="s">
        <v>8327</v>
      </c>
      <c r="W2276" t="s">
        <v>813</v>
      </c>
      <c r="X2276" t="s">
        <v>8324</v>
      </c>
      <c r="Y2276" t="s">
        <v>803</v>
      </c>
      <c r="Z2276" t="s">
        <v>8325</v>
      </c>
    </row>
    <row r="2277" spans="1:26" x14ac:dyDescent="0.3">
      <c r="A2277" t="s">
        <v>330</v>
      </c>
      <c r="B2277" t="s">
        <v>8328</v>
      </c>
      <c r="C2277" t="s">
        <v>8329</v>
      </c>
      <c r="D2277" t="s">
        <v>550</v>
      </c>
      <c r="E2277" t="s">
        <v>6417</v>
      </c>
      <c r="F2277" t="s">
        <v>1040</v>
      </c>
      <c r="G2277" s="1">
        <v>44928</v>
      </c>
      <c r="H2277" s="1">
        <v>44930</v>
      </c>
      <c r="I2277" t="s">
        <v>665</v>
      </c>
      <c r="J2277" t="s">
        <v>6418</v>
      </c>
      <c r="K2277" t="s">
        <v>24</v>
      </c>
      <c r="L2277" t="s">
        <v>809</v>
      </c>
      <c r="M2277" t="s">
        <v>810</v>
      </c>
      <c r="N2277" t="s">
        <v>811</v>
      </c>
      <c r="O2277" t="s">
        <v>810</v>
      </c>
      <c r="P2277" t="s">
        <v>811</v>
      </c>
      <c r="Q2277" t="s">
        <v>6565</v>
      </c>
      <c r="R2277" t="s">
        <v>6566</v>
      </c>
      <c r="S2277" t="s">
        <v>803</v>
      </c>
      <c r="T2277" t="s">
        <v>550</v>
      </c>
      <c r="U2277" t="s">
        <v>550</v>
      </c>
      <c r="V2277" t="s">
        <v>8330</v>
      </c>
      <c r="W2277" t="s">
        <v>813</v>
      </c>
      <c r="X2277" t="s">
        <v>8324</v>
      </c>
      <c r="Y2277" t="s">
        <v>786</v>
      </c>
      <c r="Z2277" t="s">
        <v>8328</v>
      </c>
    </row>
    <row r="2278" spans="1:26" x14ac:dyDescent="0.3">
      <c r="A2278" t="s">
        <v>330</v>
      </c>
      <c r="B2278" t="s">
        <v>8331</v>
      </c>
      <c r="C2278" t="s">
        <v>8332</v>
      </c>
      <c r="D2278" t="s">
        <v>7087</v>
      </c>
      <c r="E2278" t="s">
        <v>7088</v>
      </c>
      <c r="F2278" t="s">
        <v>7089</v>
      </c>
      <c r="G2278" s="1">
        <v>44928</v>
      </c>
      <c r="H2278" s="1">
        <v>44970</v>
      </c>
      <c r="I2278" t="s">
        <v>665</v>
      </c>
      <c r="J2278" t="s">
        <v>7090</v>
      </c>
      <c r="K2278" t="s">
        <v>958</v>
      </c>
      <c r="L2278" t="s">
        <v>809</v>
      </c>
      <c r="M2278" t="s">
        <v>810</v>
      </c>
      <c r="N2278" t="s">
        <v>811</v>
      </c>
      <c r="O2278" t="s">
        <v>810</v>
      </c>
      <c r="P2278" t="s">
        <v>811</v>
      </c>
      <c r="Q2278" t="s">
        <v>6565</v>
      </c>
      <c r="R2278" t="s">
        <v>6566</v>
      </c>
      <c r="S2278" t="s">
        <v>803</v>
      </c>
      <c r="T2278" t="s">
        <v>550</v>
      </c>
      <c r="U2278" t="s">
        <v>550</v>
      </c>
      <c r="V2278" t="s">
        <v>8333</v>
      </c>
      <c r="W2278" t="s">
        <v>813</v>
      </c>
      <c r="X2278" t="s">
        <v>8324</v>
      </c>
      <c r="Y2278" t="s">
        <v>803</v>
      </c>
      <c r="Z2278" t="s">
        <v>8331</v>
      </c>
    </row>
    <row r="2279" spans="1:26" x14ac:dyDescent="0.3">
      <c r="A2279" t="s">
        <v>330</v>
      </c>
      <c r="B2279" t="s">
        <v>8334</v>
      </c>
      <c r="C2279" t="s">
        <v>8335</v>
      </c>
      <c r="D2279" t="s">
        <v>550</v>
      </c>
      <c r="E2279" t="s">
        <v>8336</v>
      </c>
      <c r="F2279" t="s">
        <v>8337</v>
      </c>
      <c r="G2279" s="1">
        <v>44928</v>
      </c>
      <c r="H2279" s="1">
        <v>44929</v>
      </c>
      <c r="I2279" t="s">
        <v>665</v>
      </c>
      <c r="J2279" t="s">
        <v>7142</v>
      </c>
      <c r="K2279" t="s">
        <v>808</v>
      </c>
      <c r="L2279" t="s">
        <v>809</v>
      </c>
      <c r="M2279" t="s">
        <v>810</v>
      </c>
      <c r="N2279" t="s">
        <v>811</v>
      </c>
      <c r="O2279" t="s">
        <v>810</v>
      </c>
      <c r="P2279" t="s">
        <v>811</v>
      </c>
      <c r="Q2279" t="s">
        <v>6565</v>
      </c>
      <c r="R2279" t="s">
        <v>6566</v>
      </c>
      <c r="S2279" t="s">
        <v>803</v>
      </c>
      <c r="T2279" t="s">
        <v>550</v>
      </c>
      <c r="U2279" t="s">
        <v>550</v>
      </c>
      <c r="V2279" t="s">
        <v>8338</v>
      </c>
      <c r="W2279" t="s">
        <v>813</v>
      </c>
      <c r="X2279" t="s">
        <v>8324</v>
      </c>
      <c r="Y2279" t="s">
        <v>803</v>
      </c>
      <c r="Z2279" t="s">
        <v>8334</v>
      </c>
    </row>
    <row r="2280" spans="1:26" x14ac:dyDescent="0.3">
      <c r="A2280" t="s">
        <v>330</v>
      </c>
      <c r="B2280" t="s">
        <v>8322</v>
      </c>
      <c r="C2280" t="s">
        <v>8339</v>
      </c>
      <c r="D2280" t="s">
        <v>550</v>
      </c>
      <c r="E2280" t="s">
        <v>7185</v>
      </c>
      <c r="F2280" t="s">
        <v>2129</v>
      </c>
      <c r="G2280" s="1">
        <v>44928</v>
      </c>
      <c r="H2280" s="1">
        <v>44928</v>
      </c>
      <c r="I2280" t="s">
        <v>665</v>
      </c>
      <c r="J2280" t="s">
        <v>7186</v>
      </c>
      <c r="K2280" t="s">
        <v>862</v>
      </c>
      <c r="L2280" t="s">
        <v>809</v>
      </c>
      <c r="M2280" t="s">
        <v>810</v>
      </c>
      <c r="N2280" t="s">
        <v>811</v>
      </c>
      <c r="O2280" t="s">
        <v>810</v>
      </c>
      <c r="P2280" t="s">
        <v>811</v>
      </c>
      <c r="Q2280" t="s">
        <v>6565</v>
      </c>
      <c r="R2280" t="s">
        <v>6566</v>
      </c>
      <c r="S2280" t="s">
        <v>803</v>
      </c>
      <c r="T2280" t="s">
        <v>550</v>
      </c>
      <c r="U2280" t="s">
        <v>550</v>
      </c>
      <c r="V2280" t="s">
        <v>8340</v>
      </c>
      <c r="W2280" t="s">
        <v>813</v>
      </c>
      <c r="X2280" t="s">
        <v>8324</v>
      </c>
      <c r="Y2280" t="s">
        <v>803</v>
      </c>
      <c r="Z2280" t="s">
        <v>8322</v>
      </c>
    </row>
    <row r="2281" spans="1:26" x14ac:dyDescent="0.3">
      <c r="A2281" t="s">
        <v>330</v>
      </c>
      <c r="B2281" t="s">
        <v>8341</v>
      </c>
      <c r="C2281" t="s">
        <v>8342</v>
      </c>
      <c r="D2281" t="s">
        <v>8322</v>
      </c>
      <c r="E2281" t="s">
        <v>7178</v>
      </c>
      <c r="F2281" t="s">
        <v>7920</v>
      </c>
      <c r="G2281" s="1">
        <v>45078</v>
      </c>
      <c r="H2281" s="1">
        <v>45082</v>
      </c>
      <c r="I2281" t="s">
        <v>665</v>
      </c>
      <c r="J2281" t="s">
        <v>7526</v>
      </c>
      <c r="K2281" t="s">
        <v>24</v>
      </c>
      <c r="L2281" t="s">
        <v>809</v>
      </c>
      <c r="M2281" t="s">
        <v>810</v>
      </c>
      <c r="N2281" t="s">
        <v>811</v>
      </c>
      <c r="O2281" t="s">
        <v>810</v>
      </c>
      <c r="P2281" t="s">
        <v>811</v>
      </c>
      <c r="Q2281" t="s">
        <v>6565</v>
      </c>
      <c r="R2281" t="s">
        <v>6566</v>
      </c>
      <c r="S2281" t="s">
        <v>803</v>
      </c>
      <c r="T2281" t="s">
        <v>550</v>
      </c>
      <c r="U2281" t="s">
        <v>550</v>
      </c>
      <c r="V2281" t="s">
        <v>8343</v>
      </c>
      <c r="W2281" t="s">
        <v>7092</v>
      </c>
      <c r="X2281" t="s">
        <v>8324</v>
      </c>
      <c r="Y2281" t="s">
        <v>803</v>
      </c>
      <c r="Z2281" t="s">
        <v>8341</v>
      </c>
    </row>
    <row r="2282" spans="1:26" x14ac:dyDescent="0.3">
      <c r="A2282" t="s">
        <v>330</v>
      </c>
      <c r="B2282" t="s">
        <v>8344</v>
      </c>
      <c r="C2282" t="s">
        <v>7460</v>
      </c>
      <c r="D2282" t="s">
        <v>8345</v>
      </c>
      <c r="E2282" t="s">
        <v>6417</v>
      </c>
      <c r="F2282" t="s">
        <v>1040</v>
      </c>
      <c r="G2282" s="1">
        <v>45292</v>
      </c>
      <c r="H2282" s="1">
        <v>45359</v>
      </c>
      <c r="I2282" t="s">
        <v>665</v>
      </c>
      <c r="J2282" t="s">
        <v>6418</v>
      </c>
      <c r="K2282" t="s">
        <v>958</v>
      </c>
      <c r="L2282" t="s">
        <v>6419</v>
      </c>
      <c r="M2282" t="s">
        <v>810</v>
      </c>
      <c r="N2282" t="s">
        <v>811</v>
      </c>
      <c r="O2282" t="s">
        <v>810</v>
      </c>
      <c r="P2282" t="s">
        <v>811</v>
      </c>
      <c r="Q2282" t="s">
        <v>6565</v>
      </c>
      <c r="R2282" t="s">
        <v>6566</v>
      </c>
      <c r="S2282" t="s">
        <v>8346</v>
      </c>
      <c r="T2282" t="s">
        <v>550</v>
      </c>
      <c r="U2282" t="s">
        <v>550</v>
      </c>
      <c r="V2282" t="s">
        <v>8347</v>
      </c>
      <c r="W2282" t="s">
        <v>7092</v>
      </c>
      <c r="X2282" t="s">
        <v>8348</v>
      </c>
      <c r="Z2282" t="s">
        <v>8344</v>
      </c>
    </row>
    <row r="2283" spans="1:26" x14ac:dyDescent="0.3">
      <c r="A2283" t="s">
        <v>330</v>
      </c>
      <c r="B2283" t="s">
        <v>8349</v>
      </c>
      <c r="C2283" t="s">
        <v>7460</v>
      </c>
      <c r="D2283" t="s">
        <v>8350</v>
      </c>
      <c r="E2283" t="s">
        <v>6417</v>
      </c>
      <c r="F2283" t="s">
        <v>1040</v>
      </c>
      <c r="G2283" s="1">
        <v>44927</v>
      </c>
      <c r="H2283" s="1">
        <v>45064</v>
      </c>
      <c r="I2283" t="s">
        <v>665</v>
      </c>
      <c r="J2283" t="s">
        <v>6418</v>
      </c>
      <c r="K2283" t="s">
        <v>958</v>
      </c>
      <c r="L2283" t="s">
        <v>6419</v>
      </c>
      <c r="M2283" t="s">
        <v>810</v>
      </c>
      <c r="N2283" t="s">
        <v>811</v>
      </c>
      <c r="O2283" t="s">
        <v>810</v>
      </c>
      <c r="P2283" t="s">
        <v>811</v>
      </c>
      <c r="Q2283" t="s">
        <v>6565</v>
      </c>
      <c r="R2283" t="s">
        <v>6566</v>
      </c>
      <c r="S2283" t="s">
        <v>8351</v>
      </c>
      <c r="T2283" t="s">
        <v>809</v>
      </c>
      <c r="U2283" t="s">
        <v>550</v>
      </c>
      <c r="V2283" t="s">
        <v>8352</v>
      </c>
      <c r="W2283" t="s">
        <v>6972</v>
      </c>
      <c r="X2283" t="s">
        <v>6451</v>
      </c>
      <c r="Y2283" t="s">
        <v>6452</v>
      </c>
      <c r="Z2283" t="s">
        <v>8349</v>
      </c>
    </row>
    <row r="2284" spans="1:26" x14ac:dyDescent="0.3">
      <c r="A2284" t="s">
        <v>330</v>
      </c>
      <c r="B2284" t="s">
        <v>8345</v>
      </c>
      <c r="C2284" t="s">
        <v>7221</v>
      </c>
      <c r="D2284" t="s">
        <v>550</v>
      </c>
      <c r="E2284" t="s">
        <v>6417</v>
      </c>
      <c r="F2284" t="s">
        <v>1040</v>
      </c>
      <c r="G2284" s="1">
        <v>45293</v>
      </c>
      <c r="H2284" s="1">
        <v>45293</v>
      </c>
      <c r="I2284" t="s">
        <v>665</v>
      </c>
      <c r="J2284" t="s">
        <v>6418</v>
      </c>
      <c r="K2284" t="s">
        <v>958</v>
      </c>
      <c r="L2284" t="s">
        <v>6419</v>
      </c>
      <c r="M2284" t="s">
        <v>810</v>
      </c>
      <c r="N2284" t="s">
        <v>811</v>
      </c>
      <c r="O2284" t="s">
        <v>810</v>
      </c>
      <c r="P2284" t="s">
        <v>811</v>
      </c>
      <c r="Q2284" t="s">
        <v>6565</v>
      </c>
      <c r="R2284" t="s">
        <v>6566</v>
      </c>
      <c r="S2284" t="s">
        <v>8346</v>
      </c>
      <c r="T2284" t="s">
        <v>550</v>
      </c>
      <c r="U2284" t="s">
        <v>550</v>
      </c>
      <c r="V2284" t="s">
        <v>8353</v>
      </c>
      <c r="W2284" t="s">
        <v>7092</v>
      </c>
      <c r="X2284" t="s">
        <v>8348</v>
      </c>
      <c r="Z2284" t="s">
        <v>8345</v>
      </c>
    </row>
    <row r="2285" spans="1:26" x14ac:dyDescent="0.3">
      <c r="A2285" t="s">
        <v>330</v>
      </c>
      <c r="B2285" t="s">
        <v>8354</v>
      </c>
      <c r="C2285" t="s">
        <v>7248</v>
      </c>
      <c r="D2285" t="s">
        <v>8350</v>
      </c>
      <c r="E2285" t="s">
        <v>6417</v>
      </c>
      <c r="F2285" t="s">
        <v>1040</v>
      </c>
      <c r="G2285" s="1">
        <v>44927</v>
      </c>
      <c r="H2285" s="1">
        <v>45188</v>
      </c>
      <c r="I2285" t="s">
        <v>665</v>
      </c>
      <c r="J2285" t="s">
        <v>6418</v>
      </c>
      <c r="K2285" t="s">
        <v>958</v>
      </c>
      <c r="L2285" t="s">
        <v>6419</v>
      </c>
      <c r="M2285" t="s">
        <v>881</v>
      </c>
      <c r="N2285" t="s">
        <v>882</v>
      </c>
      <c r="O2285" t="s">
        <v>810</v>
      </c>
      <c r="P2285" t="s">
        <v>811</v>
      </c>
      <c r="Q2285" t="s">
        <v>6565</v>
      </c>
      <c r="R2285" t="s">
        <v>6566</v>
      </c>
      <c r="S2285" t="s">
        <v>8351</v>
      </c>
      <c r="T2285" t="s">
        <v>7245</v>
      </c>
      <c r="U2285" t="s">
        <v>550</v>
      </c>
      <c r="V2285" t="s">
        <v>8355</v>
      </c>
      <c r="W2285" t="s">
        <v>6972</v>
      </c>
      <c r="X2285" t="s">
        <v>6451</v>
      </c>
      <c r="Y2285" t="s">
        <v>6452</v>
      </c>
      <c r="Z2285" t="s">
        <v>8354</v>
      </c>
    </row>
    <row r="2286" spans="1:26" x14ac:dyDescent="0.3">
      <c r="A2286" t="s">
        <v>330</v>
      </c>
      <c r="B2286" t="s">
        <v>8356</v>
      </c>
      <c r="C2286" t="s">
        <v>8357</v>
      </c>
      <c r="D2286" t="s">
        <v>876</v>
      </c>
      <c r="E2286" t="s">
        <v>878</v>
      </c>
      <c r="F2286" t="s">
        <v>879</v>
      </c>
      <c r="G2286" s="1">
        <v>44928</v>
      </c>
      <c r="H2286" s="1">
        <v>44928</v>
      </c>
      <c r="I2286" t="s">
        <v>665</v>
      </c>
      <c r="J2286" t="s">
        <v>880</v>
      </c>
      <c r="K2286" t="s">
        <v>862</v>
      </c>
      <c r="L2286" t="s">
        <v>809</v>
      </c>
      <c r="M2286" t="s">
        <v>881</v>
      </c>
      <c r="N2286" t="s">
        <v>882</v>
      </c>
      <c r="O2286" t="s">
        <v>810</v>
      </c>
      <c r="P2286" t="s">
        <v>811</v>
      </c>
      <c r="Q2286" t="s">
        <v>6565</v>
      </c>
      <c r="R2286" t="s">
        <v>6566</v>
      </c>
      <c r="S2286" t="s">
        <v>803</v>
      </c>
      <c r="T2286" t="s">
        <v>550</v>
      </c>
      <c r="U2286" t="s">
        <v>550</v>
      </c>
      <c r="V2286" t="s">
        <v>8358</v>
      </c>
      <c r="W2286" t="s">
        <v>886</v>
      </c>
      <c r="X2286" t="s">
        <v>809</v>
      </c>
      <c r="Y2286" t="s">
        <v>803</v>
      </c>
      <c r="Z2286" t="s">
        <v>8356</v>
      </c>
    </row>
    <row r="2287" spans="1:26" x14ac:dyDescent="0.3">
      <c r="A2287" t="s">
        <v>330</v>
      </c>
      <c r="B2287" t="s">
        <v>8359</v>
      </c>
      <c r="C2287" t="s">
        <v>7469</v>
      </c>
      <c r="D2287" t="s">
        <v>8345</v>
      </c>
      <c r="E2287" t="s">
        <v>6417</v>
      </c>
      <c r="F2287" t="s">
        <v>1040</v>
      </c>
      <c r="G2287" s="1">
        <v>45292</v>
      </c>
      <c r="H2287" s="1">
        <v>45408</v>
      </c>
      <c r="I2287" t="s">
        <v>665</v>
      </c>
      <c r="J2287" t="s">
        <v>6418</v>
      </c>
      <c r="K2287" t="s">
        <v>958</v>
      </c>
      <c r="L2287" t="s">
        <v>6419</v>
      </c>
      <c r="M2287" t="s">
        <v>881</v>
      </c>
      <c r="N2287" t="s">
        <v>882</v>
      </c>
      <c r="O2287" t="s">
        <v>810</v>
      </c>
      <c r="P2287" t="s">
        <v>811</v>
      </c>
      <c r="Q2287" t="s">
        <v>6565</v>
      </c>
      <c r="R2287" t="s">
        <v>6566</v>
      </c>
      <c r="S2287" t="s">
        <v>8346</v>
      </c>
      <c r="T2287" t="s">
        <v>550</v>
      </c>
      <c r="U2287" t="s">
        <v>550</v>
      </c>
      <c r="V2287" t="s">
        <v>8360</v>
      </c>
      <c r="W2287" t="s">
        <v>7092</v>
      </c>
      <c r="X2287" t="s">
        <v>8348</v>
      </c>
      <c r="Z2287" t="s">
        <v>8359</v>
      </c>
    </row>
    <row r="2288" spans="1:26" x14ac:dyDescent="0.3">
      <c r="A2288" t="s">
        <v>330</v>
      </c>
      <c r="B2288" t="s">
        <v>8361</v>
      </c>
      <c r="C2288" t="s">
        <v>7248</v>
      </c>
      <c r="D2288" t="s">
        <v>8345</v>
      </c>
      <c r="E2288" t="s">
        <v>6417</v>
      </c>
      <c r="F2288" t="s">
        <v>1040</v>
      </c>
      <c r="G2288" s="1">
        <v>45292</v>
      </c>
      <c r="H2288" s="1">
        <v>45553</v>
      </c>
      <c r="I2288" t="s">
        <v>665</v>
      </c>
      <c r="J2288" t="s">
        <v>6418</v>
      </c>
      <c r="K2288" t="s">
        <v>958</v>
      </c>
      <c r="L2288" t="s">
        <v>6419</v>
      </c>
      <c r="M2288" t="s">
        <v>881</v>
      </c>
      <c r="N2288" t="s">
        <v>882</v>
      </c>
      <c r="O2288" t="s">
        <v>810</v>
      </c>
      <c r="P2288" t="s">
        <v>811</v>
      </c>
      <c r="Q2288" t="s">
        <v>6565</v>
      </c>
      <c r="R2288" t="s">
        <v>6566</v>
      </c>
      <c r="S2288" t="s">
        <v>8346</v>
      </c>
      <c r="T2288" t="s">
        <v>550</v>
      </c>
      <c r="U2288" t="s">
        <v>550</v>
      </c>
      <c r="V2288" t="s">
        <v>8362</v>
      </c>
      <c r="W2288" t="s">
        <v>7092</v>
      </c>
      <c r="X2288" t="s">
        <v>8348</v>
      </c>
      <c r="Z2288" t="s">
        <v>8361</v>
      </c>
    </row>
    <row r="2289" spans="1:26" x14ac:dyDescent="0.3">
      <c r="A2289" t="s">
        <v>330</v>
      </c>
      <c r="B2289" t="s">
        <v>8363</v>
      </c>
      <c r="C2289" t="s">
        <v>7473</v>
      </c>
      <c r="D2289" t="s">
        <v>8345</v>
      </c>
      <c r="E2289" t="s">
        <v>6417</v>
      </c>
      <c r="F2289" t="s">
        <v>1040</v>
      </c>
      <c r="G2289" s="1">
        <v>45292</v>
      </c>
      <c r="H2289" s="1">
        <v>45758</v>
      </c>
      <c r="I2289" t="s">
        <v>665</v>
      </c>
      <c r="J2289" t="s">
        <v>6418</v>
      </c>
      <c r="K2289" t="s">
        <v>958</v>
      </c>
      <c r="L2289" t="s">
        <v>6419</v>
      </c>
      <c r="M2289" t="s">
        <v>881</v>
      </c>
      <c r="N2289" t="s">
        <v>882</v>
      </c>
      <c r="O2289" t="s">
        <v>810</v>
      </c>
      <c r="P2289" t="s">
        <v>811</v>
      </c>
      <c r="Q2289" t="s">
        <v>6565</v>
      </c>
      <c r="R2289" t="s">
        <v>6566</v>
      </c>
      <c r="S2289" t="s">
        <v>8346</v>
      </c>
      <c r="T2289" t="s">
        <v>550</v>
      </c>
      <c r="U2289" t="s">
        <v>550</v>
      </c>
      <c r="V2289" t="s">
        <v>8364</v>
      </c>
      <c r="W2289" t="s">
        <v>7092</v>
      </c>
      <c r="X2289" t="s">
        <v>8348</v>
      </c>
      <c r="Z2289" t="s">
        <v>8363</v>
      </c>
    </row>
    <row r="2290" spans="1:26" x14ac:dyDescent="0.3">
      <c r="A2290" t="s">
        <v>330</v>
      </c>
      <c r="B2290" t="s">
        <v>8365</v>
      </c>
      <c r="C2290" t="s">
        <v>7253</v>
      </c>
      <c r="D2290" t="s">
        <v>8345</v>
      </c>
      <c r="E2290" t="s">
        <v>6417</v>
      </c>
      <c r="F2290" t="s">
        <v>1040</v>
      </c>
      <c r="G2290" s="1">
        <v>45292</v>
      </c>
      <c r="H2290" s="1">
        <v>45513</v>
      </c>
      <c r="I2290" t="s">
        <v>665</v>
      </c>
      <c r="J2290" t="s">
        <v>6418</v>
      </c>
      <c r="K2290" t="s">
        <v>958</v>
      </c>
      <c r="L2290" t="s">
        <v>6419</v>
      </c>
      <c r="M2290" t="s">
        <v>881</v>
      </c>
      <c r="N2290" t="s">
        <v>882</v>
      </c>
      <c r="O2290" t="s">
        <v>810</v>
      </c>
      <c r="P2290" t="s">
        <v>811</v>
      </c>
      <c r="Q2290" t="s">
        <v>6565</v>
      </c>
      <c r="R2290" t="s">
        <v>6566</v>
      </c>
      <c r="S2290" t="s">
        <v>8346</v>
      </c>
      <c r="T2290" t="s">
        <v>550</v>
      </c>
      <c r="U2290" t="s">
        <v>550</v>
      </c>
      <c r="V2290" t="s">
        <v>8366</v>
      </c>
      <c r="W2290" t="s">
        <v>7092</v>
      </c>
      <c r="X2290" t="s">
        <v>8348</v>
      </c>
      <c r="Z2290" t="s">
        <v>8365</v>
      </c>
    </row>
    <row r="2291" spans="1:26" x14ac:dyDescent="0.3">
      <c r="A2291" t="s">
        <v>330</v>
      </c>
      <c r="B2291" t="s">
        <v>8367</v>
      </c>
      <c r="C2291" t="s">
        <v>8368</v>
      </c>
      <c r="D2291" t="s">
        <v>8322</v>
      </c>
      <c r="E2291" t="s">
        <v>8369</v>
      </c>
      <c r="F2291" t="s">
        <v>8370</v>
      </c>
      <c r="G2291" s="1">
        <v>44986</v>
      </c>
      <c r="H2291" s="1">
        <v>44998</v>
      </c>
      <c r="I2291" t="s">
        <v>665</v>
      </c>
      <c r="J2291" t="s">
        <v>7153</v>
      </c>
      <c r="K2291" t="s">
        <v>24</v>
      </c>
      <c r="L2291" t="s">
        <v>809</v>
      </c>
      <c r="M2291" t="s">
        <v>881</v>
      </c>
      <c r="N2291" t="s">
        <v>882</v>
      </c>
      <c r="O2291" t="s">
        <v>810</v>
      </c>
      <c r="P2291" t="s">
        <v>811</v>
      </c>
      <c r="Q2291" t="s">
        <v>6565</v>
      </c>
      <c r="R2291" t="s">
        <v>6566</v>
      </c>
      <c r="S2291" t="s">
        <v>803</v>
      </c>
      <c r="T2291" t="s">
        <v>550</v>
      </c>
      <c r="U2291" t="s">
        <v>550</v>
      </c>
      <c r="V2291" t="s">
        <v>8340</v>
      </c>
      <c r="W2291" t="s">
        <v>813</v>
      </c>
      <c r="X2291" t="s">
        <v>8324</v>
      </c>
      <c r="Y2291" t="s">
        <v>803</v>
      </c>
      <c r="Z2291" t="s">
        <v>8322</v>
      </c>
    </row>
    <row r="2292" spans="1:26" x14ac:dyDescent="0.3">
      <c r="A2292" t="s">
        <v>330</v>
      </c>
      <c r="B2292" t="s">
        <v>8371</v>
      </c>
      <c r="C2292" t="s">
        <v>8372</v>
      </c>
      <c r="D2292" t="s">
        <v>8373</v>
      </c>
      <c r="E2292" t="s">
        <v>7153</v>
      </c>
      <c r="F2292" t="s">
        <v>7154</v>
      </c>
      <c r="G2292" s="1">
        <v>45292</v>
      </c>
      <c r="H2292" s="1">
        <v>45356</v>
      </c>
      <c r="I2292" t="s">
        <v>665</v>
      </c>
      <c r="J2292" t="s">
        <v>7155</v>
      </c>
      <c r="K2292" t="s">
        <v>24</v>
      </c>
      <c r="L2292" t="s">
        <v>809</v>
      </c>
      <c r="M2292" t="s">
        <v>881</v>
      </c>
      <c r="N2292" t="s">
        <v>882</v>
      </c>
      <c r="O2292" t="s">
        <v>810</v>
      </c>
      <c r="P2292" t="s">
        <v>811</v>
      </c>
      <c r="Q2292" t="s">
        <v>6565</v>
      </c>
      <c r="R2292" t="s">
        <v>6566</v>
      </c>
      <c r="S2292" t="s">
        <v>803</v>
      </c>
      <c r="T2292" t="s">
        <v>550</v>
      </c>
      <c r="U2292" t="s">
        <v>550</v>
      </c>
      <c r="V2292" t="s">
        <v>8374</v>
      </c>
      <c r="W2292" t="s">
        <v>7194</v>
      </c>
      <c r="Z2292" t="s">
        <v>8371</v>
      </c>
    </row>
    <row r="2293" spans="1:26" x14ac:dyDescent="0.3">
      <c r="A2293" t="s">
        <v>330</v>
      </c>
      <c r="B2293" t="s">
        <v>8375</v>
      </c>
      <c r="C2293" t="s">
        <v>8376</v>
      </c>
      <c r="D2293" t="s">
        <v>8322</v>
      </c>
      <c r="E2293" t="s">
        <v>8369</v>
      </c>
      <c r="F2293" t="s">
        <v>8370</v>
      </c>
      <c r="G2293" s="1">
        <v>44986</v>
      </c>
      <c r="H2293" s="1">
        <v>44986</v>
      </c>
      <c r="I2293" t="s">
        <v>665</v>
      </c>
      <c r="J2293" t="s">
        <v>7162</v>
      </c>
      <c r="K2293" t="s">
        <v>24</v>
      </c>
      <c r="L2293" t="s">
        <v>809</v>
      </c>
      <c r="M2293" t="s">
        <v>881</v>
      </c>
      <c r="N2293" t="s">
        <v>882</v>
      </c>
      <c r="O2293" t="s">
        <v>810</v>
      </c>
      <c r="P2293" t="s">
        <v>811</v>
      </c>
      <c r="Q2293" t="s">
        <v>6565</v>
      </c>
      <c r="R2293" t="s">
        <v>6566</v>
      </c>
      <c r="S2293" t="s">
        <v>803</v>
      </c>
      <c r="T2293" t="s">
        <v>550</v>
      </c>
      <c r="U2293" t="s">
        <v>550</v>
      </c>
      <c r="V2293" t="s">
        <v>8377</v>
      </c>
      <c r="W2293" t="s">
        <v>886</v>
      </c>
      <c r="X2293" t="s">
        <v>8324</v>
      </c>
      <c r="Y2293" t="s">
        <v>803</v>
      </c>
      <c r="Z2293" t="s">
        <v>8375</v>
      </c>
    </row>
    <row r="2294" spans="1:26" x14ac:dyDescent="0.3">
      <c r="A2294" t="s">
        <v>330</v>
      </c>
      <c r="B2294" t="s">
        <v>8378</v>
      </c>
      <c r="C2294" t="s">
        <v>8379</v>
      </c>
      <c r="D2294" t="s">
        <v>8322</v>
      </c>
      <c r="E2294" t="s">
        <v>7236</v>
      </c>
      <c r="F2294" t="s">
        <v>7237</v>
      </c>
      <c r="G2294" s="1">
        <v>45047</v>
      </c>
      <c r="H2294" s="1">
        <v>45054</v>
      </c>
      <c r="I2294" t="s">
        <v>665</v>
      </c>
      <c r="J2294" t="s">
        <v>7238</v>
      </c>
      <c r="K2294" t="s">
        <v>24</v>
      </c>
      <c r="L2294" t="s">
        <v>809</v>
      </c>
      <c r="M2294" t="s">
        <v>881</v>
      </c>
      <c r="N2294" t="s">
        <v>882</v>
      </c>
      <c r="O2294" t="s">
        <v>810</v>
      </c>
      <c r="P2294" t="s">
        <v>811</v>
      </c>
      <c r="Q2294" t="s">
        <v>6565</v>
      </c>
      <c r="R2294" t="s">
        <v>6566</v>
      </c>
      <c r="S2294" t="s">
        <v>803</v>
      </c>
      <c r="T2294" t="s">
        <v>550</v>
      </c>
      <c r="U2294" t="s">
        <v>550</v>
      </c>
      <c r="V2294" t="s">
        <v>8380</v>
      </c>
      <c r="W2294" t="s">
        <v>886</v>
      </c>
      <c r="X2294" t="s">
        <v>8324</v>
      </c>
      <c r="Y2294" t="s">
        <v>803</v>
      </c>
      <c r="Z2294" t="s">
        <v>8378</v>
      </c>
    </row>
    <row r="2295" spans="1:26" x14ac:dyDescent="0.3">
      <c r="A2295" t="s">
        <v>330</v>
      </c>
      <c r="B2295" t="s">
        <v>8381</v>
      </c>
      <c r="C2295" t="s">
        <v>8382</v>
      </c>
      <c r="D2295" t="s">
        <v>7579</v>
      </c>
      <c r="E2295" t="s">
        <v>7580</v>
      </c>
      <c r="F2295" t="s">
        <v>5789</v>
      </c>
      <c r="G2295" s="1">
        <v>45292</v>
      </c>
      <c r="H2295" s="1">
        <v>45316</v>
      </c>
      <c r="I2295" t="s">
        <v>665</v>
      </c>
      <c r="J2295" t="s">
        <v>7581</v>
      </c>
      <c r="K2295" t="s">
        <v>958</v>
      </c>
      <c r="L2295" t="s">
        <v>7624</v>
      </c>
      <c r="M2295" t="s">
        <v>881</v>
      </c>
      <c r="N2295" t="s">
        <v>882</v>
      </c>
      <c r="O2295" t="s">
        <v>810</v>
      </c>
      <c r="P2295" t="s">
        <v>811</v>
      </c>
      <c r="Q2295" t="s">
        <v>6565</v>
      </c>
      <c r="R2295" t="s">
        <v>6566</v>
      </c>
      <c r="S2295" t="s">
        <v>803</v>
      </c>
      <c r="T2295" t="s">
        <v>550</v>
      </c>
      <c r="U2295" t="s">
        <v>550</v>
      </c>
      <c r="V2295" t="s">
        <v>8383</v>
      </c>
      <c r="W2295" t="s">
        <v>7194</v>
      </c>
      <c r="Z2295" t="s">
        <v>8381</v>
      </c>
    </row>
    <row r="2296" spans="1:26" x14ac:dyDescent="0.3">
      <c r="A2296" t="s">
        <v>330</v>
      </c>
      <c r="B2296" t="s">
        <v>8384</v>
      </c>
      <c r="C2296" t="s">
        <v>8385</v>
      </c>
      <c r="D2296" t="s">
        <v>8386</v>
      </c>
      <c r="E2296" t="s">
        <v>8387</v>
      </c>
      <c r="F2296" t="s">
        <v>8388</v>
      </c>
      <c r="G2296" s="1">
        <v>45292</v>
      </c>
      <c r="H2296" s="1">
        <v>45331</v>
      </c>
      <c r="I2296" t="s">
        <v>665</v>
      </c>
      <c r="J2296" t="s">
        <v>878</v>
      </c>
      <c r="K2296" t="s">
        <v>24</v>
      </c>
      <c r="L2296" t="s">
        <v>7624</v>
      </c>
      <c r="M2296" t="s">
        <v>881</v>
      </c>
      <c r="N2296" t="s">
        <v>882</v>
      </c>
      <c r="O2296" t="s">
        <v>810</v>
      </c>
      <c r="P2296" t="s">
        <v>811</v>
      </c>
      <c r="Q2296" t="s">
        <v>6565</v>
      </c>
      <c r="R2296" t="s">
        <v>6566</v>
      </c>
      <c r="S2296" t="s">
        <v>803</v>
      </c>
      <c r="T2296" t="s">
        <v>550</v>
      </c>
      <c r="U2296" t="s">
        <v>550</v>
      </c>
      <c r="V2296" t="s">
        <v>8389</v>
      </c>
      <c r="W2296" t="s">
        <v>7194</v>
      </c>
      <c r="Z2296" t="s">
        <v>8384</v>
      </c>
    </row>
    <row r="2297" spans="1:26" x14ac:dyDescent="0.3">
      <c r="A2297" t="s">
        <v>330</v>
      </c>
      <c r="B2297" t="s">
        <v>8390</v>
      </c>
      <c r="C2297" t="s">
        <v>8391</v>
      </c>
      <c r="D2297" t="s">
        <v>7188</v>
      </c>
      <c r="E2297" t="s">
        <v>7190</v>
      </c>
      <c r="F2297" t="s">
        <v>7191</v>
      </c>
      <c r="G2297" s="1">
        <v>45292</v>
      </c>
      <c r="H2297" s="1">
        <v>45405</v>
      </c>
      <c r="I2297" t="s">
        <v>665</v>
      </c>
      <c r="J2297" t="s">
        <v>7192</v>
      </c>
      <c r="K2297" t="s">
        <v>958</v>
      </c>
      <c r="L2297" t="s">
        <v>7624</v>
      </c>
      <c r="M2297" t="s">
        <v>881</v>
      </c>
      <c r="N2297" t="s">
        <v>882</v>
      </c>
      <c r="O2297" t="s">
        <v>810</v>
      </c>
      <c r="P2297" t="s">
        <v>811</v>
      </c>
      <c r="Q2297" t="s">
        <v>6565</v>
      </c>
      <c r="R2297" t="s">
        <v>6566</v>
      </c>
      <c r="S2297" t="s">
        <v>803</v>
      </c>
      <c r="T2297" t="s">
        <v>550</v>
      </c>
      <c r="U2297" t="s">
        <v>550</v>
      </c>
      <c r="V2297" t="s">
        <v>8392</v>
      </c>
      <c r="W2297" t="s">
        <v>7194</v>
      </c>
      <c r="Z2297" t="s">
        <v>8390</v>
      </c>
    </row>
    <row r="2298" spans="1:26" x14ac:dyDescent="0.3">
      <c r="A2298" t="s">
        <v>330</v>
      </c>
      <c r="B2298" t="s">
        <v>8393</v>
      </c>
      <c r="C2298" t="s">
        <v>8394</v>
      </c>
      <c r="D2298" t="s">
        <v>8395</v>
      </c>
      <c r="E2298" t="s">
        <v>7238</v>
      </c>
      <c r="F2298" t="s">
        <v>7508</v>
      </c>
      <c r="G2298" s="1">
        <v>45292</v>
      </c>
      <c r="H2298" s="1">
        <v>45315</v>
      </c>
      <c r="I2298" t="s">
        <v>665</v>
      </c>
      <c r="J2298" t="s">
        <v>7108</v>
      </c>
      <c r="K2298" t="s">
        <v>24</v>
      </c>
      <c r="L2298" t="s">
        <v>7624</v>
      </c>
      <c r="M2298" t="s">
        <v>881</v>
      </c>
      <c r="N2298" t="s">
        <v>882</v>
      </c>
      <c r="O2298" t="s">
        <v>810</v>
      </c>
      <c r="P2298" t="s">
        <v>811</v>
      </c>
      <c r="Q2298" t="s">
        <v>6565</v>
      </c>
      <c r="R2298" t="s">
        <v>6566</v>
      </c>
      <c r="S2298" t="s">
        <v>803</v>
      </c>
      <c r="T2298" t="s">
        <v>550</v>
      </c>
      <c r="U2298" t="s">
        <v>550</v>
      </c>
      <c r="V2298" t="s">
        <v>8396</v>
      </c>
      <c r="W2298" t="s">
        <v>7194</v>
      </c>
      <c r="Z2298" t="s">
        <v>8393</v>
      </c>
    </row>
    <row r="2299" spans="1:26" x14ac:dyDescent="0.3">
      <c r="A2299" t="s">
        <v>330</v>
      </c>
      <c r="B2299" t="s">
        <v>8397</v>
      </c>
      <c r="C2299" t="s">
        <v>8398</v>
      </c>
      <c r="D2299" t="s">
        <v>8399</v>
      </c>
      <c r="E2299" t="s">
        <v>8400</v>
      </c>
      <c r="F2299" t="s">
        <v>8401</v>
      </c>
      <c r="G2299" s="1">
        <v>45292</v>
      </c>
      <c r="H2299" s="1">
        <v>45484</v>
      </c>
      <c r="I2299" t="s">
        <v>665</v>
      </c>
      <c r="J2299" t="s">
        <v>8402</v>
      </c>
      <c r="K2299" t="s">
        <v>24</v>
      </c>
      <c r="L2299" t="s">
        <v>7624</v>
      </c>
      <c r="M2299" t="s">
        <v>881</v>
      </c>
      <c r="N2299" t="s">
        <v>882</v>
      </c>
      <c r="O2299" t="s">
        <v>810</v>
      </c>
      <c r="P2299" t="s">
        <v>811</v>
      </c>
      <c r="Q2299" t="s">
        <v>6565</v>
      </c>
      <c r="R2299" t="s">
        <v>6566</v>
      </c>
      <c r="S2299" t="s">
        <v>803</v>
      </c>
      <c r="T2299" t="s">
        <v>550</v>
      </c>
      <c r="U2299" t="s">
        <v>550</v>
      </c>
      <c r="V2299" t="s">
        <v>8403</v>
      </c>
      <c r="W2299" t="s">
        <v>7194</v>
      </c>
      <c r="Z2299" t="s">
        <v>8397</v>
      </c>
    </row>
    <row r="2300" spans="1:26" x14ac:dyDescent="0.3">
      <c r="A2300" t="s">
        <v>330</v>
      </c>
      <c r="B2300" t="s">
        <v>8404</v>
      </c>
      <c r="C2300" t="s">
        <v>8405</v>
      </c>
      <c r="D2300" t="s">
        <v>7674</v>
      </c>
      <c r="E2300" t="s">
        <v>6417</v>
      </c>
      <c r="F2300" t="s">
        <v>1040</v>
      </c>
      <c r="G2300" s="1">
        <v>45292</v>
      </c>
      <c r="H2300" s="1">
        <v>45454</v>
      </c>
      <c r="I2300" t="s">
        <v>665</v>
      </c>
      <c r="J2300" t="s">
        <v>6418</v>
      </c>
      <c r="K2300" t="s">
        <v>958</v>
      </c>
      <c r="L2300" t="s">
        <v>6502</v>
      </c>
      <c r="M2300" t="s">
        <v>881</v>
      </c>
      <c r="N2300" t="s">
        <v>882</v>
      </c>
      <c r="O2300" t="s">
        <v>810</v>
      </c>
      <c r="P2300" t="s">
        <v>811</v>
      </c>
      <c r="Q2300" t="s">
        <v>6565</v>
      </c>
      <c r="R2300" t="s">
        <v>6566</v>
      </c>
      <c r="S2300" t="s">
        <v>7675</v>
      </c>
      <c r="T2300" t="s">
        <v>550</v>
      </c>
      <c r="U2300" t="s">
        <v>550</v>
      </c>
      <c r="V2300" t="s">
        <v>8406</v>
      </c>
      <c r="W2300" t="s">
        <v>7092</v>
      </c>
      <c r="X2300" t="s">
        <v>8407</v>
      </c>
      <c r="Z2300" t="s">
        <v>8404</v>
      </c>
    </row>
    <row r="2301" spans="1:26" x14ac:dyDescent="0.3">
      <c r="A2301" t="s">
        <v>330</v>
      </c>
      <c r="B2301" t="s">
        <v>8408</v>
      </c>
      <c r="C2301" t="s">
        <v>7463</v>
      </c>
      <c r="D2301" t="s">
        <v>8345</v>
      </c>
      <c r="E2301" t="s">
        <v>6417</v>
      </c>
      <c r="F2301" t="s">
        <v>1040</v>
      </c>
      <c r="G2301" s="1">
        <v>45292</v>
      </c>
      <c r="H2301" s="1">
        <v>45483</v>
      </c>
      <c r="I2301" t="s">
        <v>665</v>
      </c>
      <c r="J2301" t="s">
        <v>6418</v>
      </c>
      <c r="K2301" t="s">
        <v>958</v>
      </c>
      <c r="L2301" t="s">
        <v>6419</v>
      </c>
      <c r="M2301" t="s">
        <v>881</v>
      </c>
      <c r="N2301" t="s">
        <v>882</v>
      </c>
      <c r="O2301" t="s">
        <v>810</v>
      </c>
      <c r="P2301" t="s">
        <v>811</v>
      </c>
      <c r="Q2301" t="s">
        <v>6565</v>
      </c>
      <c r="R2301" t="s">
        <v>6566</v>
      </c>
      <c r="S2301" t="s">
        <v>8346</v>
      </c>
      <c r="T2301" t="s">
        <v>550</v>
      </c>
      <c r="U2301" t="s">
        <v>550</v>
      </c>
      <c r="V2301" t="s">
        <v>8409</v>
      </c>
      <c r="W2301" t="s">
        <v>7092</v>
      </c>
      <c r="X2301" t="s">
        <v>8348</v>
      </c>
      <c r="Z2301" t="s">
        <v>8408</v>
      </c>
    </row>
    <row r="2302" spans="1:26" x14ac:dyDescent="0.3">
      <c r="A2302" t="s">
        <v>330</v>
      </c>
      <c r="B2302" t="s">
        <v>8410</v>
      </c>
      <c r="C2302" t="s">
        <v>8411</v>
      </c>
      <c r="D2302" t="s">
        <v>550</v>
      </c>
      <c r="E2302" t="s">
        <v>7142</v>
      </c>
      <c r="F2302" t="s">
        <v>7143</v>
      </c>
      <c r="G2302" s="1">
        <v>44928</v>
      </c>
      <c r="H2302" s="1">
        <v>44944</v>
      </c>
      <c r="I2302" t="s">
        <v>665</v>
      </c>
      <c r="J2302" t="s">
        <v>7144</v>
      </c>
      <c r="K2302" t="s">
        <v>24</v>
      </c>
      <c r="L2302" t="s">
        <v>809</v>
      </c>
      <c r="M2302" t="s">
        <v>810</v>
      </c>
      <c r="N2302" t="s">
        <v>811</v>
      </c>
      <c r="O2302" t="s">
        <v>810</v>
      </c>
      <c r="P2302" t="s">
        <v>811</v>
      </c>
      <c r="Q2302" t="s">
        <v>6565</v>
      </c>
      <c r="R2302" t="s">
        <v>6566</v>
      </c>
      <c r="S2302" t="s">
        <v>803</v>
      </c>
      <c r="T2302" t="s">
        <v>550</v>
      </c>
      <c r="U2302" t="s">
        <v>550</v>
      </c>
      <c r="V2302" t="s">
        <v>8412</v>
      </c>
      <c r="W2302" t="s">
        <v>813</v>
      </c>
      <c r="X2302" t="s">
        <v>8324</v>
      </c>
      <c r="Y2302" t="s">
        <v>803</v>
      </c>
      <c r="Z2302" t="s">
        <v>8410</v>
      </c>
    </row>
    <row r="2303" spans="1:26" x14ac:dyDescent="0.3">
      <c r="A2303" t="s">
        <v>330</v>
      </c>
      <c r="B2303" t="s">
        <v>8413</v>
      </c>
      <c r="C2303" t="s">
        <v>8414</v>
      </c>
      <c r="D2303" t="s">
        <v>8415</v>
      </c>
      <c r="E2303" t="s">
        <v>7109</v>
      </c>
      <c r="F2303" t="s">
        <v>7489</v>
      </c>
      <c r="G2303" s="1">
        <v>45413</v>
      </c>
      <c r="H2303" s="1">
        <v>45413</v>
      </c>
      <c r="I2303" t="s">
        <v>665</v>
      </c>
      <c r="J2303" t="s">
        <v>7490</v>
      </c>
      <c r="K2303" t="s">
        <v>24</v>
      </c>
      <c r="L2303" t="s">
        <v>7624</v>
      </c>
      <c r="M2303" t="s">
        <v>881</v>
      </c>
      <c r="N2303" t="s">
        <v>882</v>
      </c>
      <c r="O2303" t="s">
        <v>810</v>
      </c>
      <c r="P2303" t="s">
        <v>811</v>
      </c>
      <c r="Q2303" t="s">
        <v>6565</v>
      </c>
      <c r="R2303" t="s">
        <v>6566</v>
      </c>
      <c r="S2303" t="s">
        <v>803</v>
      </c>
      <c r="T2303" t="s">
        <v>550</v>
      </c>
      <c r="U2303" t="s">
        <v>550</v>
      </c>
      <c r="V2303" t="s">
        <v>8416</v>
      </c>
      <c r="W2303" t="s">
        <v>7194</v>
      </c>
      <c r="Z2303" t="s">
        <v>8413</v>
      </c>
    </row>
    <row r="2304" spans="1:26" x14ac:dyDescent="0.3">
      <c r="A2304" t="s">
        <v>330</v>
      </c>
      <c r="B2304" t="s">
        <v>8417</v>
      </c>
      <c r="C2304" t="s">
        <v>8418</v>
      </c>
      <c r="D2304" t="s">
        <v>8419</v>
      </c>
      <c r="E2304" t="s">
        <v>7585</v>
      </c>
      <c r="F2304" t="s">
        <v>7586</v>
      </c>
      <c r="G2304" s="1">
        <v>45292</v>
      </c>
      <c r="H2304" s="1">
        <v>45292</v>
      </c>
      <c r="I2304" t="s">
        <v>665</v>
      </c>
      <c r="J2304" t="s">
        <v>7580</v>
      </c>
      <c r="K2304" t="s">
        <v>958</v>
      </c>
      <c r="L2304" t="s">
        <v>7624</v>
      </c>
      <c r="M2304" t="s">
        <v>881</v>
      </c>
      <c r="N2304" t="s">
        <v>882</v>
      </c>
      <c r="O2304" t="s">
        <v>810</v>
      </c>
      <c r="P2304" t="s">
        <v>811</v>
      </c>
      <c r="Q2304" t="s">
        <v>6565</v>
      </c>
      <c r="R2304" t="s">
        <v>6566</v>
      </c>
      <c r="S2304" t="s">
        <v>803</v>
      </c>
      <c r="T2304" t="s">
        <v>550</v>
      </c>
      <c r="U2304" t="s">
        <v>550</v>
      </c>
      <c r="V2304" t="s">
        <v>8420</v>
      </c>
      <c r="W2304" t="s">
        <v>7194</v>
      </c>
      <c r="Z2304" t="s">
        <v>8417</v>
      </c>
    </row>
    <row r="2305" spans="1:26" x14ac:dyDescent="0.3">
      <c r="A2305" t="s">
        <v>330</v>
      </c>
      <c r="B2305" t="s">
        <v>8421</v>
      </c>
      <c r="C2305" t="s">
        <v>8422</v>
      </c>
      <c r="D2305" t="s">
        <v>8417</v>
      </c>
      <c r="E2305" t="s">
        <v>7585</v>
      </c>
      <c r="F2305" t="s">
        <v>7586</v>
      </c>
      <c r="G2305" s="1">
        <v>45292</v>
      </c>
      <c r="H2305" s="1">
        <v>45457</v>
      </c>
      <c r="I2305" t="s">
        <v>665</v>
      </c>
      <c r="J2305" t="s">
        <v>7580</v>
      </c>
      <c r="K2305" t="s">
        <v>24</v>
      </c>
      <c r="L2305" t="s">
        <v>7624</v>
      </c>
      <c r="M2305" t="s">
        <v>881</v>
      </c>
      <c r="N2305" t="s">
        <v>882</v>
      </c>
      <c r="O2305" t="s">
        <v>810</v>
      </c>
      <c r="P2305" t="s">
        <v>811</v>
      </c>
      <c r="Q2305" t="s">
        <v>6565</v>
      </c>
      <c r="R2305" t="s">
        <v>6566</v>
      </c>
      <c r="S2305" t="s">
        <v>803</v>
      </c>
      <c r="T2305" t="s">
        <v>550</v>
      </c>
      <c r="U2305" t="s">
        <v>550</v>
      </c>
      <c r="V2305" t="s">
        <v>8423</v>
      </c>
      <c r="W2305" t="s">
        <v>7194</v>
      </c>
      <c r="Z2305" t="s">
        <v>8421</v>
      </c>
    </row>
    <row r="2306" spans="1:26" x14ac:dyDescent="0.3">
      <c r="A2306" t="s">
        <v>330</v>
      </c>
      <c r="B2306" t="s">
        <v>8424</v>
      </c>
      <c r="C2306" t="s">
        <v>8425</v>
      </c>
      <c r="D2306" t="s">
        <v>8417</v>
      </c>
      <c r="E2306" t="s">
        <v>7585</v>
      </c>
      <c r="F2306" t="s">
        <v>7586</v>
      </c>
      <c r="G2306" s="1">
        <v>45292</v>
      </c>
      <c r="H2306" s="1">
        <v>45660</v>
      </c>
      <c r="I2306" t="s">
        <v>665</v>
      </c>
      <c r="J2306" t="s">
        <v>7580</v>
      </c>
      <c r="K2306" t="s">
        <v>958</v>
      </c>
      <c r="L2306" t="s">
        <v>7624</v>
      </c>
      <c r="M2306" t="s">
        <v>881</v>
      </c>
      <c r="N2306" t="s">
        <v>882</v>
      </c>
      <c r="O2306" t="s">
        <v>810</v>
      </c>
      <c r="P2306" t="s">
        <v>811</v>
      </c>
      <c r="Q2306" t="s">
        <v>6565</v>
      </c>
      <c r="R2306" t="s">
        <v>6566</v>
      </c>
      <c r="S2306" t="s">
        <v>803</v>
      </c>
      <c r="T2306" t="s">
        <v>550</v>
      </c>
      <c r="U2306" t="s">
        <v>550</v>
      </c>
      <c r="V2306" t="s">
        <v>8426</v>
      </c>
      <c r="W2306" t="s">
        <v>7194</v>
      </c>
      <c r="Z2306" t="s">
        <v>8424</v>
      </c>
    </row>
    <row r="2307" spans="1:26" x14ac:dyDescent="0.3">
      <c r="A2307" t="s">
        <v>330</v>
      </c>
      <c r="B2307" t="s">
        <v>8427</v>
      </c>
      <c r="C2307" t="s">
        <v>8428</v>
      </c>
      <c r="D2307" t="s">
        <v>8429</v>
      </c>
      <c r="E2307" t="s">
        <v>8430</v>
      </c>
      <c r="F2307" t="s">
        <v>8431</v>
      </c>
      <c r="G2307" s="1">
        <v>45474</v>
      </c>
      <c r="H2307" s="1">
        <v>45491</v>
      </c>
      <c r="I2307" t="s">
        <v>665</v>
      </c>
      <c r="J2307" t="s">
        <v>8432</v>
      </c>
      <c r="K2307" t="s">
        <v>24</v>
      </c>
      <c r="L2307" t="s">
        <v>7624</v>
      </c>
      <c r="M2307" t="s">
        <v>881</v>
      </c>
      <c r="N2307" t="s">
        <v>882</v>
      </c>
      <c r="O2307" t="s">
        <v>810</v>
      </c>
      <c r="P2307" t="s">
        <v>811</v>
      </c>
      <c r="Q2307" t="s">
        <v>6565</v>
      </c>
      <c r="R2307" t="s">
        <v>6566</v>
      </c>
      <c r="S2307" t="s">
        <v>803</v>
      </c>
      <c r="T2307" t="s">
        <v>8433</v>
      </c>
      <c r="U2307" t="s">
        <v>550</v>
      </c>
      <c r="V2307" t="s">
        <v>8434</v>
      </c>
      <c r="W2307" t="s">
        <v>7194</v>
      </c>
      <c r="Z2307" t="s">
        <v>8427</v>
      </c>
    </row>
    <row r="2308" spans="1:26" x14ac:dyDescent="0.3">
      <c r="A2308" t="s">
        <v>330</v>
      </c>
      <c r="B2308" t="s">
        <v>8435</v>
      </c>
      <c r="C2308" t="s">
        <v>8436</v>
      </c>
      <c r="D2308" t="s">
        <v>550</v>
      </c>
      <c r="E2308" t="s">
        <v>8437</v>
      </c>
      <c r="F2308" t="s">
        <v>8438</v>
      </c>
      <c r="G2308" s="1">
        <v>45110</v>
      </c>
      <c r="H2308" s="1">
        <v>45110</v>
      </c>
      <c r="I2308" t="s">
        <v>665</v>
      </c>
      <c r="J2308" t="s">
        <v>8439</v>
      </c>
      <c r="K2308" t="s">
        <v>958</v>
      </c>
      <c r="L2308" t="s">
        <v>809</v>
      </c>
      <c r="M2308" t="s">
        <v>843</v>
      </c>
      <c r="N2308" t="s">
        <v>319</v>
      </c>
      <c r="O2308" t="s">
        <v>810</v>
      </c>
      <c r="P2308" t="s">
        <v>811</v>
      </c>
      <c r="Q2308" t="s">
        <v>6565</v>
      </c>
      <c r="R2308" t="s">
        <v>6566</v>
      </c>
      <c r="S2308" t="s">
        <v>7208</v>
      </c>
      <c r="T2308" t="s">
        <v>550</v>
      </c>
      <c r="U2308" t="s">
        <v>550</v>
      </c>
      <c r="V2308" t="s">
        <v>8440</v>
      </c>
      <c r="W2308" t="s">
        <v>813</v>
      </c>
      <c r="X2308" t="s">
        <v>8324</v>
      </c>
      <c r="Y2308" t="s">
        <v>803</v>
      </c>
      <c r="Z2308" t="s">
        <v>8435</v>
      </c>
    </row>
    <row r="2309" spans="1:26" x14ac:dyDescent="0.3">
      <c r="A2309" t="s">
        <v>330</v>
      </c>
      <c r="B2309" t="s">
        <v>8441</v>
      </c>
      <c r="C2309" t="s">
        <v>8442</v>
      </c>
      <c r="D2309" t="s">
        <v>550</v>
      </c>
      <c r="E2309" t="s">
        <v>8443</v>
      </c>
      <c r="F2309" t="s">
        <v>8444</v>
      </c>
      <c r="G2309" s="1">
        <v>45537</v>
      </c>
      <c r="H2309" s="1">
        <v>45537</v>
      </c>
      <c r="I2309" t="s">
        <v>665</v>
      </c>
      <c r="J2309" t="s">
        <v>7585</v>
      </c>
      <c r="K2309" t="s">
        <v>3232</v>
      </c>
      <c r="L2309" t="s">
        <v>7624</v>
      </c>
      <c r="M2309" t="s">
        <v>843</v>
      </c>
      <c r="N2309" t="s">
        <v>319</v>
      </c>
      <c r="O2309" t="s">
        <v>810</v>
      </c>
      <c r="P2309" t="s">
        <v>811</v>
      </c>
      <c r="Q2309" t="s">
        <v>6565</v>
      </c>
      <c r="R2309" t="s">
        <v>6566</v>
      </c>
      <c r="S2309" t="s">
        <v>803</v>
      </c>
      <c r="T2309" t="s">
        <v>550</v>
      </c>
      <c r="U2309" t="s">
        <v>550</v>
      </c>
      <c r="V2309" t="s">
        <v>8445</v>
      </c>
      <c r="W2309" t="s">
        <v>7092</v>
      </c>
      <c r="Z2309" t="s">
        <v>8441</v>
      </c>
    </row>
    <row r="2310" spans="1:26" x14ac:dyDescent="0.3">
      <c r="A2310" t="s">
        <v>330</v>
      </c>
      <c r="B2310" t="s">
        <v>8446</v>
      </c>
      <c r="C2310" t="s">
        <v>8447</v>
      </c>
      <c r="D2310" t="s">
        <v>8448</v>
      </c>
      <c r="E2310" t="s">
        <v>8402</v>
      </c>
      <c r="F2310" t="s">
        <v>1319</v>
      </c>
      <c r="G2310" s="1">
        <v>45292</v>
      </c>
      <c r="H2310" s="1">
        <v>45324</v>
      </c>
      <c r="I2310" t="s">
        <v>665</v>
      </c>
      <c r="J2310" t="s">
        <v>7190</v>
      </c>
      <c r="K2310" t="s">
        <v>24</v>
      </c>
      <c r="L2310" t="s">
        <v>7624</v>
      </c>
      <c r="M2310" t="s">
        <v>843</v>
      </c>
      <c r="N2310" t="s">
        <v>319</v>
      </c>
      <c r="O2310" t="s">
        <v>810</v>
      </c>
      <c r="P2310" t="s">
        <v>811</v>
      </c>
      <c r="Q2310" t="s">
        <v>6565</v>
      </c>
      <c r="R2310" t="s">
        <v>6566</v>
      </c>
      <c r="S2310" t="s">
        <v>7208</v>
      </c>
      <c r="T2310" t="s">
        <v>550</v>
      </c>
      <c r="U2310" t="s">
        <v>550</v>
      </c>
      <c r="V2310" t="s">
        <v>8449</v>
      </c>
      <c r="W2310" t="s">
        <v>7092</v>
      </c>
      <c r="Z2310" t="s">
        <v>8446</v>
      </c>
    </row>
    <row r="2311" spans="1:26" x14ac:dyDescent="0.3">
      <c r="A2311" t="s">
        <v>330</v>
      </c>
      <c r="B2311" t="s">
        <v>8415</v>
      </c>
      <c r="C2311" t="s">
        <v>8450</v>
      </c>
      <c r="D2311" t="s">
        <v>550</v>
      </c>
      <c r="E2311" t="s">
        <v>8451</v>
      </c>
      <c r="F2311" t="s">
        <v>8452</v>
      </c>
      <c r="G2311" s="1">
        <v>45292</v>
      </c>
      <c r="H2311" s="1">
        <v>45292</v>
      </c>
      <c r="I2311" t="s">
        <v>665</v>
      </c>
      <c r="J2311" t="s">
        <v>806</v>
      </c>
      <c r="K2311" t="s">
        <v>862</v>
      </c>
      <c r="L2311" t="s">
        <v>7624</v>
      </c>
      <c r="M2311" t="s">
        <v>843</v>
      </c>
      <c r="N2311" t="s">
        <v>319</v>
      </c>
      <c r="O2311" t="s">
        <v>810</v>
      </c>
      <c r="P2311" t="s">
        <v>811</v>
      </c>
      <c r="Q2311" t="s">
        <v>6565</v>
      </c>
      <c r="R2311" t="s">
        <v>6566</v>
      </c>
      <c r="S2311" t="s">
        <v>803</v>
      </c>
      <c r="T2311" t="s">
        <v>550</v>
      </c>
      <c r="U2311" t="s">
        <v>550</v>
      </c>
      <c r="V2311" t="s">
        <v>8453</v>
      </c>
      <c r="W2311" t="s">
        <v>7092</v>
      </c>
      <c r="Z2311" t="s">
        <v>8415</v>
      </c>
    </row>
    <row r="2312" spans="1:26" x14ac:dyDescent="0.3">
      <c r="A2312" t="s">
        <v>330</v>
      </c>
      <c r="B2312" t="s">
        <v>8454</v>
      </c>
      <c r="C2312" t="s">
        <v>8455</v>
      </c>
      <c r="D2312" t="s">
        <v>8415</v>
      </c>
      <c r="E2312" t="s">
        <v>8336</v>
      </c>
      <c r="F2312" t="s">
        <v>8337</v>
      </c>
      <c r="G2312" s="1">
        <v>45378</v>
      </c>
      <c r="H2312" s="1">
        <v>45385</v>
      </c>
      <c r="I2312" t="s">
        <v>665</v>
      </c>
      <c r="J2312" t="s">
        <v>7142</v>
      </c>
      <c r="K2312" t="s">
        <v>808</v>
      </c>
      <c r="L2312" t="s">
        <v>7624</v>
      </c>
      <c r="M2312" t="s">
        <v>843</v>
      </c>
      <c r="N2312" t="s">
        <v>319</v>
      </c>
      <c r="O2312" t="s">
        <v>810</v>
      </c>
      <c r="P2312" t="s">
        <v>811</v>
      </c>
      <c r="Q2312" t="s">
        <v>6565</v>
      </c>
      <c r="R2312" t="s">
        <v>6566</v>
      </c>
      <c r="S2312" t="s">
        <v>803</v>
      </c>
      <c r="T2312" t="s">
        <v>550</v>
      </c>
      <c r="U2312" t="s">
        <v>550</v>
      </c>
      <c r="V2312" t="s">
        <v>8453</v>
      </c>
      <c r="W2312" t="s">
        <v>7092</v>
      </c>
      <c r="Z2312" t="s">
        <v>8415</v>
      </c>
    </row>
    <row r="2313" spans="1:26" x14ac:dyDescent="0.3">
      <c r="A2313" t="s">
        <v>330</v>
      </c>
      <c r="B2313" t="s">
        <v>8456</v>
      </c>
      <c r="C2313" t="s">
        <v>8457</v>
      </c>
      <c r="D2313" t="s">
        <v>8415</v>
      </c>
      <c r="E2313" t="s">
        <v>8451</v>
      </c>
      <c r="F2313" t="s">
        <v>8452</v>
      </c>
      <c r="G2313" s="1">
        <v>45292</v>
      </c>
      <c r="H2313" s="1">
        <v>45299</v>
      </c>
      <c r="I2313" t="s">
        <v>665</v>
      </c>
      <c r="J2313" t="s">
        <v>806</v>
      </c>
      <c r="K2313" t="s">
        <v>862</v>
      </c>
      <c r="L2313" t="s">
        <v>7624</v>
      </c>
      <c r="M2313" t="s">
        <v>843</v>
      </c>
      <c r="N2313" t="s">
        <v>319</v>
      </c>
      <c r="O2313" t="s">
        <v>810</v>
      </c>
      <c r="P2313" t="s">
        <v>811</v>
      </c>
      <c r="Q2313" t="s">
        <v>6565</v>
      </c>
      <c r="R2313" t="s">
        <v>6566</v>
      </c>
      <c r="S2313" t="s">
        <v>803</v>
      </c>
      <c r="T2313" t="s">
        <v>550</v>
      </c>
      <c r="U2313" t="s">
        <v>550</v>
      </c>
      <c r="V2313" t="s">
        <v>8458</v>
      </c>
      <c r="W2313" t="s">
        <v>7092</v>
      </c>
      <c r="Z2313" t="s">
        <v>8456</v>
      </c>
    </row>
    <row r="2314" spans="1:26" x14ac:dyDescent="0.3">
      <c r="A2314" t="s">
        <v>330</v>
      </c>
      <c r="B2314" t="s">
        <v>8459</v>
      </c>
      <c r="C2314" t="s">
        <v>8460</v>
      </c>
      <c r="D2314" t="s">
        <v>8415</v>
      </c>
      <c r="E2314" t="s">
        <v>8451</v>
      </c>
      <c r="F2314" t="s">
        <v>8452</v>
      </c>
      <c r="G2314" s="1">
        <v>45323</v>
      </c>
      <c r="H2314" s="1">
        <v>45334</v>
      </c>
      <c r="I2314" t="s">
        <v>665</v>
      </c>
      <c r="J2314" t="s">
        <v>806</v>
      </c>
      <c r="K2314" t="s">
        <v>862</v>
      </c>
      <c r="L2314" t="s">
        <v>7624</v>
      </c>
      <c r="M2314" t="s">
        <v>843</v>
      </c>
      <c r="N2314" t="s">
        <v>319</v>
      </c>
      <c r="O2314" t="s">
        <v>810</v>
      </c>
      <c r="P2314" t="s">
        <v>811</v>
      </c>
      <c r="Q2314" t="s">
        <v>6565</v>
      </c>
      <c r="R2314" t="s">
        <v>6566</v>
      </c>
      <c r="S2314" t="s">
        <v>803</v>
      </c>
      <c r="T2314" t="s">
        <v>550</v>
      </c>
      <c r="U2314" t="s">
        <v>550</v>
      </c>
      <c r="V2314" t="s">
        <v>8461</v>
      </c>
      <c r="W2314" t="s">
        <v>7092</v>
      </c>
      <c r="Z2314" t="s">
        <v>8459</v>
      </c>
    </row>
    <row r="2315" spans="1:26" x14ac:dyDescent="0.3">
      <c r="A2315" t="s">
        <v>330</v>
      </c>
      <c r="B2315" t="s">
        <v>8462</v>
      </c>
      <c r="C2315" t="s">
        <v>8463</v>
      </c>
      <c r="D2315" t="s">
        <v>8415</v>
      </c>
      <c r="E2315" t="s">
        <v>8464</v>
      </c>
      <c r="F2315" t="s">
        <v>3443</v>
      </c>
      <c r="G2315" s="1">
        <v>45362</v>
      </c>
      <c r="H2315" s="1">
        <v>45366</v>
      </c>
      <c r="I2315" t="s">
        <v>665</v>
      </c>
      <c r="J2315" t="s">
        <v>8465</v>
      </c>
      <c r="K2315" t="s">
        <v>24</v>
      </c>
      <c r="L2315" t="s">
        <v>7624</v>
      </c>
      <c r="M2315" t="s">
        <v>843</v>
      </c>
      <c r="N2315" t="s">
        <v>319</v>
      </c>
      <c r="O2315" t="s">
        <v>810</v>
      </c>
      <c r="P2315" t="s">
        <v>811</v>
      </c>
      <c r="Q2315" t="s">
        <v>6565</v>
      </c>
      <c r="R2315" t="s">
        <v>6566</v>
      </c>
      <c r="S2315" t="s">
        <v>803</v>
      </c>
      <c r="T2315" t="s">
        <v>550</v>
      </c>
      <c r="U2315" t="s">
        <v>550</v>
      </c>
      <c r="V2315" t="s">
        <v>8466</v>
      </c>
      <c r="W2315" t="s">
        <v>7092</v>
      </c>
      <c r="Z2315" t="s">
        <v>8462</v>
      </c>
    </row>
    <row r="2316" spans="1:26" x14ac:dyDescent="0.3">
      <c r="A2316" t="s">
        <v>330</v>
      </c>
      <c r="B2316" t="s">
        <v>8467</v>
      </c>
      <c r="C2316" t="s">
        <v>8468</v>
      </c>
      <c r="D2316" t="s">
        <v>8415</v>
      </c>
      <c r="E2316" t="s">
        <v>7185</v>
      </c>
      <c r="F2316" t="s">
        <v>2129</v>
      </c>
      <c r="G2316" s="1">
        <v>45383</v>
      </c>
      <c r="H2316" s="1">
        <v>45384</v>
      </c>
      <c r="I2316" t="s">
        <v>665</v>
      </c>
      <c r="J2316" t="s">
        <v>7186</v>
      </c>
      <c r="K2316" t="s">
        <v>862</v>
      </c>
      <c r="L2316" t="s">
        <v>7624</v>
      </c>
      <c r="M2316" t="s">
        <v>843</v>
      </c>
      <c r="N2316" t="s">
        <v>319</v>
      </c>
      <c r="O2316" t="s">
        <v>810</v>
      </c>
      <c r="P2316" t="s">
        <v>811</v>
      </c>
      <c r="Q2316" t="s">
        <v>6565</v>
      </c>
      <c r="R2316" t="s">
        <v>6566</v>
      </c>
      <c r="S2316" t="s">
        <v>803</v>
      </c>
      <c r="T2316" t="s">
        <v>550</v>
      </c>
      <c r="U2316" t="s">
        <v>550</v>
      </c>
      <c r="V2316" t="s">
        <v>8469</v>
      </c>
      <c r="W2316" t="s">
        <v>7092</v>
      </c>
      <c r="Z2316" t="s">
        <v>8467</v>
      </c>
    </row>
    <row r="2317" spans="1:26" x14ac:dyDescent="0.3">
      <c r="A2317" t="s">
        <v>330</v>
      </c>
      <c r="B2317" t="s">
        <v>8470</v>
      </c>
      <c r="C2317" t="s">
        <v>8471</v>
      </c>
      <c r="D2317" t="s">
        <v>8415</v>
      </c>
      <c r="E2317" t="s">
        <v>8464</v>
      </c>
      <c r="F2317" t="s">
        <v>3443</v>
      </c>
      <c r="G2317" s="1">
        <v>45446</v>
      </c>
      <c r="H2317" s="1">
        <v>45454</v>
      </c>
      <c r="I2317" t="s">
        <v>665</v>
      </c>
      <c r="J2317" t="s">
        <v>8465</v>
      </c>
      <c r="K2317" t="s">
        <v>24</v>
      </c>
      <c r="L2317" t="s">
        <v>7624</v>
      </c>
      <c r="M2317" t="s">
        <v>843</v>
      </c>
      <c r="N2317" t="s">
        <v>319</v>
      </c>
      <c r="O2317" t="s">
        <v>810</v>
      </c>
      <c r="P2317" t="s">
        <v>811</v>
      </c>
      <c r="Q2317" t="s">
        <v>6565</v>
      </c>
      <c r="R2317" t="s">
        <v>6566</v>
      </c>
      <c r="S2317" t="s">
        <v>803</v>
      </c>
      <c r="T2317" t="s">
        <v>550</v>
      </c>
      <c r="U2317" t="s">
        <v>550</v>
      </c>
      <c r="V2317" t="s">
        <v>8472</v>
      </c>
      <c r="W2317" t="s">
        <v>7092</v>
      </c>
      <c r="Z2317" t="s">
        <v>8470</v>
      </c>
    </row>
    <row r="2318" spans="1:26" x14ac:dyDescent="0.3">
      <c r="A2318" t="s">
        <v>330</v>
      </c>
      <c r="B2318" t="s">
        <v>8473</v>
      </c>
      <c r="C2318" t="s">
        <v>8474</v>
      </c>
      <c r="D2318" t="s">
        <v>550</v>
      </c>
      <c r="E2318" t="s">
        <v>7108</v>
      </c>
      <c r="F2318" t="s">
        <v>1333</v>
      </c>
      <c r="G2318" s="1">
        <v>45261</v>
      </c>
      <c r="H2318" s="1">
        <v>45261</v>
      </c>
      <c r="I2318" t="s">
        <v>665</v>
      </c>
      <c r="J2318" t="s">
        <v>7109</v>
      </c>
      <c r="K2318" t="s">
        <v>24</v>
      </c>
      <c r="L2318" t="s">
        <v>809</v>
      </c>
      <c r="M2318" t="s">
        <v>843</v>
      </c>
      <c r="N2318" t="s">
        <v>319</v>
      </c>
      <c r="O2318" t="s">
        <v>810</v>
      </c>
      <c r="P2318" t="s">
        <v>811</v>
      </c>
      <c r="Q2318" t="s">
        <v>6565</v>
      </c>
      <c r="R2318" t="s">
        <v>6566</v>
      </c>
      <c r="S2318" t="s">
        <v>803</v>
      </c>
      <c r="T2318" t="s">
        <v>550</v>
      </c>
      <c r="U2318" t="s">
        <v>550</v>
      </c>
      <c r="V2318" t="s">
        <v>8475</v>
      </c>
      <c r="W2318" t="s">
        <v>7092</v>
      </c>
      <c r="X2318" t="s">
        <v>8324</v>
      </c>
      <c r="Y2318" t="s">
        <v>803</v>
      </c>
      <c r="Z2318" t="s">
        <v>8473</v>
      </c>
    </row>
    <row r="2319" spans="1:26" x14ac:dyDescent="0.3">
      <c r="A2319" t="s">
        <v>330</v>
      </c>
      <c r="B2319" t="s">
        <v>8476</v>
      </c>
      <c r="C2319" t="s">
        <v>8477</v>
      </c>
      <c r="D2319" t="s">
        <v>550</v>
      </c>
      <c r="E2319" t="s">
        <v>7088</v>
      </c>
      <c r="F2319" t="s">
        <v>7089</v>
      </c>
      <c r="G2319" s="1">
        <v>45323</v>
      </c>
      <c r="H2319" s="1">
        <v>45462</v>
      </c>
      <c r="I2319" t="s">
        <v>665</v>
      </c>
      <c r="J2319" t="s">
        <v>8369</v>
      </c>
      <c r="K2319" t="s">
        <v>24</v>
      </c>
      <c r="L2319" t="s">
        <v>7624</v>
      </c>
      <c r="M2319" t="s">
        <v>843</v>
      </c>
      <c r="N2319" t="s">
        <v>319</v>
      </c>
      <c r="O2319" t="s">
        <v>810</v>
      </c>
      <c r="P2319" t="s">
        <v>811</v>
      </c>
      <c r="Q2319" t="s">
        <v>6565</v>
      </c>
      <c r="R2319" t="s">
        <v>6566</v>
      </c>
      <c r="S2319" t="s">
        <v>803</v>
      </c>
      <c r="T2319" t="s">
        <v>550</v>
      </c>
      <c r="U2319" t="s">
        <v>550</v>
      </c>
      <c r="V2319" t="s">
        <v>8478</v>
      </c>
      <c r="W2319" t="s">
        <v>7092</v>
      </c>
      <c r="Z2319" t="s">
        <v>8476</v>
      </c>
    </row>
    <row r="2320" spans="1:26" x14ac:dyDescent="0.3">
      <c r="A2320" t="s">
        <v>330</v>
      </c>
      <c r="B2320" t="s">
        <v>8479</v>
      </c>
      <c r="C2320" t="s">
        <v>8480</v>
      </c>
      <c r="D2320" t="s">
        <v>8481</v>
      </c>
      <c r="E2320" t="s">
        <v>6417</v>
      </c>
      <c r="F2320" t="s">
        <v>1040</v>
      </c>
      <c r="G2320" s="1">
        <v>45292</v>
      </c>
      <c r="H2320" s="1">
        <v>45387</v>
      </c>
      <c r="I2320" t="s">
        <v>665</v>
      </c>
      <c r="J2320" t="s">
        <v>6418</v>
      </c>
      <c r="K2320" t="s">
        <v>958</v>
      </c>
      <c r="L2320" t="s">
        <v>6502</v>
      </c>
      <c r="M2320" t="s">
        <v>843</v>
      </c>
      <c r="N2320" t="s">
        <v>319</v>
      </c>
      <c r="O2320" t="s">
        <v>810</v>
      </c>
      <c r="P2320" t="s">
        <v>811</v>
      </c>
      <c r="Q2320" t="s">
        <v>6565</v>
      </c>
      <c r="R2320" t="s">
        <v>6566</v>
      </c>
      <c r="S2320" t="s">
        <v>8482</v>
      </c>
      <c r="T2320" t="s">
        <v>550</v>
      </c>
      <c r="U2320" t="s">
        <v>550</v>
      </c>
      <c r="V2320" t="s">
        <v>8483</v>
      </c>
      <c r="W2320" t="s">
        <v>7092</v>
      </c>
      <c r="X2320" t="s">
        <v>8484</v>
      </c>
      <c r="Z2320" t="s">
        <v>8479</v>
      </c>
    </row>
    <row r="2321" spans="1:26" x14ac:dyDescent="0.3">
      <c r="A2321" t="s">
        <v>330</v>
      </c>
      <c r="B2321" t="s">
        <v>8485</v>
      </c>
      <c r="C2321" t="s">
        <v>7627</v>
      </c>
      <c r="D2321" t="s">
        <v>8345</v>
      </c>
      <c r="E2321" t="s">
        <v>6417</v>
      </c>
      <c r="F2321" t="s">
        <v>1040</v>
      </c>
      <c r="G2321" s="1">
        <v>45292</v>
      </c>
      <c r="H2321" s="1">
        <v>45623</v>
      </c>
      <c r="I2321" t="s">
        <v>665</v>
      </c>
      <c r="J2321" t="s">
        <v>6418</v>
      </c>
      <c r="K2321" t="s">
        <v>958</v>
      </c>
      <c r="L2321" t="s">
        <v>6419</v>
      </c>
      <c r="M2321" t="s">
        <v>843</v>
      </c>
      <c r="N2321" t="s">
        <v>319</v>
      </c>
      <c r="O2321" t="s">
        <v>810</v>
      </c>
      <c r="P2321" t="s">
        <v>811</v>
      </c>
      <c r="Q2321" t="s">
        <v>6565</v>
      </c>
      <c r="R2321" t="s">
        <v>6566</v>
      </c>
      <c r="S2321" t="s">
        <v>8346</v>
      </c>
      <c r="T2321" t="s">
        <v>550</v>
      </c>
      <c r="U2321" t="s">
        <v>550</v>
      </c>
      <c r="V2321" t="s">
        <v>8486</v>
      </c>
      <c r="W2321" t="s">
        <v>7092</v>
      </c>
      <c r="X2321" t="s">
        <v>8348</v>
      </c>
      <c r="Z2321" t="s">
        <v>8485</v>
      </c>
    </row>
    <row r="2322" spans="1:26" x14ac:dyDescent="0.3">
      <c r="A2322" t="s">
        <v>330</v>
      </c>
      <c r="B2322" t="s">
        <v>8487</v>
      </c>
      <c r="C2322" t="s">
        <v>7631</v>
      </c>
      <c r="D2322" t="s">
        <v>8345</v>
      </c>
      <c r="E2322" t="s">
        <v>6417</v>
      </c>
      <c r="F2322" t="s">
        <v>1040</v>
      </c>
      <c r="G2322" s="1">
        <v>45292</v>
      </c>
      <c r="H2322" s="1">
        <v>45623</v>
      </c>
      <c r="I2322" t="s">
        <v>665</v>
      </c>
      <c r="J2322" t="s">
        <v>6418</v>
      </c>
      <c r="K2322" t="s">
        <v>958</v>
      </c>
      <c r="L2322" t="s">
        <v>6419</v>
      </c>
      <c r="M2322" t="s">
        <v>843</v>
      </c>
      <c r="N2322" t="s">
        <v>319</v>
      </c>
      <c r="O2322" t="s">
        <v>810</v>
      </c>
      <c r="P2322" t="s">
        <v>811</v>
      </c>
      <c r="Q2322" t="s">
        <v>6565</v>
      </c>
      <c r="R2322" t="s">
        <v>6566</v>
      </c>
      <c r="S2322" t="s">
        <v>8346</v>
      </c>
      <c r="T2322" t="s">
        <v>550</v>
      </c>
      <c r="U2322" t="s">
        <v>550</v>
      </c>
      <c r="V2322" t="s">
        <v>8488</v>
      </c>
      <c r="W2322" t="s">
        <v>7092</v>
      </c>
      <c r="X2322" t="s">
        <v>8348</v>
      </c>
      <c r="Z2322" t="s">
        <v>8487</v>
      </c>
    </row>
    <row r="2323" spans="1:26" x14ac:dyDescent="0.3">
      <c r="A2323" t="s">
        <v>330</v>
      </c>
      <c r="B2323" t="s">
        <v>8489</v>
      </c>
      <c r="C2323" t="s">
        <v>8490</v>
      </c>
      <c r="D2323" t="s">
        <v>8491</v>
      </c>
      <c r="E2323" t="s">
        <v>6417</v>
      </c>
      <c r="F2323" t="s">
        <v>1040</v>
      </c>
      <c r="G2323" s="1">
        <v>45566</v>
      </c>
      <c r="H2323" s="1">
        <v>45596</v>
      </c>
      <c r="I2323" t="s">
        <v>665</v>
      </c>
      <c r="J2323" t="s">
        <v>6418</v>
      </c>
      <c r="K2323" t="s">
        <v>958</v>
      </c>
      <c r="L2323" t="s">
        <v>6502</v>
      </c>
      <c r="M2323" t="s">
        <v>843</v>
      </c>
      <c r="N2323" t="s">
        <v>319</v>
      </c>
      <c r="O2323" t="s">
        <v>810</v>
      </c>
      <c r="P2323" t="s">
        <v>811</v>
      </c>
      <c r="Q2323" t="s">
        <v>6565</v>
      </c>
      <c r="R2323" t="s">
        <v>6566</v>
      </c>
      <c r="S2323" t="s">
        <v>8492</v>
      </c>
      <c r="T2323" t="s">
        <v>550</v>
      </c>
      <c r="U2323" t="s">
        <v>550</v>
      </c>
      <c r="V2323" t="s">
        <v>8493</v>
      </c>
      <c r="W2323" t="s">
        <v>7092</v>
      </c>
      <c r="X2323" t="s">
        <v>8494</v>
      </c>
      <c r="Z2323" t="s">
        <v>8489</v>
      </c>
    </row>
    <row r="2324" spans="1:26" x14ac:dyDescent="0.3">
      <c r="A2324" t="s">
        <v>330</v>
      </c>
      <c r="B2324" t="s">
        <v>8495</v>
      </c>
      <c r="C2324" t="s">
        <v>8496</v>
      </c>
      <c r="D2324" t="s">
        <v>7176</v>
      </c>
      <c r="E2324" t="s">
        <v>7177</v>
      </c>
      <c r="F2324" t="s">
        <v>3223</v>
      </c>
      <c r="G2324" s="1">
        <v>45292</v>
      </c>
      <c r="H2324" s="1">
        <v>45307</v>
      </c>
      <c r="I2324" t="s">
        <v>665</v>
      </c>
      <c r="J2324" t="s">
        <v>7178</v>
      </c>
      <c r="K2324" t="s">
        <v>4782</v>
      </c>
      <c r="L2324" t="s">
        <v>7624</v>
      </c>
      <c r="M2324" t="s">
        <v>843</v>
      </c>
      <c r="N2324" t="s">
        <v>319</v>
      </c>
      <c r="O2324" t="s">
        <v>810</v>
      </c>
      <c r="P2324" t="s">
        <v>811</v>
      </c>
      <c r="Q2324" t="s">
        <v>6565</v>
      </c>
      <c r="R2324" t="s">
        <v>6566</v>
      </c>
      <c r="S2324" t="s">
        <v>803</v>
      </c>
      <c r="T2324" t="s">
        <v>550</v>
      </c>
      <c r="U2324" t="s">
        <v>550</v>
      </c>
      <c r="V2324" t="s">
        <v>8497</v>
      </c>
      <c r="W2324" t="s">
        <v>813</v>
      </c>
      <c r="Z2324" t="s">
        <v>8495</v>
      </c>
    </row>
    <row r="2325" spans="1:26" x14ac:dyDescent="0.3">
      <c r="A2325" t="s">
        <v>330</v>
      </c>
      <c r="B2325" t="s">
        <v>8498</v>
      </c>
      <c r="C2325" t="s">
        <v>8499</v>
      </c>
      <c r="D2325" t="s">
        <v>804</v>
      </c>
      <c r="E2325" t="s">
        <v>806</v>
      </c>
      <c r="F2325" t="s">
        <v>805</v>
      </c>
      <c r="G2325" s="1">
        <v>45292</v>
      </c>
      <c r="H2325" s="1">
        <v>45294</v>
      </c>
      <c r="I2325" t="s">
        <v>665</v>
      </c>
      <c r="J2325" t="s">
        <v>807</v>
      </c>
      <c r="K2325" t="s">
        <v>808</v>
      </c>
      <c r="L2325" t="s">
        <v>7624</v>
      </c>
      <c r="M2325" t="s">
        <v>843</v>
      </c>
      <c r="N2325" t="s">
        <v>319</v>
      </c>
      <c r="O2325" t="s">
        <v>810</v>
      </c>
      <c r="P2325" t="s">
        <v>811</v>
      </c>
      <c r="Q2325" t="s">
        <v>6565</v>
      </c>
      <c r="R2325" t="s">
        <v>6566</v>
      </c>
      <c r="S2325" t="s">
        <v>803</v>
      </c>
      <c r="T2325" t="s">
        <v>550</v>
      </c>
      <c r="U2325" t="s">
        <v>550</v>
      </c>
      <c r="V2325" t="s">
        <v>8500</v>
      </c>
      <c r="W2325" t="s">
        <v>813</v>
      </c>
      <c r="Z2325" t="s">
        <v>8498</v>
      </c>
    </row>
    <row r="2326" spans="1:26" x14ac:dyDescent="0.3">
      <c r="A2326" t="s">
        <v>330</v>
      </c>
      <c r="B2326" t="s">
        <v>8501</v>
      </c>
      <c r="C2326" t="s">
        <v>8502</v>
      </c>
      <c r="D2326" t="s">
        <v>8435</v>
      </c>
      <c r="E2326" t="s">
        <v>8437</v>
      </c>
      <c r="F2326" t="s">
        <v>8438</v>
      </c>
      <c r="G2326" s="1">
        <v>45292</v>
      </c>
      <c r="H2326" s="1">
        <v>45336</v>
      </c>
      <c r="I2326" t="s">
        <v>665</v>
      </c>
      <c r="J2326" t="s">
        <v>8439</v>
      </c>
      <c r="K2326" t="s">
        <v>958</v>
      </c>
      <c r="L2326" t="s">
        <v>7624</v>
      </c>
      <c r="M2326" t="s">
        <v>843</v>
      </c>
      <c r="N2326" t="s">
        <v>319</v>
      </c>
      <c r="O2326" t="s">
        <v>810</v>
      </c>
      <c r="P2326" t="s">
        <v>811</v>
      </c>
      <c r="Q2326" t="s">
        <v>6565</v>
      </c>
      <c r="R2326" t="s">
        <v>6566</v>
      </c>
      <c r="S2326" t="s">
        <v>7208</v>
      </c>
      <c r="T2326" t="s">
        <v>550</v>
      </c>
      <c r="U2326" t="s">
        <v>550</v>
      </c>
      <c r="V2326" t="s">
        <v>8503</v>
      </c>
      <c r="W2326" t="s">
        <v>813</v>
      </c>
      <c r="Z2326" t="s">
        <v>8501</v>
      </c>
    </row>
    <row r="2327" spans="1:26" x14ac:dyDescent="0.3">
      <c r="A2327" t="s">
        <v>330</v>
      </c>
      <c r="B2327" t="s">
        <v>8504</v>
      </c>
      <c r="C2327" t="s">
        <v>8505</v>
      </c>
      <c r="D2327" t="s">
        <v>8506</v>
      </c>
      <c r="E2327" t="s">
        <v>8507</v>
      </c>
      <c r="F2327" t="s">
        <v>2826</v>
      </c>
      <c r="G2327" s="1">
        <v>45292</v>
      </c>
      <c r="H2327" s="1">
        <v>45335</v>
      </c>
      <c r="I2327" t="s">
        <v>665</v>
      </c>
      <c r="J2327" t="s">
        <v>7185</v>
      </c>
      <c r="K2327" t="s">
        <v>24</v>
      </c>
      <c r="L2327" t="s">
        <v>7624</v>
      </c>
      <c r="M2327" t="s">
        <v>843</v>
      </c>
      <c r="N2327" t="s">
        <v>319</v>
      </c>
      <c r="O2327" t="s">
        <v>810</v>
      </c>
      <c r="P2327" t="s">
        <v>811</v>
      </c>
      <c r="Q2327" t="s">
        <v>6565</v>
      </c>
      <c r="R2327" t="s">
        <v>6566</v>
      </c>
      <c r="S2327" t="s">
        <v>803</v>
      </c>
      <c r="T2327" t="s">
        <v>550</v>
      </c>
      <c r="U2327" t="s">
        <v>550</v>
      </c>
      <c r="V2327" t="s">
        <v>8508</v>
      </c>
      <c r="W2327" t="s">
        <v>813</v>
      </c>
      <c r="Z2327" t="s">
        <v>8504</v>
      </c>
    </row>
    <row r="2328" spans="1:26" x14ac:dyDescent="0.3">
      <c r="A2328" t="s">
        <v>330</v>
      </c>
      <c r="B2328" t="s">
        <v>8509</v>
      </c>
      <c r="C2328" t="s">
        <v>8510</v>
      </c>
      <c r="D2328" t="s">
        <v>8511</v>
      </c>
      <c r="E2328" t="s">
        <v>7153</v>
      </c>
      <c r="F2328" t="s">
        <v>7154</v>
      </c>
      <c r="G2328" s="1">
        <v>45292</v>
      </c>
      <c r="H2328" s="1">
        <v>45324</v>
      </c>
      <c r="I2328" t="s">
        <v>665</v>
      </c>
      <c r="J2328" t="s">
        <v>7155</v>
      </c>
      <c r="K2328" t="s">
        <v>24</v>
      </c>
      <c r="L2328" t="s">
        <v>809</v>
      </c>
      <c r="M2328" t="s">
        <v>843</v>
      </c>
      <c r="N2328" t="s">
        <v>319</v>
      </c>
      <c r="O2328" t="s">
        <v>810</v>
      </c>
      <c r="P2328" t="s">
        <v>811</v>
      </c>
      <c r="Q2328" t="s">
        <v>6565</v>
      </c>
      <c r="R2328" t="s">
        <v>6566</v>
      </c>
      <c r="S2328" t="s">
        <v>803</v>
      </c>
      <c r="T2328" t="s">
        <v>550</v>
      </c>
      <c r="U2328" t="s">
        <v>550</v>
      </c>
      <c r="V2328" t="s">
        <v>8512</v>
      </c>
      <c r="W2328" t="s">
        <v>813</v>
      </c>
      <c r="Z2328" t="s">
        <v>8509</v>
      </c>
    </row>
    <row r="2329" spans="1:26" x14ac:dyDescent="0.3">
      <c r="A2329" t="s">
        <v>330</v>
      </c>
      <c r="B2329" t="s">
        <v>8513</v>
      </c>
      <c r="C2329" t="s">
        <v>8514</v>
      </c>
      <c r="D2329" t="s">
        <v>8515</v>
      </c>
      <c r="E2329" t="s">
        <v>7142</v>
      </c>
      <c r="F2329" t="s">
        <v>7143</v>
      </c>
      <c r="G2329" s="1">
        <v>45292</v>
      </c>
      <c r="H2329" s="1">
        <v>45337</v>
      </c>
      <c r="I2329" t="s">
        <v>665</v>
      </c>
      <c r="J2329" t="s">
        <v>7144</v>
      </c>
      <c r="K2329" t="s">
        <v>24</v>
      </c>
      <c r="L2329" t="s">
        <v>7624</v>
      </c>
      <c r="M2329" t="s">
        <v>843</v>
      </c>
      <c r="N2329" t="s">
        <v>319</v>
      </c>
      <c r="O2329" t="s">
        <v>810</v>
      </c>
      <c r="P2329" t="s">
        <v>811</v>
      </c>
      <c r="Q2329" t="s">
        <v>6565</v>
      </c>
      <c r="R2329" t="s">
        <v>6566</v>
      </c>
      <c r="S2329" t="s">
        <v>803</v>
      </c>
      <c r="T2329" t="s">
        <v>550</v>
      </c>
      <c r="U2329" t="s">
        <v>550</v>
      </c>
      <c r="V2329" t="s">
        <v>8516</v>
      </c>
      <c r="W2329" t="s">
        <v>813</v>
      </c>
      <c r="Z2329" t="s">
        <v>8513</v>
      </c>
    </row>
    <row r="2330" spans="1:26" x14ac:dyDescent="0.3">
      <c r="A2330" t="s">
        <v>330</v>
      </c>
      <c r="B2330" t="s">
        <v>8517</v>
      </c>
      <c r="C2330" t="s">
        <v>8518</v>
      </c>
      <c r="D2330" t="s">
        <v>8519</v>
      </c>
      <c r="E2330" t="s">
        <v>8402</v>
      </c>
      <c r="F2330" t="s">
        <v>1319</v>
      </c>
      <c r="G2330" s="1">
        <v>45292</v>
      </c>
      <c r="H2330" s="1">
        <v>45366</v>
      </c>
      <c r="I2330" t="s">
        <v>665</v>
      </c>
      <c r="J2330" t="s">
        <v>7190</v>
      </c>
      <c r="K2330" t="s">
        <v>24</v>
      </c>
      <c r="L2330" t="s">
        <v>7624</v>
      </c>
      <c r="M2330" t="s">
        <v>843</v>
      </c>
      <c r="N2330" t="s">
        <v>319</v>
      </c>
      <c r="O2330" t="s">
        <v>810</v>
      </c>
      <c r="P2330" t="s">
        <v>811</v>
      </c>
      <c r="Q2330" t="s">
        <v>6565</v>
      </c>
      <c r="R2330" t="s">
        <v>6566</v>
      </c>
      <c r="S2330" t="s">
        <v>7208</v>
      </c>
      <c r="T2330" t="s">
        <v>550</v>
      </c>
      <c r="U2330" t="s">
        <v>550</v>
      </c>
      <c r="V2330" t="s">
        <v>8520</v>
      </c>
      <c r="W2330" t="s">
        <v>813</v>
      </c>
      <c r="Z2330" t="s">
        <v>8517</v>
      </c>
    </row>
    <row r="2331" spans="1:26" x14ac:dyDescent="0.3">
      <c r="A2331" t="s">
        <v>330</v>
      </c>
      <c r="B2331" t="s">
        <v>8521</v>
      </c>
      <c r="C2331" t="s">
        <v>8522</v>
      </c>
      <c r="D2331" t="s">
        <v>8473</v>
      </c>
      <c r="E2331" t="s">
        <v>7108</v>
      </c>
      <c r="F2331" t="s">
        <v>1333</v>
      </c>
      <c r="G2331" s="1">
        <v>45292</v>
      </c>
      <c r="H2331" s="1">
        <v>45308</v>
      </c>
      <c r="I2331" t="s">
        <v>665</v>
      </c>
      <c r="J2331" t="s">
        <v>7109</v>
      </c>
      <c r="K2331" t="s">
        <v>24</v>
      </c>
      <c r="L2331" t="s">
        <v>7624</v>
      </c>
      <c r="M2331" t="s">
        <v>843</v>
      </c>
      <c r="N2331" t="s">
        <v>319</v>
      </c>
      <c r="O2331" t="s">
        <v>810</v>
      </c>
      <c r="P2331" t="s">
        <v>811</v>
      </c>
      <c r="Q2331" t="s">
        <v>6565</v>
      </c>
      <c r="R2331" t="s">
        <v>6566</v>
      </c>
      <c r="S2331" t="s">
        <v>803</v>
      </c>
      <c r="T2331" t="s">
        <v>550</v>
      </c>
      <c r="U2331" t="s">
        <v>550</v>
      </c>
      <c r="V2331" t="s">
        <v>8523</v>
      </c>
      <c r="W2331" t="s">
        <v>813</v>
      </c>
      <c r="Z2331" t="s">
        <v>8521</v>
      </c>
    </row>
    <row r="2332" spans="1:26" x14ac:dyDescent="0.3">
      <c r="A2332" t="s">
        <v>330</v>
      </c>
      <c r="B2332" t="s">
        <v>8524</v>
      </c>
      <c r="C2332" t="s">
        <v>6416</v>
      </c>
      <c r="D2332" t="s">
        <v>550</v>
      </c>
      <c r="E2332" t="s">
        <v>6417</v>
      </c>
      <c r="F2332" t="s">
        <v>1040</v>
      </c>
      <c r="G2332" s="1">
        <v>44562</v>
      </c>
      <c r="H2332" s="1">
        <v>44562</v>
      </c>
      <c r="I2332" t="s">
        <v>665</v>
      </c>
      <c r="J2332" t="s">
        <v>6418</v>
      </c>
      <c r="K2332" t="s">
        <v>958</v>
      </c>
      <c r="L2332" t="s">
        <v>6419</v>
      </c>
      <c r="M2332" t="s">
        <v>8525</v>
      </c>
      <c r="N2332" t="s">
        <v>8526</v>
      </c>
      <c r="O2332" t="s">
        <v>1168</v>
      </c>
      <c r="P2332" t="s">
        <v>1169</v>
      </c>
      <c r="Q2332" t="s">
        <v>6565</v>
      </c>
      <c r="R2332" t="s">
        <v>6566</v>
      </c>
      <c r="S2332" t="s">
        <v>8527</v>
      </c>
      <c r="T2332" t="s">
        <v>550</v>
      </c>
      <c r="U2332" t="s">
        <v>550</v>
      </c>
      <c r="V2332" t="s">
        <v>8528</v>
      </c>
      <c r="W2332" t="s">
        <v>6972</v>
      </c>
      <c r="X2332" t="s">
        <v>6451</v>
      </c>
      <c r="Y2332" t="s">
        <v>6452</v>
      </c>
      <c r="Z2332" t="s">
        <v>8524</v>
      </c>
    </row>
    <row r="2333" spans="1:26" x14ac:dyDescent="0.3">
      <c r="A2333" t="s">
        <v>330</v>
      </c>
      <c r="B2333" t="s">
        <v>8529</v>
      </c>
      <c r="C2333" t="s">
        <v>8530</v>
      </c>
      <c r="D2333" t="s">
        <v>8524</v>
      </c>
      <c r="E2333" t="s">
        <v>6417</v>
      </c>
      <c r="F2333" t="s">
        <v>1040</v>
      </c>
      <c r="G2333" s="1">
        <v>44562</v>
      </c>
      <c r="H2333" s="1">
        <v>44562</v>
      </c>
      <c r="I2333" t="s">
        <v>665</v>
      </c>
      <c r="J2333" t="s">
        <v>6418</v>
      </c>
      <c r="K2333" t="s">
        <v>958</v>
      </c>
      <c r="L2333" t="s">
        <v>6419</v>
      </c>
      <c r="M2333" t="s">
        <v>8525</v>
      </c>
      <c r="N2333" t="s">
        <v>8526</v>
      </c>
      <c r="O2333" t="s">
        <v>1168</v>
      </c>
      <c r="P2333" t="s">
        <v>1169</v>
      </c>
      <c r="Q2333" t="s">
        <v>6565</v>
      </c>
      <c r="R2333" t="s">
        <v>6566</v>
      </c>
      <c r="S2333" t="s">
        <v>8527</v>
      </c>
      <c r="T2333" t="s">
        <v>550</v>
      </c>
      <c r="U2333" t="s">
        <v>550</v>
      </c>
      <c r="V2333" t="s">
        <v>8528</v>
      </c>
      <c r="W2333" t="s">
        <v>6972</v>
      </c>
      <c r="X2333" t="s">
        <v>6451</v>
      </c>
      <c r="Y2333" t="s">
        <v>6452</v>
      </c>
      <c r="Z2333" t="s">
        <v>8524</v>
      </c>
    </row>
    <row r="2334" spans="1:26" x14ac:dyDescent="0.3">
      <c r="A2334" t="s">
        <v>330</v>
      </c>
      <c r="B2334" t="s">
        <v>8531</v>
      </c>
      <c r="C2334" t="s">
        <v>8532</v>
      </c>
      <c r="D2334" t="s">
        <v>8524</v>
      </c>
      <c r="E2334" t="s">
        <v>6417</v>
      </c>
      <c r="F2334" t="s">
        <v>1040</v>
      </c>
      <c r="G2334" s="1">
        <v>44562</v>
      </c>
      <c r="H2334" s="1">
        <v>44562</v>
      </c>
      <c r="I2334" t="s">
        <v>665</v>
      </c>
      <c r="J2334" t="s">
        <v>6418</v>
      </c>
      <c r="K2334" t="s">
        <v>958</v>
      </c>
      <c r="L2334" t="s">
        <v>6419</v>
      </c>
      <c r="M2334" t="s">
        <v>8525</v>
      </c>
      <c r="N2334" t="s">
        <v>8526</v>
      </c>
      <c r="O2334" t="s">
        <v>1168</v>
      </c>
      <c r="P2334" t="s">
        <v>1169</v>
      </c>
      <c r="Q2334" t="s">
        <v>6565</v>
      </c>
      <c r="R2334" t="s">
        <v>6566</v>
      </c>
      <c r="S2334" t="s">
        <v>8527</v>
      </c>
      <c r="T2334" t="s">
        <v>550</v>
      </c>
      <c r="U2334" t="s">
        <v>550</v>
      </c>
      <c r="V2334" t="s">
        <v>8528</v>
      </c>
      <c r="W2334" t="s">
        <v>6972</v>
      </c>
      <c r="X2334" t="s">
        <v>6451</v>
      </c>
      <c r="Y2334" t="s">
        <v>6452</v>
      </c>
      <c r="Z2334" t="s">
        <v>8524</v>
      </c>
    </row>
    <row r="2335" spans="1:26" x14ac:dyDescent="0.3">
      <c r="A2335" t="s">
        <v>330</v>
      </c>
      <c r="B2335" t="s">
        <v>8533</v>
      </c>
      <c r="C2335" t="s">
        <v>8534</v>
      </c>
      <c r="D2335" t="s">
        <v>8524</v>
      </c>
      <c r="E2335" t="s">
        <v>6417</v>
      </c>
      <c r="F2335" t="s">
        <v>1040</v>
      </c>
      <c r="G2335" s="1">
        <v>44562</v>
      </c>
      <c r="H2335" s="1">
        <v>44674</v>
      </c>
      <c r="I2335" t="s">
        <v>665</v>
      </c>
      <c r="J2335" t="s">
        <v>6418</v>
      </c>
      <c r="K2335" t="s">
        <v>958</v>
      </c>
      <c r="L2335" t="s">
        <v>6419</v>
      </c>
      <c r="M2335" t="s">
        <v>8525</v>
      </c>
      <c r="N2335" t="s">
        <v>8526</v>
      </c>
      <c r="O2335" t="s">
        <v>1168</v>
      </c>
      <c r="P2335" t="s">
        <v>1169</v>
      </c>
      <c r="Q2335" t="s">
        <v>6565</v>
      </c>
      <c r="R2335" t="s">
        <v>6566</v>
      </c>
      <c r="S2335" t="s">
        <v>8527</v>
      </c>
      <c r="T2335" t="s">
        <v>550</v>
      </c>
      <c r="U2335" t="s">
        <v>550</v>
      </c>
      <c r="V2335" t="s">
        <v>8528</v>
      </c>
      <c r="W2335" t="s">
        <v>6972</v>
      </c>
      <c r="X2335" t="s">
        <v>6451</v>
      </c>
      <c r="Y2335" t="s">
        <v>6452</v>
      </c>
      <c r="Z2335" t="s">
        <v>8524</v>
      </c>
    </row>
    <row r="2336" spans="1:26" x14ac:dyDescent="0.3">
      <c r="A2336" t="s">
        <v>330</v>
      </c>
      <c r="B2336" t="s">
        <v>8535</v>
      </c>
      <c r="C2336" t="s">
        <v>8536</v>
      </c>
      <c r="D2336" t="s">
        <v>8524</v>
      </c>
      <c r="E2336" t="s">
        <v>6417</v>
      </c>
      <c r="F2336" t="s">
        <v>1040</v>
      </c>
      <c r="G2336" s="1">
        <v>44562</v>
      </c>
      <c r="H2336" s="1">
        <v>44562</v>
      </c>
      <c r="I2336" t="s">
        <v>665</v>
      </c>
      <c r="J2336" t="s">
        <v>6418</v>
      </c>
      <c r="K2336" t="s">
        <v>958</v>
      </c>
      <c r="L2336" t="s">
        <v>6419</v>
      </c>
      <c r="M2336" t="s">
        <v>8525</v>
      </c>
      <c r="N2336" t="s">
        <v>8526</v>
      </c>
      <c r="O2336" t="s">
        <v>1168</v>
      </c>
      <c r="P2336" t="s">
        <v>1169</v>
      </c>
      <c r="Q2336" t="s">
        <v>6565</v>
      </c>
      <c r="R2336" t="s">
        <v>6566</v>
      </c>
      <c r="S2336" t="s">
        <v>8527</v>
      </c>
      <c r="T2336" t="s">
        <v>550</v>
      </c>
      <c r="U2336" t="s">
        <v>550</v>
      </c>
      <c r="V2336" t="s">
        <v>8528</v>
      </c>
      <c r="W2336" t="s">
        <v>6972</v>
      </c>
      <c r="X2336" t="s">
        <v>6451</v>
      </c>
      <c r="Y2336" t="s">
        <v>6452</v>
      </c>
      <c r="Z2336" t="s">
        <v>8524</v>
      </c>
    </row>
    <row r="2337" spans="1:26" x14ac:dyDescent="0.3">
      <c r="A2337" t="s">
        <v>330</v>
      </c>
      <c r="B2337" t="s">
        <v>8537</v>
      </c>
      <c r="C2337" t="s">
        <v>8302</v>
      </c>
      <c r="D2337" t="s">
        <v>8524</v>
      </c>
      <c r="E2337" t="s">
        <v>6417</v>
      </c>
      <c r="F2337" t="s">
        <v>1040</v>
      </c>
      <c r="G2337" s="1">
        <v>44562</v>
      </c>
      <c r="H2337" s="1">
        <v>44562</v>
      </c>
      <c r="I2337" t="s">
        <v>665</v>
      </c>
      <c r="J2337" t="s">
        <v>6418</v>
      </c>
      <c r="K2337" t="s">
        <v>958</v>
      </c>
      <c r="L2337" t="s">
        <v>6419</v>
      </c>
      <c r="M2337" t="s">
        <v>8525</v>
      </c>
      <c r="N2337" t="s">
        <v>8526</v>
      </c>
      <c r="O2337" t="s">
        <v>1168</v>
      </c>
      <c r="P2337" t="s">
        <v>1169</v>
      </c>
      <c r="Q2337" t="s">
        <v>6565</v>
      </c>
      <c r="R2337" t="s">
        <v>6566</v>
      </c>
      <c r="S2337" t="s">
        <v>8527</v>
      </c>
      <c r="T2337" t="s">
        <v>550</v>
      </c>
      <c r="U2337" t="s">
        <v>550</v>
      </c>
      <c r="V2337" t="s">
        <v>8528</v>
      </c>
      <c r="W2337" t="s">
        <v>6972</v>
      </c>
      <c r="X2337" t="s">
        <v>6451</v>
      </c>
      <c r="Y2337" t="s">
        <v>6452</v>
      </c>
      <c r="Z2337" t="s">
        <v>8524</v>
      </c>
    </row>
    <row r="2338" spans="1:26" x14ac:dyDescent="0.3">
      <c r="A2338" t="s">
        <v>330</v>
      </c>
      <c r="B2338" t="s">
        <v>8538</v>
      </c>
      <c r="C2338" t="s">
        <v>8539</v>
      </c>
      <c r="D2338" t="s">
        <v>8524</v>
      </c>
      <c r="E2338" t="s">
        <v>6417</v>
      </c>
      <c r="F2338" t="s">
        <v>1040</v>
      </c>
      <c r="G2338" s="1">
        <v>44562</v>
      </c>
      <c r="H2338" s="1">
        <v>44562</v>
      </c>
      <c r="I2338" t="s">
        <v>665</v>
      </c>
      <c r="J2338" t="s">
        <v>6418</v>
      </c>
      <c r="K2338" t="s">
        <v>958</v>
      </c>
      <c r="L2338" t="s">
        <v>6419</v>
      </c>
      <c r="M2338" t="s">
        <v>8525</v>
      </c>
      <c r="N2338" t="s">
        <v>8526</v>
      </c>
      <c r="O2338" t="s">
        <v>1168</v>
      </c>
      <c r="P2338" t="s">
        <v>1169</v>
      </c>
      <c r="Q2338" t="s">
        <v>6565</v>
      </c>
      <c r="R2338" t="s">
        <v>6566</v>
      </c>
      <c r="S2338" t="s">
        <v>8527</v>
      </c>
      <c r="T2338" t="s">
        <v>550</v>
      </c>
      <c r="U2338" t="s">
        <v>550</v>
      </c>
      <c r="V2338" t="s">
        <v>8528</v>
      </c>
      <c r="W2338" t="s">
        <v>6972</v>
      </c>
      <c r="X2338" t="s">
        <v>6451</v>
      </c>
      <c r="Y2338" t="s">
        <v>6452</v>
      </c>
      <c r="Z2338" t="s">
        <v>8524</v>
      </c>
    </row>
    <row r="2339" spans="1:26" x14ac:dyDescent="0.3">
      <c r="A2339" t="s">
        <v>330</v>
      </c>
      <c r="B2339" t="s">
        <v>8540</v>
      </c>
      <c r="C2339" t="s">
        <v>8541</v>
      </c>
      <c r="D2339" t="s">
        <v>8524</v>
      </c>
      <c r="E2339" t="s">
        <v>6417</v>
      </c>
      <c r="F2339" t="s">
        <v>1040</v>
      </c>
      <c r="G2339" s="1">
        <v>44562</v>
      </c>
      <c r="H2339" s="1">
        <v>44562</v>
      </c>
      <c r="I2339" t="s">
        <v>665</v>
      </c>
      <c r="J2339" t="s">
        <v>6418</v>
      </c>
      <c r="K2339" t="s">
        <v>958</v>
      </c>
      <c r="L2339" t="s">
        <v>6419</v>
      </c>
      <c r="M2339" t="s">
        <v>8525</v>
      </c>
      <c r="N2339" t="s">
        <v>8526</v>
      </c>
      <c r="O2339" t="s">
        <v>1168</v>
      </c>
      <c r="P2339" t="s">
        <v>1169</v>
      </c>
      <c r="Q2339" t="s">
        <v>6565</v>
      </c>
      <c r="R2339" t="s">
        <v>6566</v>
      </c>
      <c r="S2339" t="s">
        <v>8527</v>
      </c>
      <c r="T2339" t="s">
        <v>550</v>
      </c>
      <c r="U2339" t="s">
        <v>550</v>
      </c>
      <c r="V2339" t="s">
        <v>8528</v>
      </c>
      <c r="W2339" t="s">
        <v>6972</v>
      </c>
      <c r="X2339" t="s">
        <v>6451</v>
      </c>
      <c r="Y2339" t="s">
        <v>6452</v>
      </c>
      <c r="Z2339" t="s">
        <v>8524</v>
      </c>
    </row>
    <row r="2340" spans="1:26" x14ac:dyDescent="0.3">
      <c r="A2340" t="s">
        <v>330</v>
      </c>
      <c r="B2340" t="s">
        <v>8542</v>
      </c>
      <c r="C2340" t="s">
        <v>6416</v>
      </c>
      <c r="D2340" t="s">
        <v>550</v>
      </c>
      <c r="E2340" t="s">
        <v>6417</v>
      </c>
      <c r="F2340" t="s">
        <v>1040</v>
      </c>
      <c r="G2340" s="1">
        <v>44197</v>
      </c>
      <c r="H2340" s="1">
        <v>44197</v>
      </c>
      <c r="I2340" t="s">
        <v>665</v>
      </c>
      <c r="J2340" t="s">
        <v>6418</v>
      </c>
      <c r="K2340" t="s">
        <v>958</v>
      </c>
      <c r="L2340" t="s">
        <v>6419</v>
      </c>
      <c r="M2340" t="s">
        <v>8525</v>
      </c>
      <c r="N2340" t="s">
        <v>8526</v>
      </c>
      <c r="O2340" t="s">
        <v>1168</v>
      </c>
      <c r="P2340" t="s">
        <v>1169</v>
      </c>
      <c r="Q2340" t="s">
        <v>6565</v>
      </c>
      <c r="R2340" t="s">
        <v>6566</v>
      </c>
      <c r="S2340" t="s">
        <v>8543</v>
      </c>
      <c r="T2340" t="s">
        <v>550</v>
      </c>
      <c r="U2340" t="s">
        <v>550</v>
      </c>
      <c r="V2340" t="s">
        <v>8544</v>
      </c>
      <c r="W2340" t="s">
        <v>6972</v>
      </c>
      <c r="X2340" t="s">
        <v>6451</v>
      </c>
      <c r="Y2340" t="s">
        <v>6452</v>
      </c>
      <c r="Z2340" t="s">
        <v>8542</v>
      </c>
    </row>
    <row r="2341" spans="1:26" x14ac:dyDescent="0.3">
      <c r="A2341" t="s">
        <v>330</v>
      </c>
      <c r="B2341" t="s">
        <v>8545</v>
      </c>
      <c r="C2341" t="s">
        <v>8546</v>
      </c>
      <c r="D2341" t="s">
        <v>8542</v>
      </c>
      <c r="E2341" t="s">
        <v>6417</v>
      </c>
      <c r="F2341" t="s">
        <v>1040</v>
      </c>
      <c r="G2341" s="1">
        <v>44197</v>
      </c>
      <c r="H2341" s="1">
        <v>44224</v>
      </c>
      <c r="I2341" t="s">
        <v>665</v>
      </c>
      <c r="J2341" t="s">
        <v>6418</v>
      </c>
      <c r="K2341" t="s">
        <v>958</v>
      </c>
      <c r="L2341" t="s">
        <v>6419</v>
      </c>
      <c r="M2341" t="s">
        <v>8525</v>
      </c>
      <c r="N2341" t="s">
        <v>8526</v>
      </c>
      <c r="O2341" t="s">
        <v>1168</v>
      </c>
      <c r="P2341" t="s">
        <v>1169</v>
      </c>
      <c r="Q2341" t="s">
        <v>6565</v>
      </c>
      <c r="R2341" t="s">
        <v>6566</v>
      </c>
      <c r="S2341" t="s">
        <v>8543</v>
      </c>
      <c r="T2341" t="s">
        <v>550</v>
      </c>
      <c r="U2341" t="s">
        <v>550</v>
      </c>
      <c r="V2341" t="s">
        <v>8547</v>
      </c>
      <c r="W2341" t="s">
        <v>6972</v>
      </c>
      <c r="X2341" t="s">
        <v>6451</v>
      </c>
      <c r="Y2341" t="s">
        <v>6452</v>
      </c>
      <c r="Z2341" t="s">
        <v>8545</v>
      </c>
    </row>
    <row r="2342" spans="1:26" x14ac:dyDescent="0.3">
      <c r="A2342" t="s">
        <v>330</v>
      </c>
      <c r="B2342" t="s">
        <v>8548</v>
      </c>
      <c r="C2342" t="s">
        <v>8549</v>
      </c>
      <c r="D2342" t="s">
        <v>8542</v>
      </c>
      <c r="E2342" t="s">
        <v>6417</v>
      </c>
      <c r="F2342" t="s">
        <v>1040</v>
      </c>
      <c r="G2342" s="1">
        <v>44197</v>
      </c>
      <c r="H2342" s="1">
        <v>44238</v>
      </c>
      <c r="I2342" t="s">
        <v>665</v>
      </c>
      <c r="J2342" t="s">
        <v>6418</v>
      </c>
      <c r="K2342" t="s">
        <v>958</v>
      </c>
      <c r="L2342" t="s">
        <v>6419</v>
      </c>
      <c r="M2342" t="s">
        <v>8525</v>
      </c>
      <c r="N2342" t="s">
        <v>8526</v>
      </c>
      <c r="O2342" t="s">
        <v>1168</v>
      </c>
      <c r="P2342" t="s">
        <v>1169</v>
      </c>
      <c r="Q2342" t="s">
        <v>6565</v>
      </c>
      <c r="R2342" t="s">
        <v>6566</v>
      </c>
      <c r="S2342" t="s">
        <v>8543</v>
      </c>
      <c r="T2342" t="s">
        <v>550</v>
      </c>
      <c r="U2342" t="s">
        <v>550</v>
      </c>
      <c r="V2342" t="s">
        <v>8550</v>
      </c>
      <c r="W2342" t="s">
        <v>6972</v>
      </c>
      <c r="X2342" t="s">
        <v>6451</v>
      </c>
      <c r="Y2342" t="s">
        <v>6452</v>
      </c>
      <c r="Z2342" t="s">
        <v>8548</v>
      </c>
    </row>
    <row r="2343" spans="1:26" x14ac:dyDescent="0.3">
      <c r="A2343" t="s">
        <v>330</v>
      </c>
      <c r="B2343" t="s">
        <v>8551</v>
      </c>
      <c r="C2343" t="s">
        <v>8534</v>
      </c>
      <c r="D2343" t="s">
        <v>8542</v>
      </c>
      <c r="E2343" t="s">
        <v>6417</v>
      </c>
      <c r="F2343" t="s">
        <v>1040</v>
      </c>
      <c r="G2343" s="1">
        <v>44197</v>
      </c>
      <c r="H2343" s="1">
        <v>44336</v>
      </c>
      <c r="I2343" t="s">
        <v>665</v>
      </c>
      <c r="J2343" t="s">
        <v>6418</v>
      </c>
      <c r="K2343" t="s">
        <v>958</v>
      </c>
      <c r="L2343" t="s">
        <v>6419</v>
      </c>
      <c r="M2343" t="s">
        <v>8525</v>
      </c>
      <c r="N2343" t="s">
        <v>8526</v>
      </c>
      <c r="O2343" t="s">
        <v>1168</v>
      </c>
      <c r="P2343" t="s">
        <v>1169</v>
      </c>
      <c r="Q2343" t="s">
        <v>6565</v>
      </c>
      <c r="R2343" t="s">
        <v>6566</v>
      </c>
      <c r="S2343" t="s">
        <v>8543</v>
      </c>
      <c r="T2343" t="s">
        <v>550</v>
      </c>
      <c r="U2343" t="s">
        <v>550</v>
      </c>
      <c r="V2343" t="s">
        <v>8552</v>
      </c>
      <c r="W2343" t="s">
        <v>6972</v>
      </c>
      <c r="X2343" t="s">
        <v>6451</v>
      </c>
      <c r="Y2343" t="s">
        <v>6452</v>
      </c>
      <c r="Z2343" t="s">
        <v>8551</v>
      </c>
    </row>
    <row r="2344" spans="1:26" x14ac:dyDescent="0.3">
      <c r="A2344" t="s">
        <v>330</v>
      </c>
      <c r="B2344" t="s">
        <v>8553</v>
      </c>
      <c r="C2344" t="s">
        <v>8536</v>
      </c>
      <c r="D2344" t="s">
        <v>8542</v>
      </c>
      <c r="E2344" t="s">
        <v>6417</v>
      </c>
      <c r="F2344" t="s">
        <v>1040</v>
      </c>
      <c r="G2344" s="1">
        <v>44197</v>
      </c>
      <c r="H2344" s="1">
        <v>44431</v>
      </c>
      <c r="I2344" t="s">
        <v>665</v>
      </c>
      <c r="J2344" t="s">
        <v>6418</v>
      </c>
      <c r="K2344" t="s">
        <v>958</v>
      </c>
      <c r="L2344" t="s">
        <v>6419</v>
      </c>
      <c r="M2344" t="s">
        <v>8525</v>
      </c>
      <c r="N2344" t="s">
        <v>8526</v>
      </c>
      <c r="O2344" t="s">
        <v>1168</v>
      </c>
      <c r="P2344" t="s">
        <v>1169</v>
      </c>
      <c r="Q2344" t="s">
        <v>6565</v>
      </c>
      <c r="R2344" t="s">
        <v>6566</v>
      </c>
      <c r="S2344" t="s">
        <v>8543</v>
      </c>
      <c r="T2344" t="s">
        <v>550</v>
      </c>
      <c r="U2344" t="s">
        <v>550</v>
      </c>
      <c r="V2344" t="s">
        <v>8554</v>
      </c>
      <c r="W2344" t="s">
        <v>6972</v>
      </c>
      <c r="X2344" t="s">
        <v>6451</v>
      </c>
      <c r="Y2344" t="s">
        <v>6452</v>
      </c>
      <c r="Z2344" t="s">
        <v>8553</v>
      </c>
    </row>
    <row r="2345" spans="1:26" x14ac:dyDescent="0.3">
      <c r="A2345" t="s">
        <v>330</v>
      </c>
      <c r="B2345" t="s">
        <v>8555</v>
      </c>
      <c r="C2345" t="s">
        <v>8556</v>
      </c>
      <c r="D2345" t="s">
        <v>8542</v>
      </c>
      <c r="E2345" t="s">
        <v>6417</v>
      </c>
      <c r="F2345" t="s">
        <v>1040</v>
      </c>
      <c r="G2345" s="1">
        <v>44197</v>
      </c>
      <c r="H2345" s="1">
        <v>44208</v>
      </c>
      <c r="I2345" t="s">
        <v>665</v>
      </c>
      <c r="J2345" t="s">
        <v>6418</v>
      </c>
      <c r="K2345" t="s">
        <v>958</v>
      </c>
      <c r="L2345" t="s">
        <v>6419</v>
      </c>
      <c r="M2345" t="s">
        <v>8525</v>
      </c>
      <c r="N2345" t="s">
        <v>8526</v>
      </c>
      <c r="O2345" t="s">
        <v>1168</v>
      </c>
      <c r="P2345" t="s">
        <v>1169</v>
      </c>
      <c r="Q2345" t="s">
        <v>6565</v>
      </c>
      <c r="R2345" t="s">
        <v>6566</v>
      </c>
      <c r="S2345" t="s">
        <v>8543</v>
      </c>
      <c r="T2345" t="s">
        <v>550</v>
      </c>
      <c r="U2345" t="s">
        <v>550</v>
      </c>
      <c r="V2345" t="s">
        <v>8557</v>
      </c>
      <c r="W2345" t="s">
        <v>6972</v>
      </c>
      <c r="X2345" t="s">
        <v>6451</v>
      </c>
      <c r="Y2345" t="s">
        <v>6452</v>
      </c>
      <c r="Z2345" t="s">
        <v>8555</v>
      </c>
    </row>
    <row r="2346" spans="1:26" x14ac:dyDescent="0.3">
      <c r="A2346" t="s">
        <v>330</v>
      </c>
      <c r="B2346" t="s">
        <v>8558</v>
      </c>
      <c r="C2346" t="s">
        <v>8302</v>
      </c>
      <c r="D2346" t="s">
        <v>8542</v>
      </c>
      <c r="E2346" t="s">
        <v>6417</v>
      </c>
      <c r="F2346" t="s">
        <v>1040</v>
      </c>
      <c r="G2346" s="1">
        <v>44197</v>
      </c>
      <c r="H2346" s="1">
        <v>44344</v>
      </c>
      <c r="I2346" t="s">
        <v>665</v>
      </c>
      <c r="J2346" t="s">
        <v>6418</v>
      </c>
      <c r="K2346" t="s">
        <v>958</v>
      </c>
      <c r="L2346" t="s">
        <v>6419</v>
      </c>
      <c r="M2346" t="s">
        <v>8525</v>
      </c>
      <c r="N2346" t="s">
        <v>8526</v>
      </c>
      <c r="O2346" t="s">
        <v>1168</v>
      </c>
      <c r="P2346" t="s">
        <v>1169</v>
      </c>
      <c r="Q2346" t="s">
        <v>6565</v>
      </c>
      <c r="R2346" t="s">
        <v>6566</v>
      </c>
      <c r="S2346" t="s">
        <v>8543</v>
      </c>
      <c r="T2346" t="s">
        <v>550</v>
      </c>
      <c r="U2346" t="s">
        <v>550</v>
      </c>
      <c r="V2346" t="s">
        <v>8559</v>
      </c>
      <c r="W2346" t="s">
        <v>6972</v>
      </c>
      <c r="X2346" t="s">
        <v>6451</v>
      </c>
      <c r="Y2346" t="s">
        <v>6452</v>
      </c>
      <c r="Z2346" t="s">
        <v>8558</v>
      </c>
    </row>
    <row r="2347" spans="1:26" x14ac:dyDescent="0.3">
      <c r="A2347" t="s">
        <v>330</v>
      </c>
      <c r="B2347" t="s">
        <v>8560</v>
      </c>
      <c r="C2347" t="s">
        <v>8539</v>
      </c>
      <c r="D2347" t="s">
        <v>8542</v>
      </c>
      <c r="E2347" t="s">
        <v>6417</v>
      </c>
      <c r="F2347" t="s">
        <v>1040</v>
      </c>
      <c r="G2347" s="1">
        <v>44197</v>
      </c>
      <c r="H2347" s="1">
        <v>44242</v>
      </c>
      <c r="I2347" t="s">
        <v>665</v>
      </c>
      <c r="J2347" t="s">
        <v>6418</v>
      </c>
      <c r="K2347" t="s">
        <v>958</v>
      </c>
      <c r="L2347" t="s">
        <v>6419</v>
      </c>
      <c r="M2347" t="s">
        <v>8525</v>
      </c>
      <c r="N2347" t="s">
        <v>8526</v>
      </c>
      <c r="O2347" t="s">
        <v>1168</v>
      </c>
      <c r="P2347" t="s">
        <v>1169</v>
      </c>
      <c r="Q2347" t="s">
        <v>6565</v>
      </c>
      <c r="R2347" t="s">
        <v>6566</v>
      </c>
      <c r="S2347" t="s">
        <v>8543</v>
      </c>
      <c r="T2347" t="s">
        <v>550</v>
      </c>
      <c r="U2347" t="s">
        <v>550</v>
      </c>
      <c r="V2347" t="s">
        <v>8561</v>
      </c>
      <c r="W2347" t="s">
        <v>6972</v>
      </c>
      <c r="X2347" t="s">
        <v>6451</v>
      </c>
      <c r="Y2347" t="s">
        <v>6452</v>
      </c>
      <c r="Z2347" t="s">
        <v>8560</v>
      </c>
    </row>
    <row r="2348" spans="1:26" x14ac:dyDescent="0.3">
      <c r="A2348" t="s">
        <v>330</v>
      </c>
      <c r="B2348" t="s">
        <v>8562</v>
      </c>
      <c r="C2348" t="s">
        <v>8541</v>
      </c>
      <c r="D2348" t="s">
        <v>8542</v>
      </c>
      <c r="E2348" t="s">
        <v>6417</v>
      </c>
      <c r="F2348" t="s">
        <v>1040</v>
      </c>
      <c r="G2348" s="1">
        <v>44197</v>
      </c>
      <c r="H2348" s="1">
        <v>44231</v>
      </c>
      <c r="I2348" t="s">
        <v>665</v>
      </c>
      <c r="J2348" t="s">
        <v>6418</v>
      </c>
      <c r="K2348" t="s">
        <v>958</v>
      </c>
      <c r="L2348" t="s">
        <v>6419</v>
      </c>
      <c r="M2348" t="s">
        <v>8525</v>
      </c>
      <c r="N2348" t="s">
        <v>8526</v>
      </c>
      <c r="O2348" t="s">
        <v>1168</v>
      </c>
      <c r="P2348" t="s">
        <v>1169</v>
      </c>
      <c r="Q2348" t="s">
        <v>6565</v>
      </c>
      <c r="R2348" t="s">
        <v>6566</v>
      </c>
      <c r="S2348" t="s">
        <v>8543</v>
      </c>
      <c r="T2348" t="s">
        <v>550</v>
      </c>
      <c r="U2348" t="s">
        <v>550</v>
      </c>
      <c r="V2348" t="s">
        <v>8563</v>
      </c>
      <c r="W2348" t="s">
        <v>6972</v>
      </c>
      <c r="X2348" t="s">
        <v>6451</v>
      </c>
      <c r="Y2348" t="s">
        <v>6452</v>
      </c>
      <c r="Z2348" t="s">
        <v>8562</v>
      </c>
    </row>
    <row r="2349" spans="1:26" x14ac:dyDescent="0.3">
      <c r="A2349" t="s">
        <v>330</v>
      </c>
      <c r="B2349" t="s">
        <v>8564</v>
      </c>
      <c r="C2349" t="s">
        <v>8565</v>
      </c>
      <c r="D2349" t="s">
        <v>8128</v>
      </c>
      <c r="E2349" t="s">
        <v>6417</v>
      </c>
      <c r="F2349" t="s">
        <v>1040</v>
      </c>
      <c r="G2349" s="1">
        <v>43102</v>
      </c>
      <c r="H2349" s="1">
        <v>43465</v>
      </c>
      <c r="I2349" t="s">
        <v>665</v>
      </c>
      <c r="J2349" t="s">
        <v>6418</v>
      </c>
      <c r="K2349" t="s">
        <v>958</v>
      </c>
      <c r="L2349" t="s">
        <v>6419</v>
      </c>
      <c r="M2349" t="s">
        <v>7443</v>
      </c>
      <c r="N2349" t="s">
        <v>7444</v>
      </c>
      <c r="O2349" t="s">
        <v>6593</v>
      </c>
      <c r="P2349" t="s">
        <v>6594</v>
      </c>
      <c r="Q2349" t="s">
        <v>6565</v>
      </c>
      <c r="R2349" t="s">
        <v>6566</v>
      </c>
      <c r="S2349" t="s">
        <v>8130</v>
      </c>
      <c r="T2349" t="s">
        <v>550</v>
      </c>
      <c r="U2349" t="s">
        <v>550</v>
      </c>
      <c r="V2349" t="s">
        <v>8566</v>
      </c>
      <c r="W2349" t="s">
        <v>6964</v>
      </c>
      <c r="X2349" t="s">
        <v>6451</v>
      </c>
      <c r="Y2349" t="s">
        <v>6452</v>
      </c>
      <c r="Z2349" t="s">
        <v>8564</v>
      </c>
    </row>
    <row r="2350" spans="1:26" x14ac:dyDescent="0.3">
      <c r="A2350" t="s">
        <v>330</v>
      </c>
      <c r="B2350" t="s">
        <v>8567</v>
      </c>
      <c r="C2350" t="s">
        <v>8568</v>
      </c>
      <c r="D2350" t="s">
        <v>8128</v>
      </c>
      <c r="E2350" t="s">
        <v>6417</v>
      </c>
      <c r="F2350" t="s">
        <v>1040</v>
      </c>
      <c r="G2350" s="1">
        <v>43102</v>
      </c>
      <c r="H2350" s="1">
        <v>43465</v>
      </c>
      <c r="I2350" t="s">
        <v>665</v>
      </c>
      <c r="J2350" t="s">
        <v>6418</v>
      </c>
      <c r="K2350" t="s">
        <v>958</v>
      </c>
      <c r="L2350" t="s">
        <v>6419</v>
      </c>
      <c r="M2350" t="s">
        <v>6565</v>
      </c>
      <c r="N2350" t="s">
        <v>6566</v>
      </c>
      <c r="O2350" t="s">
        <v>6593</v>
      </c>
      <c r="P2350" t="s">
        <v>6594</v>
      </c>
      <c r="Q2350" t="s">
        <v>6565</v>
      </c>
      <c r="R2350" t="s">
        <v>6566</v>
      </c>
      <c r="S2350" t="s">
        <v>8130</v>
      </c>
      <c r="T2350" t="s">
        <v>550</v>
      </c>
      <c r="U2350" t="s">
        <v>550</v>
      </c>
      <c r="V2350" t="s">
        <v>8569</v>
      </c>
      <c r="W2350" t="s">
        <v>6972</v>
      </c>
      <c r="X2350" t="s">
        <v>6451</v>
      </c>
      <c r="Y2350" t="s">
        <v>6452</v>
      </c>
      <c r="Z2350" t="s">
        <v>8567</v>
      </c>
    </row>
    <row r="2351" spans="1:26" x14ac:dyDescent="0.3">
      <c r="A2351" t="s">
        <v>330</v>
      </c>
      <c r="B2351" t="s">
        <v>8570</v>
      </c>
      <c r="C2351" t="s">
        <v>8571</v>
      </c>
      <c r="D2351" t="s">
        <v>8128</v>
      </c>
      <c r="E2351" t="s">
        <v>6417</v>
      </c>
      <c r="F2351" t="s">
        <v>1040</v>
      </c>
      <c r="G2351" s="1">
        <v>43102</v>
      </c>
      <c r="H2351" s="1">
        <v>43465</v>
      </c>
      <c r="I2351" t="s">
        <v>665</v>
      </c>
      <c r="J2351" t="s">
        <v>6418</v>
      </c>
      <c r="K2351" t="s">
        <v>958</v>
      </c>
      <c r="L2351" t="s">
        <v>6419</v>
      </c>
      <c r="M2351" t="s">
        <v>6593</v>
      </c>
      <c r="N2351" t="s">
        <v>6594</v>
      </c>
      <c r="O2351" t="s">
        <v>6593</v>
      </c>
      <c r="P2351" t="s">
        <v>6594</v>
      </c>
      <c r="Q2351" t="s">
        <v>6565</v>
      </c>
      <c r="R2351" t="s">
        <v>6566</v>
      </c>
      <c r="S2351" t="s">
        <v>8130</v>
      </c>
      <c r="T2351" t="s">
        <v>550</v>
      </c>
      <c r="U2351" t="s">
        <v>550</v>
      </c>
      <c r="V2351" t="s">
        <v>8572</v>
      </c>
      <c r="W2351" t="s">
        <v>7171</v>
      </c>
      <c r="X2351" t="s">
        <v>6451</v>
      </c>
      <c r="Y2351" t="s">
        <v>6452</v>
      </c>
      <c r="Z2351" t="s">
        <v>8570</v>
      </c>
    </row>
    <row r="2352" spans="1:26" x14ac:dyDescent="0.3">
      <c r="A2352" t="s">
        <v>330</v>
      </c>
      <c r="B2352" t="s">
        <v>8573</v>
      </c>
      <c r="C2352" t="s">
        <v>8574</v>
      </c>
      <c r="D2352" t="s">
        <v>550</v>
      </c>
      <c r="E2352" t="s">
        <v>8575</v>
      </c>
      <c r="F2352" t="s">
        <v>1897</v>
      </c>
      <c r="G2352" s="1">
        <v>45658</v>
      </c>
      <c r="H2352" s="1">
        <v>45658</v>
      </c>
      <c r="I2352" t="s">
        <v>780</v>
      </c>
      <c r="J2352" t="s">
        <v>8387</v>
      </c>
      <c r="K2352" t="s">
        <v>4782</v>
      </c>
      <c r="L2352" t="s">
        <v>842</v>
      </c>
      <c r="M2352" t="s">
        <v>843</v>
      </c>
      <c r="N2352" t="s">
        <v>319</v>
      </c>
      <c r="O2352" t="s">
        <v>810</v>
      </c>
      <c r="P2352" t="s">
        <v>811</v>
      </c>
      <c r="Q2352" t="s">
        <v>6565</v>
      </c>
      <c r="R2352" t="s">
        <v>6566</v>
      </c>
      <c r="S2352" t="s">
        <v>7208</v>
      </c>
      <c r="T2352" t="s">
        <v>550</v>
      </c>
      <c r="U2352" t="s">
        <v>550</v>
      </c>
      <c r="V2352" t="s">
        <v>8576</v>
      </c>
      <c r="W2352" t="s">
        <v>813</v>
      </c>
      <c r="Z2352" t="s">
        <v>8573</v>
      </c>
    </row>
    <row r="2353" spans="1:26" x14ac:dyDescent="0.3">
      <c r="A2353" t="s">
        <v>330</v>
      </c>
      <c r="B2353" t="s">
        <v>8577</v>
      </c>
      <c r="C2353" t="s">
        <v>8578</v>
      </c>
      <c r="D2353" t="s">
        <v>550</v>
      </c>
      <c r="E2353" t="s">
        <v>7585</v>
      </c>
      <c r="F2353" t="s">
        <v>7586</v>
      </c>
      <c r="G2353" s="1">
        <v>44928</v>
      </c>
      <c r="H2353" s="1">
        <v>44928</v>
      </c>
      <c r="I2353" t="s">
        <v>665</v>
      </c>
      <c r="J2353" t="s">
        <v>7580</v>
      </c>
      <c r="K2353" t="s">
        <v>958</v>
      </c>
      <c r="L2353" t="s">
        <v>809</v>
      </c>
      <c r="M2353" t="s">
        <v>5783</v>
      </c>
      <c r="N2353" t="s">
        <v>5784</v>
      </c>
      <c r="O2353" t="s">
        <v>810</v>
      </c>
      <c r="P2353" t="s">
        <v>811</v>
      </c>
      <c r="Q2353" t="s">
        <v>6565</v>
      </c>
      <c r="R2353" t="s">
        <v>6566</v>
      </c>
      <c r="S2353" t="s">
        <v>550</v>
      </c>
      <c r="T2353" t="s">
        <v>550</v>
      </c>
      <c r="U2353" t="s">
        <v>550</v>
      </c>
      <c r="V2353" t="s">
        <v>8579</v>
      </c>
      <c r="W2353" t="s">
        <v>7194</v>
      </c>
      <c r="X2353" t="s">
        <v>809</v>
      </c>
      <c r="Y2353" t="s">
        <v>803</v>
      </c>
      <c r="Z2353" t="s">
        <v>8577</v>
      </c>
    </row>
    <row r="2354" spans="1:26" x14ac:dyDescent="0.3">
      <c r="A2354" t="s">
        <v>330</v>
      </c>
      <c r="B2354" t="s">
        <v>8580</v>
      </c>
      <c r="C2354" t="s">
        <v>8581</v>
      </c>
      <c r="D2354" t="s">
        <v>8577</v>
      </c>
      <c r="E2354" t="s">
        <v>7585</v>
      </c>
      <c r="F2354" t="s">
        <v>7586</v>
      </c>
      <c r="G2354" s="1">
        <v>44928</v>
      </c>
      <c r="H2354" s="1">
        <v>45057</v>
      </c>
      <c r="I2354" t="s">
        <v>665</v>
      </c>
      <c r="J2354" t="s">
        <v>7580</v>
      </c>
      <c r="K2354" t="s">
        <v>24</v>
      </c>
      <c r="L2354" t="s">
        <v>809</v>
      </c>
      <c r="M2354" t="s">
        <v>5783</v>
      </c>
      <c r="N2354" t="s">
        <v>5784</v>
      </c>
      <c r="O2354" t="s">
        <v>810</v>
      </c>
      <c r="P2354" t="s">
        <v>811</v>
      </c>
      <c r="Q2354" t="s">
        <v>6565</v>
      </c>
      <c r="R2354" t="s">
        <v>6566</v>
      </c>
      <c r="S2354" t="s">
        <v>7208</v>
      </c>
      <c r="T2354" t="s">
        <v>7470</v>
      </c>
      <c r="U2354" t="s">
        <v>550</v>
      </c>
      <c r="V2354" t="s">
        <v>8582</v>
      </c>
      <c r="W2354" t="s">
        <v>7194</v>
      </c>
      <c r="X2354" t="s">
        <v>809</v>
      </c>
      <c r="Y2354" t="s">
        <v>803</v>
      </c>
      <c r="Z2354" t="s">
        <v>8580</v>
      </c>
    </row>
    <row r="2355" spans="1:26" x14ac:dyDescent="0.3">
      <c r="A2355" t="s">
        <v>330</v>
      </c>
      <c r="B2355" t="s">
        <v>8583</v>
      </c>
      <c r="C2355" t="s">
        <v>8584</v>
      </c>
      <c r="D2355" t="s">
        <v>8577</v>
      </c>
      <c r="E2355" t="s">
        <v>7585</v>
      </c>
      <c r="F2355" t="s">
        <v>7586</v>
      </c>
      <c r="G2355" s="1">
        <v>45019</v>
      </c>
      <c r="H2355" s="1">
        <v>45019</v>
      </c>
      <c r="I2355" t="s">
        <v>665</v>
      </c>
      <c r="J2355" t="s">
        <v>7580</v>
      </c>
      <c r="K2355" t="s">
        <v>958</v>
      </c>
      <c r="L2355" t="s">
        <v>809</v>
      </c>
      <c r="M2355" t="s">
        <v>5783</v>
      </c>
      <c r="N2355" t="s">
        <v>5784</v>
      </c>
      <c r="O2355" t="s">
        <v>810</v>
      </c>
      <c r="P2355" t="s">
        <v>811</v>
      </c>
      <c r="Q2355" t="s">
        <v>6565</v>
      </c>
      <c r="R2355" t="s">
        <v>6566</v>
      </c>
      <c r="S2355" t="s">
        <v>7208</v>
      </c>
      <c r="T2355" t="s">
        <v>550</v>
      </c>
      <c r="U2355" t="s">
        <v>550</v>
      </c>
      <c r="V2355" t="s">
        <v>8585</v>
      </c>
      <c r="W2355" t="s">
        <v>7194</v>
      </c>
      <c r="X2355" t="s">
        <v>809</v>
      </c>
      <c r="Y2355" t="s">
        <v>803</v>
      </c>
      <c r="Z2355" t="s">
        <v>8583</v>
      </c>
    </row>
    <row r="2356" spans="1:26" x14ac:dyDescent="0.3">
      <c r="A2356" t="s">
        <v>330</v>
      </c>
      <c r="B2356" t="s">
        <v>8586</v>
      </c>
      <c r="C2356" t="s">
        <v>8587</v>
      </c>
      <c r="D2356" t="s">
        <v>7579</v>
      </c>
      <c r="E2356" t="s">
        <v>7580</v>
      </c>
      <c r="F2356" t="s">
        <v>5789</v>
      </c>
      <c r="G2356" s="1">
        <v>44928</v>
      </c>
      <c r="H2356" s="1">
        <v>44985</v>
      </c>
      <c r="I2356" t="s">
        <v>665</v>
      </c>
      <c r="J2356" t="s">
        <v>7581</v>
      </c>
      <c r="K2356" t="s">
        <v>958</v>
      </c>
      <c r="L2356" t="s">
        <v>809</v>
      </c>
      <c r="M2356" t="s">
        <v>5783</v>
      </c>
      <c r="N2356" t="s">
        <v>5784</v>
      </c>
      <c r="O2356" t="s">
        <v>810</v>
      </c>
      <c r="P2356" t="s">
        <v>811</v>
      </c>
      <c r="Q2356" t="s">
        <v>6565</v>
      </c>
      <c r="R2356" t="s">
        <v>6566</v>
      </c>
      <c r="S2356" t="s">
        <v>803</v>
      </c>
      <c r="T2356" t="s">
        <v>550</v>
      </c>
      <c r="U2356" t="s">
        <v>550</v>
      </c>
      <c r="V2356" t="s">
        <v>8588</v>
      </c>
      <c r="W2356" t="s">
        <v>7194</v>
      </c>
      <c r="X2356" t="s">
        <v>809</v>
      </c>
      <c r="Y2356" t="s">
        <v>803</v>
      </c>
      <c r="Z2356" t="s">
        <v>8586</v>
      </c>
    </row>
    <row r="2357" spans="1:26" x14ac:dyDescent="0.3">
      <c r="A2357" t="s">
        <v>330</v>
      </c>
      <c r="B2357" t="s">
        <v>8589</v>
      </c>
      <c r="C2357" t="s">
        <v>8590</v>
      </c>
      <c r="D2357" t="s">
        <v>8399</v>
      </c>
      <c r="E2357" t="s">
        <v>8400</v>
      </c>
      <c r="F2357" t="s">
        <v>8401</v>
      </c>
      <c r="G2357" s="1">
        <v>44928</v>
      </c>
      <c r="H2357" s="1">
        <v>45177</v>
      </c>
      <c r="I2357" t="s">
        <v>665</v>
      </c>
      <c r="J2357" t="s">
        <v>8402</v>
      </c>
      <c r="K2357" t="s">
        <v>24</v>
      </c>
      <c r="L2357" t="s">
        <v>809</v>
      </c>
      <c r="M2357" t="s">
        <v>5783</v>
      </c>
      <c r="N2357" t="s">
        <v>5784</v>
      </c>
      <c r="O2357" t="s">
        <v>810</v>
      </c>
      <c r="P2357" t="s">
        <v>811</v>
      </c>
      <c r="Q2357" t="s">
        <v>6565</v>
      </c>
      <c r="R2357" t="s">
        <v>6566</v>
      </c>
      <c r="S2357" t="s">
        <v>803</v>
      </c>
      <c r="T2357" t="s">
        <v>550</v>
      </c>
      <c r="U2357" t="s">
        <v>550</v>
      </c>
      <c r="V2357" t="s">
        <v>8591</v>
      </c>
      <c r="W2357" t="s">
        <v>7194</v>
      </c>
      <c r="X2357" t="s">
        <v>8324</v>
      </c>
      <c r="Y2357" t="s">
        <v>803</v>
      </c>
      <c r="Z2357" t="s">
        <v>8589</v>
      </c>
    </row>
    <row r="2358" spans="1:26" x14ac:dyDescent="0.3">
      <c r="A2358" t="s">
        <v>330</v>
      </c>
      <c r="B2358" t="s">
        <v>8592</v>
      </c>
      <c r="C2358" t="s">
        <v>8593</v>
      </c>
      <c r="D2358" t="s">
        <v>550</v>
      </c>
      <c r="E2358" t="s">
        <v>7512</v>
      </c>
      <c r="F2358" t="s">
        <v>7513</v>
      </c>
      <c r="G2358" s="1">
        <v>44928</v>
      </c>
      <c r="H2358" s="1">
        <v>44935</v>
      </c>
      <c r="I2358" t="s">
        <v>665</v>
      </c>
      <c r="J2358" t="s">
        <v>7095</v>
      </c>
      <c r="K2358" t="s">
        <v>24</v>
      </c>
      <c r="L2358" t="s">
        <v>809</v>
      </c>
      <c r="M2358" t="s">
        <v>5783</v>
      </c>
      <c r="N2358" t="s">
        <v>5784</v>
      </c>
      <c r="O2358" t="s">
        <v>810</v>
      </c>
      <c r="P2358" t="s">
        <v>811</v>
      </c>
      <c r="Q2358" t="s">
        <v>6565</v>
      </c>
      <c r="R2358" t="s">
        <v>6566</v>
      </c>
      <c r="S2358" t="s">
        <v>803</v>
      </c>
      <c r="T2358" t="s">
        <v>550</v>
      </c>
      <c r="U2358" t="s">
        <v>550</v>
      </c>
      <c r="V2358" t="s">
        <v>8594</v>
      </c>
      <c r="W2358" t="s">
        <v>7194</v>
      </c>
      <c r="X2358" t="s">
        <v>8324</v>
      </c>
      <c r="Y2358" t="s">
        <v>803</v>
      </c>
      <c r="Z2358" t="s">
        <v>8592</v>
      </c>
    </row>
    <row r="2359" spans="1:26" x14ac:dyDescent="0.3">
      <c r="A2359" t="s">
        <v>330</v>
      </c>
      <c r="B2359" t="s">
        <v>8595</v>
      </c>
      <c r="C2359" t="s">
        <v>8596</v>
      </c>
      <c r="D2359" t="s">
        <v>8386</v>
      </c>
      <c r="E2359" t="s">
        <v>8387</v>
      </c>
      <c r="F2359" t="s">
        <v>8388</v>
      </c>
      <c r="G2359" s="1">
        <v>45170</v>
      </c>
      <c r="H2359" s="1">
        <v>45189</v>
      </c>
      <c r="I2359" t="s">
        <v>665</v>
      </c>
      <c r="J2359" t="s">
        <v>878</v>
      </c>
      <c r="K2359" t="s">
        <v>24</v>
      </c>
      <c r="L2359" t="s">
        <v>809</v>
      </c>
      <c r="M2359" t="s">
        <v>5783</v>
      </c>
      <c r="N2359" t="s">
        <v>5784</v>
      </c>
      <c r="O2359" t="s">
        <v>810</v>
      </c>
      <c r="P2359" t="s">
        <v>811</v>
      </c>
      <c r="Q2359" t="s">
        <v>6565</v>
      </c>
      <c r="R2359" t="s">
        <v>6566</v>
      </c>
      <c r="S2359" t="s">
        <v>803</v>
      </c>
      <c r="T2359" t="s">
        <v>550</v>
      </c>
      <c r="U2359" t="s">
        <v>550</v>
      </c>
      <c r="V2359" t="s">
        <v>8597</v>
      </c>
      <c r="W2359" t="s">
        <v>7194</v>
      </c>
      <c r="X2359" t="s">
        <v>8324</v>
      </c>
      <c r="Y2359" t="s">
        <v>803</v>
      </c>
      <c r="Z2359" t="s">
        <v>8386</v>
      </c>
    </row>
    <row r="2360" spans="1:26" x14ac:dyDescent="0.3">
      <c r="A2360" t="s">
        <v>330</v>
      </c>
      <c r="B2360" t="s">
        <v>8598</v>
      </c>
      <c r="C2360" t="s">
        <v>8599</v>
      </c>
      <c r="D2360" t="s">
        <v>8373</v>
      </c>
      <c r="E2360" t="s">
        <v>7153</v>
      </c>
      <c r="F2360" t="s">
        <v>7154</v>
      </c>
      <c r="G2360" s="1">
        <v>45231</v>
      </c>
      <c r="H2360" s="1">
        <v>45238</v>
      </c>
      <c r="I2360" t="s">
        <v>665</v>
      </c>
      <c r="J2360" t="s">
        <v>7155</v>
      </c>
      <c r="K2360" t="s">
        <v>24</v>
      </c>
      <c r="L2360" t="s">
        <v>809</v>
      </c>
      <c r="M2360" t="s">
        <v>5783</v>
      </c>
      <c r="N2360" t="s">
        <v>5784</v>
      </c>
      <c r="O2360" t="s">
        <v>810</v>
      </c>
      <c r="P2360" t="s">
        <v>811</v>
      </c>
      <c r="Q2360" t="s">
        <v>6565</v>
      </c>
      <c r="R2360" t="s">
        <v>6566</v>
      </c>
      <c r="S2360" t="s">
        <v>803</v>
      </c>
      <c r="T2360" t="s">
        <v>550</v>
      </c>
      <c r="U2360" t="s">
        <v>550</v>
      </c>
      <c r="V2360" t="s">
        <v>8600</v>
      </c>
      <c r="W2360" t="s">
        <v>7194</v>
      </c>
      <c r="X2360" t="s">
        <v>8324</v>
      </c>
      <c r="Y2360" t="s">
        <v>803</v>
      </c>
      <c r="Z2360" t="s">
        <v>8598</v>
      </c>
    </row>
    <row r="2361" spans="1:26" x14ac:dyDescent="0.3">
      <c r="A2361" t="s">
        <v>330</v>
      </c>
      <c r="B2361" t="s">
        <v>8601</v>
      </c>
      <c r="C2361" t="s">
        <v>8602</v>
      </c>
      <c r="D2361" t="s">
        <v>7539</v>
      </c>
      <c r="E2361" t="s">
        <v>7541</v>
      </c>
      <c r="F2361" t="s">
        <v>7542</v>
      </c>
      <c r="G2361" s="1">
        <v>44928</v>
      </c>
      <c r="H2361" s="1">
        <v>44950</v>
      </c>
      <c r="I2361" t="s">
        <v>665</v>
      </c>
      <c r="J2361" t="s">
        <v>7517</v>
      </c>
      <c r="K2361" t="s">
        <v>958</v>
      </c>
      <c r="L2361" t="s">
        <v>809</v>
      </c>
      <c r="M2361" t="s">
        <v>5783</v>
      </c>
      <c r="N2361" t="s">
        <v>5784</v>
      </c>
      <c r="O2361" t="s">
        <v>810</v>
      </c>
      <c r="P2361" t="s">
        <v>811</v>
      </c>
      <c r="Q2361" t="s">
        <v>6565</v>
      </c>
      <c r="R2361" t="s">
        <v>6566</v>
      </c>
      <c r="S2361" t="s">
        <v>803</v>
      </c>
      <c r="T2361" t="s">
        <v>550</v>
      </c>
      <c r="U2361" t="s">
        <v>550</v>
      </c>
      <c r="V2361" t="s">
        <v>8603</v>
      </c>
      <c r="W2361" t="s">
        <v>7194</v>
      </c>
      <c r="X2361" t="s">
        <v>8324</v>
      </c>
      <c r="Y2361" t="s">
        <v>7099</v>
      </c>
      <c r="Z2361" t="s">
        <v>8601</v>
      </c>
    </row>
    <row r="2362" spans="1:26" x14ac:dyDescent="0.3">
      <c r="A2362" t="s">
        <v>330</v>
      </c>
      <c r="B2362" t="s">
        <v>8604</v>
      </c>
      <c r="C2362" t="s">
        <v>8605</v>
      </c>
      <c r="D2362" t="s">
        <v>7188</v>
      </c>
      <c r="E2362" t="s">
        <v>7190</v>
      </c>
      <c r="F2362" t="s">
        <v>7191</v>
      </c>
      <c r="G2362" s="1">
        <v>44928</v>
      </c>
      <c r="H2362" s="1">
        <v>45030</v>
      </c>
      <c r="I2362" t="s">
        <v>665</v>
      </c>
      <c r="J2362" t="s">
        <v>7192</v>
      </c>
      <c r="K2362" t="s">
        <v>958</v>
      </c>
      <c r="L2362" t="s">
        <v>809</v>
      </c>
      <c r="M2362" t="s">
        <v>5783</v>
      </c>
      <c r="N2362" t="s">
        <v>5784</v>
      </c>
      <c r="O2362" t="s">
        <v>810</v>
      </c>
      <c r="P2362" t="s">
        <v>811</v>
      </c>
      <c r="Q2362" t="s">
        <v>6565</v>
      </c>
      <c r="R2362" t="s">
        <v>6566</v>
      </c>
      <c r="S2362" t="s">
        <v>803</v>
      </c>
      <c r="T2362" t="s">
        <v>550</v>
      </c>
      <c r="U2362" t="s">
        <v>550</v>
      </c>
      <c r="V2362" t="s">
        <v>8606</v>
      </c>
      <c r="W2362" t="s">
        <v>7194</v>
      </c>
      <c r="X2362" t="s">
        <v>8324</v>
      </c>
      <c r="Y2362" t="s">
        <v>7099</v>
      </c>
      <c r="Z2362" t="s">
        <v>8604</v>
      </c>
    </row>
    <row r="2363" spans="1:26" x14ac:dyDescent="0.3">
      <c r="A2363" t="s">
        <v>330</v>
      </c>
      <c r="B2363" t="s">
        <v>8607</v>
      </c>
      <c r="C2363" t="s">
        <v>8608</v>
      </c>
      <c r="D2363" t="s">
        <v>8322</v>
      </c>
      <c r="E2363" t="s">
        <v>7109</v>
      </c>
      <c r="F2363" t="s">
        <v>7489</v>
      </c>
      <c r="G2363" s="1">
        <v>45215</v>
      </c>
      <c r="H2363" s="1">
        <v>45215</v>
      </c>
      <c r="I2363" t="s">
        <v>665</v>
      </c>
      <c r="J2363" t="s">
        <v>7490</v>
      </c>
      <c r="K2363" t="s">
        <v>24</v>
      </c>
      <c r="L2363" t="s">
        <v>809</v>
      </c>
      <c r="M2363" t="s">
        <v>5783</v>
      </c>
      <c r="N2363" t="s">
        <v>5784</v>
      </c>
      <c r="O2363" t="s">
        <v>810</v>
      </c>
      <c r="P2363" t="s">
        <v>811</v>
      </c>
      <c r="Q2363" t="s">
        <v>6565</v>
      </c>
      <c r="R2363" t="s">
        <v>6566</v>
      </c>
      <c r="S2363" t="s">
        <v>803</v>
      </c>
      <c r="T2363" t="s">
        <v>550</v>
      </c>
      <c r="U2363" t="s">
        <v>550</v>
      </c>
      <c r="V2363" t="s">
        <v>8609</v>
      </c>
      <c r="W2363" t="s">
        <v>813</v>
      </c>
      <c r="X2363" t="s">
        <v>8324</v>
      </c>
      <c r="Y2363" t="s">
        <v>803</v>
      </c>
      <c r="Z2363" t="s">
        <v>8607</v>
      </c>
    </row>
    <row r="2364" spans="1:26" x14ac:dyDescent="0.3">
      <c r="A2364" t="s">
        <v>330</v>
      </c>
      <c r="B2364" t="s">
        <v>8610</v>
      </c>
      <c r="C2364" t="s">
        <v>7473</v>
      </c>
      <c r="D2364" t="s">
        <v>8350</v>
      </c>
      <c r="E2364" t="s">
        <v>6417</v>
      </c>
      <c r="F2364" t="s">
        <v>1040</v>
      </c>
      <c r="G2364" s="1">
        <v>44927</v>
      </c>
      <c r="H2364" s="1">
        <v>45393</v>
      </c>
      <c r="I2364" t="s">
        <v>665</v>
      </c>
      <c r="J2364" t="s">
        <v>6418</v>
      </c>
      <c r="K2364" t="s">
        <v>958</v>
      </c>
      <c r="L2364" t="s">
        <v>6419</v>
      </c>
      <c r="M2364" t="s">
        <v>5783</v>
      </c>
      <c r="N2364" t="s">
        <v>5784</v>
      </c>
      <c r="O2364" t="s">
        <v>810</v>
      </c>
      <c r="P2364" t="s">
        <v>811</v>
      </c>
      <c r="Q2364" t="s">
        <v>6565</v>
      </c>
      <c r="R2364" t="s">
        <v>6566</v>
      </c>
      <c r="S2364" t="s">
        <v>8351</v>
      </c>
      <c r="T2364" t="s">
        <v>7470</v>
      </c>
      <c r="U2364" t="s">
        <v>550</v>
      </c>
      <c r="V2364" t="s">
        <v>8611</v>
      </c>
      <c r="W2364" t="s">
        <v>6972</v>
      </c>
      <c r="X2364" t="s">
        <v>6451</v>
      </c>
      <c r="Y2364" t="s">
        <v>6452</v>
      </c>
      <c r="Z2364" t="s">
        <v>8610</v>
      </c>
    </row>
    <row r="2365" spans="1:26" x14ac:dyDescent="0.3">
      <c r="A2365" t="s">
        <v>330</v>
      </c>
      <c r="B2365" t="s">
        <v>8612</v>
      </c>
      <c r="C2365" t="s">
        <v>7463</v>
      </c>
      <c r="D2365" t="s">
        <v>8350</v>
      </c>
      <c r="E2365" t="s">
        <v>6417</v>
      </c>
      <c r="F2365" t="s">
        <v>1040</v>
      </c>
      <c r="G2365" s="1">
        <v>44927</v>
      </c>
      <c r="H2365" s="1">
        <v>45118</v>
      </c>
      <c r="I2365" t="s">
        <v>665</v>
      </c>
      <c r="J2365" t="s">
        <v>6418</v>
      </c>
      <c r="K2365" t="s">
        <v>958</v>
      </c>
      <c r="L2365" t="s">
        <v>6419</v>
      </c>
      <c r="M2365" t="s">
        <v>5783</v>
      </c>
      <c r="N2365" t="s">
        <v>5784</v>
      </c>
      <c r="O2365" t="s">
        <v>810</v>
      </c>
      <c r="P2365" t="s">
        <v>811</v>
      </c>
      <c r="Q2365" t="s">
        <v>6565</v>
      </c>
      <c r="R2365" t="s">
        <v>6566</v>
      </c>
      <c r="S2365" t="s">
        <v>8351</v>
      </c>
      <c r="T2365" t="s">
        <v>7470</v>
      </c>
      <c r="U2365" t="s">
        <v>550</v>
      </c>
      <c r="V2365" t="s">
        <v>8613</v>
      </c>
      <c r="W2365" t="s">
        <v>6972</v>
      </c>
      <c r="X2365" t="s">
        <v>6451</v>
      </c>
      <c r="Y2365" t="s">
        <v>6452</v>
      </c>
      <c r="Z2365" t="s">
        <v>8612</v>
      </c>
    </row>
    <row r="2366" spans="1:26" x14ac:dyDescent="0.3">
      <c r="A2366" t="s">
        <v>330</v>
      </c>
      <c r="B2366" t="s">
        <v>8614</v>
      </c>
      <c r="C2366" t="s">
        <v>7469</v>
      </c>
      <c r="D2366" t="s">
        <v>8350</v>
      </c>
      <c r="E2366" t="s">
        <v>6417</v>
      </c>
      <c r="F2366" t="s">
        <v>1040</v>
      </c>
      <c r="G2366" s="1">
        <v>44927</v>
      </c>
      <c r="H2366" s="1">
        <v>45083</v>
      </c>
      <c r="I2366" t="s">
        <v>665</v>
      </c>
      <c r="J2366" t="s">
        <v>6418</v>
      </c>
      <c r="K2366" t="s">
        <v>958</v>
      </c>
      <c r="L2366" t="s">
        <v>6419</v>
      </c>
      <c r="M2366" t="s">
        <v>5783</v>
      </c>
      <c r="N2366" t="s">
        <v>5784</v>
      </c>
      <c r="O2366" t="s">
        <v>810</v>
      </c>
      <c r="P2366" t="s">
        <v>811</v>
      </c>
      <c r="Q2366" t="s">
        <v>6565</v>
      </c>
      <c r="R2366" t="s">
        <v>6566</v>
      </c>
      <c r="S2366" t="s">
        <v>8351</v>
      </c>
      <c r="T2366" t="s">
        <v>7470</v>
      </c>
      <c r="U2366" t="s">
        <v>550</v>
      </c>
      <c r="V2366" t="s">
        <v>8615</v>
      </c>
      <c r="W2366" t="s">
        <v>6972</v>
      </c>
      <c r="X2366" t="s">
        <v>6451</v>
      </c>
      <c r="Y2366" t="s">
        <v>6452</v>
      </c>
      <c r="Z2366" t="s">
        <v>8614</v>
      </c>
    </row>
    <row r="2367" spans="1:26" x14ac:dyDescent="0.3">
      <c r="A2367" t="s">
        <v>330</v>
      </c>
      <c r="B2367" t="s">
        <v>8616</v>
      </c>
      <c r="C2367" t="s">
        <v>8617</v>
      </c>
      <c r="D2367" t="s">
        <v>8395</v>
      </c>
      <c r="E2367" t="s">
        <v>7238</v>
      </c>
      <c r="F2367" t="s">
        <v>7508</v>
      </c>
      <c r="G2367" s="1">
        <v>44928</v>
      </c>
      <c r="H2367" s="1">
        <v>44967</v>
      </c>
      <c r="I2367" t="s">
        <v>665</v>
      </c>
      <c r="J2367" t="s">
        <v>7108</v>
      </c>
      <c r="K2367" t="s">
        <v>24</v>
      </c>
      <c r="L2367" t="s">
        <v>809</v>
      </c>
      <c r="M2367" t="s">
        <v>5783</v>
      </c>
      <c r="N2367" t="s">
        <v>5784</v>
      </c>
      <c r="O2367" t="s">
        <v>810</v>
      </c>
      <c r="P2367" t="s">
        <v>811</v>
      </c>
      <c r="Q2367" t="s">
        <v>6565</v>
      </c>
      <c r="R2367" t="s">
        <v>6566</v>
      </c>
      <c r="S2367" t="s">
        <v>803</v>
      </c>
      <c r="T2367" t="s">
        <v>550</v>
      </c>
      <c r="U2367" t="s">
        <v>550</v>
      </c>
      <c r="V2367" t="s">
        <v>8618</v>
      </c>
      <c r="W2367" t="s">
        <v>7194</v>
      </c>
      <c r="X2367" t="s">
        <v>809</v>
      </c>
      <c r="Y2367" t="s">
        <v>803</v>
      </c>
      <c r="Z2367" t="s">
        <v>8395</v>
      </c>
    </row>
    <row r="2368" spans="1:26" x14ac:dyDescent="0.3">
      <c r="A2368" t="s">
        <v>330</v>
      </c>
      <c r="B2368" t="s">
        <v>8619</v>
      </c>
      <c r="C2368" t="s">
        <v>8620</v>
      </c>
      <c r="D2368" t="s">
        <v>8395</v>
      </c>
      <c r="E2368" t="s">
        <v>7238</v>
      </c>
      <c r="F2368" t="s">
        <v>7508</v>
      </c>
      <c r="G2368" s="1">
        <v>44866</v>
      </c>
      <c r="H2368" s="1">
        <v>44875</v>
      </c>
      <c r="I2368" t="s">
        <v>665</v>
      </c>
      <c r="J2368" t="s">
        <v>7108</v>
      </c>
      <c r="K2368" t="s">
        <v>24</v>
      </c>
      <c r="L2368" t="s">
        <v>809</v>
      </c>
      <c r="M2368" t="s">
        <v>5783</v>
      </c>
      <c r="N2368" t="s">
        <v>5784</v>
      </c>
      <c r="O2368" t="s">
        <v>810</v>
      </c>
      <c r="P2368" t="s">
        <v>811</v>
      </c>
      <c r="Q2368" t="s">
        <v>6565</v>
      </c>
      <c r="R2368" t="s">
        <v>6566</v>
      </c>
      <c r="S2368" t="s">
        <v>803</v>
      </c>
      <c r="T2368" t="s">
        <v>550</v>
      </c>
      <c r="U2368" t="s">
        <v>550</v>
      </c>
      <c r="V2368" t="s">
        <v>8621</v>
      </c>
      <c r="W2368" t="s">
        <v>7194</v>
      </c>
      <c r="X2368" t="s">
        <v>809</v>
      </c>
      <c r="Y2368" t="s">
        <v>803</v>
      </c>
      <c r="Z2368" t="s">
        <v>8619</v>
      </c>
    </row>
    <row r="2369" spans="1:26" x14ac:dyDescent="0.3">
      <c r="A2369" t="s">
        <v>330</v>
      </c>
      <c r="B2369" t="s">
        <v>8350</v>
      </c>
      <c r="C2369" t="s">
        <v>7221</v>
      </c>
      <c r="D2369" t="s">
        <v>550</v>
      </c>
      <c r="E2369" t="s">
        <v>6417</v>
      </c>
      <c r="F2369" t="s">
        <v>1040</v>
      </c>
      <c r="G2369" s="1">
        <v>44928</v>
      </c>
      <c r="H2369" s="1">
        <v>44928</v>
      </c>
      <c r="I2369" t="s">
        <v>665</v>
      </c>
      <c r="J2369" t="s">
        <v>6418</v>
      </c>
      <c r="K2369" t="s">
        <v>958</v>
      </c>
      <c r="L2369" t="s">
        <v>6419</v>
      </c>
      <c r="M2369" t="s">
        <v>883</v>
      </c>
      <c r="N2369" t="s">
        <v>884</v>
      </c>
      <c r="O2369" t="s">
        <v>810</v>
      </c>
      <c r="P2369" t="s">
        <v>811</v>
      </c>
      <c r="Q2369" t="s">
        <v>6565</v>
      </c>
      <c r="R2369" t="s">
        <v>6566</v>
      </c>
      <c r="S2369" t="s">
        <v>8351</v>
      </c>
      <c r="T2369" t="s">
        <v>550</v>
      </c>
      <c r="U2369" t="s">
        <v>550</v>
      </c>
      <c r="V2369" t="s">
        <v>8622</v>
      </c>
      <c r="W2369" t="s">
        <v>6972</v>
      </c>
      <c r="X2369" t="s">
        <v>6451</v>
      </c>
      <c r="Y2369" t="s">
        <v>6452</v>
      </c>
      <c r="Z2369" t="s">
        <v>8350</v>
      </c>
    </row>
    <row r="2370" spans="1:26" x14ac:dyDescent="0.3">
      <c r="A2370" t="s">
        <v>330</v>
      </c>
      <c r="B2370" t="s">
        <v>8395</v>
      </c>
      <c r="C2370" t="s">
        <v>8623</v>
      </c>
      <c r="D2370" t="s">
        <v>550</v>
      </c>
      <c r="E2370" t="s">
        <v>7238</v>
      </c>
      <c r="F2370" t="s">
        <v>7508</v>
      </c>
      <c r="G2370" s="1">
        <v>44866</v>
      </c>
      <c r="H2370" s="1">
        <v>44866</v>
      </c>
      <c r="I2370" t="s">
        <v>665</v>
      </c>
      <c r="J2370" t="s">
        <v>7108</v>
      </c>
      <c r="K2370" t="s">
        <v>24</v>
      </c>
      <c r="L2370" t="s">
        <v>809</v>
      </c>
      <c r="M2370" t="s">
        <v>881</v>
      </c>
      <c r="N2370" t="s">
        <v>882</v>
      </c>
      <c r="O2370" t="s">
        <v>810</v>
      </c>
      <c r="P2370" t="s">
        <v>811</v>
      </c>
      <c r="Q2370" t="s">
        <v>6565</v>
      </c>
      <c r="R2370" t="s">
        <v>6566</v>
      </c>
      <c r="S2370" t="s">
        <v>803</v>
      </c>
      <c r="T2370" t="s">
        <v>550</v>
      </c>
      <c r="U2370" t="s">
        <v>550</v>
      </c>
      <c r="V2370" t="s">
        <v>8618</v>
      </c>
      <c r="W2370" t="s">
        <v>7194</v>
      </c>
      <c r="X2370" t="s">
        <v>809</v>
      </c>
      <c r="Y2370" t="s">
        <v>803</v>
      </c>
      <c r="Z2370" t="s">
        <v>8395</v>
      </c>
    </row>
    <row r="2371" spans="1:26" x14ac:dyDescent="0.3">
      <c r="A2371" t="s">
        <v>330</v>
      </c>
      <c r="B2371" t="s">
        <v>8624</v>
      </c>
      <c r="C2371" t="s">
        <v>7253</v>
      </c>
      <c r="D2371" t="s">
        <v>8350</v>
      </c>
      <c r="E2371" t="s">
        <v>6417</v>
      </c>
      <c r="F2371" t="s">
        <v>1040</v>
      </c>
      <c r="G2371" s="1">
        <v>44927</v>
      </c>
      <c r="H2371" s="1">
        <v>45148</v>
      </c>
      <c r="I2371" t="s">
        <v>665</v>
      </c>
      <c r="J2371" t="s">
        <v>6418</v>
      </c>
      <c r="K2371" t="s">
        <v>958</v>
      </c>
      <c r="L2371" t="s">
        <v>6419</v>
      </c>
      <c r="M2371" t="s">
        <v>881</v>
      </c>
      <c r="N2371" t="s">
        <v>882</v>
      </c>
      <c r="O2371" t="s">
        <v>810</v>
      </c>
      <c r="P2371" t="s">
        <v>811</v>
      </c>
      <c r="Q2371" t="s">
        <v>6565</v>
      </c>
      <c r="R2371" t="s">
        <v>6566</v>
      </c>
      <c r="S2371" t="s">
        <v>8351</v>
      </c>
      <c r="T2371" t="s">
        <v>7245</v>
      </c>
      <c r="U2371" t="s">
        <v>550</v>
      </c>
      <c r="V2371" t="s">
        <v>8625</v>
      </c>
      <c r="W2371" t="s">
        <v>6972</v>
      </c>
      <c r="X2371" t="s">
        <v>6451</v>
      </c>
      <c r="Y2371" t="s">
        <v>6452</v>
      </c>
      <c r="Z2371" t="s">
        <v>8624</v>
      </c>
    </row>
    <row r="2372" spans="1:26" x14ac:dyDescent="0.3">
      <c r="A2372" t="s">
        <v>330</v>
      </c>
      <c r="B2372" t="s">
        <v>8626</v>
      </c>
      <c r="C2372" t="s">
        <v>8627</v>
      </c>
      <c r="D2372" t="s">
        <v>8255</v>
      </c>
      <c r="E2372" t="s">
        <v>6417</v>
      </c>
      <c r="F2372" t="s">
        <v>1040</v>
      </c>
      <c r="G2372" s="1">
        <v>43831</v>
      </c>
      <c r="H2372" s="1">
        <v>43858</v>
      </c>
      <c r="I2372" t="s">
        <v>8628</v>
      </c>
      <c r="J2372" t="s">
        <v>6418</v>
      </c>
      <c r="K2372" t="s">
        <v>958</v>
      </c>
      <c r="L2372" t="s">
        <v>6419</v>
      </c>
      <c r="M2372" t="s">
        <v>1301</v>
      </c>
      <c r="N2372" t="s">
        <v>1302</v>
      </c>
      <c r="O2372" t="s">
        <v>1301</v>
      </c>
      <c r="P2372" t="s">
        <v>1302</v>
      </c>
      <c r="Q2372" t="s">
        <v>6565</v>
      </c>
      <c r="R2372" t="s">
        <v>6566</v>
      </c>
      <c r="S2372" t="s">
        <v>8256</v>
      </c>
      <c r="T2372" t="s">
        <v>550</v>
      </c>
      <c r="U2372" t="s">
        <v>550</v>
      </c>
      <c r="V2372" t="s">
        <v>8629</v>
      </c>
      <c r="W2372" t="s">
        <v>6972</v>
      </c>
      <c r="X2372" t="s">
        <v>6451</v>
      </c>
      <c r="Y2372" t="s">
        <v>6452</v>
      </c>
      <c r="Z2372" t="s">
        <v>8626</v>
      </c>
    </row>
    <row r="2373" spans="1:26" x14ac:dyDescent="0.3">
      <c r="A2373" t="s">
        <v>330</v>
      </c>
      <c r="B2373" t="s">
        <v>8630</v>
      </c>
      <c r="C2373" t="s">
        <v>8631</v>
      </c>
      <c r="D2373" t="s">
        <v>8255</v>
      </c>
      <c r="E2373" t="s">
        <v>6417</v>
      </c>
      <c r="F2373" t="s">
        <v>1040</v>
      </c>
      <c r="G2373" s="1">
        <v>43831</v>
      </c>
      <c r="H2373" s="1">
        <v>43917</v>
      </c>
      <c r="I2373" t="s">
        <v>665</v>
      </c>
      <c r="J2373" t="s">
        <v>6418</v>
      </c>
      <c r="K2373" t="s">
        <v>958</v>
      </c>
      <c r="L2373" t="s">
        <v>6419</v>
      </c>
      <c r="M2373" t="s">
        <v>1301</v>
      </c>
      <c r="N2373" t="s">
        <v>1302</v>
      </c>
      <c r="O2373" t="s">
        <v>1301</v>
      </c>
      <c r="P2373" t="s">
        <v>1302</v>
      </c>
      <c r="Q2373" t="s">
        <v>6565</v>
      </c>
      <c r="R2373" t="s">
        <v>6566</v>
      </c>
      <c r="S2373" t="s">
        <v>8256</v>
      </c>
      <c r="T2373" t="s">
        <v>550</v>
      </c>
      <c r="U2373" t="s">
        <v>550</v>
      </c>
      <c r="V2373" t="s">
        <v>8632</v>
      </c>
      <c r="W2373" t="s">
        <v>6972</v>
      </c>
      <c r="X2373" t="s">
        <v>6451</v>
      </c>
      <c r="Y2373" t="s">
        <v>6452</v>
      </c>
      <c r="Z2373" t="s">
        <v>8630</v>
      </c>
    </row>
    <row r="2374" spans="1:26" x14ac:dyDescent="0.3">
      <c r="A2374" t="s">
        <v>330</v>
      </c>
      <c r="B2374" t="s">
        <v>8633</v>
      </c>
      <c r="C2374" t="s">
        <v>8634</v>
      </c>
      <c r="D2374" t="s">
        <v>8255</v>
      </c>
      <c r="E2374" t="s">
        <v>6417</v>
      </c>
      <c r="F2374" t="s">
        <v>1040</v>
      </c>
      <c r="G2374" s="1">
        <v>43831</v>
      </c>
      <c r="H2374" s="1">
        <v>43972</v>
      </c>
      <c r="I2374" t="s">
        <v>665</v>
      </c>
      <c r="J2374" t="s">
        <v>6418</v>
      </c>
      <c r="K2374" t="s">
        <v>958</v>
      </c>
      <c r="L2374" t="s">
        <v>6419</v>
      </c>
      <c r="M2374" t="s">
        <v>1301</v>
      </c>
      <c r="N2374" t="s">
        <v>1302</v>
      </c>
      <c r="O2374" t="s">
        <v>1301</v>
      </c>
      <c r="P2374" t="s">
        <v>1302</v>
      </c>
      <c r="Q2374" t="s">
        <v>6565</v>
      </c>
      <c r="R2374" t="s">
        <v>6566</v>
      </c>
      <c r="S2374" t="s">
        <v>8256</v>
      </c>
      <c r="T2374" t="s">
        <v>550</v>
      </c>
      <c r="U2374" t="s">
        <v>550</v>
      </c>
      <c r="V2374" t="s">
        <v>8635</v>
      </c>
      <c r="W2374" t="s">
        <v>6972</v>
      </c>
      <c r="X2374" t="s">
        <v>6451</v>
      </c>
      <c r="Y2374" t="s">
        <v>6452</v>
      </c>
      <c r="Z2374" t="s">
        <v>8633</v>
      </c>
    </row>
    <row r="2375" spans="1:26" x14ac:dyDescent="0.3">
      <c r="A2375" t="s">
        <v>330</v>
      </c>
      <c r="B2375" t="s">
        <v>8636</v>
      </c>
      <c r="C2375" t="s">
        <v>8637</v>
      </c>
      <c r="D2375" t="s">
        <v>8255</v>
      </c>
      <c r="E2375" t="s">
        <v>6417</v>
      </c>
      <c r="F2375" t="s">
        <v>1040</v>
      </c>
      <c r="G2375" s="1">
        <v>43831</v>
      </c>
      <c r="H2375" s="1">
        <v>43875</v>
      </c>
      <c r="I2375" t="s">
        <v>665</v>
      </c>
      <c r="J2375" t="s">
        <v>6418</v>
      </c>
      <c r="K2375" t="s">
        <v>958</v>
      </c>
      <c r="L2375" t="s">
        <v>6419</v>
      </c>
      <c r="M2375" t="s">
        <v>1301</v>
      </c>
      <c r="N2375" t="s">
        <v>1302</v>
      </c>
      <c r="O2375" t="s">
        <v>1301</v>
      </c>
      <c r="P2375" t="s">
        <v>1302</v>
      </c>
      <c r="Q2375" t="s">
        <v>6565</v>
      </c>
      <c r="R2375" t="s">
        <v>6566</v>
      </c>
      <c r="S2375" t="s">
        <v>8256</v>
      </c>
      <c r="T2375" t="s">
        <v>550</v>
      </c>
      <c r="U2375" t="s">
        <v>550</v>
      </c>
      <c r="V2375" t="s">
        <v>8638</v>
      </c>
      <c r="W2375" t="s">
        <v>6972</v>
      </c>
      <c r="X2375" t="s">
        <v>6451</v>
      </c>
      <c r="Y2375" t="s">
        <v>6452</v>
      </c>
      <c r="Z2375" t="s">
        <v>8636</v>
      </c>
    </row>
    <row r="2376" spans="1:26" x14ac:dyDescent="0.3">
      <c r="A2376" t="s">
        <v>330</v>
      </c>
      <c r="B2376" t="s">
        <v>8639</v>
      </c>
      <c r="C2376" t="s">
        <v>8640</v>
      </c>
      <c r="D2376" t="s">
        <v>8255</v>
      </c>
      <c r="E2376" t="s">
        <v>6417</v>
      </c>
      <c r="F2376" t="s">
        <v>1040</v>
      </c>
      <c r="G2376" s="1">
        <v>43831</v>
      </c>
      <c r="H2376" s="1">
        <v>44026</v>
      </c>
      <c r="I2376" t="s">
        <v>665</v>
      </c>
      <c r="J2376" t="s">
        <v>6418</v>
      </c>
      <c r="K2376" t="s">
        <v>958</v>
      </c>
      <c r="L2376" t="s">
        <v>6419</v>
      </c>
      <c r="M2376" t="s">
        <v>1301</v>
      </c>
      <c r="N2376" t="s">
        <v>1302</v>
      </c>
      <c r="O2376" t="s">
        <v>1301</v>
      </c>
      <c r="P2376" t="s">
        <v>1302</v>
      </c>
      <c r="Q2376" t="s">
        <v>6565</v>
      </c>
      <c r="R2376" t="s">
        <v>6566</v>
      </c>
      <c r="S2376" t="s">
        <v>8256</v>
      </c>
      <c r="T2376" t="s">
        <v>550</v>
      </c>
      <c r="U2376" t="s">
        <v>550</v>
      </c>
      <c r="V2376" t="s">
        <v>8641</v>
      </c>
      <c r="W2376" t="s">
        <v>6972</v>
      </c>
      <c r="X2376" t="s">
        <v>6451</v>
      </c>
      <c r="Y2376" t="s">
        <v>6452</v>
      </c>
      <c r="Z2376" t="s">
        <v>8639</v>
      </c>
    </row>
    <row r="2377" spans="1:26" x14ac:dyDescent="0.3">
      <c r="A2377" t="s">
        <v>330</v>
      </c>
      <c r="B2377" t="s">
        <v>8642</v>
      </c>
      <c r="C2377" t="s">
        <v>8643</v>
      </c>
      <c r="D2377" t="s">
        <v>8255</v>
      </c>
      <c r="E2377" t="s">
        <v>6417</v>
      </c>
      <c r="F2377" t="s">
        <v>1040</v>
      </c>
      <c r="G2377" s="1">
        <v>43831</v>
      </c>
      <c r="H2377" s="1">
        <v>43906</v>
      </c>
      <c r="I2377" t="s">
        <v>665</v>
      </c>
      <c r="J2377" t="s">
        <v>6418</v>
      </c>
      <c r="K2377" t="s">
        <v>958</v>
      </c>
      <c r="L2377" t="s">
        <v>6419</v>
      </c>
      <c r="M2377" t="s">
        <v>1301</v>
      </c>
      <c r="N2377" t="s">
        <v>1302</v>
      </c>
      <c r="O2377" t="s">
        <v>1301</v>
      </c>
      <c r="P2377" t="s">
        <v>1302</v>
      </c>
      <c r="Q2377" t="s">
        <v>6565</v>
      </c>
      <c r="R2377" t="s">
        <v>6566</v>
      </c>
      <c r="S2377" t="s">
        <v>8256</v>
      </c>
      <c r="T2377" t="s">
        <v>550</v>
      </c>
      <c r="U2377" t="s">
        <v>550</v>
      </c>
      <c r="V2377" t="s">
        <v>8644</v>
      </c>
      <c r="W2377" t="s">
        <v>6972</v>
      </c>
      <c r="X2377" t="s">
        <v>6451</v>
      </c>
      <c r="Y2377" t="s">
        <v>6452</v>
      </c>
      <c r="Z2377" t="s">
        <v>8642</v>
      </c>
    </row>
    <row r="2378" spans="1:26" x14ac:dyDescent="0.3">
      <c r="A2378" t="s">
        <v>330</v>
      </c>
      <c r="B2378" t="s">
        <v>8645</v>
      </c>
      <c r="C2378" t="s">
        <v>8646</v>
      </c>
      <c r="D2378" t="s">
        <v>8255</v>
      </c>
      <c r="E2378" t="s">
        <v>6417</v>
      </c>
      <c r="F2378" t="s">
        <v>1040</v>
      </c>
      <c r="G2378" s="1">
        <v>43831</v>
      </c>
      <c r="H2378" s="1">
        <v>43969</v>
      </c>
      <c r="I2378" t="s">
        <v>665</v>
      </c>
      <c r="J2378" t="s">
        <v>6418</v>
      </c>
      <c r="K2378" t="s">
        <v>958</v>
      </c>
      <c r="L2378" t="s">
        <v>6419</v>
      </c>
      <c r="M2378" t="s">
        <v>1301</v>
      </c>
      <c r="N2378" t="s">
        <v>1302</v>
      </c>
      <c r="O2378" t="s">
        <v>1301</v>
      </c>
      <c r="P2378" t="s">
        <v>1302</v>
      </c>
      <c r="Q2378" t="s">
        <v>6565</v>
      </c>
      <c r="R2378" t="s">
        <v>6566</v>
      </c>
      <c r="S2378" t="s">
        <v>8256</v>
      </c>
      <c r="T2378" t="s">
        <v>550</v>
      </c>
      <c r="U2378" t="s">
        <v>550</v>
      </c>
      <c r="V2378" t="s">
        <v>8647</v>
      </c>
      <c r="W2378" t="s">
        <v>6972</v>
      </c>
      <c r="X2378" t="s">
        <v>6451</v>
      </c>
      <c r="Y2378" t="s">
        <v>6452</v>
      </c>
      <c r="Z2378" t="s">
        <v>8645</v>
      </c>
    </row>
    <row r="2379" spans="1:26" x14ac:dyDescent="0.3">
      <c r="A2379" t="s">
        <v>330</v>
      </c>
      <c r="B2379" t="s">
        <v>8648</v>
      </c>
      <c r="C2379" t="s">
        <v>8649</v>
      </c>
      <c r="D2379" t="s">
        <v>8255</v>
      </c>
      <c r="E2379" t="s">
        <v>6417</v>
      </c>
      <c r="F2379" t="s">
        <v>1040</v>
      </c>
      <c r="G2379" s="1">
        <v>43831</v>
      </c>
      <c r="H2379" s="1">
        <v>43895</v>
      </c>
      <c r="I2379" t="s">
        <v>665</v>
      </c>
      <c r="J2379" t="s">
        <v>6418</v>
      </c>
      <c r="K2379" t="s">
        <v>958</v>
      </c>
      <c r="L2379" t="s">
        <v>6419</v>
      </c>
      <c r="M2379" t="s">
        <v>1301</v>
      </c>
      <c r="N2379" t="s">
        <v>1302</v>
      </c>
      <c r="O2379" t="s">
        <v>1301</v>
      </c>
      <c r="P2379" t="s">
        <v>1302</v>
      </c>
      <c r="Q2379" t="s">
        <v>6565</v>
      </c>
      <c r="R2379" t="s">
        <v>6566</v>
      </c>
      <c r="S2379" t="s">
        <v>8256</v>
      </c>
      <c r="T2379" t="s">
        <v>550</v>
      </c>
      <c r="U2379" t="s">
        <v>550</v>
      </c>
      <c r="V2379" t="s">
        <v>8650</v>
      </c>
      <c r="W2379" t="s">
        <v>6972</v>
      </c>
      <c r="X2379" t="s">
        <v>6451</v>
      </c>
      <c r="Y2379" t="s">
        <v>6452</v>
      </c>
      <c r="Z2379" t="s">
        <v>8648</v>
      </c>
    </row>
    <row r="2380" spans="1:26" x14ac:dyDescent="0.3">
      <c r="A2380" t="s">
        <v>330</v>
      </c>
      <c r="B2380" t="s">
        <v>8651</v>
      </c>
      <c r="C2380" t="s">
        <v>8652</v>
      </c>
      <c r="D2380" t="s">
        <v>8255</v>
      </c>
      <c r="E2380" t="s">
        <v>6417</v>
      </c>
      <c r="F2380" t="s">
        <v>1040</v>
      </c>
      <c r="G2380" s="1">
        <v>43831</v>
      </c>
      <c r="H2380" s="1">
        <v>43851</v>
      </c>
      <c r="I2380" t="s">
        <v>665</v>
      </c>
      <c r="J2380" t="s">
        <v>6418</v>
      </c>
      <c r="K2380" t="s">
        <v>958</v>
      </c>
      <c r="L2380" t="s">
        <v>6419</v>
      </c>
      <c r="M2380" t="s">
        <v>1301</v>
      </c>
      <c r="N2380" t="s">
        <v>1302</v>
      </c>
      <c r="O2380" t="s">
        <v>1301</v>
      </c>
      <c r="P2380" t="s">
        <v>1302</v>
      </c>
      <c r="Q2380" t="s">
        <v>6565</v>
      </c>
      <c r="R2380" t="s">
        <v>6566</v>
      </c>
      <c r="S2380" t="s">
        <v>8256</v>
      </c>
      <c r="T2380" t="s">
        <v>550</v>
      </c>
      <c r="U2380" t="s">
        <v>550</v>
      </c>
      <c r="V2380" t="s">
        <v>8653</v>
      </c>
      <c r="W2380" t="s">
        <v>6972</v>
      </c>
      <c r="X2380" t="s">
        <v>6451</v>
      </c>
      <c r="Y2380" t="s">
        <v>6452</v>
      </c>
      <c r="Z2380" t="s">
        <v>8651</v>
      </c>
    </row>
    <row r="2381" spans="1:26" x14ac:dyDescent="0.3">
      <c r="A2381" t="s">
        <v>330</v>
      </c>
      <c r="B2381" t="s">
        <v>8654</v>
      </c>
      <c r="C2381" t="s">
        <v>8655</v>
      </c>
      <c r="D2381" t="s">
        <v>8145</v>
      </c>
      <c r="E2381" t="s">
        <v>6417</v>
      </c>
      <c r="F2381" t="s">
        <v>1040</v>
      </c>
      <c r="G2381" s="1">
        <v>43102</v>
      </c>
      <c r="H2381" s="1">
        <v>43465</v>
      </c>
      <c r="I2381" t="s">
        <v>665</v>
      </c>
      <c r="J2381" t="s">
        <v>6418</v>
      </c>
      <c r="K2381" t="s">
        <v>958</v>
      </c>
      <c r="L2381" t="s">
        <v>6419</v>
      </c>
      <c r="M2381" t="s">
        <v>2790</v>
      </c>
      <c r="N2381" t="s">
        <v>2791</v>
      </c>
      <c r="O2381" t="s">
        <v>1301</v>
      </c>
      <c r="P2381" t="s">
        <v>1302</v>
      </c>
      <c r="Q2381" t="s">
        <v>6565</v>
      </c>
      <c r="R2381" t="s">
        <v>6566</v>
      </c>
      <c r="S2381" t="s">
        <v>8146</v>
      </c>
      <c r="T2381" t="s">
        <v>550</v>
      </c>
      <c r="U2381" t="s">
        <v>550</v>
      </c>
      <c r="V2381" t="s">
        <v>8656</v>
      </c>
      <c r="W2381" t="s">
        <v>6972</v>
      </c>
      <c r="X2381" t="s">
        <v>6451</v>
      </c>
      <c r="Y2381" t="s">
        <v>6452</v>
      </c>
      <c r="Z2381" t="s">
        <v>8654</v>
      </c>
    </row>
    <row r="2382" spans="1:26" x14ac:dyDescent="0.3">
      <c r="A2382" t="s">
        <v>330</v>
      </c>
      <c r="B2382" t="s">
        <v>8657</v>
      </c>
      <c r="C2382" t="s">
        <v>8658</v>
      </c>
      <c r="D2382" t="s">
        <v>8145</v>
      </c>
      <c r="E2382" t="s">
        <v>6417</v>
      </c>
      <c r="F2382" t="s">
        <v>1040</v>
      </c>
      <c r="G2382" s="1">
        <v>43102</v>
      </c>
      <c r="H2382" s="1">
        <v>43465</v>
      </c>
      <c r="I2382" t="s">
        <v>665</v>
      </c>
      <c r="J2382" t="s">
        <v>6418</v>
      </c>
      <c r="K2382" t="s">
        <v>958</v>
      </c>
      <c r="L2382" t="s">
        <v>6419</v>
      </c>
      <c r="M2382" t="s">
        <v>2790</v>
      </c>
      <c r="N2382" t="s">
        <v>2791</v>
      </c>
      <c r="O2382" t="s">
        <v>1301</v>
      </c>
      <c r="P2382" t="s">
        <v>1302</v>
      </c>
      <c r="Q2382" t="s">
        <v>6565</v>
      </c>
      <c r="R2382" t="s">
        <v>6566</v>
      </c>
      <c r="S2382" t="s">
        <v>8146</v>
      </c>
      <c r="T2382" t="s">
        <v>550</v>
      </c>
      <c r="U2382" t="s">
        <v>550</v>
      </c>
      <c r="V2382" t="s">
        <v>8659</v>
      </c>
      <c r="W2382" t="s">
        <v>6972</v>
      </c>
      <c r="X2382" t="s">
        <v>6451</v>
      </c>
      <c r="Y2382" t="s">
        <v>6452</v>
      </c>
      <c r="Z2382" t="s">
        <v>8657</v>
      </c>
    </row>
    <row r="2383" spans="1:26" x14ac:dyDescent="0.3">
      <c r="A2383" t="s">
        <v>330</v>
      </c>
      <c r="B2383" t="s">
        <v>8660</v>
      </c>
      <c r="C2383" t="s">
        <v>8661</v>
      </c>
      <c r="D2383" t="s">
        <v>8145</v>
      </c>
      <c r="E2383" t="s">
        <v>6417</v>
      </c>
      <c r="F2383" t="s">
        <v>1040</v>
      </c>
      <c r="G2383" s="1">
        <v>43102</v>
      </c>
      <c r="H2383" s="1">
        <v>43465</v>
      </c>
      <c r="I2383" t="s">
        <v>665</v>
      </c>
      <c r="J2383" t="s">
        <v>6418</v>
      </c>
      <c r="K2383" t="s">
        <v>958</v>
      </c>
      <c r="L2383" t="s">
        <v>6419</v>
      </c>
      <c r="M2383" t="s">
        <v>2790</v>
      </c>
      <c r="N2383" t="s">
        <v>2791</v>
      </c>
      <c r="O2383" t="s">
        <v>1301</v>
      </c>
      <c r="P2383" t="s">
        <v>1302</v>
      </c>
      <c r="Q2383" t="s">
        <v>6565</v>
      </c>
      <c r="R2383" t="s">
        <v>6566</v>
      </c>
      <c r="S2383" t="s">
        <v>8146</v>
      </c>
      <c r="T2383" t="s">
        <v>550</v>
      </c>
      <c r="U2383" t="s">
        <v>550</v>
      </c>
      <c r="V2383" t="s">
        <v>8662</v>
      </c>
      <c r="W2383" t="s">
        <v>6972</v>
      </c>
      <c r="X2383" t="s">
        <v>6451</v>
      </c>
      <c r="Y2383" t="s">
        <v>6452</v>
      </c>
      <c r="Z2383" t="s">
        <v>8660</v>
      </c>
    </row>
    <row r="2384" spans="1:26" x14ac:dyDescent="0.3">
      <c r="A2384" t="s">
        <v>330</v>
      </c>
      <c r="B2384" t="s">
        <v>8663</v>
      </c>
      <c r="C2384" t="s">
        <v>8664</v>
      </c>
      <c r="D2384" t="s">
        <v>8145</v>
      </c>
      <c r="E2384" t="s">
        <v>6417</v>
      </c>
      <c r="F2384" t="s">
        <v>1040</v>
      </c>
      <c r="G2384" s="1">
        <v>43102</v>
      </c>
      <c r="H2384" s="1">
        <v>43465</v>
      </c>
      <c r="I2384" t="s">
        <v>665</v>
      </c>
      <c r="J2384" t="s">
        <v>6418</v>
      </c>
      <c r="K2384" t="s">
        <v>958</v>
      </c>
      <c r="L2384" t="s">
        <v>6419</v>
      </c>
      <c r="M2384" t="s">
        <v>2790</v>
      </c>
      <c r="N2384" t="s">
        <v>2791</v>
      </c>
      <c r="O2384" t="s">
        <v>1301</v>
      </c>
      <c r="P2384" t="s">
        <v>1302</v>
      </c>
      <c r="Q2384" t="s">
        <v>6565</v>
      </c>
      <c r="R2384" t="s">
        <v>6566</v>
      </c>
      <c r="S2384" t="s">
        <v>8146</v>
      </c>
      <c r="T2384" t="s">
        <v>550</v>
      </c>
      <c r="U2384" t="s">
        <v>550</v>
      </c>
      <c r="V2384" t="s">
        <v>8665</v>
      </c>
      <c r="W2384" t="s">
        <v>6972</v>
      </c>
      <c r="X2384" t="s">
        <v>6451</v>
      </c>
      <c r="Y2384" t="s">
        <v>6452</v>
      </c>
      <c r="Z2384" t="s">
        <v>8663</v>
      </c>
    </row>
    <row r="2385" spans="1:26" x14ac:dyDescent="0.3">
      <c r="A2385" t="s">
        <v>330</v>
      </c>
      <c r="B2385" t="s">
        <v>8666</v>
      </c>
      <c r="C2385" t="s">
        <v>8667</v>
      </c>
      <c r="D2385" t="s">
        <v>8145</v>
      </c>
      <c r="E2385" t="s">
        <v>6417</v>
      </c>
      <c r="F2385" t="s">
        <v>1040</v>
      </c>
      <c r="G2385" s="1">
        <v>43102</v>
      </c>
      <c r="H2385" s="1">
        <v>43465</v>
      </c>
      <c r="I2385" t="s">
        <v>665</v>
      </c>
      <c r="J2385" t="s">
        <v>6418</v>
      </c>
      <c r="K2385" t="s">
        <v>958</v>
      </c>
      <c r="L2385" t="s">
        <v>6419</v>
      </c>
      <c r="M2385" t="s">
        <v>2790</v>
      </c>
      <c r="N2385" t="s">
        <v>2791</v>
      </c>
      <c r="O2385" t="s">
        <v>1301</v>
      </c>
      <c r="P2385" t="s">
        <v>1302</v>
      </c>
      <c r="Q2385" t="s">
        <v>6565</v>
      </c>
      <c r="R2385" t="s">
        <v>6566</v>
      </c>
      <c r="S2385" t="s">
        <v>8146</v>
      </c>
      <c r="T2385" t="s">
        <v>550</v>
      </c>
      <c r="U2385" t="s">
        <v>550</v>
      </c>
      <c r="V2385" t="s">
        <v>8668</v>
      </c>
      <c r="W2385" t="s">
        <v>6972</v>
      </c>
      <c r="X2385" t="s">
        <v>6451</v>
      </c>
      <c r="Y2385" t="s">
        <v>6452</v>
      </c>
      <c r="Z2385" t="s">
        <v>8666</v>
      </c>
    </row>
    <row r="2386" spans="1:26" x14ac:dyDescent="0.3">
      <c r="A2386" t="s">
        <v>330</v>
      </c>
      <c r="B2386" t="s">
        <v>8669</v>
      </c>
      <c r="C2386" t="s">
        <v>8670</v>
      </c>
      <c r="D2386" t="s">
        <v>8145</v>
      </c>
      <c r="E2386" t="s">
        <v>6417</v>
      </c>
      <c r="F2386" t="s">
        <v>1040</v>
      </c>
      <c r="G2386" s="1">
        <v>43102</v>
      </c>
      <c r="H2386" s="1">
        <v>43465</v>
      </c>
      <c r="I2386" t="s">
        <v>665</v>
      </c>
      <c r="J2386" t="s">
        <v>6418</v>
      </c>
      <c r="K2386" t="s">
        <v>958</v>
      </c>
      <c r="L2386" t="s">
        <v>6419</v>
      </c>
      <c r="M2386" t="s">
        <v>2790</v>
      </c>
      <c r="N2386" t="s">
        <v>2791</v>
      </c>
      <c r="O2386" t="s">
        <v>1301</v>
      </c>
      <c r="P2386" t="s">
        <v>1302</v>
      </c>
      <c r="Q2386" t="s">
        <v>6565</v>
      </c>
      <c r="R2386" t="s">
        <v>6566</v>
      </c>
      <c r="S2386" t="s">
        <v>8146</v>
      </c>
      <c r="T2386" t="s">
        <v>550</v>
      </c>
      <c r="U2386" t="s">
        <v>550</v>
      </c>
      <c r="V2386" t="s">
        <v>8671</v>
      </c>
      <c r="W2386" t="s">
        <v>6972</v>
      </c>
      <c r="X2386" t="s">
        <v>6451</v>
      </c>
      <c r="Y2386" t="s">
        <v>6452</v>
      </c>
      <c r="Z2386" t="s">
        <v>8669</v>
      </c>
    </row>
    <row r="2387" spans="1:26" x14ac:dyDescent="0.3">
      <c r="A2387" t="s">
        <v>330</v>
      </c>
      <c r="B2387" t="s">
        <v>8672</v>
      </c>
      <c r="C2387" t="s">
        <v>8673</v>
      </c>
      <c r="D2387" t="s">
        <v>8145</v>
      </c>
      <c r="E2387" t="s">
        <v>6417</v>
      </c>
      <c r="F2387" t="s">
        <v>1040</v>
      </c>
      <c r="G2387" s="1">
        <v>43102</v>
      </c>
      <c r="H2387" s="1">
        <v>43465</v>
      </c>
      <c r="I2387" t="s">
        <v>665</v>
      </c>
      <c r="J2387" t="s">
        <v>6418</v>
      </c>
      <c r="K2387" t="s">
        <v>958</v>
      </c>
      <c r="L2387" t="s">
        <v>6419</v>
      </c>
      <c r="M2387" t="s">
        <v>2790</v>
      </c>
      <c r="N2387" t="s">
        <v>2791</v>
      </c>
      <c r="O2387" t="s">
        <v>1301</v>
      </c>
      <c r="P2387" t="s">
        <v>1302</v>
      </c>
      <c r="Q2387" t="s">
        <v>6565</v>
      </c>
      <c r="R2387" t="s">
        <v>6566</v>
      </c>
      <c r="S2387" t="s">
        <v>8146</v>
      </c>
      <c r="T2387" t="s">
        <v>550</v>
      </c>
      <c r="U2387" t="s">
        <v>550</v>
      </c>
      <c r="V2387" t="s">
        <v>8674</v>
      </c>
      <c r="W2387" t="s">
        <v>6972</v>
      </c>
      <c r="X2387" t="s">
        <v>6451</v>
      </c>
      <c r="Y2387" t="s">
        <v>6452</v>
      </c>
      <c r="Z2387" t="s">
        <v>8672</v>
      </c>
    </row>
    <row r="2388" spans="1:26" x14ac:dyDescent="0.3">
      <c r="A2388" t="s">
        <v>330</v>
      </c>
      <c r="B2388" t="s">
        <v>8675</v>
      </c>
      <c r="C2388" t="s">
        <v>8676</v>
      </c>
      <c r="D2388" t="s">
        <v>8145</v>
      </c>
      <c r="E2388" t="s">
        <v>6417</v>
      </c>
      <c r="F2388" t="s">
        <v>1040</v>
      </c>
      <c r="G2388" s="1">
        <v>43102</v>
      </c>
      <c r="H2388" s="1">
        <v>43465</v>
      </c>
      <c r="I2388" t="s">
        <v>665</v>
      </c>
      <c r="J2388" t="s">
        <v>6418</v>
      </c>
      <c r="K2388" t="s">
        <v>958</v>
      </c>
      <c r="L2388" t="s">
        <v>6419</v>
      </c>
      <c r="M2388" t="s">
        <v>2790</v>
      </c>
      <c r="N2388" t="s">
        <v>2791</v>
      </c>
      <c r="O2388" t="s">
        <v>1301</v>
      </c>
      <c r="P2388" t="s">
        <v>1302</v>
      </c>
      <c r="Q2388" t="s">
        <v>6565</v>
      </c>
      <c r="R2388" t="s">
        <v>6566</v>
      </c>
      <c r="S2388" t="s">
        <v>8146</v>
      </c>
      <c r="T2388" t="s">
        <v>550</v>
      </c>
      <c r="U2388" t="s">
        <v>550</v>
      </c>
      <c r="V2388" t="s">
        <v>8677</v>
      </c>
      <c r="W2388" t="s">
        <v>6972</v>
      </c>
      <c r="X2388" t="s">
        <v>6451</v>
      </c>
      <c r="Y2388" t="s">
        <v>6452</v>
      </c>
      <c r="Z2388" t="s">
        <v>8675</v>
      </c>
    </row>
    <row r="2389" spans="1:26" x14ac:dyDescent="0.3">
      <c r="A2389" t="s">
        <v>330</v>
      </c>
      <c r="B2389" t="s">
        <v>8678</v>
      </c>
      <c r="C2389" t="s">
        <v>8679</v>
      </c>
      <c r="D2389" t="s">
        <v>8148</v>
      </c>
      <c r="E2389" t="s">
        <v>6417</v>
      </c>
      <c r="F2389" t="s">
        <v>1040</v>
      </c>
      <c r="G2389" s="1">
        <v>43467</v>
      </c>
      <c r="H2389" s="1">
        <v>43830</v>
      </c>
      <c r="I2389" t="s">
        <v>665</v>
      </c>
      <c r="J2389" t="s">
        <v>6418</v>
      </c>
      <c r="K2389" t="s">
        <v>958</v>
      </c>
      <c r="L2389" t="s">
        <v>6419</v>
      </c>
      <c r="M2389" t="s">
        <v>2790</v>
      </c>
      <c r="N2389" t="s">
        <v>2791</v>
      </c>
      <c r="O2389" t="s">
        <v>1301</v>
      </c>
      <c r="P2389" t="s">
        <v>1302</v>
      </c>
      <c r="Q2389" t="s">
        <v>6565</v>
      </c>
      <c r="R2389" t="s">
        <v>6566</v>
      </c>
      <c r="S2389" t="s">
        <v>8149</v>
      </c>
      <c r="T2389" t="s">
        <v>550</v>
      </c>
      <c r="U2389" t="s">
        <v>550</v>
      </c>
      <c r="V2389" t="s">
        <v>8680</v>
      </c>
      <c r="W2389" t="s">
        <v>6972</v>
      </c>
      <c r="X2389" t="s">
        <v>6451</v>
      </c>
      <c r="Y2389" t="s">
        <v>6452</v>
      </c>
      <c r="Z2389" t="s">
        <v>8678</v>
      </c>
    </row>
    <row r="2390" spans="1:26" x14ac:dyDescent="0.3">
      <c r="A2390" t="s">
        <v>330</v>
      </c>
      <c r="B2390" t="s">
        <v>8681</v>
      </c>
      <c r="C2390" t="s">
        <v>8682</v>
      </c>
      <c r="D2390" t="s">
        <v>8148</v>
      </c>
      <c r="E2390" t="s">
        <v>6417</v>
      </c>
      <c r="F2390" t="s">
        <v>1040</v>
      </c>
      <c r="G2390" s="1">
        <v>43467</v>
      </c>
      <c r="H2390" s="1">
        <v>43830</v>
      </c>
      <c r="I2390" t="s">
        <v>665</v>
      </c>
      <c r="J2390" t="s">
        <v>6418</v>
      </c>
      <c r="K2390" t="s">
        <v>958</v>
      </c>
      <c r="L2390" t="s">
        <v>6419</v>
      </c>
      <c r="M2390" t="s">
        <v>2790</v>
      </c>
      <c r="N2390" t="s">
        <v>2791</v>
      </c>
      <c r="O2390" t="s">
        <v>1301</v>
      </c>
      <c r="P2390" t="s">
        <v>1302</v>
      </c>
      <c r="Q2390" t="s">
        <v>6565</v>
      </c>
      <c r="R2390" t="s">
        <v>6566</v>
      </c>
      <c r="S2390" t="s">
        <v>8149</v>
      </c>
      <c r="T2390" t="s">
        <v>550</v>
      </c>
      <c r="U2390" t="s">
        <v>550</v>
      </c>
      <c r="V2390" t="s">
        <v>8683</v>
      </c>
      <c r="W2390" t="s">
        <v>6972</v>
      </c>
      <c r="X2390" t="s">
        <v>6451</v>
      </c>
      <c r="Y2390" t="s">
        <v>6452</v>
      </c>
      <c r="Z2390" t="s">
        <v>8681</v>
      </c>
    </row>
    <row r="2391" spans="1:26" x14ac:dyDescent="0.3">
      <c r="A2391" t="s">
        <v>330</v>
      </c>
      <c r="B2391" t="s">
        <v>8684</v>
      </c>
      <c r="C2391" t="s">
        <v>8634</v>
      </c>
      <c r="D2391" t="s">
        <v>8148</v>
      </c>
      <c r="E2391" t="s">
        <v>6417</v>
      </c>
      <c r="F2391" t="s">
        <v>1040</v>
      </c>
      <c r="G2391" s="1">
        <v>43467</v>
      </c>
      <c r="H2391" s="1">
        <v>43830</v>
      </c>
      <c r="I2391" t="s">
        <v>665</v>
      </c>
      <c r="J2391" t="s">
        <v>6418</v>
      </c>
      <c r="K2391" t="s">
        <v>958</v>
      </c>
      <c r="L2391" t="s">
        <v>6419</v>
      </c>
      <c r="M2391" t="s">
        <v>2790</v>
      </c>
      <c r="N2391" t="s">
        <v>2791</v>
      </c>
      <c r="O2391" t="s">
        <v>1301</v>
      </c>
      <c r="P2391" t="s">
        <v>1302</v>
      </c>
      <c r="Q2391" t="s">
        <v>6565</v>
      </c>
      <c r="R2391" t="s">
        <v>6566</v>
      </c>
      <c r="S2391" t="s">
        <v>8149</v>
      </c>
      <c r="T2391" t="s">
        <v>550</v>
      </c>
      <c r="U2391" t="s">
        <v>550</v>
      </c>
      <c r="V2391" t="s">
        <v>8685</v>
      </c>
      <c r="W2391" t="s">
        <v>6972</v>
      </c>
      <c r="X2391" t="s">
        <v>6451</v>
      </c>
      <c r="Y2391" t="s">
        <v>6452</v>
      </c>
      <c r="Z2391" t="s">
        <v>8684</v>
      </c>
    </row>
    <row r="2392" spans="1:26" x14ac:dyDescent="0.3">
      <c r="A2392" t="s">
        <v>330</v>
      </c>
      <c r="B2392" t="s">
        <v>8686</v>
      </c>
      <c r="C2392" t="s">
        <v>8687</v>
      </c>
      <c r="D2392" t="s">
        <v>8148</v>
      </c>
      <c r="E2392" t="s">
        <v>6417</v>
      </c>
      <c r="F2392" t="s">
        <v>1040</v>
      </c>
      <c r="G2392" s="1">
        <v>43467</v>
      </c>
      <c r="H2392" s="1">
        <v>43830</v>
      </c>
      <c r="I2392" t="s">
        <v>665</v>
      </c>
      <c r="J2392" t="s">
        <v>6418</v>
      </c>
      <c r="K2392" t="s">
        <v>958</v>
      </c>
      <c r="L2392" t="s">
        <v>6419</v>
      </c>
      <c r="M2392" t="s">
        <v>2790</v>
      </c>
      <c r="N2392" t="s">
        <v>2791</v>
      </c>
      <c r="O2392" t="s">
        <v>1301</v>
      </c>
      <c r="P2392" t="s">
        <v>1302</v>
      </c>
      <c r="Q2392" t="s">
        <v>6565</v>
      </c>
      <c r="R2392" t="s">
        <v>6566</v>
      </c>
      <c r="S2392" t="s">
        <v>8149</v>
      </c>
      <c r="T2392" t="s">
        <v>550</v>
      </c>
      <c r="U2392" t="s">
        <v>550</v>
      </c>
      <c r="V2392" t="s">
        <v>8688</v>
      </c>
      <c r="W2392" t="s">
        <v>6972</v>
      </c>
      <c r="X2392" t="s">
        <v>6451</v>
      </c>
      <c r="Y2392" t="s">
        <v>6452</v>
      </c>
      <c r="Z2392" t="s">
        <v>8686</v>
      </c>
    </row>
    <row r="2393" spans="1:26" x14ac:dyDescent="0.3">
      <c r="A2393" t="s">
        <v>330</v>
      </c>
      <c r="B2393" t="s">
        <v>8689</v>
      </c>
      <c r="C2393" t="s">
        <v>8640</v>
      </c>
      <c r="D2393" t="s">
        <v>8148</v>
      </c>
      <c r="E2393" t="s">
        <v>6417</v>
      </c>
      <c r="F2393" t="s">
        <v>1040</v>
      </c>
      <c r="G2393" s="1">
        <v>43467</v>
      </c>
      <c r="H2393" s="1">
        <v>43830</v>
      </c>
      <c r="I2393" t="s">
        <v>665</v>
      </c>
      <c r="J2393" t="s">
        <v>6418</v>
      </c>
      <c r="K2393" t="s">
        <v>958</v>
      </c>
      <c r="L2393" t="s">
        <v>6419</v>
      </c>
      <c r="M2393" t="s">
        <v>2790</v>
      </c>
      <c r="N2393" t="s">
        <v>2791</v>
      </c>
      <c r="O2393" t="s">
        <v>1301</v>
      </c>
      <c r="P2393" t="s">
        <v>1302</v>
      </c>
      <c r="Q2393" t="s">
        <v>6565</v>
      </c>
      <c r="R2393" t="s">
        <v>6566</v>
      </c>
      <c r="S2393" t="s">
        <v>8149</v>
      </c>
      <c r="T2393" t="s">
        <v>550</v>
      </c>
      <c r="U2393" t="s">
        <v>550</v>
      </c>
      <c r="V2393" t="s">
        <v>8690</v>
      </c>
      <c r="W2393" t="s">
        <v>6972</v>
      </c>
      <c r="X2393" t="s">
        <v>6451</v>
      </c>
      <c r="Y2393" t="s">
        <v>6452</v>
      </c>
      <c r="Z2393" t="s">
        <v>8689</v>
      </c>
    </row>
    <row r="2394" spans="1:26" x14ac:dyDescent="0.3">
      <c r="A2394" t="s">
        <v>330</v>
      </c>
      <c r="B2394" t="s">
        <v>8691</v>
      </c>
      <c r="C2394" t="s">
        <v>8692</v>
      </c>
      <c r="D2394" t="s">
        <v>8148</v>
      </c>
      <c r="E2394" t="s">
        <v>6417</v>
      </c>
      <c r="F2394" t="s">
        <v>1040</v>
      </c>
      <c r="G2394" s="1">
        <v>43467</v>
      </c>
      <c r="H2394" s="1">
        <v>43830</v>
      </c>
      <c r="I2394" t="s">
        <v>665</v>
      </c>
      <c r="J2394" t="s">
        <v>6418</v>
      </c>
      <c r="K2394" t="s">
        <v>958</v>
      </c>
      <c r="L2394" t="s">
        <v>6419</v>
      </c>
      <c r="M2394" t="s">
        <v>2790</v>
      </c>
      <c r="N2394" t="s">
        <v>2791</v>
      </c>
      <c r="O2394" t="s">
        <v>1301</v>
      </c>
      <c r="P2394" t="s">
        <v>1302</v>
      </c>
      <c r="Q2394" t="s">
        <v>6565</v>
      </c>
      <c r="R2394" t="s">
        <v>6566</v>
      </c>
      <c r="S2394" t="s">
        <v>8149</v>
      </c>
      <c r="T2394" t="s">
        <v>550</v>
      </c>
      <c r="U2394" t="s">
        <v>550</v>
      </c>
      <c r="V2394" t="s">
        <v>8693</v>
      </c>
      <c r="W2394" t="s">
        <v>6972</v>
      </c>
      <c r="X2394" t="s">
        <v>6451</v>
      </c>
      <c r="Y2394" t="s">
        <v>6452</v>
      </c>
      <c r="Z2394" t="s">
        <v>8691</v>
      </c>
    </row>
    <row r="2395" spans="1:26" x14ac:dyDescent="0.3">
      <c r="A2395" t="s">
        <v>330</v>
      </c>
      <c r="B2395" t="s">
        <v>8694</v>
      </c>
      <c r="C2395" t="s">
        <v>8695</v>
      </c>
      <c r="D2395" t="s">
        <v>8148</v>
      </c>
      <c r="E2395" t="s">
        <v>6417</v>
      </c>
      <c r="F2395" t="s">
        <v>1040</v>
      </c>
      <c r="G2395" s="1">
        <v>43467</v>
      </c>
      <c r="H2395" s="1">
        <v>43830</v>
      </c>
      <c r="I2395" t="s">
        <v>665</v>
      </c>
      <c r="J2395" t="s">
        <v>6418</v>
      </c>
      <c r="K2395" t="s">
        <v>958</v>
      </c>
      <c r="L2395" t="s">
        <v>6419</v>
      </c>
      <c r="M2395" t="s">
        <v>2790</v>
      </c>
      <c r="N2395" t="s">
        <v>2791</v>
      </c>
      <c r="O2395" t="s">
        <v>1301</v>
      </c>
      <c r="P2395" t="s">
        <v>1302</v>
      </c>
      <c r="Q2395" t="s">
        <v>6565</v>
      </c>
      <c r="R2395" t="s">
        <v>6566</v>
      </c>
      <c r="S2395" t="s">
        <v>8149</v>
      </c>
      <c r="T2395" t="s">
        <v>550</v>
      </c>
      <c r="U2395" t="s">
        <v>550</v>
      </c>
      <c r="V2395" t="s">
        <v>8696</v>
      </c>
      <c r="W2395" t="s">
        <v>6972</v>
      </c>
      <c r="X2395" t="s">
        <v>6451</v>
      </c>
      <c r="Y2395" t="s">
        <v>6452</v>
      </c>
      <c r="Z2395" t="s">
        <v>8694</v>
      </c>
    </row>
    <row r="2396" spans="1:26" x14ac:dyDescent="0.3">
      <c r="A2396" t="s">
        <v>330</v>
      </c>
      <c r="B2396" t="s">
        <v>8697</v>
      </c>
      <c r="C2396" t="s">
        <v>8698</v>
      </c>
      <c r="D2396" t="s">
        <v>8699</v>
      </c>
      <c r="E2396" t="s">
        <v>7088</v>
      </c>
      <c r="F2396" t="s">
        <v>7089</v>
      </c>
      <c r="G2396" s="1">
        <v>45566</v>
      </c>
      <c r="H2396" s="1">
        <v>45622</v>
      </c>
      <c r="I2396" t="s">
        <v>665</v>
      </c>
      <c r="J2396" t="s">
        <v>8700</v>
      </c>
      <c r="K2396" t="s">
        <v>24</v>
      </c>
      <c r="L2396" t="s">
        <v>7624</v>
      </c>
      <c r="M2396" t="s">
        <v>881</v>
      </c>
      <c r="N2396" t="s">
        <v>882</v>
      </c>
      <c r="O2396" t="s">
        <v>810</v>
      </c>
      <c r="P2396" t="s">
        <v>811</v>
      </c>
      <c r="Q2396" t="s">
        <v>6565</v>
      </c>
      <c r="R2396" t="s">
        <v>6566</v>
      </c>
      <c r="S2396" t="s">
        <v>803</v>
      </c>
      <c r="T2396" t="s">
        <v>550</v>
      </c>
      <c r="U2396" t="s">
        <v>550</v>
      </c>
      <c r="V2396" t="s">
        <v>8701</v>
      </c>
      <c r="W2396" t="s">
        <v>7092</v>
      </c>
      <c r="Z2396" t="s">
        <v>8697</v>
      </c>
    </row>
    <row r="2397" spans="1:26" x14ac:dyDescent="0.3">
      <c r="A2397" t="s">
        <v>330</v>
      </c>
      <c r="B2397" t="s">
        <v>8702</v>
      </c>
      <c r="C2397" t="s">
        <v>7627</v>
      </c>
      <c r="D2397" t="s">
        <v>8350</v>
      </c>
      <c r="E2397" t="s">
        <v>6417</v>
      </c>
      <c r="F2397" t="s">
        <v>1040</v>
      </c>
      <c r="G2397" s="1">
        <v>44927</v>
      </c>
      <c r="H2397" s="1">
        <v>45258</v>
      </c>
      <c r="I2397" t="s">
        <v>665</v>
      </c>
      <c r="J2397" t="s">
        <v>6418</v>
      </c>
      <c r="K2397" t="s">
        <v>958</v>
      </c>
      <c r="L2397" t="s">
        <v>6419</v>
      </c>
      <c r="M2397" t="s">
        <v>7849</v>
      </c>
      <c r="N2397" t="s">
        <v>7850</v>
      </c>
      <c r="O2397" t="s">
        <v>810</v>
      </c>
      <c r="P2397" t="s">
        <v>811</v>
      </c>
      <c r="Q2397" t="s">
        <v>6565</v>
      </c>
      <c r="R2397" t="s">
        <v>6566</v>
      </c>
      <c r="S2397" t="s">
        <v>8351</v>
      </c>
      <c r="T2397" t="s">
        <v>7628</v>
      </c>
      <c r="U2397" t="s">
        <v>550</v>
      </c>
      <c r="V2397" t="s">
        <v>8703</v>
      </c>
      <c r="W2397" t="s">
        <v>6972</v>
      </c>
      <c r="X2397" t="s">
        <v>6451</v>
      </c>
      <c r="Y2397" t="s">
        <v>6452</v>
      </c>
      <c r="Z2397" t="s">
        <v>8702</v>
      </c>
    </row>
    <row r="2398" spans="1:26" x14ac:dyDescent="0.3">
      <c r="A2398" t="s">
        <v>330</v>
      </c>
      <c r="B2398" t="s">
        <v>8704</v>
      </c>
      <c r="C2398" t="s">
        <v>7631</v>
      </c>
      <c r="D2398" t="s">
        <v>8350</v>
      </c>
      <c r="E2398" t="s">
        <v>6417</v>
      </c>
      <c r="F2398" t="s">
        <v>1040</v>
      </c>
      <c r="G2398" s="1">
        <v>44927</v>
      </c>
      <c r="H2398" s="1">
        <v>45258</v>
      </c>
      <c r="I2398" t="s">
        <v>665</v>
      </c>
      <c r="J2398" t="s">
        <v>6418</v>
      </c>
      <c r="K2398" t="s">
        <v>958</v>
      </c>
      <c r="L2398" t="s">
        <v>6419</v>
      </c>
      <c r="M2398" t="s">
        <v>7849</v>
      </c>
      <c r="N2398" t="s">
        <v>7850</v>
      </c>
      <c r="O2398" t="s">
        <v>810</v>
      </c>
      <c r="P2398" t="s">
        <v>811</v>
      </c>
      <c r="Q2398" t="s">
        <v>6565</v>
      </c>
      <c r="R2398" t="s">
        <v>6566</v>
      </c>
      <c r="S2398" t="s">
        <v>8351</v>
      </c>
      <c r="T2398" t="s">
        <v>7628</v>
      </c>
      <c r="U2398" t="s">
        <v>550</v>
      </c>
      <c r="V2398" t="s">
        <v>8705</v>
      </c>
      <c r="W2398" t="s">
        <v>6972</v>
      </c>
      <c r="X2398" t="s">
        <v>6451</v>
      </c>
      <c r="Y2398" t="s">
        <v>6452</v>
      </c>
      <c r="Z2398" t="s">
        <v>8704</v>
      </c>
    </row>
    <row r="2399" spans="1:26" x14ac:dyDescent="0.3">
      <c r="A2399" t="s">
        <v>330</v>
      </c>
      <c r="B2399" t="s">
        <v>8706</v>
      </c>
      <c r="C2399" t="s">
        <v>8707</v>
      </c>
      <c r="D2399" t="s">
        <v>8519</v>
      </c>
      <c r="E2399" t="s">
        <v>8402</v>
      </c>
      <c r="F2399" t="s">
        <v>1319</v>
      </c>
      <c r="G2399" s="1">
        <v>45231</v>
      </c>
      <c r="H2399" s="1">
        <v>45237</v>
      </c>
      <c r="I2399" t="s">
        <v>665</v>
      </c>
      <c r="J2399" t="s">
        <v>7190</v>
      </c>
      <c r="K2399" t="s">
        <v>24</v>
      </c>
      <c r="L2399" t="s">
        <v>809</v>
      </c>
      <c r="M2399" t="s">
        <v>7849</v>
      </c>
      <c r="N2399" t="s">
        <v>7850</v>
      </c>
      <c r="O2399" t="s">
        <v>810</v>
      </c>
      <c r="P2399" t="s">
        <v>811</v>
      </c>
      <c r="Q2399" t="s">
        <v>6565</v>
      </c>
      <c r="R2399" t="s">
        <v>6566</v>
      </c>
      <c r="S2399" t="s">
        <v>7208</v>
      </c>
      <c r="T2399" t="s">
        <v>550</v>
      </c>
      <c r="U2399" t="s">
        <v>550</v>
      </c>
      <c r="V2399" t="s">
        <v>8708</v>
      </c>
      <c r="W2399" t="s">
        <v>7092</v>
      </c>
      <c r="X2399" t="s">
        <v>8324</v>
      </c>
      <c r="Y2399" t="s">
        <v>803</v>
      </c>
      <c r="Z2399" t="s">
        <v>8706</v>
      </c>
    </row>
    <row r="2400" spans="1:26" x14ac:dyDescent="0.3">
      <c r="A2400" t="s">
        <v>330</v>
      </c>
      <c r="B2400" t="s">
        <v>8709</v>
      </c>
      <c r="C2400" t="s">
        <v>8710</v>
      </c>
      <c r="D2400" t="s">
        <v>8473</v>
      </c>
      <c r="E2400" t="s">
        <v>7108</v>
      </c>
      <c r="F2400" t="s">
        <v>1333</v>
      </c>
      <c r="G2400" s="1">
        <v>45261</v>
      </c>
      <c r="H2400" s="1">
        <v>45261</v>
      </c>
      <c r="I2400" t="s">
        <v>665</v>
      </c>
      <c r="J2400" t="s">
        <v>7109</v>
      </c>
      <c r="K2400" t="s">
        <v>24</v>
      </c>
      <c r="L2400" t="s">
        <v>809</v>
      </c>
      <c r="M2400" t="s">
        <v>7849</v>
      </c>
      <c r="N2400" t="s">
        <v>7850</v>
      </c>
      <c r="O2400" t="s">
        <v>810</v>
      </c>
      <c r="P2400" t="s">
        <v>811</v>
      </c>
      <c r="Q2400" t="s">
        <v>6565</v>
      </c>
      <c r="R2400" t="s">
        <v>6566</v>
      </c>
      <c r="S2400" t="s">
        <v>803</v>
      </c>
      <c r="T2400" t="s">
        <v>550</v>
      </c>
      <c r="U2400" t="s">
        <v>550</v>
      </c>
      <c r="V2400" t="s">
        <v>8711</v>
      </c>
      <c r="W2400" t="s">
        <v>7092</v>
      </c>
      <c r="X2400" t="s">
        <v>8324</v>
      </c>
      <c r="Y2400" t="s">
        <v>803</v>
      </c>
      <c r="Z2400" t="s">
        <v>8709</v>
      </c>
    </row>
    <row r="2401" spans="1:26" x14ac:dyDescent="0.3">
      <c r="A2401" t="s">
        <v>330</v>
      </c>
      <c r="B2401" t="s">
        <v>8712</v>
      </c>
      <c r="C2401" t="s">
        <v>8713</v>
      </c>
      <c r="D2401" t="s">
        <v>550</v>
      </c>
      <c r="E2401" t="s">
        <v>7122</v>
      </c>
      <c r="F2401" t="s">
        <v>7123</v>
      </c>
      <c r="G2401" s="1">
        <v>44928</v>
      </c>
      <c r="H2401" s="1">
        <v>44928</v>
      </c>
      <c r="I2401" t="s">
        <v>665</v>
      </c>
      <c r="J2401" t="s">
        <v>7124</v>
      </c>
      <c r="K2401" t="s">
        <v>24</v>
      </c>
      <c r="L2401" t="s">
        <v>809</v>
      </c>
      <c r="M2401" t="s">
        <v>7849</v>
      </c>
      <c r="N2401" t="s">
        <v>7850</v>
      </c>
      <c r="O2401" t="s">
        <v>810</v>
      </c>
      <c r="P2401" t="s">
        <v>811</v>
      </c>
      <c r="Q2401" t="s">
        <v>6565</v>
      </c>
      <c r="R2401" t="s">
        <v>6566</v>
      </c>
      <c r="S2401" t="s">
        <v>803</v>
      </c>
      <c r="T2401" t="s">
        <v>550</v>
      </c>
      <c r="U2401" t="s">
        <v>550</v>
      </c>
      <c r="V2401" t="s">
        <v>8714</v>
      </c>
      <c r="W2401" t="s">
        <v>813</v>
      </c>
      <c r="X2401" t="s">
        <v>809</v>
      </c>
      <c r="Y2401" t="s">
        <v>803</v>
      </c>
      <c r="Z2401" t="s">
        <v>8712</v>
      </c>
    </row>
    <row r="2402" spans="1:26" x14ac:dyDescent="0.3">
      <c r="A2402" t="s">
        <v>330</v>
      </c>
      <c r="B2402" t="s">
        <v>8715</v>
      </c>
      <c r="C2402" t="s">
        <v>8716</v>
      </c>
      <c r="D2402" t="s">
        <v>7151</v>
      </c>
      <c r="E2402" t="s">
        <v>7153</v>
      </c>
      <c r="F2402" t="s">
        <v>7154</v>
      </c>
      <c r="G2402" s="1">
        <v>44928</v>
      </c>
      <c r="H2402" s="1">
        <v>44931</v>
      </c>
      <c r="I2402" t="s">
        <v>665</v>
      </c>
      <c r="J2402" t="s">
        <v>7155</v>
      </c>
      <c r="K2402" t="s">
        <v>24</v>
      </c>
      <c r="L2402" t="s">
        <v>809</v>
      </c>
      <c r="M2402" t="s">
        <v>7849</v>
      </c>
      <c r="N2402" t="s">
        <v>7850</v>
      </c>
      <c r="O2402" t="s">
        <v>810</v>
      </c>
      <c r="P2402" t="s">
        <v>811</v>
      </c>
      <c r="Q2402" t="s">
        <v>6565</v>
      </c>
      <c r="R2402" t="s">
        <v>6566</v>
      </c>
      <c r="S2402" t="s">
        <v>803</v>
      </c>
      <c r="T2402" t="s">
        <v>550</v>
      </c>
      <c r="U2402" t="s">
        <v>550</v>
      </c>
      <c r="V2402" t="s">
        <v>8717</v>
      </c>
      <c r="W2402" t="s">
        <v>813</v>
      </c>
      <c r="X2402" t="s">
        <v>8324</v>
      </c>
      <c r="Y2402" t="s">
        <v>803</v>
      </c>
      <c r="Z2402" t="s">
        <v>8715</v>
      </c>
    </row>
    <row r="2403" spans="1:26" x14ac:dyDescent="0.3">
      <c r="A2403" t="s">
        <v>330</v>
      </c>
      <c r="B2403" t="s">
        <v>8718</v>
      </c>
      <c r="C2403" t="s">
        <v>8719</v>
      </c>
      <c r="D2403" t="s">
        <v>7176</v>
      </c>
      <c r="E2403" t="s">
        <v>7177</v>
      </c>
      <c r="F2403" t="s">
        <v>3223</v>
      </c>
      <c r="G2403" s="1">
        <v>44928</v>
      </c>
      <c r="H2403" s="1">
        <v>44946</v>
      </c>
      <c r="I2403" t="s">
        <v>665</v>
      </c>
      <c r="J2403" t="s">
        <v>7178</v>
      </c>
      <c r="K2403" t="s">
        <v>4782</v>
      </c>
      <c r="L2403" t="s">
        <v>809</v>
      </c>
      <c r="M2403" t="s">
        <v>7849</v>
      </c>
      <c r="N2403" t="s">
        <v>7850</v>
      </c>
      <c r="O2403" t="s">
        <v>810</v>
      </c>
      <c r="P2403" t="s">
        <v>811</v>
      </c>
      <c r="Q2403" t="s">
        <v>6565</v>
      </c>
      <c r="R2403" t="s">
        <v>6566</v>
      </c>
      <c r="S2403" t="s">
        <v>803</v>
      </c>
      <c r="T2403" t="s">
        <v>550</v>
      </c>
      <c r="U2403" t="s">
        <v>550</v>
      </c>
      <c r="V2403" t="s">
        <v>8720</v>
      </c>
      <c r="W2403" t="s">
        <v>813</v>
      </c>
      <c r="X2403" t="s">
        <v>8324</v>
      </c>
      <c r="Y2403" t="s">
        <v>803</v>
      </c>
      <c r="Z2403" t="s">
        <v>8718</v>
      </c>
    </row>
    <row r="2404" spans="1:26" x14ac:dyDescent="0.3">
      <c r="A2404" t="s">
        <v>330</v>
      </c>
      <c r="B2404" t="s">
        <v>8721</v>
      </c>
      <c r="C2404" t="s">
        <v>8722</v>
      </c>
      <c r="D2404" t="s">
        <v>804</v>
      </c>
      <c r="E2404" t="s">
        <v>806</v>
      </c>
      <c r="F2404" t="s">
        <v>805</v>
      </c>
      <c r="G2404" s="1">
        <v>44928</v>
      </c>
      <c r="H2404" s="1">
        <v>44937</v>
      </c>
      <c r="I2404" t="s">
        <v>665</v>
      </c>
      <c r="J2404" t="s">
        <v>807</v>
      </c>
      <c r="K2404" t="s">
        <v>808</v>
      </c>
      <c r="L2404" t="s">
        <v>809</v>
      </c>
      <c r="M2404" t="s">
        <v>7849</v>
      </c>
      <c r="N2404" t="s">
        <v>7850</v>
      </c>
      <c r="O2404" t="s">
        <v>810</v>
      </c>
      <c r="P2404" t="s">
        <v>811</v>
      </c>
      <c r="Q2404" t="s">
        <v>6565</v>
      </c>
      <c r="R2404" t="s">
        <v>6566</v>
      </c>
      <c r="S2404" t="s">
        <v>803</v>
      </c>
      <c r="T2404" t="s">
        <v>550</v>
      </c>
      <c r="U2404" t="s">
        <v>550</v>
      </c>
      <c r="V2404" t="s">
        <v>8723</v>
      </c>
      <c r="W2404" t="s">
        <v>813</v>
      </c>
      <c r="X2404" t="s">
        <v>8324</v>
      </c>
      <c r="Y2404" t="s">
        <v>803</v>
      </c>
      <c r="Z2404" t="s">
        <v>8721</v>
      </c>
    </row>
    <row r="2405" spans="1:26" x14ac:dyDescent="0.3">
      <c r="A2405" t="s">
        <v>330</v>
      </c>
      <c r="B2405" t="s">
        <v>8724</v>
      </c>
      <c r="C2405" t="s">
        <v>8725</v>
      </c>
      <c r="D2405" t="s">
        <v>550</v>
      </c>
      <c r="E2405" t="s">
        <v>880</v>
      </c>
      <c r="F2405" t="s">
        <v>7128</v>
      </c>
      <c r="G2405" s="1">
        <v>44928</v>
      </c>
      <c r="H2405" s="1">
        <v>44957</v>
      </c>
      <c r="I2405" t="s">
        <v>665</v>
      </c>
      <c r="J2405" t="s">
        <v>7129</v>
      </c>
      <c r="K2405" t="s">
        <v>24</v>
      </c>
      <c r="L2405" t="s">
        <v>809</v>
      </c>
      <c r="M2405" t="s">
        <v>7849</v>
      </c>
      <c r="N2405" t="s">
        <v>7850</v>
      </c>
      <c r="O2405" t="s">
        <v>810</v>
      </c>
      <c r="P2405" t="s">
        <v>811</v>
      </c>
      <c r="Q2405" t="s">
        <v>6565</v>
      </c>
      <c r="R2405" t="s">
        <v>6566</v>
      </c>
      <c r="S2405" t="s">
        <v>803</v>
      </c>
      <c r="T2405" t="s">
        <v>550</v>
      </c>
      <c r="U2405" t="s">
        <v>550</v>
      </c>
      <c r="V2405" t="s">
        <v>8726</v>
      </c>
      <c r="W2405" t="s">
        <v>813</v>
      </c>
      <c r="X2405" t="s">
        <v>8324</v>
      </c>
      <c r="Y2405" t="s">
        <v>803</v>
      </c>
      <c r="Z2405" t="s">
        <v>8724</v>
      </c>
    </row>
    <row r="2406" spans="1:26" x14ac:dyDescent="0.3">
      <c r="A2406" t="s">
        <v>330</v>
      </c>
      <c r="B2406" t="s">
        <v>8727</v>
      </c>
      <c r="C2406" t="s">
        <v>8728</v>
      </c>
      <c r="D2406" t="s">
        <v>550</v>
      </c>
      <c r="E2406" t="s">
        <v>8465</v>
      </c>
      <c r="F2406" t="s">
        <v>8729</v>
      </c>
      <c r="G2406" s="1">
        <v>44928</v>
      </c>
      <c r="H2406" s="1">
        <v>44931</v>
      </c>
      <c r="I2406" t="s">
        <v>665</v>
      </c>
      <c r="J2406" t="s">
        <v>7122</v>
      </c>
      <c r="K2406" t="s">
        <v>808</v>
      </c>
      <c r="L2406" t="s">
        <v>809</v>
      </c>
      <c r="M2406" t="s">
        <v>7849</v>
      </c>
      <c r="N2406" t="s">
        <v>7850</v>
      </c>
      <c r="O2406" t="s">
        <v>810</v>
      </c>
      <c r="P2406" t="s">
        <v>811</v>
      </c>
      <c r="Q2406" t="s">
        <v>6565</v>
      </c>
      <c r="R2406" t="s">
        <v>6566</v>
      </c>
      <c r="S2406" t="s">
        <v>803</v>
      </c>
      <c r="T2406" t="s">
        <v>550</v>
      </c>
      <c r="U2406" t="s">
        <v>550</v>
      </c>
      <c r="V2406" t="s">
        <v>8730</v>
      </c>
      <c r="W2406" t="s">
        <v>813</v>
      </c>
      <c r="X2406" t="s">
        <v>8324</v>
      </c>
      <c r="Y2406" t="s">
        <v>803</v>
      </c>
      <c r="Z2406" t="s">
        <v>8727</v>
      </c>
    </row>
    <row r="2407" spans="1:26" x14ac:dyDescent="0.3">
      <c r="A2407" t="s">
        <v>330</v>
      </c>
      <c r="B2407" t="s">
        <v>8731</v>
      </c>
      <c r="C2407" t="s">
        <v>8732</v>
      </c>
      <c r="D2407" t="s">
        <v>550</v>
      </c>
      <c r="E2407" t="s">
        <v>807</v>
      </c>
      <c r="F2407" t="s">
        <v>7134</v>
      </c>
      <c r="G2407" s="1">
        <v>44928</v>
      </c>
      <c r="H2407" s="1">
        <v>45019</v>
      </c>
      <c r="I2407" t="s">
        <v>665</v>
      </c>
      <c r="J2407" t="s">
        <v>7135</v>
      </c>
      <c r="K2407" t="s">
        <v>808</v>
      </c>
      <c r="L2407" t="s">
        <v>809</v>
      </c>
      <c r="M2407" t="s">
        <v>7849</v>
      </c>
      <c r="N2407" t="s">
        <v>7850</v>
      </c>
      <c r="O2407" t="s">
        <v>810</v>
      </c>
      <c r="P2407" t="s">
        <v>811</v>
      </c>
      <c r="Q2407" t="s">
        <v>6565</v>
      </c>
      <c r="R2407" t="s">
        <v>6566</v>
      </c>
      <c r="S2407" t="s">
        <v>803</v>
      </c>
      <c r="T2407" t="s">
        <v>550</v>
      </c>
      <c r="U2407" t="s">
        <v>550</v>
      </c>
      <c r="V2407" t="s">
        <v>8733</v>
      </c>
      <c r="W2407" t="s">
        <v>813</v>
      </c>
      <c r="X2407" t="s">
        <v>8324</v>
      </c>
      <c r="Y2407" t="s">
        <v>803</v>
      </c>
      <c r="Z2407" t="s">
        <v>8731</v>
      </c>
    </row>
    <row r="2408" spans="1:26" x14ac:dyDescent="0.3">
      <c r="A2408" t="s">
        <v>330</v>
      </c>
      <c r="B2408" t="s">
        <v>8734</v>
      </c>
      <c r="C2408" t="s">
        <v>8735</v>
      </c>
      <c r="D2408" t="s">
        <v>8322</v>
      </c>
      <c r="E2408" t="s">
        <v>8700</v>
      </c>
      <c r="F2408" t="s">
        <v>5184</v>
      </c>
      <c r="G2408" s="1">
        <v>44986</v>
      </c>
      <c r="H2408" s="1">
        <v>44995</v>
      </c>
      <c r="I2408" t="s">
        <v>665</v>
      </c>
      <c r="J2408" t="s">
        <v>8736</v>
      </c>
      <c r="K2408" t="s">
        <v>808</v>
      </c>
      <c r="L2408" t="s">
        <v>809</v>
      </c>
      <c r="M2408" t="s">
        <v>7849</v>
      </c>
      <c r="N2408" t="s">
        <v>7850</v>
      </c>
      <c r="O2408" t="s">
        <v>810</v>
      </c>
      <c r="P2408" t="s">
        <v>811</v>
      </c>
      <c r="Q2408" t="s">
        <v>6565</v>
      </c>
      <c r="R2408" t="s">
        <v>6566</v>
      </c>
      <c r="S2408" t="s">
        <v>803</v>
      </c>
      <c r="T2408" t="s">
        <v>550</v>
      </c>
      <c r="U2408" t="s">
        <v>550</v>
      </c>
      <c r="V2408" t="s">
        <v>8737</v>
      </c>
      <c r="W2408" t="s">
        <v>813</v>
      </c>
      <c r="X2408" t="s">
        <v>8324</v>
      </c>
      <c r="Y2408" t="s">
        <v>803</v>
      </c>
      <c r="Z2408" t="s">
        <v>8734</v>
      </c>
    </row>
    <row r="2409" spans="1:26" x14ac:dyDescent="0.3">
      <c r="A2409" t="s">
        <v>330</v>
      </c>
      <c r="B2409" t="s">
        <v>8738</v>
      </c>
      <c r="C2409" t="s">
        <v>8739</v>
      </c>
      <c r="D2409" t="s">
        <v>8322</v>
      </c>
      <c r="E2409" t="s">
        <v>7153</v>
      </c>
      <c r="F2409" t="s">
        <v>7154</v>
      </c>
      <c r="G2409" s="1">
        <v>45078</v>
      </c>
      <c r="H2409" s="1">
        <v>45089</v>
      </c>
      <c r="I2409" t="s">
        <v>665</v>
      </c>
      <c r="J2409" t="s">
        <v>7155</v>
      </c>
      <c r="K2409" t="s">
        <v>24</v>
      </c>
      <c r="L2409" t="s">
        <v>809</v>
      </c>
      <c r="M2409" t="s">
        <v>7849</v>
      </c>
      <c r="N2409" t="s">
        <v>7850</v>
      </c>
      <c r="O2409" t="s">
        <v>810</v>
      </c>
      <c r="P2409" t="s">
        <v>811</v>
      </c>
      <c r="Q2409" t="s">
        <v>6565</v>
      </c>
      <c r="R2409" t="s">
        <v>6566</v>
      </c>
      <c r="S2409" t="s">
        <v>803</v>
      </c>
      <c r="T2409" t="s">
        <v>550</v>
      </c>
      <c r="U2409" t="s">
        <v>550</v>
      </c>
      <c r="V2409" t="s">
        <v>8740</v>
      </c>
      <c r="W2409" t="s">
        <v>813</v>
      </c>
      <c r="X2409" t="s">
        <v>8324</v>
      </c>
      <c r="Y2409" t="s">
        <v>803</v>
      </c>
      <c r="Z2409" t="s">
        <v>8738</v>
      </c>
    </row>
    <row r="2410" spans="1:26" x14ac:dyDescent="0.3">
      <c r="A2410" t="s">
        <v>330</v>
      </c>
      <c r="B2410" t="s">
        <v>8741</v>
      </c>
      <c r="C2410" t="s">
        <v>8742</v>
      </c>
      <c r="D2410" t="s">
        <v>8322</v>
      </c>
      <c r="E2410" t="s">
        <v>7153</v>
      </c>
      <c r="F2410" t="s">
        <v>7154</v>
      </c>
      <c r="G2410" s="1">
        <v>45231</v>
      </c>
      <c r="H2410" s="1">
        <v>45240</v>
      </c>
      <c r="I2410" t="s">
        <v>665</v>
      </c>
      <c r="J2410" t="s">
        <v>7155</v>
      </c>
      <c r="K2410" t="s">
        <v>24</v>
      </c>
      <c r="L2410" t="s">
        <v>809</v>
      </c>
      <c r="M2410" t="s">
        <v>7849</v>
      </c>
      <c r="N2410" t="s">
        <v>7850</v>
      </c>
      <c r="O2410" t="s">
        <v>810</v>
      </c>
      <c r="P2410" t="s">
        <v>811</v>
      </c>
      <c r="Q2410" t="s">
        <v>6565</v>
      </c>
      <c r="R2410" t="s">
        <v>6566</v>
      </c>
      <c r="S2410" t="s">
        <v>803</v>
      </c>
      <c r="T2410" t="s">
        <v>550</v>
      </c>
      <c r="U2410" t="s">
        <v>550</v>
      </c>
      <c r="V2410" t="s">
        <v>8743</v>
      </c>
      <c r="W2410" t="s">
        <v>813</v>
      </c>
      <c r="X2410" t="s">
        <v>8324</v>
      </c>
      <c r="Y2410" t="s">
        <v>803</v>
      </c>
      <c r="Z2410" t="s">
        <v>8741</v>
      </c>
    </row>
    <row r="2411" spans="1:26" x14ac:dyDescent="0.3">
      <c r="A2411" t="s">
        <v>330</v>
      </c>
      <c r="B2411" t="s">
        <v>8744</v>
      </c>
      <c r="C2411" t="s">
        <v>8745</v>
      </c>
      <c r="D2411" t="s">
        <v>8511</v>
      </c>
      <c r="E2411" t="s">
        <v>7153</v>
      </c>
      <c r="F2411" t="s">
        <v>7154</v>
      </c>
      <c r="G2411" s="1">
        <v>45078</v>
      </c>
      <c r="H2411" s="1">
        <v>45104</v>
      </c>
      <c r="I2411" t="s">
        <v>665</v>
      </c>
      <c r="J2411" t="s">
        <v>7155</v>
      </c>
      <c r="K2411" t="s">
        <v>24</v>
      </c>
      <c r="L2411" t="s">
        <v>809</v>
      </c>
      <c r="M2411" t="s">
        <v>7849</v>
      </c>
      <c r="N2411" t="s">
        <v>7850</v>
      </c>
      <c r="O2411" t="s">
        <v>810</v>
      </c>
      <c r="P2411" t="s">
        <v>811</v>
      </c>
      <c r="Q2411" t="s">
        <v>6565</v>
      </c>
      <c r="R2411" t="s">
        <v>6566</v>
      </c>
      <c r="S2411" t="s">
        <v>803</v>
      </c>
      <c r="T2411" t="s">
        <v>550</v>
      </c>
      <c r="U2411" t="s">
        <v>550</v>
      </c>
      <c r="V2411" t="s">
        <v>8746</v>
      </c>
      <c r="W2411" t="s">
        <v>813</v>
      </c>
      <c r="X2411" t="s">
        <v>8324</v>
      </c>
      <c r="Y2411" t="s">
        <v>803</v>
      </c>
      <c r="Z2411" t="s">
        <v>8744</v>
      </c>
    </row>
    <row r="2412" spans="1:26" x14ac:dyDescent="0.3">
      <c r="A2412" t="s">
        <v>330</v>
      </c>
      <c r="B2412" t="s">
        <v>8747</v>
      </c>
      <c r="C2412" t="s">
        <v>8748</v>
      </c>
      <c r="D2412" t="s">
        <v>8435</v>
      </c>
      <c r="E2412" t="s">
        <v>8437</v>
      </c>
      <c r="F2412" t="s">
        <v>8438</v>
      </c>
      <c r="G2412" s="1">
        <v>45110</v>
      </c>
      <c r="H2412" s="1">
        <v>45120</v>
      </c>
      <c r="I2412" t="s">
        <v>665</v>
      </c>
      <c r="J2412" t="s">
        <v>8439</v>
      </c>
      <c r="K2412" t="s">
        <v>958</v>
      </c>
      <c r="L2412" t="s">
        <v>809</v>
      </c>
      <c r="M2412" t="s">
        <v>7849</v>
      </c>
      <c r="N2412" t="s">
        <v>7850</v>
      </c>
      <c r="O2412" t="s">
        <v>810</v>
      </c>
      <c r="P2412" t="s">
        <v>811</v>
      </c>
      <c r="Q2412" t="s">
        <v>6565</v>
      </c>
      <c r="R2412" t="s">
        <v>6566</v>
      </c>
      <c r="S2412" t="s">
        <v>7208</v>
      </c>
      <c r="T2412" t="s">
        <v>550</v>
      </c>
      <c r="U2412" t="s">
        <v>550</v>
      </c>
      <c r="V2412" t="s">
        <v>8749</v>
      </c>
      <c r="W2412" t="s">
        <v>813</v>
      </c>
      <c r="X2412" t="s">
        <v>8324</v>
      </c>
      <c r="Y2412" t="s">
        <v>803</v>
      </c>
      <c r="Z2412" t="s">
        <v>8747</v>
      </c>
    </row>
    <row r="2413" spans="1:26" x14ac:dyDescent="0.3">
      <c r="A2413" t="s">
        <v>330</v>
      </c>
      <c r="B2413" t="s">
        <v>8750</v>
      </c>
      <c r="C2413" t="s">
        <v>8751</v>
      </c>
      <c r="D2413" t="s">
        <v>8506</v>
      </c>
      <c r="E2413" t="s">
        <v>8507</v>
      </c>
      <c r="F2413" t="s">
        <v>2826</v>
      </c>
      <c r="G2413" s="1">
        <v>45170</v>
      </c>
      <c r="H2413" s="1">
        <v>45188</v>
      </c>
      <c r="I2413" t="s">
        <v>665</v>
      </c>
      <c r="J2413" t="s">
        <v>7185</v>
      </c>
      <c r="K2413" t="s">
        <v>24</v>
      </c>
      <c r="L2413" t="s">
        <v>809</v>
      </c>
      <c r="M2413" t="s">
        <v>7849</v>
      </c>
      <c r="N2413" t="s">
        <v>7850</v>
      </c>
      <c r="O2413" t="s">
        <v>810</v>
      </c>
      <c r="P2413" t="s">
        <v>811</v>
      </c>
      <c r="Q2413" t="s">
        <v>6565</v>
      </c>
      <c r="R2413" t="s">
        <v>6566</v>
      </c>
      <c r="S2413" t="s">
        <v>803</v>
      </c>
      <c r="T2413" t="s">
        <v>550</v>
      </c>
      <c r="U2413" t="s">
        <v>550</v>
      </c>
      <c r="V2413" t="s">
        <v>8752</v>
      </c>
      <c r="W2413" t="s">
        <v>813</v>
      </c>
      <c r="X2413" t="s">
        <v>8324</v>
      </c>
      <c r="Y2413" t="s">
        <v>803</v>
      </c>
      <c r="Z2413" t="s">
        <v>8506</v>
      </c>
    </row>
    <row r="2414" spans="1:26" x14ac:dyDescent="0.3">
      <c r="A2414" t="s">
        <v>330</v>
      </c>
      <c r="B2414" t="s">
        <v>8753</v>
      </c>
      <c r="C2414" t="s">
        <v>8754</v>
      </c>
      <c r="D2414" t="s">
        <v>8515</v>
      </c>
      <c r="E2414" t="s">
        <v>7142</v>
      </c>
      <c r="F2414" t="s">
        <v>7143</v>
      </c>
      <c r="G2414" s="1">
        <v>45201</v>
      </c>
      <c r="H2414" s="1">
        <v>45212</v>
      </c>
      <c r="I2414" t="s">
        <v>665</v>
      </c>
      <c r="J2414" t="s">
        <v>7144</v>
      </c>
      <c r="K2414" t="s">
        <v>24</v>
      </c>
      <c r="L2414" t="s">
        <v>809</v>
      </c>
      <c r="M2414" t="s">
        <v>7849</v>
      </c>
      <c r="N2414" t="s">
        <v>7850</v>
      </c>
      <c r="O2414" t="s">
        <v>810</v>
      </c>
      <c r="P2414" t="s">
        <v>811</v>
      </c>
      <c r="Q2414" t="s">
        <v>6565</v>
      </c>
      <c r="R2414" t="s">
        <v>6566</v>
      </c>
      <c r="S2414" t="s">
        <v>803</v>
      </c>
      <c r="T2414" t="s">
        <v>550</v>
      </c>
      <c r="U2414" t="s">
        <v>550</v>
      </c>
      <c r="V2414" t="s">
        <v>8755</v>
      </c>
      <c r="W2414" t="s">
        <v>813</v>
      </c>
      <c r="X2414" t="s">
        <v>8324</v>
      </c>
      <c r="Y2414" t="s">
        <v>803</v>
      </c>
      <c r="Z2414" t="s">
        <v>8515</v>
      </c>
    </row>
    <row r="2415" spans="1:26" x14ac:dyDescent="0.3">
      <c r="A2415" t="s">
        <v>330</v>
      </c>
      <c r="B2415" t="s">
        <v>8756</v>
      </c>
      <c r="C2415" t="s">
        <v>8757</v>
      </c>
      <c r="D2415" t="s">
        <v>8758</v>
      </c>
      <c r="E2415" t="s">
        <v>8575</v>
      </c>
      <c r="F2415" t="s">
        <v>1897</v>
      </c>
      <c r="G2415" s="1">
        <v>45628</v>
      </c>
      <c r="H2415" s="1">
        <v>45642</v>
      </c>
      <c r="I2415" t="s">
        <v>665</v>
      </c>
      <c r="J2415" t="s">
        <v>8387</v>
      </c>
      <c r="K2415" t="s">
        <v>4782</v>
      </c>
      <c r="L2415" t="s">
        <v>7624</v>
      </c>
      <c r="M2415" t="s">
        <v>843</v>
      </c>
      <c r="N2415" t="s">
        <v>319</v>
      </c>
      <c r="O2415" t="s">
        <v>810</v>
      </c>
      <c r="P2415" t="s">
        <v>811</v>
      </c>
      <c r="Q2415" t="s">
        <v>6565</v>
      </c>
      <c r="R2415" t="s">
        <v>6566</v>
      </c>
      <c r="S2415" t="s">
        <v>803</v>
      </c>
      <c r="T2415" t="s">
        <v>550</v>
      </c>
      <c r="U2415" t="s">
        <v>550</v>
      </c>
      <c r="V2415" t="s">
        <v>8759</v>
      </c>
      <c r="W2415" t="s">
        <v>813</v>
      </c>
      <c r="Z2415" t="s">
        <v>8756</v>
      </c>
    </row>
    <row r="2416" spans="1:26" x14ac:dyDescent="0.3">
      <c r="A2416" t="s">
        <v>330</v>
      </c>
      <c r="B2416" t="s">
        <v>8760</v>
      </c>
      <c r="C2416" t="s">
        <v>8761</v>
      </c>
      <c r="D2416" t="s">
        <v>8762</v>
      </c>
      <c r="E2416" t="s">
        <v>8507</v>
      </c>
      <c r="F2416" t="s">
        <v>2826</v>
      </c>
      <c r="G2416" s="1">
        <v>45383</v>
      </c>
      <c r="H2416" s="1">
        <v>45401</v>
      </c>
      <c r="I2416" t="s">
        <v>665</v>
      </c>
      <c r="J2416" t="s">
        <v>7185</v>
      </c>
      <c r="K2416" t="s">
        <v>24</v>
      </c>
      <c r="L2416" t="s">
        <v>7624</v>
      </c>
      <c r="M2416" t="s">
        <v>843</v>
      </c>
      <c r="N2416" t="s">
        <v>319</v>
      </c>
      <c r="O2416" t="s">
        <v>810</v>
      </c>
      <c r="P2416" t="s">
        <v>811</v>
      </c>
      <c r="Q2416" t="s">
        <v>6565</v>
      </c>
      <c r="R2416" t="s">
        <v>6566</v>
      </c>
      <c r="S2416" t="s">
        <v>803</v>
      </c>
      <c r="T2416" t="s">
        <v>550</v>
      </c>
      <c r="U2416" t="s">
        <v>550</v>
      </c>
      <c r="V2416" t="s">
        <v>8763</v>
      </c>
      <c r="W2416" t="s">
        <v>813</v>
      </c>
      <c r="Z2416" t="s">
        <v>8760</v>
      </c>
    </row>
    <row r="2417" spans="1:26" x14ac:dyDescent="0.3">
      <c r="A2417" t="s">
        <v>330</v>
      </c>
      <c r="B2417" t="s">
        <v>8764</v>
      </c>
      <c r="C2417" t="s">
        <v>8765</v>
      </c>
      <c r="D2417" t="s">
        <v>550</v>
      </c>
      <c r="E2417" t="s">
        <v>880</v>
      </c>
      <c r="F2417" t="s">
        <v>7128</v>
      </c>
      <c r="G2417" s="1">
        <v>45292</v>
      </c>
      <c r="H2417" s="1">
        <v>45342</v>
      </c>
      <c r="I2417" t="s">
        <v>665</v>
      </c>
      <c r="J2417" t="s">
        <v>7129</v>
      </c>
      <c r="K2417" t="s">
        <v>24</v>
      </c>
      <c r="L2417" t="s">
        <v>7624</v>
      </c>
      <c r="M2417" t="s">
        <v>843</v>
      </c>
      <c r="N2417" t="s">
        <v>319</v>
      </c>
      <c r="O2417" t="s">
        <v>810</v>
      </c>
      <c r="P2417" t="s">
        <v>811</v>
      </c>
      <c r="Q2417" t="s">
        <v>6565</v>
      </c>
      <c r="R2417" t="s">
        <v>6566</v>
      </c>
      <c r="S2417" t="s">
        <v>803</v>
      </c>
      <c r="T2417" t="s">
        <v>550</v>
      </c>
      <c r="U2417" t="s">
        <v>550</v>
      </c>
      <c r="V2417" t="s">
        <v>8766</v>
      </c>
      <c r="W2417" t="s">
        <v>813</v>
      </c>
      <c r="Z2417" t="s">
        <v>8764</v>
      </c>
    </row>
    <row r="2418" spans="1:26" x14ac:dyDescent="0.3">
      <c r="A2418" t="s">
        <v>330</v>
      </c>
      <c r="B2418" t="s">
        <v>8767</v>
      </c>
      <c r="C2418" t="s">
        <v>8768</v>
      </c>
      <c r="D2418" t="s">
        <v>8415</v>
      </c>
      <c r="E2418" t="s">
        <v>8769</v>
      </c>
      <c r="F2418" t="s">
        <v>7148</v>
      </c>
      <c r="G2418" s="1">
        <v>45597</v>
      </c>
      <c r="H2418" s="1">
        <v>45600</v>
      </c>
      <c r="I2418" t="s">
        <v>665</v>
      </c>
      <c r="J2418" t="s">
        <v>8507</v>
      </c>
      <c r="K2418" t="s">
        <v>24</v>
      </c>
      <c r="L2418" t="s">
        <v>7624</v>
      </c>
      <c r="M2418" t="s">
        <v>843</v>
      </c>
      <c r="N2418" t="s">
        <v>319</v>
      </c>
      <c r="O2418" t="s">
        <v>810</v>
      </c>
      <c r="P2418" t="s">
        <v>811</v>
      </c>
      <c r="Q2418" t="s">
        <v>6565</v>
      </c>
      <c r="R2418" t="s">
        <v>6566</v>
      </c>
      <c r="S2418" t="s">
        <v>803</v>
      </c>
      <c r="T2418" t="s">
        <v>550</v>
      </c>
      <c r="U2418" t="s">
        <v>550</v>
      </c>
      <c r="V2418" t="s">
        <v>8770</v>
      </c>
      <c r="W2418" t="s">
        <v>813</v>
      </c>
      <c r="Z2418" t="s">
        <v>8767</v>
      </c>
    </row>
    <row r="2419" spans="1:26" x14ac:dyDescent="0.3">
      <c r="A2419" t="s">
        <v>330</v>
      </c>
      <c r="B2419" t="s">
        <v>8771</v>
      </c>
      <c r="C2419" t="s">
        <v>8772</v>
      </c>
      <c r="D2419" t="s">
        <v>8773</v>
      </c>
      <c r="E2419" t="s">
        <v>7108</v>
      </c>
      <c r="F2419" t="s">
        <v>1333</v>
      </c>
      <c r="G2419" s="1">
        <v>45617</v>
      </c>
      <c r="H2419" s="1">
        <v>45625</v>
      </c>
      <c r="I2419" t="s">
        <v>665</v>
      </c>
      <c r="J2419" t="s">
        <v>7109</v>
      </c>
      <c r="K2419" t="s">
        <v>24</v>
      </c>
      <c r="L2419" t="s">
        <v>7624</v>
      </c>
      <c r="M2419" t="s">
        <v>843</v>
      </c>
      <c r="N2419" t="s">
        <v>319</v>
      </c>
      <c r="O2419" t="s">
        <v>810</v>
      </c>
      <c r="P2419" t="s">
        <v>811</v>
      </c>
      <c r="Q2419" t="s">
        <v>6565</v>
      </c>
      <c r="R2419" t="s">
        <v>6566</v>
      </c>
      <c r="S2419" t="s">
        <v>803</v>
      </c>
      <c r="T2419" t="s">
        <v>550</v>
      </c>
      <c r="U2419" t="s">
        <v>550</v>
      </c>
      <c r="V2419" t="s">
        <v>8774</v>
      </c>
      <c r="W2419" t="s">
        <v>813</v>
      </c>
      <c r="Z2419" t="s">
        <v>8771</v>
      </c>
    </row>
    <row r="2420" spans="1:26" x14ac:dyDescent="0.3">
      <c r="A2420" t="s">
        <v>330</v>
      </c>
      <c r="B2420" t="s">
        <v>8775</v>
      </c>
      <c r="C2420" t="s">
        <v>8776</v>
      </c>
      <c r="D2420" t="s">
        <v>8777</v>
      </c>
      <c r="E2420" t="s">
        <v>6417</v>
      </c>
      <c r="F2420" t="s">
        <v>1040</v>
      </c>
      <c r="G2420" s="1">
        <v>45446</v>
      </c>
      <c r="H2420" s="1">
        <v>45467</v>
      </c>
      <c r="I2420" t="s">
        <v>665</v>
      </c>
      <c r="J2420" t="s">
        <v>6418</v>
      </c>
      <c r="K2420" t="s">
        <v>958</v>
      </c>
      <c r="L2420" t="s">
        <v>6502</v>
      </c>
      <c r="M2420" t="s">
        <v>6593</v>
      </c>
      <c r="N2420" t="s">
        <v>6594</v>
      </c>
      <c r="O2420" t="s">
        <v>6446</v>
      </c>
      <c r="P2420" t="s">
        <v>6447</v>
      </c>
      <c r="Q2420" t="s">
        <v>6565</v>
      </c>
      <c r="R2420" t="s">
        <v>6566</v>
      </c>
      <c r="S2420" t="s">
        <v>8778</v>
      </c>
      <c r="T2420" t="s">
        <v>550</v>
      </c>
      <c r="U2420" t="s">
        <v>550</v>
      </c>
      <c r="V2420" t="s">
        <v>8779</v>
      </c>
      <c r="W2420" t="s">
        <v>6450</v>
      </c>
      <c r="X2420" t="s">
        <v>8780</v>
      </c>
      <c r="Z2420" t="s">
        <v>8775</v>
      </c>
    </row>
    <row r="2421" spans="1:26" x14ac:dyDescent="0.3">
      <c r="A2421" t="s">
        <v>330</v>
      </c>
      <c r="B2421" t="s">
        <v>8781</v>
      </c>
      <c r="C2421" t="s">
        <v>8782</v>
      </c>
      <c r="D2421" t="s">
        <v>6876</v>
      </c>
      <c r="E2421" t="s">
        <v>6417</v>
      </c>
      <c r="F2421" t="s">
        <v>1040</v>
      </c>
      <c r="G2421" s="1">
        <v>45292</v>
      </c>
      <c r="H2421" s="1">
        <v>45324</v>
      </c>
      <c r="I2421" t="s">
        <v>665</v>
      </c>
      <c r="J2421" t="s">
        <v>6418</v>
      </c>
      <c r="K2421" t="s">
        <v>958</v>
      </c>
      <c r="L2421" t="s">
        <v>6419</v>
      </c>
      <c r="M2421" t="s">
        <v>843</v>
      </c>
      <c r="N2421" t="s">
        <v>319</v>
      </c>
      <c r="O2421" t="s">
        <v>6422</v>
      </c>
      <c r="P2421" t="s">
        <v>6423</v>
      </c>
      <c r="Q2421" t="s">
        <v>6565</v>
      </c>
      <c r="R2421" t="s">
        <v>6566</v>
      </c>
      <c r="S2421" t="s">
        <v>6879</v>
      </c>
      <c r="T2421" t="s">
        <v>550</v>
      </c>
      <c r="U2421" t="s">
        <v>550</v>
      </c>
      <c r="V2421" t="s">
        <v>8783</v>
      </c>
      <c r="W2421" t="s">
        <v>6428</v>
      </c>
      <c r="X2421" t="s">
        <v>6881</v>
      </c>
      <c r="Z2421" t="s">
        <v>8781</v>
      </c>
    </row>
    <row r="2422" spans="1:26" x14ac:dyDescent="0.3">
      <c r="A2422" t="s">
        <v>525</v>
      </c>
      <c r="B2422" t="s">
        <v>8784</v>
      </c>
      <c r="C2422" t="s">
        <v>8785</v>
      </c>
      <c r="D2422" t="s">
        <v>8786</v>
      </c>
      <c r="E2422" t="s">
        <v>982</v>
      </c>
      <c r="F2422" t="s">
        <v>983</v>
      </c>
      <c r="G2422" s="1">
        <v>43102</v>
      </c>
      <c r="H2422" s="1">
        <v>43465</v>
      </c>
      <c r="I2422" t="s">
        <v>665</v>
      </c>
      <c r="J2422" t="s">
        <v>984</v>
      </c>
      <c r="K2422" t="s">
        <v>900</v>
      </c>
      <c r="L2422" t="s">
        <v>901</v>
      </c>
      <c r="M2422" t="s">
        <v>1459</v>
      </c>
      <c r="N2422" t="s">
        <v>1460</v>
      </c>
      <c r="O2422" t="s">
        <v>1459</v>
      </c>
      <c r="P2422" t="s">
        <v>1460</v>
      </c>
      <c r="Q2422" t="s">
        <v>8787</v>
      </c>
      <c r="R2422" t="s">
        <v>8788</v>
      </c>
      <c r="S2422" t="s">
        <v>550</v>
      </c>
      <c r="T2422" t="s">
        <v>550</v>
      </c>
      <c r="U2422" t="s">
        <v>550</v>
      </c>
      <c r="V2422" t="s">
        <v>8789</v>
      </c>
      <c r="W2422" t="s">
        <v>1014</v>
      </c>
      <c r="X2422" t="s">
        <v>870</v>
      </c>
      <c r="Y2422" t="s">
        <v>803</v>
      </c>
      <c r="Z2422" t="s">
        <v>8784</v>
      </c>
    </row>
    <row r="2423" spans="1:26" x14ac:dyDescent="0.3">
      <c r="A2423" t="s">
        <v>525</v>
      </c>
      <c r="B2423" t="s">
        <v>8790</v>
      </c>
      <c r="C2423" t="s">
        <v>8791</v>
      </c>
      <c r="D2423" t="s">
        <v>8786</v>
      </c>
      <c r="E2423" t="s">
        <v>982</v>
      </c>
      <c r="F2423" t="s">
        <v>983</v>
      </c>
      <c r="G2423" s="1">
        <v>43102</v>
      </c>
      <c r="H2423" s="1">
        <v>43465</v>
      </c>
      <c r="I2423" t="s">
        <v>665</v>
      </c>
      <c r="J2423" t="s">
        <v>984</v>
      </c>
      <c r="K2423" t="s">
        <v>900</v>
      </c>
      <c r="L2423" t="s">
        <v>901</v>
      </c>
      <c r="M2423" t="s">
        <v>1459</v>
      </c>
      <c r="N2423" t="s">
        <v>1460</v>
      </c>
      <c r="O2423" t="s">
        <v>1459</v>
      </c>
      <c r="P2423" t="s">
        <v>1460</v>
      </c>
      <c r="Q2423" t="s">
        <v>8787</v>
      </c>
      <c r="R2423" t="s">
        <v>8788</v>
      </c>
      <c r="S2423" t="s">
        <v>550</v>
      </c>
      <c r="T2423" t="s">
        <v>550</v>
      </c>
      <c r="U2423" t="s">
        <v>550</v>
      </c>
      <c r="V2423" t="s">
        <v>8792</v>
      </c>
      <c r="W2423" t="s">
        <v>869</v>
      </c>
      <c r="X2423" t="s">
        <v>870</v>
      </c>
      <c r="Y2423" t="s">
        <v>847</v>
      </c>
      <c r="Z2423" t="s">
        <v>8790</v>
      </c>
    </row>
    <row r="2424" spans="1:26" x14ac:dyDescent="0.3">
      <c r="A2424" t="s">
        <v>525</v>
      </c>
      <c r="B2424" t="s">
        <v>8793</v>
      </c>
      <c r="C2424" t="s">
        <v>8794</v>
      </c>
      <c r="D2424" t="s">
        <v>550</v>
      </c>
      <c r="E2424" t="s">
        <v>664</v>
      </c>
      <c r="F2424" t="s">
        <v>27</v>
      </c>
      <c r="G2424" s="1">
        <v>43102</v>
      </c>
      <c r="H2424" s="1">
        <v>43830</v>
      </c>
      <c r="I2424" t="s">
        <v>665</v>
      </c>
      <c r="J2424" t="s">
        <v>666</v>
      </c>
      <c r="K2424" t="s">
        <v>900</v>
      </c>
      <c r="L2424" t="s">
        <v>1010</v>
      </c>
      <c r="M2424" t="s">
        <v>1230</v>
      </c>
      <c r="N2424" t="s">
        <v>1231</v>
      </c>
      <c r="O2424" t="s">
        <v>1168</v>
      </c>
      <c r="P2424" t="s">
        <v>1169</v>
      </c>
      <c r="Q2424" t="s">
        <v>8787</v>
      </c>
      <c r="R2424" t="s">
        <v>8788</v>
      </c>
      <c r="S2424" t="s">
        <v>550</v>
      </c>
      <c r="T2424" t="s">
        <v>550</v>
      </c>
      <c r="U2424" t="s">
        <v>550</v>
      </c>
      <c r="V2424" t="s">
        <v>8795</v>
      </c>
      <c r="W2424" t="s">
        <v>554</v>
      </c>
      <c r="X2424" t="s">
        <v>669</v>
      </c>
      <c r="Y2424" t="s">
        <v>799</v>
      </c>
      <c r="Z2424" t="s">
        <v>8793</v>
      </c>
    </row>
    <row r="2425" spans="1:26" x14ac:dyDescent="0.3">
      <c r="A2425" t="s">
        <v>525</v>
      </c>
      <c r="B2425" t="s">
        <v>8796</v>
      </c>
      <c r="C2425" t="s">
        <v>8797</v>
      </c>
      <c r="D2425" t="s">
        <v>8793</v>
      </c>
      <c r="E2425" t="s">
        <v>664</v>
      </c>
      <c r="F2425" t="s">
        <v>27</v>
      </c>
      <c r="G2425" s="1">
        <v>43102</v>
      </c>
      <c r="H2425" s="1">
        <v>43465</v>
      </c>
      <c r="I2425" t="s">
        <v>665</v>
      </c>
      <c r="J2425" t="s">
        <v>666</v>
      </c>
      <c r="K2425" t="s">
        <v>900</v>
      </c>
      <c r="L2425" t="s">
        <v>1010</v>
      </c>
      <c r="M2425" t="s">
        <v>1230</v>
      </c>
      <c r="N2425" t="s">
        <v>1231</v>
      </c>
      <c r="O2425" t="s">
        <v>1168</v>
      </c>
      <c r="P2425" t="s">
        <v>1169</v>
      </c>
      <c r="Q2425" t="s">
        <v>8787</v>
      </c>
      <c r="R2425" t="s">
        <v>8788</v>
      </c>
      <c r="S2425" t="s">
        <v>550</v>
      </c>
      <c r="T2425" t="s">
        <v>550</v>
      </c>
      <c r="U2425" t="s">
        <v>550</v>
      </c>
      <c r="V2425" t="s">
        <v>8798</v>
      </c>
      <c r="W2425" t="s">
        <v>554</v>
      </c>
      <c r="X2425" t="s">
        <v>669</v>
      </c>
      <c r="Y2425" t="s">
        <v>799</v>
      </c>
      <c r="Z2425" t="s">
        <v>8796</v>
      </c>
    </row>
    <row r="2426" spans="1:26" x14ac:dyDescent="0.3">
      <c r="A2426" t="s">
        <v>525</v>
      </c>
      <c r="B2426" t="s">
        <v>8799</v>
      </c>
      <c r="C2426" t="s">
        <v>8800</v>
      </c>
      <c r="D2426" t="s">
        <v>550</v>
      </c>
      <c r="E2426" t="s">
        <v>664</v>
      </c>
      <c r="F2426" t="s">
        <v>27</v>
      </c>
      <c r="G2426" s="1">
        <v>43102</v>
      </c>
      <c r="H2426" s="1">
        <v>43830</v>
      </c>
      <c r="I2426" t="s">
        <v>665</v>
      </c>
      <c r="J2426" t="s">
        <v>666</v>
      </c>
      <c r="K2426" t="s">
        <v>900</v>
      </c>
      <c r="L2426" t="s">
        <v>1010</v>
      </c>
      <c r="M2426" t="s">
        <v>2790</v>
      </c>
      <c r="N2426" t="s">
        <v>2791</v>
      </c>
      <c r="O2426" t="s">
        <v>1031</v>
      </c>
      <c r="P2426" t="s">
        <v>239</v>
      </c>
      <c r="Q2426" t="s">
        <v>8787</v>
      </c>
      <c r="R2426" t="s">
        <v>8788</v>
      </c>
      <c r="S2426" t="s">
        <v>550</v>
      </c>
      <c r="T2426" t="s">
        <v>550</v>
      </c>
      <c r="U2426" t="s">
        <v>550</v>
      </c>
      <c r="V2426" t="s">
        <v>8801</v>
      </c>
      <c r="W2426" t="s">
        <v>1021</v>
      </c>
      <c r="X2426" t="s">
        <v>74</v>
      </c>
      <c r="Y2426" t="s">
        <v>803</v>
      </c>
      <c r="Z2426" t="s">
        <v>8799</v>
      </c>
    </row>
    <row r="2427" spans="1:26" x14ac:dyDescent="0.3">
      <c r="A2427" t="s">
        <v>525</v>
      </c>
      <c r="B2427" t="s">
        <v>8802</v>
      </c>
      <c r="C2427" t="s">
        <v>8803</v>
      </c>
      <c r="D2427" t="s">
        <v>8799</v>
      </c>
      <c r="E2427" t="s">
        <v>664</v>
      </c>
      <c r="F2427" t="s">
        <v>27</v>
      </c>
      <c r="G2427" s="1">
        <v>43102</v>
      </c>
      <c r="H2427" s="1">
        <v>43465</v>
      </c>
      <c r="I2427" t="s">
        <v>665</v>
      </c>
      <c r="J2427" t="s">
        <v>666</v>
      </c>
      <c r="K2427" t="s">
        <v>900</v>
      </c>
      <c r="L2427" t="s">
        <v>1010</v>
      </c>
      <c r="M2427" t="s">
        <v>2790</v>
      </c>
      <c r="N2427" t="s">
        <v>2791</v>
      </c>
      <c r="O2427" t="s">
        <v>1031</v>
      </c>
      <c r="P2427" t="s">
        <v>239</v>
      </c>
      <c r="Q2427" t="s">
        <v>8787</v>
      </c>
      <c r="R2427" t="s">
        <v>8788</v>
      </c>
      <c r="S2427" t="s">
        <v>550</v>
      </c>
      <c r="T2427" t="s">
        <v>550</v>
      </c>
      <c r="U2427" t="s">
        <v>550</v>
      </c>
      <c r="V2427" t="s">
        <v>8804</v>
      </c>
      <c r="W2427" t="s">
        <v>1021</v>
      </c>
      <c r="X2427" t="s">
        <v>74</v>
      </c>
      <c r="Y2427" t="s">
        <v>803</v>
      </c>
      <c r="Z2427" t="s">
        <v>8802</v>
      </c>
    </row>
    <row r="2428" spans="1:26" x14ac:dyDescent="0.3">
      <c r="A2428" t="s">
        <v>525</v>
      </c>
      <c r="B2428" t="s">
        <v>8805</v>
      </c>
      <c r="C2428" t="s">
        <v>8806</v>
      </c>
      <c r="D2428" t="s">
        <v>8786</v>
      </c>
      <c r="E2428" t="s">
        <v>982</v>
      </c>
      <c r="F2428" t="s">
        <v>983</v>
      </c>
      <c r="G2428" s="1">
        <v>43102</v>
      </c>
      <c r="H2428" s="1">
        <v>43465</v>
      </c>
      <c r="I2428" t="s">
        <v>665</v>
      </c>
      <c r="J2428" t="s">
        <v>984</v>
      </c>
      <c r="K2428" t="s">
        <v>900</v>
      </c>
      <c r="L2428" t="s">
        <v>901</v>
      </c>
      <c r="M2428" t="s">
        <v>1011</v>
      </c>
      <c r="N2428" t="s">
        <v>1012</v>
      </c>
      <c r="O2428" t="s">
        <v>1031</v>
      </c>
      <c r="P2428" t="s">
        <v>239</v>
      </c>
      <c r="Q2428" t="s">
        <v>8787</v>
      </c>
      <c r="R2428" t="s">
        <v>8788</v>
      </c>
      <c r="S2428" t="s">
        <v>550</v>
      </c>
      <c r="T2428" t="s">
        <v>550</v>
      </c>
      <c r="U2428" t="s">
        <v>550</v>
      </c>
      <c r="V2428" t="s">
        <v>8807</v>
      </c>
      <c r="W2428" t="s">
        <v>613</v>
      </c>
      <c r="X2428" t="s">
        <v>74</v>
      </c>
      <c r="Y2428" t="s">
        <v>786</v>
      </c>
      <c r="Z2428" t="s">
        <v>8805</v>
      </c>
    </row>
    <row r="2429" spans="1:26" x14ac:dyDescent="0.3">
      <c r="A2429" t="s">
        <v>525</v>
      </c>
      <c r="B2429" t="s">
        <v>8808</v>
      </c>
      <c r="C2429" t="s">
        <v>8809</v>
      </c>
      <c r="D2429" t="s">
        <v>8786</v>
      </c>
      <c r="E2429" t="s">
        <v>982</v>
      </c>
      <c r="F2429" t="s">
        <v>983</v>
      </c>
      <c r="G2429" s="1">
        <v>43102</v>
      </c>
      <c r="H2429" s="1">
        <v>43465</v>
      </c>
      <c r="I2429" t="s">
        <v>665</v>
      </c>
      <c r="J2429" t="s">
        <v>984</v>
      </c>
      <c r="K2429" t="s">
        <v>900</v>
      </c>
      <c r="L2429" t="s">
        <v>901</v>
      </c>
      <c r="M2429" t="s">
        <v>1011</v>
      </c>
      <c r="N2429" t="s">
        <v>1012</v>
      </c>
      <c r="O2429" t="s">
        <v>1031</v>
      </c>
      <c r="P2429" t="s">
        <v>239</v>
      </c>
      <c r="Q2429" t="s">
        <v>8787</v>
      </c>
      <c r="R2429" t="s">
        <v>8788</v>
      </c>
      <c r="S2429" t="s">
        <v>550</v>
      </c>
      <c r="T2429" t="s">
        <v>550</v>
      </c>
      <c r="U2429" t="s">
        <v>550</v>
      </c>
      <c r="V2429" t="s">
        <v>8810</v>
      </c>
      <c r="W2429" t="s">
        <v>1021</v>
      </c>
      <c r="X2429" t="s">
        <v>74</v>
      </c>
      <c r="Y2429" t="s">
        <v>803</v>
      </c>
      <c r="Z2429" t="s">
        <v>8808</v>
      </c>
    </row>
    <row r="2430" spans="1:26" x14ac:dyDescent="0.3">
      <c r="A2430" t="s">
        <v>525</v>
      </c>
      <c r="B2430" t="s">
        <v>8811</v>
      </c>
      <c r="C2430" t="s">
        <v>8812</v>
      </c>
      <c r="D2430" t="s">
        <v>8786</v>
      </c>
      <c r="E2430" t="s">
        <v>982</v>
      </c>
      <c r="F2430" t="s">
        <v>983</v>
      </c>
      <c r="G2430" s="1">
        <v>43102</v>
      </c>
      <c r="H2430" s="1">
        <v>43465</v>
      </c>
      <c r="I2430" t="s">
        <v>665</v>
      </c>
      <c r="J2430" t="s">
        <v>984</v>
      </c>
      <c r="K2430" t="s">
        <v>900</v>
      </c>
      <c r="L2430" t="s">
        <v>901</v>
      </c>
      <c r="M2430" t="s">
        <v>8813</v>
      </c>
      <c r="N2430" t="s">
        <v>8814</v>
      </c>
      <c r="O2430" t="s">
        <v>6077</v>
      </c>
      <c r="P2430" t="s">
        <v>6078</v>
      </c>
      <c r="Q2430" t="s">
        <v>8787</v>
      </c>
      <c r="R2430" t="s">
        <v>8788</v>
      </c>
      <c r="S2430" t="s">
        <v>550</v>
      </c>
      <c r="T2430" t="s">
        <v>550</v>
      </c>
      <c r="U2430" t="s">
        <v>550</v>
      </c>
      <c r="V2430" t="s">
        <v>8815</v>
      </c>
      <c r="W2430" t="s">
        <v>875</v>
      </c>
      <c r="X2430" t="s">
        <v>669</v>
      </c>
      <c r="Y2430" t="s">
        <v>856</v>
      </c>
      <c r="Z2430" t="s">
        <v>8811</v>
      </c>
    </row>
    <row r="2431" spans="1:26" x14ac:dyDescent="0.3">
      <c r="A2431" t="s">
        <v>525</v>
      </c>
      <c r="B2431" t="s">
        <v>8816</v>
      </c>
      <c r="C2431" t="s">
        <v>8817</v>
      </c>
      <c r="D2431" t="s">
        <v>550</v>
      </c>
      <c r="E2431" t="s">
        <v>664</v>
      </c>
      <c r="F2431" t="s">
        <v>27</v>
      </c>
      <c r="G2431" s="1">
        <v>43102</v>
      </c>
      <c r="H2431" s="1">
        <v>43830</v>
      </c>
      <c r="I2431" t="s">
        <v>665</v>
      </c>
      <c r="J2431" t="s">
        <v>666</v>
      </c>
      <c r="K2431" t="s">
        <v>900</v>
      </c>
      <c r="L2431" t="s">
        <v>1010</v>
      </c>
      <c r="M2431" t="s">
        <v>873</v>
      </c>
      <c r="N2431" t="s">
        <v>244</v>
      </c>
      <c r="O2431" t="s">
        <v>6077</v>
      </c>
      <c r="P2431" t="s">
        <v>6078</v>
      </c>
      <c r="Q2431" t="s">
        <v>8787</v>
      </c>
      <c r="R2431" t="s">
        <v>8788</v>
      </c>
      <c r="S2431" t="s">
        <v>550</v>
      </c>
      <c r="T2431" t="s">
        <v>550</v>
      </c>
      <c r="U2431" t="s">
        <v>550</v>
      </c>
      <c r="V2431" t="s">
        <v>8818</v>
      </c>
      <c r="W2431" t="s">
        <v>875</v>
      </c>
      <c r="X2431" t="s">
        <v>669</v>
      </c>
      <c r="Y2431" t="s">
        <v>856</v>
      </c>
      <c r="Z2431" t="s">
        <v>8816</v>
      </c>
    </row>
    <row r="2432" spans="1:26" x14ac:dyDescent="0.3">
      <c r="A2432" t="s">
        <v>525</v>
      </c>
      <c r="B2432" t="s">
        <v>8819</v>
      </c>
      <c r="C2432" t="s">
        <v>8820</v>
      </c>
      <c r="D2432" t="s">
        <v>8816</v>
      </c>
      <c r="E2432" t="s">
        <v>664</v>
      </c>
      <c r="F2432" t="s">
        <v>27</v>
      </c>
      <c r="G2432" s="1">
        <v>43102</v>
      </c>
      <c r="H2432" s="1">
        <v>43465</v>
      </c>
      <c r="I2432" t="s">
        <v>665</v>
      </c>
      <c r="J2432" t="s">
        <v>666</v>
      </c>
      <c r="K2432" t="s">
        <v>900</v>
      </c>
      <c r="L2432" t="s">
        <v>1010</v>
      </c>
      <c r="M2432" t="s">
        <v>873</v>
      </c>
      <c r="N2432" t="s">
        <v>244</v>
      </c>
      <c r="O2432" t="s">
        <v>6077</v>
      </c>
      <c r="P2432" t="s">
        <v>6078</v>
      </c>
      <c r="Q2432" t="s">
        <v>8787</v>
      </c>
      <c r="R2432" t="s">
        <v>8788</v>
      </c>
      <c r="S2432" t="s">
        <v>550</v>
      </c>
      <c r="T2432" t="s">
        <v>550</v>
      </c>
      <c r="U2432" t="s">
        <v>550</v>
      </c>
      <c r="V2432" t="s">
        <v>8821</v>
      </c>
      <c r="W2432" t="s">
        <v>875</v>
      </c>
      <c r="X2432" t="s">
        <v>669</v>
      </c>
      <c r="Y2432" t="s">
        <v>856</v>
      </c>
      <c r="Z2432" t="s">
        <v>8819</v>
      </c>
    </row>
    <row r="2433" spans="1:26" x14ac:dyDescent="0.3">
      <c r="A2433" t="s">
        <v>525</v>
      </c>
      <c r="B2433" t="s">
        <v>8822</v>
      </c>
      <c r="C2433" t="s">
        <v>8823</v>
      </c>
      <c r="D2433" t="s">
        <v>550</v>
      </c>
      <c r="E2433" t="s">
        <v>982</v>
      </c>
      <c r="F2433" t="s">
        <v>983</v>
      </c>
      <c r="G2433" s="1">
        <v>43102</v>
      </c>
      <c r="H2433" s="1">
        <v>43465</v>
      </c>
      <c r="I2433" t="s">
        <v>665</v>
      </c>
      <c r="J2433" t="s">
        <v>984</v>
      </c>
      <c r="K2433" t="s">
        <v>900</v>
      </c>
      <c r="L2433" t="s">
        <v>901</v>
      </c>
      <c r="M2433" t="s">
        <v>6090</v>
      </c>
      <c r="N2433" t="s">
        <v>6091</v>
      </c>
      <c r="O2433" t="s">
        <v>6090</v>
      </c>
      <c r="P2433" t="s">
        <v>6091</v>
      </c>
      <c r="Q2433" t="s">
        <v>8787</v>
      </c>
      <c r="R2433" t="s">
        <v>8788</v>
      </c>
      <c r="S2433" t="s">
        <v>550</v>
      </c>
      <c r="T2433" t="s">
        <v>550</v>
      </c>
      <c r="U2433" t="s">
        <v>550</v>
      </c>
      <c r="V2433" t="s">
        <v>8824</v>
      </c>
      <c r="W2433" t="s">
        <v>988</v>
      </c>
      <c r="X2433" t="s">
        <v>979</v>
      </c>
      <c r="Y2433" t="s">
        <v>803</v>
      </c>
      <c r="Z2433" t="s">
        <v>8822</v>
      </c>
    </row>
    <row r="2434" spans="1:26" x14ac:dyDescent="0.3">
      <c r="A2434" t="s">
        <v>525</v>
      </c>
      <c r="B2434" t="s">
        <v>8786</v>
      </c>
      <c r="C2434" t="s">
        <v>8823</v>
      </c>
      <c r="D2434" t="s">
        <v>8822</v>
      </c>
      <c r="E2434" t="s">
        <v>982</v>
      </c>
      <c r="F2434" t="s">
        <v>983</v>
      </c>
      <c r="G2434" s="1">
        <v>43102</v>
      </c>
      <c r="H2434" s="1">
        <v>43465</v>
      </c>
      <c r="I2434" t="s">
        <v>665</v>
      </c>
      <c r="J2434" t="s">
        <v>984</v>
      </c>
      <c r="K2434" t="s">
        <v>900</v>
      </c>
      <c r="L2434" t="s">
        <v>901</v>
      </c>
      <c r="M2434" t="s">
        <v>6090</v>
      </c>
      <c r="N2434" t="s">
        <v>6091</v>
      </c>
      <c r="O2434" t="s">
        <v>6090</v>
      </c>
      <c r="P2434" t="s">
        <v>6091</v>
      </c>
      <c r="Q2434" t="s">
        <v>8787</v>
      </c>
      <c r="R2434" t="s">
        <v>8788</v>
      </c>
      <c r="S2434" t="s">
        <v>550</v>
      </c>
      <c r="T2434" t="s">
        <v>550</v>
      </c>
      <c r="U2434" t="s">
        <v>550</v>
      </c>
      <c r="V2434" t="s">
        <v>8825</v>
      </c>
      <c r="W2434" t="s">
        <v>988</v>
      </c>
      <c r="X2434" t="s">
        <v>979</v>
      </c>
      <c r="Y2434" t="s">
        <v>803</v>
      </c>
      <c r="Z2434" t="s">
        <v>8786</v>
      </c>
    </row>
    <row r="2435" spans="1:26" x14ac:dyDescent="0.3">
      <c r="A2435" t="s">
        <v>525</v>
      </c>
      <c r="B2435" t="s">
        <v>8826</v>
      </c>
      <c r="C2435" t="s">
        <v>8827</v>
      </c>
      <c r="D2435" t="s">
        <v>8822</v>
      </c>
      <c r="E2435" t="s">
        <v>982</v>
      </c>
      <c r="F2435" t="s">
        <v>983</v>
      </c>
      <c r="G2435" s="1">
        <v>43102</v>
      </c>
      <c r="H2435" s="1">
        <v>43465</v>
      </c>
      <c r="I2435" t="s">
        <v>665</v>
      </c>
      <c r="J2435" t="s">
        <v>984</v>
      </c>
      <c r="K2435" t="s">
        <v>900</v>
      </c>
      <c r="L2435" t="s">
        <v>901</v>
      </c>
      <c r="M2435" t="s">
        <v>6090</v>
      </c>
      <c r="N2435" t="s">
        <v>6091</v>
      </c>
      <c r="O2435" t="s">
        <v>6090</v>
      </c>
      <c r="P2435" t="s">
        <v>6091</v>
      </c>
      <c r="Q2435" t="s">
        <v>8787</v>
      </c>
      <c r="R2435" t="s">
        <v>8788</v>
      </c>
      <c r="S2435" t="s">
        <v>550</v>
      </c>
      <c r="T2435" t="s">
        <v>550</v>
      </c>
      <c r="U2435" t="s">
        <v>550</v>
      </c>
      <c r="V2435" t="s">
        <v>8828</v>
      </c>
      <c r="W2435" t="s">
        <v>988</v>
      </c>
      <c r="X2435" t="s">
        <v>979</v>
      </c>
      <c r="Y2435" t="s">
        <v>803</v>
      </c>
      <c r="Z2435" t="s">
        <v>8826</v>
      </c>
    </row>
    <row r="2436" spans="1:26" x14ac:dyDescent="0.3">
      <c r="A2436" t="s">
        <v>525</v>
      </c>
      <c r="B2436" t="s">
        <v>8829</v>
      </c>
      <c r="C2436" t="s">
        <v>8830</v>
      </c>
      <c r="D2436" t="s">
        <v>8786</v>
      </c>
      <c r="E2436" t="s">
        <v>982</v>
      </c>
      <c r="F2436" t="s">
        <v>983</v>
      </c>
      <c r="G2436" s="1">
        <v>43102</v>
      </c>
      <c r="H2436" s="1">
        <v>43465</v>
      </c>
      <c r="I2436" t="s">
        <v>665</v>
      </c>
      <c r="J2436" t="s">
        <v>984</v>
      </c>
      <c r="K2436" t="s">
        <v>900</v>
      </c>
      <c r="L2436" t="s">
        <v>901</v>
      </c>
      <c r="M2436" t="s">
        <v>2408</v>
      </c>
      <c r="N2436" t="s">
        <v>2409</v>
      </c>
      <c r="O2436" t="s">
        <v>2408</v>
      </c>
      <c r="P2436" t="s">
        <v>2409</v>
      </c>
      <c r="Q2436" t="s">
        <v>8787</v>
      </c>
      <c r="R2436" t="s">
        <v>8788</v>
      </c>
      <c r="S2436" t="s">
        <v>550</v>
      </c>
      <c r="T2436" t="s">
        <v>550</v>
      </c>
      <c r="U2436" t="s">
        <v>550</v>
      </c>
      <c r="V2436" t="s">
        <v>8831</v>
      </c>
      <c r="W2436" t="s">
        <v>554</v>
      </c>
      <c r="X2436" t="s">
        <v>669</v>
      </c>
      <c r="Y2436" t="s">
        <v>799</v>
      </c>
      <c r="Z2436" t="s">
        <v>8829</v>
      </c>
    </row>
    <row r="2437" spans="1:26" x14ac:dyDescent="0.3">
      <c r="A2437" t="s">
        <v>525</v>
      </c>
      <c r="B2437" t="s">
        <v>8832</v>
      </c>
      <c r="C2437" t="s">
        <v>8833</v>
      </c>
      <c r="D2437" t="s">
        <v>8826</v>
      </c>
      <c r="E2437" t="s">
        <v>982</v>
      </c>
      <c r="F2437" t="s">
        <v>983</v>
      </c>
      <c r="G2437" s="1">
        <v>43102</v>
      </c>
      <c r="H2437" s="1">
        <v>43465</v>
      </c>
      <c r="I2437" t="s">
        <v>665</v>
      </c>
      <c r="J2437" t="s">
        <v>984</v>
      </c>
      <c r="K2437" t="s">
        <v>900</v>
      </c>
      <c r="L2437" t="s">
        <v>901</v>
      </c>
      <c r="M2437" t="s">
        <v>8834</v>
      </c>
      <c r="N2437" t="s">
        <v>8835</v>
      </c>
      <c r="O2437" t="s">
        <v>985</v>
      </c>
      <c r="P2437" t="s">
        <v>986</v>
      </c>
      <c r="Q2437" t="s">
        <v>8787</v>
      </c>
      <c r="R2437" t="s">
        <v>8788</v>
      </c>
      <c r="S2437" t="s">
        <v>550</v>
      </c>
      <c r="T2437" t="s">
        <v>550</v>
      </c>
      <c r="U2437" t="s">
        <v>550</v>
      </c>
      <c r="V2437" t="s">
        <v>8836</v>
      </c>
      <c r="W2437" t="s">
        <v>988</v>
      </c>
      <c r="X2437" t="s">
        <v>979</v>
      </c>
      <c r="Y2437" t="s">
        <v>803</v>
      </c>
      <c r="Z2437" t="s">
        <v>8832</v>
      </c>
    </row>
    <row r="2438" spans="1:26" x14ac:dyDescent="0.3">
      <c r="A2438" t="s">
        <v>525</v>
      </c>
      <c r="B2438" t="s">
        <v>8837</v>
      </c>
      <c r="C2438" t="s">
        <v>8838</v>
      </c>
      <c r="D2438" t="s">
        <v>8826</v>
      </c>
      <c r="E2438" t="s">
        <v>982</v>
      </c>
      <c r="F2438" t="s">
        <v>983</v>
      </c>
      <c r="G2438" s="1">
        <v>43102</v>
      </c>
      <c r="H2438" s="1">
        <v>43465</v>
      </c>
      <c r="I2438" t="s">
        <v>665</v>
      </c>
      <c r="J2438" t="s">
        <v>984</v>
      </c>
      <c r="K2438" t="s">
        <v>900</v>
      </c>
      <c r="L2438" t="s">
        <v>901</v>
      </c>
      <c r="M2438" t="s">
        <v>8834</v>
      </c>
      <c r="N2438" t="s">
        <v>8835</v>
      </c>
      <c r="O2438" t="s">
        <v>985</v>
      </c>
      <c r="P2438" t="s">
        <v>986</v>
      </c>
      <c r="Q2438" t="s">
        <v>8787</v>
      </c>
      <c r="R2438" t="s">
        <v>8788</v>
      </c>
      <c r="S2438" t="s">
        <v>550</v>
      </c>
      <c r="T2438" t="s">
        <v>550</v>
      </c>
      <c r="U2438" t="s">
        <v>550</v>
      </c>
      <c r="V2438" t="s">
        <v>8839</v>
      </c>
      <c r="W2438" t="s">
        <v>988</v>
      </c>
      <c r="X2438" t="s">
        <v>979</v>
      </c>
      <c r="Y2438" t="s">
        <v>803</v>
      </c>
      <c r="Z2438" t="s">
        <v>8837</v>
      </c>
    </row>
    <row r="2439" spans="1:26" x14ac:dyDescent="0.3">
      <c r="A2439" t="s">
        <v>525</v>
      </c>
      <c r="B2439" t="s">
        <v>8840</v>
      </c>
      <c r="C2439" t="s">
        <v>8841</v>
      </c>
      <c r="D2439" t="s">
        <v>8826</v>
      </c>
      <c r="E2439" t="s">
        <v>982</v>
      </c>
      <c r="F2439" t="s">
        <v>983</v>
      </c>
      <c r="G2439" s="1">
        <v>43102</v>
      </c>
      <c r="H2439" s="1">
        <v>43465</v>
      </c>
      <c r="I2439" t="s">
        <v>665</v>
      </c>
      <c r="J2439" t="s">
        <v>984</v>
      </c>
      <c r="K2439" t="s">
        <v>900</v>
      </c>
      <c r="L2439" t="s">
        <v>901</v>
      </c>
      <c r="M2439" t="s">
        <v>8834</v>
      </c>
      <c r="N2439" t="s">
        <v>8835</v>
      </c>
      <c r="O2439" t="s">
        <v>985</v>
      </c>
      <c r="P2439" t="s">
        <v>986</v>
      </c>
      <c r="Q2439" t="s">
        <v>8787</v>
      </c>
      <c r="R2439" t="s">
        <v>8788</v>
      </c>
      <c r="S2439" t="s">
        <v>550</v>
      </c>
      <c r="T2439" t="s">
        <v>550</v>
      </c>
      <c r="U2439" t="s">
        <v>550</v>
      </c>
      <c r="V2439" t="s">
        <v>8842</v>
      </c>
      <c r="W2439" t="s">
        <v>988</v>
      </c>
      <c r="X2439" t="s">
        <v>979</v>
      </c>
      <c r="Y2439" t="s">
        <v>803</v>
      </c>
      <c r="Z2439" t="s">
        <v>8840</v>
      </c>
    </row>
    <row r="2440" spans="1:26" x14ac:dyDescent="0.3">
      <c r="A2440" t="s">
        <v>525</v>
      </c>
      <c r="B2440" t="s">
        <v>8843</v>
      </c>
      <c r="C2440" t="s">
        <v>8844</v>
      </c>
      <c r="D2440" t="s">
        <v>8826</v>
      </c>
      <c r="E2440" t="s">
        <v>982</v>
      </c>
      <c r="F2440" t="s">
        <v>983</v>
      </c>
      <c r="G2440" s="1">
        <v>43102</v>
      </c>
      <c r="H2440" s="1">
        <v>43465</v>
      </c>
      <c r="I2440" t="s">
        <v>665</v>
      </c>
      <c r="J2440" t="s">
        <v>984</v>
      </c>
      <c r="K2440" t="s">
        <v>900</v>
      </c>
      <c r="L2440" t="s">
        <v>901</v>
      </c>
      <c r="M2440" t="s">
        <v>2223</v>
      </c>
      <c r="N2440" t="s">
        <v>310</v>
      </c>
      <c r="O2440" t="s">
        <v>985</v>
      </c>
      <c r="P2440" t="s">
        <v>986</v>
      </c>
      <c r="Q2440" t="s">
        <v>8787</v>
      </c>
      <c r="R2440" t="s">
        <v>8788</v>
      </c>
      <c r="S2440" t="s">
        <v>550</v>
      </c>
      <c r="T2440" t="s">
        <v>550</v>
      </c>
      <c r="U2440" t="s">
        <v>550</v>
      </c>
      <c r="V2440" t="s">
        <v>8845</v>
      </c>
      <c r="W2440" t="s">
        <v>988</v>
      </c>
      <c r="X2440" t="s">
        <v>979</v>
      </c>
      <c r="Y2440" t="s">
        <v>803</v>
      </c>
      <c r="Z2440" t="s">
        <v>8843</v>
      </c>
    </row>
    <row r="2441" spans="1:26" x14ac:dyDescent="0.3">
      <c r="A2441" t="s">
        <v>525</v>
      </c>
      <c r="B2441" t="s">
        <v>8846</v>
      </c>
      <c r="C2441" t="s">
        <v>8847</v>
      </c>
      <c r="D2441" t="s">
        <v>8786</v>
      </c>
      <c r="E2441" t="s">
        <v>982</v>
      </c>
      <c r="F2441" t="s">
        <v>983</v>
      </c>
      <c r="G2441" s="1">
        <v>43102</v>
      </c>
      <c r="H2441" s="1">
        <v>43465</v>
      </c>
      <c r="I2441" t="s">
        <v>665</v>
      </c>
      <c r="J2441" t="s">
        <v>984</v>
      </c>
      <c r="K2441" t="s">
        <v>900</v>
      </c>
      <c r="L2441" t="s">
        <v>901</v>
      </c>
      <c r="M2441" t="s">
        <v>8813</v>
      </c>
      <c r="N2441" t="s">
        <v>8814</v>
      </c>
      <c r="O2441" t="s">
        <v>1839</v>
      </c>
      <c r="P2441" t="s">
        <v>222</v>
      </c>
      <c r="Q2441" t="s">
        <v>8787</v>
      </c>
      <c r="R2441" t="s">
        <v>8788</v>
      </c>
      <c r="S2441" t="s">
        <v>550</v>
      </c>
      <c r="T2441" t="s">
        <v>550</v>
      </c>
      <c r="U2441" t="s">
        <v>550</v>
      </c>
      <c r="V2441" t="s">
        <v>8848</v>
      </c>
      <c r="W2441" t="s">
        <v>565</v>
      </c>
      <c r="X2441" t="s">
        <v>669</v>
      </c>
      <c r="Y2441" t="s">
        <v>856</v>
      </c>
      <c r="Z2441" t="s">
        <v>8846</v>
      </c>
    </row>
    <row r="2442" spans="1:26" x14ac:dyDescent="0.3">
      <c r="A2442" t="s">
        <v>525</v>
      </c>
      <c r="B2442" t="s">
        <v>8849</v>
      </c>
      <c r="C2442" t="s">
        <v>8850</v>
      </c>
      <c r="D2442" t="s">
        <v>550</v>
      </c>
      <c r="E2442" t="s">
        <v>664</v>
      </c>
      <c r="F2442" t="s">
        <v>27</v>
      </c>
      <c r="G2442" s="1">
        <v>43102</v>
      </c>
      <c r="H2442" s="1">
        <v>43830</v>
      </c>
      <c r="I2442" t="s">
        <v>665</v>
      </c>
      <c r="J2442" t="s">
        <v>666</v>
      </c>
      <c r="K2442" t="s">
        <v>900</v>
      </c>
      <c r="L2442" t="s">
        <v>1010</v>
      </c>
      <c r="M2442" t="s">
        <v>797</v>
      </c>
      <c r="N2442" t="s">
        <v>313</v>
      </c>
      <c r="O2442" t="s">
        <v>1839</v>
      </c>
      <c r="P2442" t="s">
        <v>222</v>
      </c>
      <c r="Q2442" t="s">
        <v>8787</v>
      </c>
      <c r="R2442" t="s">
        <v>8788</v>
      </c>
      <c r="S2442" t="s">
        <v>550</v>
      </c>
      <c r="T2442" t="s">
        <v>550</v>
      </c>
      <c r="U2442" t="s">
        <v>550</v>
      </c>
      <c r="V2442" t="s">
        <v>8851</v>
      </c>
      <c r="W2442" t="s">
        <v>565</v>
      </c>
      <c r="X2442" t="s">
        <v>669</v>
      </c>
      <c r="Y2442" t="s">
        <v>856</v>
      </c>
      <c r="Z2442" t="s">
        <v>8849</v>
      </c>
    </row>
    <row r="2443" spans="1:26" x14ac:dyDescent="0.3">
      <c r="A2443" t="s">
        <v>525</v>
      </c>
      <c r="B2443" t="s">
        <v>8852</v>
      </c>
      <c r="C2443" t="s">
        <v>8853</v>
      </c>
      <c r="D2443" t="s">
        <v>8849</v>
      </c>
      <c r="E2443" t="s">
        <v>664</v>
      </c>
      <c r="F2443" t="s">
        <v>27</v>
      </c>
      <c r="G2443" s="1">
        <v>43102</v>
      </c>
      <c r="H2443" s="1">
        <v>43465</v>
      </c>
      <c r="I2443" t="s">
        <v>665</v>
      </c>
      <c r="J2443" t="s">
        <v>666</v>
      </c>
      <c r="K2443" t="s">
        <v>900</v>
      </c>
      <c r="L2443" t="s">
        <v>1010</v>
      </c>
      <c r="M2443" t="s">
        <v>797</v>
      </c>
      <c r="N2443" t="s">
        <v>313</v>
      </c>
      <c r="O2443" t="s">
        <v>1839</v>
      </c>
      <c r="P2443" t="s">
        <v>222</v>
      </c>
      <c r="Q2443" t="s">
        <v>8787</v>
      </c>
      <c r="R2443" t="s">
        <v>8788</v>
      </c>
      <c r="S2443" t="s">
        <v>550</v>
      </c>
      <c r="T2443" t="s">
        <v>550</v>
      </c>
      <c r="U2443" t="s">
        <v>550</v>
      </c>
      <c r="V2443" t="s">
        <v>8854</v>
      </c>
      <c r="W2443" t="s">
        <v>565</v>
      </c>
      <c r="X2443" t="s">
        <v>669</v>
      </c>
      <c r="Y2443" t="s">
        <v>856</v>
      </c>
      <c r="Z2443" t="s">
        <v>8852</v>
      </c>
    </row>
    <row r="2444" spans="1:26" x14ac:dyDescent="0.3">
      <c r="A2444" t="s">
        <v>525</v>
      </c>
      <c r="B2444" t="s">
        <v>8855</v>
      </c>
      <c r="C2444" t="s">
        <v>8856</v>
      </c>
      <c r="D2444" t="s">
        <v>550</v>
      </c>
      <c r="E2444" t="s">
        <v>664</v>
      </c>
      <c r="F2444" t="s">
        <v>27</v>
      </c>
      <c r="G2444" s="1">
        <v>43102</v>
      </c>
      <c r="H2444" s="1">
        <v>43830</v>
      </c>
      <c r="I2444" t="s">
        <v>665</v>
      </c>
      <c r="J2444" t="s">
        <v>666</v>
      </c>
      <c r="K2444" t="s">
        <v>900</v>
      </c>
      <c r="L2444" t="s">
        <v>1010</v>
      </c>
      <c r="M2444" t="s">
        <v>5676</v>
      </c>
      <c r="N2444" t="s">
        <v>5677</v>
      </c>
      <c r="O2444" t="s">
        <v>1818</v>
      </c>
      <c r="Q2444" t="s">
        <v>8787</v>
      </c>
      <c r="R2444" t="s">
        <v>8788</v>
      </c>
      <c r="S2444" t="s">
        <v>550</v>
      </c>
      <c r="T2444" t="s">
        <v>550</v>
      </c>
      <c r="U2444" t="s">
        <v>550</v>
      </c>
      <c r="V2444" t="s">
        <v>8857</v>
      </c>
      <c r="W2444" t="s">
        <v>613</v>
      </c>
      <c r="X2444" t="s">
        <v>74</v>
      </c>
      <c r="Y2444" t="s">
        <v>786</v>
      </c>
      <c r="Z2444" t="s">
        <v>8855</v>
      </c>
    </row>
    <row r="2445" spans="1:26" x14ac:dyDescent="0.3">
      <c r="A2445" t="s">
        <v>525</v>
      </c>
      <c r="B2445" t="s">
        <v>8858</v>
      </c>
      <c r="C2445" t="s">
        <v>8859</v>
      </c>
      <c r="D2445" t="s">
        <v>8855</v>
      </c>
      <c r="E2445" t="s">
        <v>664</v>
      </c>
      <c r="F2445" t="s">
        <v>27</v>
      </c>
      <c r="G2445" s="1">
        <v>43102</v>
      </c>
      <c r="H2445" s="1">
        <v>43465</v>
      </c>
      <c r="I2445" t="s">
        <v>665</v>
      </c>
      <c r="J2445" t="s">
        <v>666</v>
      </c>
      <c r="K2445" t="s">
        <v>900</v>
      </c>
      <c r="L2445" t="s">
        <v>1010</v>
      </c>
      <c r="M2445" t="s">
        <v>5676</v>
      </c>
      <c r="N2445" t="s">
        <v>5677</v>
      </c>
      <c r="O2445" t="s">
        <v>1818</v>
      </c>
      <c r="Q2445" t="s">
        <v>8787</v>
      </c>
      <c r="R2445" t="s">
        <v>8788</v>
      </c>
      <c r="S2445" t="s">
        <v>550</v>
      </c>
      <c r="T2445" t="s">
        <v>550</v>
      </c>
      <c r="U2445" t="s">
        <v>550</v>
      </c>
      <c r="V2445" t="s">
        <v>8860</v>
      </c>
      <c r="W2445" t="s">
        <v>613</v>
      </c>
      <c r="X2445" t="s">
        <v>74</v>
      </c>
      <c r="Y2445" t="s">
        <v>786</v>
      </c>
      <c r="Z2445" t="s">
        <v>8858</v>
      </c>
    </row>
    <row r="2446" spans="1:26" x14ac:dyDescent="0.3">
      <c r="A2446" t="s">
        <v>525</v>
      </c>
      <c r="B2446" t="s">
        <v>8861</v>
      </c>
      <c r="C2446" t="s">
        <v>8862</v>
      </c>
      <c r="D2446" t="s">
        <v>550</v>
      </c>
      <c r="E2446" t="s">
        <v>982</v>
      </c>
      <c r="F2446" t="s">
        <v>983</v>
      </c>
      <c r="G2446" s="1">
        <v>43102</v>
      </c>
      <c r="H2446" s="1">
        <v>43830</v>
      </c>
      <c r="I2446" t="s">
        <v>665</v>
      </c>
      <c r="J2446" t="s">
        <v>984</v>
      </c>
      <c r="K2446" t="s">
        <v>900</v>
      </c>
      <c r="L2446" t="s">
        <v>901</v>
      </c>
      <c r="M2446" t="s">
        <v>6098</v>
      </c>
      <c r="N2446" t="s">
        <v>6099</v>
      </c>
      <c r="O2446" t="s">
        <v>891</v>
      </c>
      <c r="P2446" t="s">
        <v>892</v>
      </c>
      <c r="Q2446" t="s">
        <v>8787</v>
      </c>
      <c r="R2446" t="s">
        <v>8788</v>
      </c>
      <c r="S2446" t="s">
        <v>550</v>
      </c>
      <c r="T2446" t="s">
        <v>550</v>
      </c>
      <c r="U2446" t="s">
        <v>550</v>
      </c>
      <c r="V2446" t="s">
        <v>8863</v>
      </c>
      <c r="W2446" t="s">
        <v>978</v>
      </c>
      <c r="X2446" t="s">
        <v>979</v>
      </c>
      <c r="Y2446" t="s">
        <v>803</v>
      </c>
      <c r="Z2446" t="s">
        <v>8861</v>
      </c>
    </row>
    <row r="2447" spans="1:26" x14ac:dyDescent="0.3">
      <c r="A2447" t="s">
        <v>525</v>
      </c>
      <c r="B2447" t="s">
        <v>8864</v>
      </c>
      <c r="C2447" t="s">
        <v>8865</v>
      </c>
      <c r="D2447" t="s">
        <v>8861</v>
      </c>
      <c r="E2447" t="s">
        <v>982</v>
      </c>
      <c r="F2447" t="s">
        <v>983</v>
      </c>
      <c r="G2447" s="1">
        <v>43102</v>
      </c>
      <c r="H2447" s="1">
        <v>43465</v>
      </c>
      <c r="I2447" t="s">
        <v>665</v>
      </c>
      <c r="J2447" t="s">
        <v>984</v>
      </c>
      <c r="K2447" t="s">
        <v>900</v>
      </c>
      <c r="L2447" t="s">
        <v>901</v>
      </c>
      <c r="M2447" t="s">
        <v>6098</v>
      </c>
      <c r="N2447" t="s">
        <v>6099</v>
      </c>
      <c r="O2447" t="s">
        <v>891</v>
      </c>
      <c r="P2447" t="s">
        <v>892</v>
      </c>
      <c r="Q2447" t="s">
        <v>8787</v>
      </c>
      <c r="R2447" t="s">
        <v>8788</v>
      </c>
      <c r="S2447" t="s">
        <v>550</v>
      </c>
      <c r="T2447" t="s">
        <v>550</v>
      </c>
      <c r="U2447" t="s">
        <v>550</v>
      </c>
      <c r="V2447" t="s">
        <v>8866</v>
      </c>
      <c r="W2447" t="s">
        <v>978</v>
      </c>
      <c r="X2447" t="s">
        <v>979</v>
      </c>
      <c r="Y2447" t="s">
        <v>803</v>
      </c>
      <c r="Z2447" t="s">
        <v>8864</v>
      </c>
    </row>
    <row r="2448" spans="1:26" x14ac:dyDescent="0.3">
      <c r="A2448" t="s">
        <v>525</v>
      </c>
      <c r="B2448" t="s">
        <v>8867</v>
      </c>
      <c r="C2448" t="s">
        <v>8868</v>
      </c>
      <c r="D2448" t="s">
        <v>550</v>
      </c>
      <c r="E2448" t="s">
        <v>1516</v>
      </c>
      <c r="F2448" t="s">
        <v>1517</v>
      </c>
      <c r="G2448" s="1">
        <v>43831</v>
      </c>
      <c r="H2448" s="1">
        <v>43864</v>
      </c>
      <c r="I2448" t="s">
        <v>665</v>
      </c>
      <c r="J2448" t="s">
        <v>1518</v>
      </c>
      <c r="K2448" t="s">
        <v>24</v>
      </c>
      <c r="L2448" t="s">
        <v>216</v>
      </c>
      <c r="M2448" t="s">
        <v>8869</v>
      </c>
      <c r="N2448" t="s">
        <v>8870</v>
      </c>
      <c r="O2448" t="s">
        <v>891</v>
      </c>
      <c r="P2448" t="s">
        <v>892</v>
      </c>
      <c r="Q2448" t="s">
        <v>8871</v>
      </c>
      <c r="R2448" t="s">
        <v>8872</v>
      </c>
      <c r="S2448" t="s">
        <v>550</v>
      </c>
      <c r="T2448" t="s">
        <v>550</v>
      </c>
      <c r="U2448" t="s">
        <v>550</v>
      </c>
      <c r="V2448" t="s">
        <v>8873</v>
      </c>
      <c r="W2448" t="s">
        <v>978</v>
      </c>
      <c r="X2448" t="s">
        <v>979</v>
      </c>
      <c r="Y2448" t="s">
        <v>803</v>
      </c>
      <c r="Z2448" t="s">
        <v>8867</v>
      </c>
    </row>
    <row r="2449" spans="1:26" x14ac:dyDescent="0.3">
      <c r="A2449" t="s">
        <v>525</v>
      </c>
      <c r="B2449" t="s">
        <v>8874</v>
      </c>
      <c r="C2449" t="s">
        <v>8875</v>
      </c>
      <c r="D2449" t="s">
        <v>550</v>
      </c>
      <c r="E2449" t="s">
        <v>5780</v>
      </c>
      <c r="F2449" t="s">
        <v>5781</v>
      </c>
      <c r="G2449" s="1">
        <v>43831</v>
      </c>
      <c r="H2449" s="1">
        <v>43831</v>
      </c>
      <c r="I2449" t="s">
        <v>665</v>
      </c>
      <c r="J2449" t="s">
        <v>5782</v>
      </c>
      <c r="K2449" t="s">
        <v>958</v>
      </c>
      <c r="L2449" t="s">
        <v>216</v>
      </c>
      <c r="M2449" t="s">
        <v>1030</v>
      </c>
      <c r="N2449" t="s">
        <v>255</v>
      </c>
      <c r="O2449" t="s">
        <v>1405</v>
      </c>
      <c r="P2449" t="s">
        <v>1406</v>
      </c>
      <c r="Q2449" t="s">
        <v>8871</v>
      </c>
      <c r="R2449" t="s">
        <v>8872</v>
      </c>
      <c r="S2449" t="s">
        <v>550</v>
      </c>
      <c r="T2449" t="s">
        <v>550</v>
      </c>
      <c r="U2449" t="s">
        <v>550</v>
      </c>
      <c r="V2449" t="s">
        <v>8876</v>
      </c>
      <c r="W2449" t="s">
        <v>613</v>
      </c>
      <c r="X2449" t="s">
        <v>74</v>
      </c>
      <c r="Y2449" t="s">
        <v>803</v>
      </c>
      <c r="Z2449" t="s">
        <v>8874</v>
      </c>
    </row>
    <row r="2450" spans="1:26" x14ac:dyDescent="0.3">
      <c r="A2450" t="s">
        <v>525</v>
      </c>
      <c r="B2450" t="s">
        <v>8877</v>
      </c>
      <c r="C2450" t="s">
        <v>8878</v>
      </c>
      <c r="D2450" t="s">
        <v>550</v>
      </c>
      <c r="E2450" t="s">
        <v>3591</v>
      </c>
      <c r="F2450" t="s">
        <v>3592</v>
      </c>
      <c r="G2450" s="1">
        <v>43831</v>
      </c>
      <c r="H2450" s="1">
        <v>43837</v>
      </c>
      <c r="I2450" t="s">
        <v>665</v>
      </c>
      <c r="J2450" t="s">
        <v>3593</v>
      </c>
      <c r="K2450" t="s">
        <v>24</v>
      </c>
      <c r="L2450" t="s">
        <v>1045</v>
      </c>
      <c r="M2450" t="s">
        <v>1030</v>
      </c>
      <c r="N2450" t="s">
        <v>255</v>
      </c>
      <c r="O2450" t="s">
        <v>1405</v>
      </c>
      <c r="P2450" t="s">
        <v>1406</v>
      </c>
      <c r="Q2450" t="s">
        <v>8871</v>
      </c>
      <c r="R2450" t="s">
        <v>8872</v>
      </c>
      <c r="S2450" t="s">
        <v>550</v>
      </c>
      <c r="T2450" t="s">
        <v>550</v>
      </c>
      <c r="U2450" t="s">
        <v>550</v>
      </c>
      <c r="V2450" t="s">
        <v>8879</v>
      </c>
      <c r="W2450" t="s">
        <v>1021</v>
      </c>
      <c r="X2450" t="s">
        <v>74</v>
      </c>
      <c r="Y2450" t="s">
        <v>1059</v>
      </c>
      <c r="Z2450" t="s">
        <v>8877</v>
      </c>
    </row>
    <row r="2451" spans="1:26" x14ac:dyDescent="0.3">
      <c r="A2451" t="s">
        <v>525</v>
      </c>
      <c r="B2451" t="s">
        <v>8880</v>
      </c>
      <c r="C2451" t="s">
        <v>8881</v>
      </c>
      <c r="D2451" t="s">
        <v>550</v>
      </c>
      <c r="E2451" t="s">
        <v>664</v>
      </c>
      <c r="F2451" t="s">
        <v>27</v>
      </c>
      <c r="G2451" s="1">
        <v>43831</v>
      </c>
      <c r="H2451" s="1">
        <v>43900</v>
      </c>
      <c r="I2451" t="s">
        <v>665</v>
      </c>
      <c r="J2451" t="s">
        <v>666</v>
      </c>
      <c r="K2451" t="s">
        <v>24</v>
      </c>
      <c r="L2451" t="s">
        <v>667</v>
      </c>
      <c r="M2451" t="s">
        <v>1030</v>
      </c>
      <c r="N2451" t="s">
        <v>255</v>
      </c>
      <c r="O2451" t="s">
        <v>1405</v>
      </c>
      <c r="P2451" t="s">
        <v>1406</v>
      </c>
      <c r="Q2451" t="s">
        <v>8871</v>
      </c>
      <c r="R2451" t="s">
        <v>8872</v>
      </c>
      <c r="S2451" t="s">
        <v>550</v>
      </c>
      <c r="T2451" t="s">
        <v>893</v>
      </c>
      <c r="U2451" t="s">
        <v>550</v>
      </c>
      <c r="V2451" t="s">
        <v>8882</v>
      </c>
      <c r="W2451" t="s">
        <v>1021</v>
      </c>
      <c r="X2451" t="s">
        <v>74</v>
      </c>
      <c r="Y2451" t="s">
        <v>1075</v>
      </c>
      <c r="Z2451" t="s">
        <v>8880</v>
      </c>
    </row>
    <row r="2452" spans="1:26" x14ac:dyDescent="0.3">
      <c r="A2452" t="s">
        <v>525</v>
      </c>
      <c r="B2452" t="s">
        <v>8883</v>
      </c>
      <c r="C2452" t="s">
        <v>8875</v>
      </c>
      <c r="D2452" t="s">
        <v>5778</v>
      </c>
      <c r="E2452" t="s">
        <v>5780</v>
      </c>
      <c r="F2452" t="s">
        <v>5781</v>
      </c>
      <c r="G2452" s="1">
        <v>43831</v>
      </c>
      <c r="H2452" s="1">
        <v>43831</v>
      </c>
      <c r="I2452" t="s">
        <v>665</v>
      </c>
      <c r="J2452" t="s">
        <v>5782</v>
      </c>
      <c r="K2452" t="s">
        <v>958</v>
      </c>
      <c r="L2452" t="s">
        <v>216</v>
      </c>
      <c r="M2452" t="s">
        <v>5783</v>
      </c>
      <c r="N2452" t="s">
        <v>5784</v>
      </c>
      <c r="O2452" t="s">
        <v>1405</v>
      </c>
      <c r="P2452" t="s">
        <v>1406</v>
      </c>
      <c r="Q2452" t="s">
        <v>8871</v>
      </c>
      <c r="R2452" t="s">
        <v>8872</v>
      </c>
      <c r="S2452" t="s">
        <v>550</v>
      </c>
      <c r="T2452" t="s">
        <v>550</v>
      </c>
      <c r="U2452" t="s">
        <v>550</v>
      </c>
      <c r="V2452" t="s">
        <v>8884</v>
      </c>
      <c r="W2452" t="s">
        <v>613</v>
      </c>
      <c r="X2452" t="s">
        <v>74</v>
      </c>
      <c r="Y2452" t="s">
        <v>803</v>
      </c>
      <c r="Z2452" t="s">
        <v>8883</v>
      </c>
    </row>
    <row r="2453" spans="1:26" x14ac:dyDescent="0.3">
      <c r="A2453" t="s">
        <v>525</v>
      </c>
      <c r="B2453" t="s">
        <v>8885</v>
      </c>
      <c r="C2453" t="s">
        <v>8886</v>
      </c>
      <c r="D2453" t="s">
        <v>5827</v>
      </c>
      <c r="E2453" t="s">
        <v>1318</v>
      </c>
      <c r="F2453" t="s">
        <v>1319</v>
      </c>
      <c r="G2453" s="1">
        <v>43831</v>
      </c>
      <c r="H2453" s="1">
        <v>43831</v>
      </c>
      <c r="I2453" t="s">
        <v>665</v>
      </c>
      <c r="J2453" t="s">
        <v>1320</v>
      </c>
      <c r="K2453" t="s">
        <v>958</v>
      </c>
      <c r="L2453" t="s">
        <v>216</v>
      </c>
      <c r="M2453" t="s">
        <v>2790</v>
      </c>
      <c r="N2453" t="s">
        <v>2791</v>
      </c>
      <c r="O2453" t="s">
        <v>1405</v>
      </c>
      <c r="P2453" t="s">
        <v>1406</v>
      </c>
      <c r="Q2453" t="s">
        <v>8871</v>
      </c>
      <c r="R2453" t="s">
        <v>8872</v>
      </c>
      <c r="S2453" t="s">
        <v>550</v>
      </c>
      <c r="T2453" t="s">
        <v>550</v>
      </c>
      <c r="U2453" t="s">
        <v>550</v>
      </c>
      <c r="V2453" t="s">
        <v>8887</v>
      </c>
      <c r="W2453" t="s">
        <v>613</v>
      </c>
      <c r="X2453" t="s">
        <v>74</v>
      </c>
      <c r="Y2453" t="s">
        <v>786</v>
      </c>
      <c r="Z2453" t="s">
        <v>8885</v>
      </c>
    </row>
    <row r="2454" spans="1:26" x14ac:dyDescent="0.3">
      <c r="A2454" t="s">
        <v>525</v>
      </c>
      <c r="B2454" t="s">
        <v>8888</v>
      </c>
      <c r="C2454" t="s">
        <v>8889</v>
      </c>
      <c r="D2454" t="s">
        <v>5827</v>
      </c>
      <c r="E2454" t="s">
        <v>1318</v>
      </c>
      <c r="F2454" t="s">
        <v>1319</v>
      </c>
      <c r="G2454" s="1">
        <v>43831</v>
      </c>
      <c r="H2454" s="1">
        <v>43831</v>
      </c>
      <c r="I2454" t="s">
        <v>665</v>
      </c>
      <c r="J2454" t="s">
        <v>1320</v>
      </c>
      <c r="K2454" t="s">
        <v>958</v>
      </c>
      <c r="L2454" t="s">
        <v>216</v>
      </c>
      <c r="M2454" t="s">
        <v>2790</v>
      </c>
      <c r="N2454" t="s">
        <v>2791</v>
      </c>
      <c r="O2454" t="s">
        <v>1405</v>
      </c>
      <c r="P2454" t="s">
        <v>1406</v>
      </c>
      <c r="Q2454" t="s">
        <v>8871</v>
      </c>
      <c r="R2454" t="s">
        <v>8872</v>
      </c>
      <c r="S2454" t="s">
        <v>550</v>
      </c>
      <c r="T2454" t="s">
        <v>550</v>
      </c>
      <c r="U2454" t="s">
        <v>550</v>
      </c>
      <c r="V2454" t="s">
        <v>8890</v>
      </c>
      <c r="W2454" t="s">
        <v>613</v>
      </c>
      <c r="X2454" t="s">
        <v>74</v>
      </c>
      <c r="Y2454" t="s">
        <v>786</v>
      </c>
      <c r="Z2454" t="s">
        <v>8888</v>
      </c>
    </row>
    <row r="2455" spans="1:26" x14ac:dyDescent="0.3">
      <c r="A2455" t="s">
        <v>525</v>
      </c>
      <c r="B2455" t="s">
        <v>8891</v>
      </c>
      <c r="C2455" t="s">
        <v>1135</v>
      </c>
      <c r="D2455" t="s">
        <v>550</v>
      </c>
      <c r="E2455" t="s">
        <v>664</v>
      </c>
      <c r="F2455" t="s">
        <v>27</v>
      </c>
      <c r="G2455" s="1">
        <v>43831</v>
      </c>
      <c r="H2455" s="1">
        <v>43831</v>
      </c>
      <c r="I2455" t="s">
        <v>665</v>
      </c>
      <c r="J2455" t="s">
        <v>666</v>
      </c>
      <c r="K2455" t="s">
        <v>24</v>
      </c>
      <c r="L2455" t="s">
        <v>1045</v>
      </c>
      <c r="M2455" t="s">
        <v>2790</v>
      </c>
      <c r="N2455" t="s">
        <v>2791</v>
      </c>
      <c r="O2455" t="s">
        <v>1405</v>
      </c>
      <c r="P2455" t="s">
        <v>1406</v>
      </c>
      <c r="Q2455" t="s">
        <v>8871</v>
      </c>
      <c r="R2455" t="s">
        <v>8872</v>
      </c>
      <c r="S2455" t="s">
        <v>550</v>
      </c>
      <c r="T2455" t="s">
        <v>550</v>
      </c>
      <c r="U2455" t="s">
        <v>550</v>
      </c>
      <c r="V2455" t="s">
        <v>8892</v>
      </c>
      <c r="W2455" t="s">
        <v>1021</v>
      </c>
      <c r="X2455" t="s">
        <v>74</v>
      </c>
      <c r="Y2455" t="s">
        <v>1033</v>
      </c>
      <c r="Z2455" t="s">
        <v>8891</v>
      </c>
    </row>
    <row r="2456" spans="1:26" x14ac:dyDescent="0.3">
      <c r="A2456" t="s">
        <v>525</v>
      </c>
      <c r="B2456" t="s">
        <v>8893</v>
      </c>
      <c r="C2456" t="s">
        <v>8894</v>
      </c>
      <c r="D2456" t="s">
        <v>1822</v>
      </c>
      <c r="E2456" t="s">
        <v>1813</v>
      </c>
      <c r="F2456" t="s">
        <v>1339</v>
      </c>
      <c r="G2456" s="1">
        <v>44927</v>
      </c>
      <c r="H2456" s="1">
        <v>44929</v>
      </c>
      <c r="I2456" t="s">
        <v>665</v>
      </c>
      <c r="J2456" t="s">
        <v>1814</v>
      </c>
      <c r="K2456" t="s">
        <v>958</v>
      </c>
      <c r="L2456" t="s">
        <v>216</v>
      </c>
      <c r="M2456" t="s">
        <v>1804</v>
      </c>
      <c r="N2456" t="s">
        <v>315</v>
      </c>
      <c r="O2456" t="s">
        <v>1804</v>
      </c>
      <c r="P2456" t="s">
        <v>315</v>
      </c>
      <c r="Q2456" t="s">
        <v>8871</v>
      </c>
      <c r="R2456" t="s">
        <v>8872</v>
      </c>
      <c r="S2456" t="s">
        <v>550</v>
      </c>
      <c r="T2456" t="s">
        <v>550</v>
      </c>
      <c r="U2456" t="s">
        <v>1807</v>
      </c>
      <c r="V2456" t="s">
        <v>8895</v>
      </c>
      <c r="W2456" t="s">
        <v>1809</v>
      </c>
      <c r="X2456" t="s">
        <v>74</v>
      </c>
      <c r="Y2456" t="s">
        <v>803</v>
      </c>
      <c r="Z2456" t="s">
        <v>8893</v>
      </c>
    </row>
    <row r="2457" spans="1:26" x14ac:dyDescent="0.3">
      <c r="A2457" t="s">
        <v>525</v>
      </c>
      <c r="B2457" t="s">
        <v>8896</v>
      </c>
      <c r="C2457" t="s">
        <v>8897</v>
      </c>
      <c r="D2457" t="s">
        <v>550</v>
      </c>
      <c r="E2457" t="s">
        <v>1374</v>
      </c>
      <c r="F2457" t="s">
        <v>1375</v>
      </c>
      <c r="G2457" s="1">
        <v>43831</v>
      </c>
      <c r="H2457" s="1">
        <v>43881</v>
      </c>
      <c r="I2457" t="s">
        <v>665</v>
      </c>
      <c r="J2457" t="s">
        <v>1376</v>
      </c>
      <c r="K2457" t="s">
        <v>862</v>
      </c>
      <c r="L2457" t="s">
        <v>863</v>
      </c>
      <c r="M2457" t="s">
        <v>1988</v>
      </c>
      <c r="N2457" t="s">
        <v>1989</v>
      </c>
      <c r="O2457" t="s">
        <v>1369</v>
      </c>
      <c r="P2457" t="s">
        <v>1370</v>
      </c>
      <c r="Q2457" t="s">
        <v>8871</v>
      </c>
      <c r="R2457" t="s">
        <v>8872</v>
      </c>
      <c r="S2457" t="s">
        <v>550</v>
      </c>
      <c r="T2457" t="s">
        <v>550</v>
      </c>
      <c r="U2457" t="s">
        <v>550</v>
      </c>
      <c r="V2457" t="s">
        <v>8898</v>
      </c>
      <c r="W2457" t="s">
        <v>869</v>
      </c>
      <c r="X2457" t="s">
        <v>870</v>
      </c>
      <c r="Y2457" t="s">
        <v>847</v>
      </c>
      <c r="Z2457" t="s">
        <v>8896</v>
      </c>
    </row>
    <row r="2458" spans="1:26" x14ac:dyDescent="0.3">
      <c r="A2458" t="s">
        <v>525</v>
      </c>
      <c r="B2458" t="s">
        <v>8899</v>
      </c>
      <c r="C2458" t="s">
        <v>8900</v>
      </c>
      <c r="D2458" t="s">
        <v>550</v>
      </c>
      <c r="E2458" t="s">
        <v>859</v>
      </c>
      <c r="F2458" t="s">
        <v>860</v>
      </c>
      <c r="G2458" s="1">
        <v>43831</v>
      </c>
      <c r="H2458" s="1">
        <v>43831</v>
      </c>
      <c r="I2458" t="s">
        <v>665</v>
      </c>
      <c r="J2458" t="s">
        <v>861</v>
      </c>
      <c r="K2458" t="s">
        <v>862</v>
      </c>
      <c r="L2458" t="s">
        <v>863</v>
      </c>
      <c r="M2458" t="s">
        <v>864</v>
      </c>
      <c r="N2458" t="s">
        <v>865</v>
      </c>
      <c r="O2458" t="s">
        <v>1369</v>
      </c>
      <c r="P2458" t="s">
        <v>1370</v>
      </c>
      <c r="Q2458" t="s">
        <v>8871</v>
      </c>
      <c r="R2458" t="s">
        <v>8872</v>
      </c>
      <c r="S2458" t="s">
        <v>550</v>
      </c>
      <c r="T2458" t="s">
        <v>550</v>
      </c>
      <c r="U2458" t="s">
        <v>550</v>
      </c>
      <c r="V2458" t="s">
        <v>8901</v>
      </c>
      <c r="W2458" t="s">
        <v>1021</v>
      </c>
      <c r="X2458" t="s">
        <v>870</v>
      </c>
      <c r="Y2458" t="s">
        <v>847</v>
      </c>
      <c r="Z2458" t="s">
        <v>8899</v>
      </c>
    </row>
    <row r="2459" spans="1:26" x14ac:dyDescent="0.3">
      <c r="A2459" t="s">
        <v>525</v>
      </c>
      <c r="B2459" t="s">
        <v>8902</v>
      </c>
      <c r="C2459" t="s">
        <v>2030</v>
      </c>
      <c r="D2459" t="s">
        <v>550</v>
      </c>
      <c r="E2459" t="s">
        <v>859</v>
      </c>
      <c r="F2459" t="s">
        <v>860</v>
      </c>
      <c r="G2459" s="1">
        <v>43831</v>
      </c>
      <c r="H2459" s="1">
        <v>43887</v>
      </c>
      <c r="I2459" t="s">
        <v>665</v>
      </c>
      <c r="J2459" t="s">
        <v>861</v>
      </c>
      <c r="K2459" t="s">
        <v>862</v>
      </c>
      <c r="L2459" t="s">
        <v>863</v>
      </c>
      <c r="M2459" t="s">
        <v>864</v>
      </c>
      <c r="N2459" t="s">
        <v>865</v>
      </c>
      <c r="O2459" t="s">
        <v>1369</v>
      </c>
      <c r="P2459" t="s">
        <v>1370</v>
      </c>
      <c r="Q2459" t="s">
        <v>8871</v>
      </c>
      <c r="R2459" t="s">
        <v>8872</v>
      </c>
      <c r="S2459" t="s">
        <v>550</v>
      </c>
      <c r="T2459" t="s">
        <v>550</v>
      </c>
      <c r="U2459" t="s">
        <v>550</v>
      </c>
      <c r="V2459" t="s">
        <v>8903</v>
      </c>
      <c r="W2459" t="s">
        <v>869</v>
      </c>
      <c r="X2459" t="s">
        <v>870</v>
      </c>
      <c r="Y2459" t="s">
        <v>847</v>
      </c>
      <c r="Z2459" t="s">
        <v>8902</v>
      </c>
    </row>
    <row r="2460" spans="1:26" x14ac:dyDescent="0.3">
      <c r="A2460" t="s">
        <v>525</v>
      </c>
      <c r="B2460" t="s">
        <v>8904</v>
      </c>
      <c r="C2460" t="s">
        <v>8905</v>
      </c>
      <c r="D2460" t="s">
        <v>550</v>
      </c>
      <c r="E2460" t="s">
        <v>3901</v>
      </c>
      <c r="F2460" t="s">
        <v>3902</v>
      </c>
      <c r="G2460" s="1">
        <v>43831</v>
      </c>
      <c r="H2460" s="1">
        <v>43920</v>
      </c>
      <c r="I2460" t="s">
        <v>665</v>
      </c>
      <c r="J2460" t="s">
        <v>3903</v>
      </c>
      <c r="K2460" t="s">
        <v>862</v>
      </c>
      <c r="L2460" t="s">
        <v>863</v>
      </c>
      <c r="M2460" t="s">
        <v>1377</v>
      </c>
      <c r="N2460" t="s">
        <v>1378</v>
      </c>
      <c r="O2460" t="s">
        <v>1369</v>
      </c>
      <c r="P2460" t="s">
        <v>1370</v>
      </c>
      <c r="Q2460" t="s">
        <v>8871</v>
      </c>
      <c r="R2460" t="s">
        <v>8872</v>
      </c>
      <c r="S2460" t="s">
        <v>550</v>
      </c>
      <c r="T2460" t="s">
        <v>550</v>
      </c>
      <c r="U2460" t="s">
        <v>550</v>
      </c>
      <c r="V2460" t="s">
        <v>8906</v>
      </c>
      <c r="W2460" t="s">
        <v>869</v>
      </c>
      <c r="X2460" t="s">
        <v>870</v>
      </c>
      <c r="Y2460" t="s">
        <v>847</v>
      </c>
      <c r="Z2460" t="s">
        <v>8904</v>
      </c>
    </row>
    <row r="2461" spans="1:26" x14ac:dyDescent="0.3">
      <c r="A2461" t="s">
        <v>525</v>
      </c>
      <c r="B2461" t="s">
        <v>8907</v>
      </c>
      <c r="C2461" t="s">
        <v>8908</v>
      </c>
      <c r="D2461" t="s">
        <v>550</v>
      </c>
      <c r="E2461" t="s">
        <v>5585</v>
      </c>
      <c r="F2461" t="s">
        <v>5586</v>
      </c>
      <c r="G2461" s="1">
        <v>43831</v>
      </c>
      <c r="H2461" s="1">
        <v>43858</v>
      </c>
      <c r="I2461" t="s">
        <v>665</v>
      </c>
      <c r="J2461" t="s">
        <v>5587</v>
      </c>
      <c r="K2461" t="s">
        <v>862</v>
      </c>
      <c r="L2461" t="s">
        <v>863</v>
      </c>
      <c r="M2461" t="s">
        <v>1946</v>
      </c>
      <c r="N2461" t="s">
        <v>1947</v>
      </c>
      <c r="O2461" t="s">
        <v>1369</v>
      </c>
      <c r="P2461" t="s">
        <v>1370</v>
      </c>
      <c r="Q2461" t="s">
        <v>8871</v>
      </c>
      <c r="R2461" t="s">
        <v>8872</v>
      </c>
      <c r="S2461" t="s">
        <v>550</v>
      </c>
      <c r="T2461" t="s">
        <v>550</v>
      </c>
      <c r="U2461" t="s">
        <v>550</v>
      </c>
      <c r="V2461" t="s">
        <v>8909</v>
      </c>
      <c r="W2461" t="s">
        <v>869</v>
      </c>
      <c r="X2461" t="s">
        <v>870</v>
      </c>
      <c r="Y2461" t="s">
        <v>847</v>
      </c>
      <c r="Z2461" t="s">
        <v>8907</v>
      </c>
    </row>
    <row r="2462" spans="1:26" x14ac:dyDescent="0.3">
      <c r="A2462" t="s">
        <v>525</v>
      </c>
      <c r="B2462" t="s">
        <v>8910</v>
      </c>
      <c r="C2462" t="s">
        <v>8911</v>
      </c>
      <c r="D2462" t="s">
        <v>550</v>
      </c>
      <c r="E2462" t="s">
        <v>2059</v>
      </c>
      <c r="F2462" t="s">
        <v>2060</v>
      </c>
      <c r="G2462" s="1">
        <v>43831</v>
      </c>
      <c r="H2462" s="1">
        <v>43948</v>
      </c>
      <c r="I2462" t="s">
        <v>665</v>
      </c>
      <c r="J2462" t="s">
        <v>2061</v>
      </c>
      <c r="K2462" t="s">
        <v>808</v>
      </c>
      <c r="L2462" t="s">
        <v>863</v>
      </c>
      <c r="M2462" t="s">
        <v>1946</v>
      </c>
      <c r="N2462" t="s">
        <v>1947</v>
      </c>
      <c r="O2462" t="s">
        <v>1369</v>
      </c>
      <c r="P2462" t="s">
        <v>1370</v>
      </c>
      <c r="Q2462" t="s">
        <v>8871</v>
      </c>
      <c r="R2462" t="s">
        <v>8872</v>
      </c>
      <c r="S2462" t="s">
        <v>550</v>
      </c>
      <c r="T2462" t="s">
        <v>550</v>
      </c>
      <c r="U2462" t="s">
        <v>550</v>
      </c>
      <c r="V2462" t="s">
        <v>8912</v>
      </c>
      <c r="W2462" t="s">
        <v>869</v>
      </c>
      <c r="X2462" t="s">
        <v>870</v>
      </c>
      <c r="Y2462" t="s">
        <v>847</v>
      </c>
      <c r="Z2462" t="s">
        <v>8910</v>
      </c>
    </row>
    <row r="2463" spans="1:26" x14ac:dyDescent="0.3">
      <c r="A2463" t="s">
        <v>330</v>
      </c>
      <c r="B2463" t="s">
        <v>8913</v>
      </c>
      <c r="C2463" t="s">
        <v>8914</v>
      </c>
      <c r="D2463" t="s">
        <v>8915</v>
      </c>
      <c r="E2463" t="s">
        <v>840</v>
      </c>
      <c r="F2463" t="s">
        <v>1375</v>
      </c>
      <c r="G2463" s="1">
        <v>46023</v>
      </c>
      <c r="H2463" s="1">
        <v>46105</v>
      </c>
      <c r="I2463" t="s">
        <v>551</v>
      </c>
      <c r="J2463" t="s">
        <v>8464</v>
      </c>
      <c r="K2463" t="s">
        <v>862</v>
      </c>
      <c r="L2463" t="s">
        <v>842</v>
      </c>
      <c r="M2463" t="s">
        <v>843</v>
      </c>
      <c r="N2463" t="s">
        <v>319</v>
      </c>
      <c r="O2463" t="s">
        <v>8916</v>
      </c>
      <c r="P2463" t="s">
        <v>8917</v>
      </c>
      <c r="Q2463" t="s">
        <v>8918</v>
      </c>
      <c r="R2463" t="s">
        <v>8919</v>
      </c>
      <c r="S2463" t="s">
        <v>803</v>
      </c>
      <c r="T2463" t="s">
        <v>847</v>
      </c>
      <c r="U2463" t="s">
        <v>550</v>
      </c>
      <c r="V2463" t="s">
        <v>8920</v>
      </c>
      <c r="W2463" t="s">
        <v>813</v>
      </c>
      <c r="Z2463" t="s">
        <v>8913</v>
      </c>
    </row>
    <row r="2464" spans="1:26" x14ac:dyDescent="0.3">
      <c r="A2464" t="s">
        <v>330</v>
      </c>
      <c r="B2464" t="s">
        <v>8921</v>
      </c>
      <c r="C2464" t="s">
        <v>8922</v>
      </c>
      <c r="D2464" t="s">
        <v>8777</v>
      </c>
      <c r="E2464" t="s">
        <v>6417</v>
      </c>
      <c r="F2464" t="s">
        <v>1040</v>
      </c>
      <c r="G2464" s="1">
        <v>45658</v>
      </c>
      <c r="H2464" s="1">
        <v>45673</v>
      </c>
      <c r="I2464" t="s">
        <v>665</v>
      </c>
      <c r="J2464" t="s">
        <v>6418</v>
      </c>
      <c r="K2464" t="s">
        <v>958</v>
      </c>
      <c r="L2464" t="s">
        <v>6502</v>
      </c>
      <c r="M2464" t="s">
        <v>6593</v>
      </c>
      <c r="N2464" t="s">
        <v>6594</v>
      </c>
      <c r="O2464" t="s">
        <v>6446</v>
      </c>
      <c r="P2464" t="s">
        <v>6447</v>
      </c>
      <c r="Q2464" t="s">
        <v>8918</v>
      </c>
      <c r="R2464" t="s">
        <v>8919</v>
      </c>
      <c r="S2464" t="s">
        <v>8778</v>
      </c>
      <c r="T2464" t="s">
        <v>550</v>
      </c>
      <c r="U2464" t="s">
        <v>550</v>
      </c>
      <c r="V2464" t="s">
        <v>8923</v>
      </c>
      <c r="W2464" t="s">
        <v>6450</v>
      </c>
      <c r="X2464" t="s">
        <v>8780</v>
      </c>
      <c r="Z2464" t="s">
        <v>8921</v>
      </c>
    </row>
    <row r="2465" spans="1:26" x14ac:dyDescent="0.3">
      <c r="A2465" t="s">
        <v>330</v>
      </c>
      <c r="B2465" t="s">
        <v>8924</v>
      </c>
      <c r="C2465" t="s">
        <v>8925</v>
      </c>
      <c r="D2465" t="s">
        <v>8926</v>
      </c>
      <c r="E2465" t="s">
        <v>6417</v>
      </c>
      <c r="F2465" t="s">
        <v>1040</v>
      </c>
      <c r="G2465" s="1">
        <v>46023</v>
      </c>
      <c r="H2465" s="1">
        <v>46554</v>
      </c>
      <c r="I2465" t="s">
        <v>551</v>
      </c>
      <c r="J2465" t="s">
        <v>6418</v>
      </c>
      <c r="K2465" t="s">
        <v>958</v>
      </c>
      <c r="L2465" t="s">
        <v>6419</v>
      </c>
      <c r="M2465" t="s">
        <v>6593</v>
      </c>
      <c r="N2465" t="s">
        <v>6594</v>
      </c>
      <c r="O2465" t="s">
        <v>6446</v>
      </c>
      <c r="P2465" t="s">
        <v>6447</v>
      </c>
      <c r="Q2465" t="s">
        <v>8918</v>
      </c>
      <c r="R2465" t="s">
        <v>8919</v>
      </c>
      <c r="S2465" t="s">
        <v>8927</v>
      </c>
      <c r="T2465" t="s">
        <v>550</v>
      </c>
      <c r="U2465" t="s">
        <v>550</v>
      </c>
      <c r="V2465" t="s">
        <v>8928</v>
      </c>
      <c r="W2465" t="s">
        <v>6450</v>
      </c>
      <c r="X2465" t="s">
        <v>6468</v>
      </c>
      <c r="Z2465" t="s">
        <v>8924</v>
      </c>
    </row>
    <row r="2466" spans="1:26" x14ac:dyDescent="0.3">
      <c r="A2466" t="s">
        <v>330</v>
      </c>
      <c r="B2466" t="s">
        <v>8929</v>
      </c>
      <c r="C2466" t="s">
        <v>6494</v>
      </c>
      <c r="D2466" t="s">
        <v>8930</v>
      </c>
      <c r="E2466" t="s">
        <v>6417</v>
      </c>
      <c r="F2466" t="s">
        <v>1040</v>
      </c>
      <c r="G2466" s="1">
        <v>45658</v>
      </c>
      <c r="H2466" s="1">
        <v>46396</v>
      </c>
      <c r="I2466" t="s">
        <v>665</v>
      </c>
      <c r="J2466" t="s">
        <v>6418</v>
      </c>
      <c r="K2466" t="s">
        <v>958</v>
      </c>
      <c r="L2466" t="s">
        <v>6419</v>
      </c>
      <c r="M2466" t="s">
        <v>6495</v>
      </c>
      <c r="N2466" t="s">
        <v>6496</v>
      </c>
      <c r="O2466" t="s">
        <v>6446</v>
      </c>
      <c r="P2466" t="s">
        <v>6447</v>
      </c>
      <c r="Q2466" t="s">
        <v>8918</v>
      </c>
      <c r="R2466" t="s">
        <v>8919</v>
      </c>
      <c r="S2466" t="s">
        <v>8931</v>
      </c>
      <c r="T2466" t="s">
        <v>550</v>
      </c>
      <c r="U2466" t="s">
        <v>550</v>
      </c>
      <c r="V2466" t="s">
        <v>8932</v>
      </c>
      <c r="W2466" t="s">
        <v>6450</v>
      </c>
      <c r="X2466" t="s">
        <v>6468</v>
      </c>
      <c r="Z2466" t="s">
        <v>8929</v>
      </c>
    </row>
    <row r="2467" spans="1:26" x14ac:dyDescent="0.3">
      <c r="A2467" t="s">
        <v>330</v>
      </c>
      <c r="B2467" t="s">
        <v>8933</v>
      </c>
      <c r="C2467" t="s">
        <v>8934</v>
      </c>
      <c r="D2467" t="s">
        <v>8926</v>
      </c>
      <c r="E2467" t="s">
        <v>6417</v>
      </c>
      <c r="F2467" t="s">
        <v>1040</v>
      </c>
      <c r="G2467" s="1">
        <v>46023</v>
      </c>
      <c r="H2467" s="1">
        <v>47457</v>
      </c>
      <c r="I2467" t="s">
        <v>551</v>
      </c>
      <c r="J2467" t="s">
        <v>6418</v>
      </c>
      <c r="K2467" t="s">
        <v>958</v>
      </c>
      <c r="L2467" t="s">
        <v>6419</v>
      </c>
      <c r="M2467" t="s">
        <v>6516</v>
      </c>
      <c r="N2467" t="s">
        <v>6517</v>
      </c>
      <c r="O2467" t="s">
        <v>6446</v>
      </c>
      <c r="P2467" t="s">
        <v>6447</v>
      </c>
      <c r="Q2467" t="s">
        <v>8918</v>
      </c>
      <c r="R2467" t="s">
        <v>8919</v>
      </c>
      <c r="S2467" t="s">
        <v>8927</v>
      </c>
      <c r="T2467" t="s">
        <v>550</v>
      </c>
      <c r="U2467" t="s">
        <v>550</v>
      </c>
      <c r="V2467" t="s">
        <v>8935</v>
      </c>
      <c r="W2467" t="s">
        <v>6450</v>
      </c>
      <c r="X2467" t="s">
        <v>6468</v>
      </c>
      <c r="Z2467" t="s">
        <v>8933</v>
      </c>
    </row>
    <row r="2468" spans="1:26" x14ac:dyDescent="0.3">
      <c r="A2468" t="s">
        <v>330</v>
      </c>
      <c r="B2468" t="s">
        <v>8936</v>
      </c>
      <c r="C2468" t="s">
        <v>6515</v>
      </c>
      <c r="D2468" t="s">
        <v>8930</v>
      </c>
      <c r="E2468" t="s">
        <v>6417</v>
      </c>
      <c r="F2468" t="s">
        <v>1040</v>
      </c>
      <c r="G2468" s="1">
        <v>45658</v>
      </c>
      <c r="H2468" s="1">
        <v>47104</v>
      </c>
      <c r="I2468" t="s">
        <v>665</v>
      </c>
      <c r="J2468" t="s">
        <v>6418</v>
      </c>
      <c r="K2468" t="s">
        <v>958</v>
      </c>
      <c r="L2468" t="s">
        <v>6419</v>
      </c>
      <c r="M2468" t="s">
        <v>6516</v>
      </c>
      <c r="N2468" t="s">
        <v>6517</v>
      </c>
      <c r="O2468" t="s">
        <v>6446</v>
      </c>
      <c r="P2468" t="s">
        <v>6447</v>
      </c>
      <c r="Q2468" t="s">
        <v>8918</v>
      </c>
      <c r="R2468" t="s">
        <v>8919</v>
      </c>
      <c r="S2468" t="s">
        <v>8931</v>
      </c>
      <c r="T2468" t="s">
        <v>550</v>
      </c>
      <c r="U2468" t="s">
        <v>550</v>
      </c>
      <c r="V2468" t="s">
        <v>8937</v>
      </c>
      <c r="W2468" t="s">
        <v>6450</v>
      </c>
      <c r="X2468" t="s">
        <v>6468</v>
      </c>
      <c r="Z2468" t="s">
        <v>8936</v>
      </c>
    </row>
    <row r="2469" spans="1:26" x14ac:dyDescent="0.3">
      <c r="A2469" t="s">
        <v>330</v>
      </c>
      <c r="B2469" t="s">
        <v>8938</v>
      </c>
      <c r="C2469" t="s">
        <v>7014</v>
      </c>
      <c r="D2469" t="s">
        <v>8939</v>
      </c>
      <c r="E2469" t="s">
        <v>6417</v>
      </c>
      <c r="F2469" t="s">
        <v>1040</v>
      </c>
      <c r="G2469" s="1">
        <v>45658</v>
      </c>
      <c r="H2469" s="1">
        <v>45658</v>
      </c>
      <c r="I2469" t="s">
        <v>665</v>
      </c>
      <c r="J2469" t="s">
        <v>6418</v>
      </c>
      <c r="K2469" t="s">
        <v>958</v>
      </c>
      <c r="L2469" t="s">
        <v>6419</v>
      </c>
      <c r="M2469" t="s">
        <v>6446</v>
      </c>
      <c r="N2469" t="s">
        <v>6447</v>
      </c>
      <c r="O2469" t="s">
        <v>6446</v>
      </c>
      <c r="P2469" t="s">
        <v>6447</v>
      </c>
      <c r="Q2469" t="s">
        <v>8918</v>
      </c>
      <c r="R2469" t="s">
        <v>8919</v>
      </c>
      <c r="S2469" t="s">
        <v>8931</v>
      </c>
      <c r="T2469" t="s">
        <v>550</v>
      </c>
      <c r="U2469" t="s">
        <v>550</v>
      </c>
      <c r="V2469" t="s">
        <v>8940</v>
      </c>
      <c r="W2469" t="s">
        <v>6450</v>
      </c>
      <c r="X2469" t="s">
        <v>6468</v>
      </c>
      <c r="Z2469" t="s">
        <v>8938</v>
      </c>
    </row>
    <row r="2470" spans="1:26" x14ac:dyDescent="0.3">
      <c r="A2470" t="s">
        <v>330</v>
      </c>
      <c r="B2470" t="s">
        <v>8926</v>
      </c>
      <c r="C2470" t="s">
        <v>8941</v>
      </c>
      <c r="D2470" t="s">
        <v>550</v>
      </c>
      <c r="E2470" t="s">
        <v>6417</v>
      </c>
      <c r="F2470" t="s">
        <v>1040</v>
      </c>
      <c r="G2470" s="1">
        <v>46024</v>
      </c>
      <c r="H2470" s="1">
        <v>46024</v>
      </c>
      <c r="I2470" t="s">
        <v>551</v>
      </c>
      <c r="J2470" t="s">
        <v>6418</v>
      </c>
      <c r="K2470" t="s">
        <v>958</v>
      </c>
      <c r="L2470" t="s">
        <v>6419</v>
      </c>
      <c r="M2470" t="s">
        <v>6446</v>
      </c>
      <c r="N2470" t="s">
        <v>6447</v>
      </c>
      <c r="O2470" t="s">
        <v>6446</v>
      </c>
      <c r="P2470" t="s">
        <v>6447</v>
      </c>
      <c r="Q2470" t="s">
        <v>8918</v>
      </c>
      <c r="R2470" t="s">
        <v>8919</v>
      </c>
      <c r="S2470" t="s">
        <v>8927</v>
      </c>
      <c r="T2470" t="s">
        <v>550</v>
      </c>
      <c r="U2470" t="s">
        <v>550</v>
      </c>
      <c r="V2470" t="s">
        <v>8942</v>
      </c>
      <c r="W2470" t="s">
        <v>6450</v>
      </c>
      <c r="X2470" t="s">
        <v>6468</v>
      </c>
      <c r="Z2470" t="s">
        <v>8926</v>
      </c>
    </row>
    <row r="2471" spans="1:26" x14ac:dyDescent="0.3">
      <c r="A2471" t="s">
        <v>330</v>
      </c>
      <c r="B2471" t="s">
        <v>8943</v>
      </c>
      <c r="C2471" t="s">
        <v>8944</v>
      </c>
      <c r="D2471" t="s">
        <v>7399</v>
      </c>
      <c r="E2471" t="s">
        <v>6417</v>
      </c>
      <c r="F2471" t="s">
        <v>1040</v>
      </c>
      <c r="G2471" s="1">
        <v>45658</v>
      </c>
      <c r="H2471" s="1">
        <v>45895</v>
      </c>
      <c r="I2471" t="s">
        <v>665</v>
      </c>
      <c r="J2471" t="s">
        <v>6418</v>
      </c>
      <c r="K2471" t="s">
        <v>958</v>
      </c>
      <c r="L2471" t="s">
        <v>6502</v>
      </c>
      <c r="M2471" t="s">
        <v>6446</v>
      </c>
      <c r="N2471" t="s">
        <v>6447</v>
      </c>
      <c r="O2471" t="s">
        <v>6446</v>
      </c>
      <c r="P2471" t="s">
        <v>6447</v>
      </c>
      <c r="Q2471" t="s">
        <v>8918</v>
      </c>
      <c r="R2471" t="s">
        <v>8919</v>
      </c>
      <c r="S2471" t="s">
        <v>7400</v>
      </c>
      <c r="T2471" t="s">
        <v>550</v>
      </c>
      <c r="U2471" t="s">
        <v>550</v>
      </c>
      <c r="V2471" t="s">
        <v>8945</v>
      </c>
      <c r="W2471" t="s">
        <v>6964</v>
      </c>
      <c r="X2471" t="s">
        <v>7458</v>
      </c>
      <c r="Z2471" t="s">
        <v>8943</v>
      </c>
    </row>
    <row r="2472" spans="1:26" x14ac:dyDescent="0.3">
      <c r="A2472" t="s">
        <v>330</v>
      </c>
      <c r="B2472" t="s">
        <v>8946</v>
      </c>
      <c r="C2472" t="s">
        <v>8947</v>
      </c>
      <c r="D2472" t="s">
        <v>8930</v>
      </c>
      <c r="E2472" t="s">
        <v>6417</v>
      </c>
      <c r="F2472" t="s">
        <v>1040</v>
      </c>
      <c r="G2472" s="1">
        <v>45658</v>
      </c>
      <c r="H2472" s="1">
        <v>46182</v>
      </c>
      <c r="I2472" t="s">
        <v>665</v>
      </c>
      <c r="J2472" t="s">
        <v>6418</v>
      </c>
      <c r="K2472" t="s">
        <v>958</v>
      </c>
      <c r="L2472" t="s">
        <v>6419</v>
      </c>
      <c r="M2472" t="s">
        <v>6593</v>
      </c>
      <c r="N2472" t="s">
        <v>6594</v>
      </c>
      <c r="O2472" t="s">
        <v>6446</v>
      </c>
      <c r="P2472" t="s">
        <v>6447</v>
      </c>
      <c r="Q2472" t="s">
        <v>8918</v>
      </c>
      <c r="R2472" t="s">
        <v>8919</v>
      </c>
      <c r="S2472" t="s">
        <v>8931</v>
      </c>
      <c r="T2472" t="s">
        <v>550</v>
      </c>
      <c r="U2472" t="s">
        <v>550</v>
      </c>
      <c r="V2472" t="s">
        <v>8948</v>
      </c>
      <c r="W2472" t="s">
        <v>6450</v>
      </c>
      <c r="X2472" t="s">
        <v>6468</v>
      </c>
      <c r="Z2472" t="s">
        <v>8946</v>
      </c>
    </row>
    <row r="2473" spans="1:26" x14ac:dyDescent="0.3">
      <c r="A2473" t="s">
        <v>330</v>
      </c>
      <c r="B2473" t="s">
        <v>8777</v>
      </c>
      <c r="C2473" t="s">
        <v>8949</v>
      </c>
      <c r="D2473" t="s">
        <v>550</v>
      </c>
      <c r="E2473" t="s">
        <v>6417</v>
      </c>
      <c r="F2473" t="s">
        <v>1040</v>
      </c>
      <c r="G2473" s="1">
        <v>45446</v>
      </c>
      <c r="H2473" s="1">
        <v>45446</v>
      </c>
      <c r="I2473" t="s">
        <v>665</v>
      </c>
      <c r="J2473" t="s">
        <v>6418</v>
      </c>
      <c r="K2473" t="s">
        <v>958</v>
      </c>
      <c r="L2473" t="s">
        <v>6502</v>
      </c>
      <c r="M2473" t="s">
        <v>6593</v>
      </c>
      <c r="N2473" t="s">
        <v>6594</v>
      </c>
      <c r="O2473" t="s">
        <v>6446</v>
      </c>
      <c r="P2473" t="s">
        <v>6447</v>
      </c>
      <c r="Q2473" t="s">
        <v>8918</v>
      </c>
      <c r="R2473" t="s">
        <v>8919</v>
      </c>
      <c r="S2473" t="s">
        <v>8778</v>
      </c>
      <c r="T2473" t="s">
        <v>550</v>
      </c>
      <c r="U2473" t="s">
        <v>550</v>
      </c>
      <c r="V2473" t="s">
        <v>8950</v>
      </c>
      <c r="W2473" t="s">
        <v>6450</v>
      </c>
      <c r="X2473" t="s">
        <v>8780</v>
      </c>
      <c r="Z2473" t="s">
        <v>8777</v>
      </c>
    </row>
    <row r="2474" spans="1:26" x14ac:dyDescent="0.3">
      <c r="A2474" t="s">
        <v>330</v>
      </c>
      <c r="B2474" t="s">
        <v>8951</v>
      </c>
      <c r="C2474" t="s">
        <v>8952</v>
      </c>
      <c r="D2474" t="s">
        <v>8926</v>
      </c>
      <c r="E2474" t="s">
        <v>6417</v>
      </c>
      <c r="F2474" t="s">
        <v>1040</v>
      </c>
      <c r="G2474" s="1">
        <v>46023</v>
      </c>
      <c r="H2474" s="1">
        <v>46122</v>
      </c>
      <c r="I2474" t="s">
        <v>551</v>
      </c>
      <c r="J2474" t="s">
        <v>6418</v>
      </c>
      <c r="K2474" t="s">
        <v>958</v>
      </c>
      <c r="L2474" t="s">
        <v>6419</v>
      </c>
      <c r="M2474" t="s">
        <v>6479</v>
      </c>
      <c r="N2474" t="s">
        <v>6480</v>
      </c>
      <c r="O2474" t="s">
        <v>6446</v>
      </c>
      <c r="P2474" t="s">
        <v>6447</v>
      </c>
      <c r="Q2474" t="s">
        <v>8918</v>
      </c>
      <c r="R2474" t="s">
        <v>8919</v>
      </c>
      <c r="S2474" t="s">
        <v>8927</v>
      </c>
      <c r="T2474" t="s">
        <v>550</v>
      </c>
      <c r="U2474" t="s">
        <v>550</v>
      </c>
      <c r="V2474" t="s">
        <v>8953</v>
      </c>
      <c r="W2474" t="s">
        <v>6450</v>
      </c>
      <c r="X2474" t="s">
        <v>6468</v>
      </c>
      <c r="Z2474" t="s">
        <v>8951</v>
      </c>
    </row>
    <row r="2475" spans="1:26" x14ac:dyDescent="0.3">
      <c r="A2475" t="s">
        <v>330</v>
      </c>
      <c r="B2475" t="s">
        <v>8954</v>
      </c>
      <c r="C2475" t="s">
        <v>6590</v>
      </c>
      <c r="D2475" t="s">
        <v>8930</v>
      </c>
      <c r="E2475" t="s">
        <v>6417</v>
      </c>
      <c r="F2475" t="s">
        <v>1040</v>
      </c>
      <c r="G2475" s="1">
        <v>45658</v>
      </c>
      <c r="H2475" s="1">
        <v>45990</v>
      </c>
      <c r="I2475" t="s">
        <v>665</v>
      </c>
      <c r="J2475" t="s">
        <v>6418</v>
      </c>
      <c r="K2475" t="s">
        <v>958</v>
      </c>
      <c r="L2475" t="s">
        <v>6419</v>
      </c>
      <c r="M2475" t="s">
        <v>6591</v>
      </c>
      <c r="N2475" t="s">
        <v>6592</v>
      </c>
      <c r="O2475" t="s">
        <v>6446</v>
      </c>
      <c r="P2475" t="s">
        <v>6447</v>
      </c>
      <c r="Q2475" t="s">
        <v>8918</v>
      </c>
      <c r="R2475" t="s">
        <v>8919</v>
      </c>
      <c r="S2475" t="s">
        <v>8931</v>
      </c>
      <c r="T2475" t="s">
        <v>550</v>
      </c>
      <c r="U2475" t="s">
        <v>550</v>
      </c>
      <c r="V2475" t="s">
        <v>8955</v>
      </c>
      <c r="W2475" t="s">
        <v>6450</v>
      </c>
      <c r="X2475" t="s">
        <v>6468</v>
      </c>
      <c r="Z2475" t="s">
        <v>8954</v>
      </c>
    </row>
    <row r="2476" spans="1:26" x14ac:dyDescent="0.3">
      <c r="A2476" t="s">
        <v>330</v>
      </c>
      <c r="B2476" t="s">
        <v>8956</v>
      </c>
      <c r="C2476" t="s">
        <v>8957</v>
      </c>
      <c r="D2476" t="s">
        <v>8926</v>
      </c>
      <c r="E2476" t="s">
        <v>6417</v>
      </c>
      <c r="F2476" t="s">
        <v>1040</v>
      </c>
      <c r="G2476" s="1">
        <v>46023</v>
      </c>
      <c r="H2476" s="1">
        <v>46313</v>
      </c>
      <c r="I2476" t="s">
        <v>551</v>
      </c>
      <c r="J2476" t="s">
        <v>6418</v>
      </c>
      <c r="K2476" t="s">
        <v>958</v>
      </c>
      <c r="L2476" t="s">
        <v>6419</v>
      </c>
      <c r="M2476" t="s">
        <v>6591</v>
      </c>
      <c r="N2476" t="s">
        <v>6592</v>
      </c>
      <c r="O2476" t="s">
        <v>6446</v>
      </c>
      <c r="P2476" t="s">
        <v>6447</v>
      </c>
      <c r="Q2476" t="s">
        <v>8918</v>
      </c>
      <c r="R2476" t="s">
        <v>8919</v>
      </c>
      <c r="S2476" t="s">
        <v>8927</v>
      </c>
      <c r="T2476" t="s">
        <v>550</v>
      </c>
      <c r="U2476" t="s">
        <v>550</v>
      </c>
      <c r="V2476" t="s">
        <v>8958</v>
      </c>
      <c r="W2476" t="s">
        <v>6450</v>
      </c>
      <c r="X2476" t="s">
        <v>6468</v>
      </c>
      <c r="Z2476" t="s">
        <v>8956</v>
      </c>
    </row>
    <row r="2477" spans="1:26" x14ac:dyDescent="0.3">
      <c r="A2477" t="s">
        <v>330</v>
      </c>
      <c r="B2477" t="s">
        <v>8959</v>
      </c>
      <c r="C2477" t="s">
        <v>6490</v>
      </c>
      <c r="D2477" t="s">
        <v>8939</v>
      </c>
      <c r="E2477" t="s">
        <v>6417</v>
      </c>
      <c r="F2477" t="s">
        <v>1040</v>
      </c>
      <c r="G2477" s="1">
        <v>45658</v>
      </c>
      <c r="H2477" s="1">
        <v>46155</v>
      </c>
      <c r="I2477" t="s">
        <v>665</v>
      </c>
      <c r="J2477" t="s">
        <v>6418</v>
      </c>
      <c r="K2477" t="s">
        <v>958</v>
      </c>
      <c r="L2477" t="s">
        <v>6419</v>
      </c>
      <c r="M2477" t="s">
        <v>6420</v>
      </c>
      <c r="N2477" t="s">
        <v>6421</v>
      </c>
      <c r="O2477" t="s">
        <v>6446</v>
      </c>
      <c r="P2477" t="s">
        <v>6447</v>
      </c>
      <c r="Q2477" t="s">
        <v>8918</v>
      </c>
      <c r="R2477" t="s">
        <v>8919</v>
      </c>
      <c r="S2477" t="s">
        <v>8931</v>
      </c>
      <c r="T2477" t="s">
        <v>550</v>
      </c>
      <c r="U2477" t="s">
        <v>550</v>
      </c>
      <c r="V2477" t="s">
        <v>8960</v>
      </c>
      <c r="W2477" t="s">
        <v>6450</v>
      </c>
      <c r="X2477" t="s">
        <v>6468</v>
      </c>
      <c r="Z2477" t="s">
        <v>8959</v>
      </c>
    </row>
    <row r="2478" spans="1:26" x14ac:dyDescent="0.3">
      <c r="A2478" t="s">
        <v>330</v>
      </c>
      <c r="B2478" t="s">
        <v>8961</v>
      </c>
      <c r="C2478" t="s">
        <v>8962</v>
      </c>
      <c r="D2478" t="s">
        <v>8930</v>
      </c>
      <c r="E2478" t="s">
        <v>6417</v>
      </c>
      <c r="F2478" t="s">
        <v>1040</v>
      </c>
      <c r="G2478" s="1">
        <v>45658</v>
      </c>
      <c r="H2478" s="1">
        <v>45757</v>
      </c>
      <c r="I2478" t="s">
        <v>665</v>
      </c>
      <c r="J2478" t="s">
        <v>6418</v>
      </c>
      <c r="K2478" t="s">
        <v>958</v>
      </c>
      <c r="L2478" t="s">
        <v>6419</v>
      </c>
      <c r="M2478" t="s">
        <v>6479</v>
      </c>
      <c r="N2478" t="s">
        <v>6480</v>
      </c>
      <c r="O2478" t="s">
        <v>6446</v>
      </c>
      <c r="P2478" t="s">
        <v>6447</v>
      </c>
      <c r="Q2478" t="s">
        <v>8918</v>
      </c>
      <c r="R2478" t="s">
        <v>8919</v>
      </c>
      <c r="S2478" t="s">
        <v>8931</v>
      </c>
      <c r="T2478" t="s">
        <v>550</v>
      </c>
      <c r="U2478" t="s">
        <v>550</v>
      </c>
      <c r="V2478" t="s">
        <v>8963</v>
      </c>
      <c r="W2478" t="s">
        <v>6450</v>
      </c>
      <c r="X2478" t="s">
        <v>6468</v>
      </c>
      <c r="Z2478" t="s">
        <v>8961</v>
      </c>
    </row>
    <row r="2479" spans="1:26" x14ac:dyDescent="0.3">
      <c r="A2479" t="s">
        <v>330</v>
      </c>
      <c r="B2479" t="s">
        <v>8964</v>
      </c>
      <c r="C2479" t="s">
        <v>8965</v>
      </c>
      <c r="D2479" t="s">
        <v>8926</v>
      </c>
      <c r="E2479" t="s">
        <v>6417</v>
      </c>
      <c r="F2479" t="s">
        <v>1040</v>
      </c>
      <c r="G2479" s="1">
        <v>46023</v>
      </c>
      <c r="H2479" s="1">
        <v>46852</v>
      </c>
      <c r="I2479" t="s">
        <v>551</v>
      </c>
      <c r="J2479" t="s">
        <v>6418</v>
      </c>
      <c r="K2479" t="s">
        <v>958</v>
      </c>
      <c r="L2479" t="s">
        <v>6419</v>
      </c>
      <c r="M2479" t="s">
        <v>6479</v>
      </c>
      <c r="N2479" t="s">
        <v>6480</v>
      </c>
      <c r="O2479" t="s">
        <v>6446</v>
      </c>
      <c r="P2479" t="s">
        <v>6447</v>
      </c>
      <c r="Q2479" t="s">
        <v>8918</v>
      </c>
      <c r="R2479" t="s">
        <v>8919</v>
      </c>
      <c r="S2479" t="s">
        <v>8927</v>
      </c>
      <c r="T2479" t="s">
        <v>550</v>
      </c>
      <c r="U2479" t="s">
        <v>550</v>
      </c>
      <c r="V2479" t="s">
        <v>8966</v>
      </c>
      <c r="W2479" t="s">
        <v>6450</v>
      </c>
      <c r="X2479" t="s">
        <v>6468</v>
      </c>
      <c r="Z2479" t="s">
        <v>8964</v>
      </c>
    </row>
    <row r="2480" spans="1:26" x14ac:dyDescent="0.3">
      <c r="A2480" t="s">
        <v>330</v>
      </c>
      <c r="B2480" t="s">
        <v>8967</v>
      </c>
      <c r="C2480" t="s">
        <v>6462</v>
      </c>
      <c r="D2480" t="s">
        <v>8930</v>
      </c>
      <c r="E2480" t="s">
        <v>6417</v>
      </c>
      <c r="F2480" t="s">
        <v>1040</v>
      </c>
      <c r="G2480" s="1">
        <v>45658</v>
      </c>
      <c r="H2480" s="1">
        <v>46582</v>
      </c>
      <c r="I2480" t="s">
        <v>665</v>
      </c>
      <c r="J2480" t="s">
        <v>6418</v>
      </c>
      <c r="K2480" t="s">
        <v>958</v>
      </c>
      <c r="L2480" t="s">
        <v>6419</v>
      </c>
      <c r="M2480" t="s">
        <v>6464</v>
      </c>
      <c r="N2480" t="s">
        <v>6465</v>
      </c>
      <c r="O2480" t="s">
        <v>6446</v>
      </c>
      <c r="P2480" t="s">
        <v>6447</v>
      </c>
      <c r="Q2480" t="s">
        <v>8918</v>
      </c>
      <c r="R2480" t="s">
        <v>8919</v>
      </c>
      <c r="S2480" t="s">
        <v>8931</v>
      </c>
      <c r="T2480" t="s">
        <v>550</v>
      </c>
      <c r="U2480" t="s">
        <v>550</v>
      </c>
      <c r="V2480" t="s">
        <v>8968</v>
      </c>
      <c r="W2480" t="s">
        <v>6450</v>
      </c>
      <c r="X2480" t="s">
        <v>6468</v>
      </c>
      <c r="Z2480" t="s">
        <v>8967</v>
      </c>
    </row>
    <row r="2481" spans="1:26" x14ac:dyDescent="0.3">
      <c r="A2481" t="s">
        <v>330</v>
      </c>
      <c r="B2481" t="s">
        <v>8969</v>
      </c>
      <c r="C2481" t="s">
        <v>8970</v>
      </c>
      <c r="D2481" t="s">
        <v>6975</v>
      </c>
      <c r="E2481" t="s">
        <v>6417</v>
      </c>
      <c r="F2481" t="s">
        <v>1040</v>
      </c>
      <c r="G2481" s="1">
        <v>46023</v>
      </c>
      <c r="H2481" s="1">
        <v>46052</v>
      </c>
      <c r="I2481" t="s">
        <v>551</v>
      </c>
      <c r="J2481" t="s">
        <v>6418</v>
      </c>
      <c r="K2481" t="s">
        <v>958</v>
      </c>
      <c r="L2481" t="s">
        <v>6502</v>
      </c>
      <c r="M2481" t="s">
        <v>6464</v>
      </c>
      <c r="N2481" t="s">
        <v>6465</v>
      </c>
      <c r="O2481" t="s">
        <v>6446</v>
      </c>
      <c r="P2481" t="s">
        <v>6447</v>
      </c>
      <c r="Q2481" t="s">
        <v>8918</v>
      </c>
      <c r="R2481" t="s">
        <v>8919</v>
      </c>
      <c r="S2481" t="s">
        <v>6976</v>
      </c>
      <c r="T2481" t="s">
        <v>550</v>
      </c>
      <c r="U2481" t="s">
        <v>550</v>
      </c>
      <c r="V2481" t="s">
        <v>8971</v>
      </c>
      <c r="W2481" t="s">
        <v>6978</v>
      </c>
      <c r="X2481" t="s">
        <v>6979</v>
      </c>
      <c r="Z2481" t="s">
        <v>8969</v>
      </c>
    </row>
    <row r="2482" spans="1:26" x14ac:dyDescent="0.3">
      <c r="A2482" t="s">
        <v>330</v>
      </c>
      <c r="B2482" t="s">
        <v>8972</v>
      </c>
      <c r="C2482" t="s">
        <v>8973</v>
      </c>
      <c r="D2482" t="s">
        <v>6975</v>
      </c>
      <c r="E2482" t="s">
        <v>6417</v>
      </c>
      <c r="F2482" t="s">
        <v>1040</v>
      </c>
      <c r="G2482" s="1">
        <v>45658</v>
      </c>
      <c r="H2482" s="1">
        <v>45745</v>
      </c>
      <c r="I2482" t="s">
        <v>665</v>
      </c>
      <c r="J2482" t="s">
        <v>6418</v>
      </c>
      <c r="K2482" t="s">
        <v>958</v>
      </c>
      <c r="L2482" t="s">
        <v>6502</v>
      </c>
      <c r="M2482" t="s">
        <v>6464</v>
      </c>
      <c r="N2482" t="s">
        <v>6465</v>
      </c>
      <c r="O2482" t="s">
        <v>6446</v>
      </c>
      <c r="P2482" t="s">
        <v>6447</v>
      </c>
      <c r="Q2482" t="s">
        <v>8918</v>
      </c>
      <c r="R2482" t="s">
        <v>8919</v>
      </c>
      <c r="S2482" t="s">
        <v>6976</v>
      </c>
      <c r="T2482" t="s">
        <v>550</v>
      </c>
      <c r="U2482" t="s">
        <v>550</v>
      </c>
      <c r="V2482" t="s">
        <v>8974</v>
      </c>
      <c r="W2482" t="s">
        <v>6978</v>
      </c>
      <c r="X2482" t="s">
        <v>6979</v>
      </c>
      <c r="Z2482" t="s">
        <v>8972</v>
      </c>
    </row>
    <row r="2483" spans="1:26" x14ac:dyDescent="0.3">
      <c r="A2483" t="s">
        <v>330</v>
      </c>
      <c r="B2483" t="s">
        <v>8975</v>
      </c>
      <c r="C2483" t="s">
        <v>8976</v>
      </c>
      <c r="D2483" t="s">
        <v>8926</v>
      </c>
      <c r="E2483" t="s">
        <v>6417</v>
      </c>
      <c r="F2483" t="s">
        <v>1040</v>
      </c>
      <c r="G2483" s="1">
        <v>46023</v>
      </c>
      <c r="H2483" s="1">
        <v>46622</v>
      </c>
      <c r="I2483" t="s">
        <v>551</v>
      </c>
      <c r="J2483" t="s">
        <v>6418</v>
      </c>
      <c r="K2483" t="s">
        <v>958</v>
      </c>
      <c r="L2483" t="s">
        <v>6419</v>
      </c>
      <c r="M2483" t="s">
        <v>3808</v>
      </c>
      <c r="N2483" t="s">
        <v>3809</v>
      </c>
      <c r="O2483" t="s">
        <v>6446</v>
      </c>
      <c r="P2483" t="s">
        <v>6447</v>
      </c>
      <c r="Q2483" t="s">
        <v>8918</v>
      </c>
      <c r="R2483" t="s">
        <v>8919</v>
      </c>
      <c r="S2483" t="s">
        <v>8927</v>
      </c>
      <c r="T2483" t="s">
        <v>550</v>
      </c>
      <c r="U2483" t="s">
        <v>550</v>
      </c>
      <c r="V2483" t="s">
        <v>8977</v>
      </c>
      <c r="W2483" t="s">
        <v>6450</v>
      </c>
      <c r="X2483" t="s">
        <v>6468</v>
      </c>
      <c r="Z2483" t="s">
        <v>8975</v>
      </c>
    </row>
    <row r="2484" spans="1:26" x14ac:dyDescent="0.3">
      <c r="A2484" t="s">
        <v>330</v>
      </c>
      <c r="B2484" t="s">
        <v>8978</v>
      </c>
      <c r="C2484" t="s">
        <v>6509</v>
      </c>
      <c r="D2484" t="s">
        <v>8930</v>
      </c>
      <c r="E2484" t="s">
        <v>6417</v>
      </c>
      <c r="F2484" t="s">
        <v>1040</v>
      </c>
      <c r="G2484" s="1">
        <v>45658</v>
      </c>
      <c r="H2484" s="1">
        <v>46668</v>
      </c>
      <c r="I2484" t="s">
        <v>665</v>
      </c>
      <c r="J2484" t="s">
        <v>6418</v>
      </c>
      <c r="K2484" t="s">
        <v>958</v>
      </c>
      <c r="L2484" t="s">
        <v>6419</v>
      </c>
      <c r="M2484" t="s">
        <v>3808</v>
      </c>
      <c r="N2484" t="s">
        <v>3809</v>
      </c>
      <c r="O2484" t="s">
        <v>6446</v>
      </c>
      <c r="P2484" t="s">
        <v>6447</v>
      </c>
      <c r="Q2484" t="s">
        <v>8918</v>
      </c>
      <c r="R2484" t="s">
        <v>8919</v>
      </c>
      <c r="S2484" t="s">
        <v>8931</v>
      </c>
      <c r="T2484" t="s">
        <v>550</v>
      </c>
      <c r="U2484" t="s">
        <v>550</v>
      </c>
      <c r="V2484" t="s">
        <v>8979</v>
      </c>
      <c r="W2484" t="s">
        <v>6450</v>
      </c>
      <c r="X2484" t="s">
        <v>6468</v>
      </c>
      <c r="Z2484" t="s">
        <v>8978</v>
      </c>
    </row>
    <row r="2485" spans="1:26" x14ac:dyDescent="0.3">
      <c r="A2485" t="s">
        <v>330</v>
      </c>
      <c r="B2485" t="s">
        <v>8980</v>
      </c>
      <c r="C2485" t="s">
        <v>8981</v>
      </c>
      <c r="D2485" t="s">
        <v>8926</v>
      </c>
      <c r="E2485" t="s">
        <v>6417</v>
      </c>
      <c r="F2485" t="s">
        <v>1040</v>
      </c>
      <c r="G2485" s="1">
        <v>46023</v>
      </c>
      <c r="H2485" s="1">
        <v>46968</v>
      </c>
      <c r="I2485" t="s">
        <v>551</v>
      </c>
      <c r="J2485" t="s">
        <v>6418</v>
      </c>
      <c r="K2485" t="s">
        <v>958</v>
      </c>
      <c r="L2485" t="s">
        <v>6419</v>
      </c>
      <c r="M2485" t="s">
        <v>6464</v>
      </c>
      <c r="N2485" t="s">
        <v>6465</v>
      </c>
      <c r="O2485" t="s">
        <v>6446</v>
      </c>
      <c r="P2485" t="s">
        <v>6447</v>
      </c>
      <c r="Q2485" t="s">
        <v>8918</v>
      </c>
      <c r="R2485" t="s">
        <v>8919</v>
      </c>
      <c r="S2485" t="s">
        <v>8927</v>
      </c>
      <c r="T2485" t="s">
        <v>550</v>
      </c>
      <c r="U2485" t="s">
        <v>550</v>
      </c>
      <c r="V2485" t="s">
        <v>8982</v>
      </c>
      <c r="W2485" t="s">
        <v>6450</v>
      </c>
      <c r="X2485" t="s">
        <v>6468</v>
      </c>
      <c r="Z2485" t="s">
        <v>8980</v>
      </c>
    </row>
    <row r="2486" spans="1:26" x14ac:dyDescent="0.3">
      <c r="A2486" t="s">
        <v>330</v>
      </c>
      <c r="B2486" t="s">
        <v>8983</v>
      </c>
      <c r="C2486" t="s">
        <v>8984</v>
      </c>
      <c r="D2486" t="s">
        <v>8926</v>
      </c>
      <c r="E2486" t="s">
        <v>6417</v>
      </c>
      <c r="F2486" t="s">
        <v>1040</v>
      </c>
      <c r="G2486" s="1">
        <v>46023</v>
      </c>
      <c r="H2486" s="1">
        <v>46681</v>
      </c>
      <c r="I2486" t="s">
        <v>551</v>
      </c>
      <c r="J2486" t="s">
        <v>6418</v>
      </c>
      <c r="K2486" t="s">
        <v>958</v>
      </c>
      <c r="L2486" t="s">
        <v>6419</v>
      </c>
      <c r="M2486" t="s">
        <v>8985</v>
      </c>
      <c r="N2486" t="s">
        <v>8986</v>
      </c>
      <c r="O2486" t="s">
        <v>6446</v>
      </c>
      <c r="P2486" t="s">
        <v>6447</v>
      </c>
      <c r="Q2486" t="s">
        <v>8918</v>
      </c>
      <c r="R2486" t="s">
        <v>8919</v>
      </c>
      <c r="S2486" t="s">
        <v>8927</v>
      </c>
      <c r="T2486" t="s">
        <v>550</v>
      </c>
      <c r="U2486" t="s">
        <v>550</v>
      </c>
      <c r="V2486" t="s">
        <v>8987</v>
      </c>
      <c r="W2486" t="s">
        <v>6450</v>
      </c>
      <c r="X2486" t="s">
        <v>6468</v>
      </c>
      <c r="Z2486" t="s">
        <v>8983</v>
      </c>
    </row>
    <row r="2487" spans="1:26" x14ac:dyDescent="0.3">
      <c r="A2487" t="s">
        <v>330</v>
      </c>
      <c r="B2487" t="s">
        <v>8988</v>
      </c>
      <c r="C2487" t="s">
        <v>8989</v>
      </c>
      <c r="D2487" t="s">
        <v>8926</v>
      </c>
      <c r="E2487" t="s">
        <v>6417</v>
      </c>
      <c r="F2487" t="s">
        <v>1040</v>
      </c>
      <c r="G2487" s="1">
        <v>46023</v>
      </c>
      <c r="H2487" s="1">
        <v>46808</v>
      </c>
      <c r="I2487" t="s">
        <v>551</v>
      </c>
      <c r="J2487" t="s">
        <v>6418</v>
      </c>
      <c r="K2487" t="s">
        <v>958</v>
      </c>
      <c r="L2487" t="s">
        <v>6419</v>
      </c>
      <c r="M2487" t="s">
        <v>8985</v>
      </c>
      <c r="N2487" t="s">
        <v>8986</v>
      </c>
      <c r="O2487" t="s">
        <v>6446</v>
      </c>
      <c r="P2487" t="s">
        <v>6447</v>
      </c>
      <c r="Q2487" t="s">
        <v>8918</v>
      </c>
      <c r="R2487" t="s">
        <v>8919</v>
      </c>
      <c r="S2487" t="s">
        <v>8927</v>
      </c>
      <c r="T2487" t="s">
        <v>550</v>
      </c>
      <c r="U2487" t="s">
        <v>550</v>
      </c>
      <c r="V2487" t="s">
        <v>8990</v>
      </c>
      <c r="W2487" t="s">
        <v>6450</v>
      </c>
      <c r="X2487" t="s">
        <v>6468</v>
      </c>
      <c r="Z2487" t="s">
        <v>8988</v>
      </c>
    </row>
    <row r="2488" spans="1:26" x14ac:dyDescent="0.3">
      <c r="A2488" t="s">
        <v>330</v>
      </c>
      <c r="B2488" t="s">
        <v>8991</v>
      </c>
      <c r="C2488" t="s">
        <v>6470</v>
      </c>
      <c r="D2488" t="s">
        <v>8930</v>
      </c>
      <c r="E2488" t="s">
        <v>6417</v>
      </c>
      <c r="F2488" t="s">
        <v>1040</v>
      </c>
      <c r="G2488" s="1">
        <v>45658</v>
      </c>
      <c r="H2488" s="1">
        <v>46668</v>
      </c>
      <c r="I2488" t="s">
        <v>665</v>
      </c>
      <c r="J2488" t="s">
        <v>6418</v>
      </c>
      <c r="K2488" t="s">
        <v>958</v>
      </c>
      <c r="L2488" t="s">
        <v>6419</v>
      </c>
      <c r="M2488" t="s">
        <v>8992</v>
      </c>
      <c r="N2488" t="s">
        <v>8993</v>
      </c>
      <c r="O2488" t="s">
        <v>6446</v>
      </c>
      <c r="P2488" t="s">
        <v>6447</v>
      </c>
      <c r="Q2488" t="s">
        <v>8918</v>
      </c>
      <c r="R2488" t="s">
        <v>8919</v>
      </c>
      <c r="S2488" t="s">
        <v>8931</v>
      </c>
      <c r="T2488" t="s">
        <v>550</v>
      </c>
      <c r="U2488" t="s">
        <v>550</v>
      </c>
      <c r="V2488" t="s">
        <v>8994</v>
      </c>
      <c r="W2488" t="s">
        <v>6450</v>
      </c>
      <c r="X2488" t="s">
        <v>6468</v>
      </c>
      <c r="Z2488" t="s">
        <v>8991</v>
      </c>
    </row>
    <row r="2489" spans="1:26" x14ac:dyDescent="0.3">
      <c r="A2489" t="s">
        <v>330</v>
      </c>
      <c r="B2489" t="s">
        <v>8995</v>
      </c>
      <c r="C2489" t="s">
        <v>8996</v>
      </c>
      <c r="D2489" t="s">
        <v>8926</v>
      </c>
      <c r="E2489" t="s">
        <v>6417</v>
      </c>
      <c r="F2489" t="s">
        <v>1040</v>
      </c>
      <c r="G2489" s="1">
        <v>46023</v>
      </c>
      <c r="H2489" s="1">
        <v>46968</v>
      </c>
      <c r="I2489" t="s">
        <v>551</v>
      </c>
      <c r="J2489" t="s">
        <v>6418</v>
      </c>
      <c r="K2489" t="s">
        <v>958</v>
      </c>
      <c r="L2489" t="s">
        <v>6419</v>
      </c>
      <c r="M2489" t="s">
        <v>8992</v>
      </c>
      <c r="N2489" t="s">
        <v>8993</v>
      </c>
      <c r="O2489" t="s">
        <v>6446</v>
      </c>
      <c r="P2489" t="s">
        <v>6447</v>
      </c>
      <c r="Q2489" t="s">
        <v>8918</v>
      </c>
      <c r="R2489" t="s">
        <v>8919</v>
      </c>
      <c r="S2489" t="s">
        <v>8927</v>
      </c>
      <c r="T2489" t="s">
        <v>550</v>
      </c>
      <c r="U2489" t="s">
        <v>550</v>
      </c>
      <c r="V2489" t="s">
        <v>8997</v>
      </c>
      <c r="W2489" t="s">
        <v>6450</v>
      </c>
      <c r="X2489" t="s">
        <v>6468</v>
      </c>
      <c r="Z2489" t="s">
        <v>8995</v>
      </c>
    </row>
    <row r="2490" spans="1:26" x14ac:dyDescent="0.3">
      <c r="A2490" t="s">
        <v>330</v>
      </c>
      <c r="B2490" t="s">
        <v>8998</v>
      </c>
      <c r="C2490" t="s">
        <v>6478</v>
      </c>
      <c r="D2490" t="s">
        <v>8930</v>
      </c>
      <c r="E2490" t="s">
        <v>6417</v>
      </c>
      <c r="F2490" t="s">
        <v>1040</v>
      </c>
      <c r="G2490" s="1">
        <v>45658</v>
      </c>
      <c r="H2490" s="1">
        <v>46532</v>
      </c>
      <c r="I2490" t="s">
        <v>665</v>
      </c>
      <c r="J2490" t="s">
        <v>6418</v>
      </c>
      <c r="K2490" t="s">
        <v>958</v>
      </c>
      <c r="L2490" t="s">
        <v>6419</v>
      </c>
      <c r="M2490" t="s">
        <v>8999</v>
      </c>
      <c r="N2490" t="s">
        <v>9000</v>
      </c>
      <c r="O2490" t="s">
        <v>6446</v>
      </c>
      <c r="P2490" t="s">
        <v>6447</v>
      </c>
      <c r="Q2490" t="s">
        <v>8918</v>
      </c>
      <c r="R2490" t="s">
        <v>8919</v>
      </c>
      <c r="S2490" t="s">
        <v>8931</v>
      </c>
      <c r="T2490" t="s">
        <v>550</v>
      </c>
      <c r="U2490" t="s">
        <v>550</v>
      </c>
      <c r="V2490" t="s">
        <v>9001</v>
      </c>
      <c r="W2490" t="s">
        <v>6450</v>
      </c>
      <c r="X2490" t="s">
        <v>6468</v>
      </c>
      <c r="Z2490" t="s">
        <v>8998</v>
      </c>
    </row>
    <row r="2491" spans="1:26" x14ac:dyDescent="0.3">
      <c r="A2491" t="s">
        <v>330</v>
      </c>
      <c r="B2491" t="s">
        <v>9002</v>
      </c>
      <c r="C2491" t="s">
        <v>9003</v>
      </c>
      <c r="D2491" t="s">
        <v>8926</v>
      </c>
      <c r="E2491" t="s">
        <v>6417</v>
      </c>
      <c r="F2491" t="s">
        <v>1040</v>
      </c>
      <c r="G2491" s="1">
        <v>46023</v>
      </c>
      <c r="H2491" s="1">
        <v>46040</v>
      </c>
      <c r="I2491" t="s">
        <v>551</v>
      </c>
      <c r="J2491" t="s">
        <v>6418</v>
      </c>
      <c r="K2491" t="s">
        <v>958</v>
      </c>
      <c r="L2491" t="s">
        <v>6419</v>
      </c>
      <c r="M2491" t="s">
        <v>6553</v>
      </c>
      <c r="N2491" t="s">
        <v>6554</v>
      </c>
      <c r="O2491" t="s">
        <v>6446</v>
      </c>
      <c r="P2491" t="s">
        <v>6447</v>
      </c>
      <c r="Q2491" t="s">
        <v>8918</v>
      </c>
      <c r="R2491" t="s">
        <v>8919</v>
      </c>
      <c r="S2491" t="s">
        <v>8927</v>
      </c>
      <c r="T2491" t="s">
        <v>550</v>
      </c>
      <c r="U2491" t="s">
        <v>550</v>
      </c>
      <c r="V2491" t="s">
        <v>9004</v>
      </c>
      <c r="W2491" t="s">
        <v>6450</v>
      </c>
      <c r="X2491" t="s">
        <v>6468</v>
      </c>
      <c r="Z2491" t="s">
        <v>9002</v>
      </c>
    </row>
    <row r="2492" spans="1:26" x14ac:dyDescent="0.3">
      <c r="A2492" t="s">
        <v>330</v>
      </c>
      <c r="B2492" t="s">
        <v>9005</v>
      </c>
      <c r="C2492" t="s">
        <v>6557</v>
      </c>
      <c r="D2492" t="s">
        <v>8930</v>
      </c>
      <c r="E2492" t="s">
        <v>6417</v>
      </c>
      <c r="F2492" t="s">
        <v>1040</v>
      </c>
      <c r="G2492" s="1">
        <v>45658</v>
      </c>
      <c r="H2492" s="1">
        <v>46524</v>
      </c>
      <c r="I2492" t="s">
        <v>665</v>
      </c>
      <c r="J2492" t="s">
        <v>6418</v>
      </c>
      <c r="K2492" t="s">
        <v>958</v>
      </c>
      <c r="L2492" t="s">
        <v>6419</v>
      </c>
      <c r="M2492" t="s">
        <v>6553</v>
      </c>
      <c r="N2492" t="s">
        <v>6554</v>
      </c>
      <c r="O2492" t="s">
        <v>6446</v>
      </c>
      <c r="P2492" t="s">
        <v>6447</v>
      </c>
      <c r="Q2492" t="s">
        <v>8918</v>
      </c>
      <c r="R2492" t="s">
        <v>8919</v>
      </c>
      <c r="S2492" t="s">
        <v>8931</v>
      </c>
      <c r="T2492" t="s">
        <v>550</v>
      </c>
      <c r="U2492" t="s">
        <v>550</v>
      </c>
      <c r="V2492" t="s">
        <v>9006</v>
      </c>
      <c r="W2492" t="s">
        <v>6450</v>
      </c>
      <c r="X2492" t="s">
        <v>6468</v>
      </c>
      <c r="Z2492" t="s">
        <v>9005</v>
      </c>
    </row>
    <row r="2493" spans="1:26" x14ac:dyDescent="0.3">
      <c r="A2493" t="s">
        <v>330</v>
      </c>
      <c r="B2493" t="s">
        <v>9007</v>
      </c>
      <c r="C2493" t="s">
        <v>9003</v>
      </c>
      <c r="D2493" t="s">
        <v>8930</v>
      </c>
      <c r="E2493" t="s">
        <v>6417</v>
      </c>
      <c r="F2493" t="s">
        <v>1040</v>
      </c>
      <c r="G2493" s="1">
        <v>45658</v>
      </c>
      <c r="H2493" s="1">
        <v>45670</v>
      </c>
      <c r="I2493" t="s">
        <v>665</v>
      </c>
      <c r="J2493" t="s">
        <v>6418</v>
      </c>
      <c r="K2493" t="s">
        <v>958</v>
      </c>
      <c r="L2493" t="s">
        <v>6419</v>
      </c>
      <c r="M2493" t="s">
        <v>6553</v>
      </c>
      <c r="N2493" t="s">
        <v>6554</v>
      </c>
      <c r="O2493" t="s">
        <v>6446</v>
      </c>
      <c r="P2493" t="s">
        <v>6447</v>
      </c>
      <c r="Q2493" t="s">
        <v>8918</v>
      </c>
      <c r="R2493" t="s">
        <v>8919</v>
      </c>
      <c r="S2493" t="s">
        <v>8931</v>
      </c>
      <c r="T2493" t="s">
        <v>550</v>
      </c>
      <c r="U2493" t="s">
        <v>550</v>
      </c>
      <c r="V2493" t="s">
        <v>9008</v>
      </c>
      <c r="W2493" t="s">
        <v>6450</v>
      </c>
      <c r="X2493" t="s">
        <v>6468</v>
      </c>
      <c r="Z2493" t="s">
        <v>9007</v>
      </c>
    </row>
    <row r="2494" spans="1:26" x14ac:dyDescent="0.3">
      <c r="A2494" t="s">
        <v>330</v>
      </c>
      <c r="B2494" t="s">
        <v>9009</v>
      </c>
      <c r="C2494" t="s">
        <v>9010</v>
      </c>
      <c r="D2494" t="s">
        <v>8930</v>
      </c>
      <c r="E2494" t="s">
        <v>6417</v>
      </c>
      <c r="F2494" t="s">
        <v>1040</v>
      </c>
      <c r="G2494" s="1">
        <v>45658</v>
      </c>
      <c r="H2494" s="1">
        <v>45695</v>
      </c>
      <c r="I2494" t="s">
        <v>665</v>
      </c>
      <c r="J2494" t="s">
        <v>6418</v>
      </c>
      <c r="K2494" t="s">
        <v>958</v>
      </c>
      <c r="L2494" t="s">
        <v>6419</v>
      </c>
      <c r="M2494" t="s">
        <v>9011</v>
      </c>
      <c r="N2494" t="s">
        <v>9012</v>
      </c>
      <c r="O2494" t="s">
        <v>6446</v>
      </c>
      <c r="P2494" t="s">
        <v>6447</v>
      </c>
      <c r="Q2494" t="s">
        <v>8918</v>
      </c>
      <c r="R2494" t="s">
        <v>8919</v>
      </c>
      <c r="S2494" t="s">
        <v>8931</v>
      </c>
      <c r="T2494" t="s">
        <v>550</v>
      </c>
      <c r="U2494" t="s">
        <v>550</v>
      </c>
      <c r="V2494" t="s">
        <v>9013</v>
      </c>
      <c r="W2494" t="s">
        <v>6450</v>
      </c>
      <c r="X2494" t="s">
        <v>6468</v>
      </c>
      <c r="Z2494" t="s">
        <v>9009</v>
      </c>
    </row>
    <row r="2495" spans="1:26" x14ac:dyDescent="0.3">
      <c r="A2495" t="s">
        <v>330</v>
      </c>
      <c r="B2495" t="s">
        <v>9014</v>
      </c>
      <c r="C2495" t="s">
        <v>9015</v>
      </c>
      <c r="D2495" t="s">
        <v>8930</v>
      </c>
      <c r="E2495" t="s">
        <v>6417</v>
      </c>
      <c r="F2495" t="s">
        <v>1040</v>
      </c>
      <c r="G2495" s="1">
        <v>45658</v>
      </c>
      <c r="H2495" s="1">
        <v>46312</v>
      </c>
      <c r="I2495" t="s">
        <v>665</v>
      </c>
      <c r="J2495" t="s">
        <v>6418</v>
      </c>
      <c r="K2495" t="s">
        <v>958</v>
      </c>
      <c r="L2495" t="s">
        <v>6419</v>
      </c>
      <c r="M2495" t="s">
        <v>9011</v>
      </c>
      <c r="N2495" t="s">
        <v>9012</v>
      </c>
      <c r="O2495" t="s">
        <v>6446</v>
      </c>
      <c r="P2495" t="s">
        <v>6447</v>
      </c>
      <c r="Q2495" t="s">
        <v>8918</v>
      </c>
      <c r="R2495" t="s">
        <v>8919</v>
      </c>
      <c r="S2495" t="s">
        <v>8931</v>
      </c>
      <c r="T2495" t="s">
        <v>550</v>
      </c>
      <c r="U2495" t="s">
        <v>550</v>
      </c>
      <c r="V2495" t="s">
        <v>9016</v>
      </c>
      <c r="W2495" t="s">
        <v>6450</v>
      </c>
      <c r="X2495" t="s">
        <v>6468</v>
      </c>
      <c r="Z2495" t="s">
        <v>9014</v>
      </c>
    </row>
    <row r="2496" spans="1:26" x14ac:dyDescent="0.3">
      <c r="A2496" t="s">
        <v>330</v>
      </c>
      <c r="B2496" t="s">
        <v>9017</v>
      </c>
      <c r="C2496" t="s">
        <v>7007</v>
      </c>
      <c r="D2496" t="s">
        <v>8926</v>
      </c>
      <c r="E2496" t="s">
        <v>6417</v>
      </c>
      <c r="F2496" t="s">
        <v>1040</v>
      </c>
      <c r="G2496" s="1">
        <v>46023</v>
      </c>
      <c r="H2496" s="1">
        <v>46060</v>
      </c>
      <c r="I2496" t="s">
        <v>551</v>
      </c>
      <c r="J2496" t="s">
        <v>6418</v>
      </c>
      <c r="K2496" t="s">
        <v>958</v>
      </c>
      <c r="L2496" t="s">
        <v>6419</v>
      </c>
      <c r="M2496" t="s">
        <v>9011</v>
      </c>
      <c r="N2496" t="s">
        <v>9012</v>
      </c>
      <c r="O2496" t="s">
        <v>6446</v>
      </c>
      <c r="P2496" t="s">
        <v>6447</v>
      </c>
      <c r="Q2496" t="s">
        <v>8918</v>
      </c>
      <c r="R2496" t="s">
        <v>8919</v>
      </c>
      <c r="S2496" t="s">
        <v>8927</v>
      </c>
      <c r="T2496" t="s">
        <v>550</v>
      </c>
      <c r="U2496" t="s">
        <v>550</v>
      </c>
      <c r="V2496" t="s">
        <v>9018</v>
      </c>
      <c r="W2496" t="s">
        <v>6450</v>
      </c>
      <c r="X2496" t="s">
        <v>6468</v>
      </c>
      <c r="Z2496" t="s">
        <v>9017</v>
      </c>
    </row>
    <row r="2497" spans="1:26" x14ac:dyDescent="0.3">
      <c r="A2497" t="s">
        <v>330</v>
      </c>
      <c r="B2497" t="s">
        <v>9019</v>
      </c>
      <c r="C2497" t="s">
        <v>9020</v>
      </c>
      <c r="D2497" t="s">
        <v>8926</v>
      </c>
      <c r="E2497" t="s">
        <v>6417</v>
      </c>
      <c r="F2497" t="s">
        <v>1040</v>
      </c>
      <c r="G2497" s="1">
        <v>46023</v>
      </c>
      <c r="H2497" s="1">
        <v>46778</v>
      </c>
      <c r="I2497" t="s">
        <v>551</v>
      </c>
      <c r="J2497" t="s">
        <v>6418</v>
      </c>
      <c r="K2497" t="s">
        <v>958</v>
      </c>
      <c r="L2497" t="s">
        <v>6419</v>
      </c>
      <c r="M2497" t="s">
        <v>9011</v>
      </c>
      <c r="N2497" t="s">
        <v>9012</v>
      </c>
      <c r="O2497" t="s">
        <v>6446</v>
      </c>
      <c r="P2497" t="s">
        <v>6447</v>
      </c>
      <c r="Q2497" t="s">
        <v>8918</v>
      </c>
      <c r="R2497" t="s">
        <v>8919</v>
      </c>
      <c r="S2497" t="s">
        <v>8927</v>
      </c>
      <c r="T2497" t="s">
        <v>550</v>
      </c>
      <c r="U2497" t="s">
        <v>550</v>
      </c>
      <c r="V2497" t="s">
        <v>9021</v>
      </c>
      <c r="W2497" t="s">
        <v>6450</v>
      </c>
      <c r="X2497" t="s">
        <v>6468</v>
      </c>
      <c r="Z2497" t="s">
        <v>9019</v>
      </c>
    </row>
    <row r="2498" spans="1:26" x14ac:dyDescent="0.3">
      <c r="A2498" t="s">
        <v>330</v>
      </c>
      <c r="B2498" t="s">
        <v>9022</v>
      </c>
      <c r="C2498" t="s">
        <v>6557</v>
      </c>
      <c r="D2498" t="s">
        <v>8926</v>
      </c>
      <c r="E2498" t="s">
        <v>6417</v>
      </c>
      <c r="F2498" t="s">
        <v>1040</v>
      </c>
      <c r="G2498" s="1">
        <v>46023</v>
      </c>
      <c r="H2498" s="1">
        <v>46953</v>
      </c>
      <c r="I2498" t="s">
        <v>551</v>
      </c>
      <c r="J2498" t="s">
        <v>6418</v>
      </c>
      <c r="K2498" t="s">
        <v>958</v>
      </c>
      <c r="L2498" t="s">
        <v>6419</v>
      </c>
      <c r="M2498" t="s">
        <v>6553</v>
      </c>
      <c r="N2498" t="s">
        <v>6554</v>
      </c>
      <c r="O2498" t="s">
        <v>6446</v>
      </c>
      <c r="P2498" t="s">
        <v>6447</v>
      </c>
      <c r="Q2498" t="s">
        <v>8918</v>
      </c>
      <c r="R2498" t="s">
        <v>8919</v>
      </c>
      <c r="S2498" t="s">
        <v>8927</v>
      </c>
      <c r="T2498" t="s">
        <v>550</v>
      </c>
      <c r="U2498" t="s">
        <v>550</v>
      </c>
      <c r="V2498" t="s">
        <v>9023</v>
      </c>
      <c r="W2498" t="s">
        <v>6450</v>
      </c>
      <c r="X2498" t="s">
        <v>6468</v>
      </c>
      <c r="Z2498" t="s">
        <v>9022</v>
      </c>
    </row>
    <row r="2499" spans="1:26" x14ac:dyDescent="0.3">
      <c r="A2499" t="s">
        <v>330</v>
      </c>
      <c r="B2499" t="s">
        <v>9024</v>
      </c>
      <c r="C2499" t="s">
        <v>6442</v>
      </c>
      <c r="D2499" t="s">
        <v>8930</v>
      </c>
      <c r="E2499" t="s">
        <v>6417</v>
      </c>
      <c r="F2499" t="s">
        <v>1040</v>
      </c>
      <c r="G2499" s="1">
        <v>45658</v>
      </c>
      <c r="H2499" s="1">
        <v>46232</v>
      </c>
      <c r="I2499" t="s">
        <v>665</v>
      </c>
      <c r="J2499" t="s">
        <v>6418</v>
      </c>
      <c r="K2499" t="s">
        <v>958</v>
      </c>
      <c r="L2499" t="s">
        <v>6419</v>
      </c>
      <c r="M2499" t="s">
        <v>6444</v>
      </c>
      <c r="N2499" t="s">
        <v>6445</v>
      </c>
      <c r="O2499" t="s">
        <v>6446</v>
      </c>
      <c r="P2499" t="s">
        <v>6447</v>
      </c>
      <c r="Q2499" t="s">
        <v>8918</v>
      </c>
      <c r="R2499" t="s">
        <v>8919</v>
      </c>
      <c r="S2499" t="s">
        <v>8931</v>
      </c>
      <c r="T2499" t="s">
        <v>550</v>
      </c>
      <c r="U2499" t="s">
        <v>550</v>
      </c>
      <c r="V2499" t="s">
        <v>9025</v>
      </c>
      <c r="W2499" t="s">
        <v>6450</v>
      </c>
      <c r="X2499" t="s">
        <v>6468</v>
      </c>
      <c r="Z2499" t="s">
        <v>9024</v>
      </c>
    </row>
    <row r="2500" spans="1:26" x14ac:dyDescent="0.3">
      <c r="A2500" t="s">
        <v>330</v>
      </c>
      <c r="B2500" t="s">
        <v>9026</v>
      </c>
      <c r="C2500" t="s">
        <v>9027</v>
      </c>
      <c r="D2500" t="s">
        <v>8930</v>
      </c>
      <c r="E2500" t="s">
        <v>6417</v>
      </c>
      <c r="F2500" t="s">
        <v>1040</v>
      </c>
      <c r="G2500" s="1">
        <v>45658</v>
      </c>
      <c r="H2500" s="1">
        <v>46411</v>
      </c>
      <c r="I2500" t="s">
        <v>665</v>
      </c>
      <c r="J2500" t="s">
        <v>6418</v>
      </c>
      <c r="K2500" t="s">
        <v>958</v>
      </c>
      <c r="L2500" t="s">
        <v>6419</v>
      </c>
      <c r="M2500" t="s">
        <v>6536</v>
      </c>
      <c r="N2500" t="s">
        <v>6537</v>
      </c>
      <c r="O2500" t="s">
        <v>6446</v>
      </c>
      <c r="P2500" t="s">
        <v>6447</v>
      </c>
      <c r="Q2500" t="s">
        <v>8918</v>
      </c>
      <c r="R2500" t="s">
        <v>8919</v>
      </c>
      <c r="S2500" t="s">
        <v>8931</v>
      </c>
      <c r="T2500" t="s">
        <v>550</v>
      </c>
      <c r="U2500" t="s">
        <v>550</v>
      </c>
      <c r="V2500" t="s">
        <v>9028</v>
      </c>
      <c r="W2500" t="s">
        <v>6450</v>
      </c>
      <c r="X2500" t="s">
        <v>6468</v>
      </c>
      <c r="Z2500" t="s">
        <v>9026</v>
      </c>
    </row>
    <row r="2501" spans="1:26" x14ac:dyDescent="0.3">
      <c r="A2501" t="s">
        <v>330</v>
      </c>
      <c r="B2501" t="s">
        <v>9029</v>
      </c>
      <c r="C2501" t="s">
        <v>9030</v>
      </c>
      <c r="D2501" t="s">
        <v>8930</v>
      </c>
      <c r="E2501" t="s">
        <v>6417</v>
      </c>
      <c r="F2501" t="s">
        <v>1040</v>
      </c>
      <c r="G2501" s="1">
        <v>45658</v>
      </c>
      <c r="H2501" s="1">
        <v>45695</v>
      </c>
      <c r="I2501" t="s">
        <v>665</v>
      </c>
      <c r="J2501" t="s">
        <v>6418</v>
      </c>
      <c r="K2501" t="s">
        <v>958</v>
      </c>
      <c r="L2501" t="s">
        <v>6419</v>
      </c>
      <c r="M2501" t="s">
        <v>6536</v>
      </c>
      <c r="N2501" t="s">
        <v>6537</v>
      </c>
      <c r="O2501" t="s">
        <v>6446</v>
      </c>
      <c r="P2501" t="s">
        <v>6447</v>
      </c>
      <c r="Q2501" t="s">
        <v>8918</v>
      </c>
      <c r="R2501" t="s">
        <v>8919</v>
      </c>
      <c r="S2501" t="s">
        <v>8931</v>
      </c>
      <c r="T2501" t="s">
        <v>550</v>
      </c>
      <c r="U2501" t="s">
        <v>550</v>
      </c>
      <c r="V2501" t="s">
        <v>9031</v>
      </c>
      <c r="W2501" t="s">
        <v>6450</v>
      </c>
      <c r="X2501" t="s">
        <v>6468</v>
      </c>
      <c r="Z2501" t="s">
        <v>9029</v>
      </c>
    </row>
    <row r="2502" spans="1:26" x14ac:dyDescent="0.3">
      <c r="A2502" t="s">
        <v>330</v>
      </c>
      <c r="B2502" t="s">
        <v>9032</v>
      </c>
      <c r="C2502" t="s">
        <v>9033</v>
      </c>
      <c r="D2502" t="s">
        <v>8926</v>
      </c>
      <c r="E2502" t="s">
        <v>6417</v>
      </c>
      <c r="F2502" t="s">
        <v>1040</v>
      </c>
      <c r="G2502" s="1">
        <v>46023</v>
      </c>
      <c r="H2502" s="1">
        <v>46974</v>
      </c>
      <c r="I2502" t="s">
        <v>551</v>
      </c>
      <c r="J2502" t="s">
        <v>6418</v>
      </c>
      <c r="K2502" t="s">
        <v>958</v>
      </c>
      <c r="L2502" t="s">
        <v>6419</v>
      </c>
      <c r="M2502" t="s">
        <v>6503</v>
      </c>
      <c r="N2502" t="s">
        <v>6504</v>
      </c>
      <c r="O2502" t="s">
        <v>6446</v>
      </c>
      <c r="P2502" t="s">
        <v>6447</v>
      </c>
      <c r="Q2502" t="s">
        <v>8918</v>
      </c>
      <c r="R2502" t="s">
        <v>8919</v>
      </c>
      <c r="S2502" t="s">
        <v>8927</v>
      </c>
      <c r="T2502" t="s">
        <v>550</v>
      </c>
      <c r="U2502" t="s">
        <v>550</v>
      </c>
      <c r="V2502" t="s">
        <v>9034</v>
      </c>
      <c r="W2502" t="s">
        <v>6450</v>
      </c>
      <c r="X2502" t="s">
        <v>6468</v>
      </c>
      <c r="Z2502" t="s">
        <v>9032</v>
      </c>
    </row>
    <row r="2503" spans="1:26" x14ac:dyDescent="0.3">
      <c r="A2503" t="s">
        <v>330</v>
      </c>
      <c r="B2503" t="s">
        <v>9035</v>
      </c>
      <c r="C2503" t="s">
        <v>9036</v>
      </c>
      <c r="D2503" t="s">
        <v>8773</v>
      </c>
      <c r="E2503" t="s">
        <v>7108</v>
      </c>
      <c r="F2503" t="s">
        <v>1333</v>
      </c>
      <c r="G2503" s="1">
        <v>45658</v>
      </c>
      <c r="H2503" s="1">
        <v>45670</v>
      </c>
      <c r="I2503" t="s">
        <v>665</v>
      </c>
      <c r="J2503" t="s">
        <v>7109</v>
      </c>
      <c r="K2503" t="s">
        <v>24</v>
      </c>
      <c r="L2503" t="s">
        <v>7624</v>
      </c>
      <c r="M2503" t="s">
        <v>843</v>
      </c>
      <c r="N2503" t="s">
        <v>319</v>
      </c>
      <c r="O2503" t="s">
        <v>810</v>
      </c>
      <c r="P2503" t="s">
        <v>811</v>
      </c>
      <c r="Q2503" t="s">
        <v>8918</v>
      </c>
      <c r="R2503" t="s">
        <v>8919</v>
      </c>
      <c r="S2503" t="s">
        <v>7208</v>
      </c>
      <c r="T2503" t="s">
        <v>550</v>
      </c>
      <c r="U2503" t="s">
        <v>550</v>
      </c>
      <c r="V2503" t="s">
        <v>9037</v>
      </c>
      <c r="W2503" t="s">
        <v>813</v>
      </c>
      <c r="Z2503" t="s">
        <v>9035</v>
      </c>
    </row>
    <row r="2504" spans="1:26" x14ac:dyDescent="0.3">
      <c r="A2504" t="s">
        <v>330</v>
      </c>
      <c r="B2504" t="s">
        <v>8758</v>
      </c>
      <c r="C2504" t="s">
        <v>9038</v>
      </c>
      <c r="D2504" t="s">
        <v>550</v>
      </c>
      <c r="E2504" t="s">
        <v>8575</v>
      </c>
      <c r="F2504" t="s">
        <v>1897</v>
      </c>
      <c r="G2504" s="1">
        <v>45628</v>
      </c>
      <c r="H2504" s="1">
        <v>45628</v>
      </c>
      <c r="I2504" t="s">
        <v>551</v>
      </c>
      <c r="J2504" t="s">
        <v>8387</v>
      </c>
      <c r="K2504" t="s">
        <v>4782</v>
      </c>
      <c r="L2504" t="s">
        <v>842</v>
      </c>
      <c r="M2504" t="s">
        <v>843</v>
      </c>
      <c r="N2504" t="s">
        <v>319</v>
      </c>
      <c r="O2504" t="s">
        <v>810</v>
      </c>
      <c r="P2504" t="s">
        <v>811</v>
      </c>
      <c r="Q2504" t="s">
        <v>8918</v>
      </c>
      <c r="R2504" t="s">
        <v>8919</v>
      </c>
      <c r="S2504" t="s">
        <v>803</v>
      </c>
      <c r="T2504" t="s">
        <v>550</v>
      </c>
      <c r="U2504" t="s">
        <v>550</v>
      </c>
      <c r="V2504" t="s">
        <v>9039</v>
      </c>
      <c r="W2504" t="s">
        <v>813</v>
      </c>
      <c r="Z2504" t="s">
        <v>8758</v>
      </c>
    </row>
    <row r="2505" spans="1:26" x14ac:dyDescent="0.3">
      <c r="A2505" t="s">
        <v>330</v>
      </c>
      <c r="B2505" t="s">
        <v>8762</v>
      </c>
      <c r="C2505" t="s">
        <v>9040</v>
      </c>
      <c r="D2505" t="s">
        <v>550</v>
      </c>
      <c r="E2505" t="s">
        <v>8507</v>
      </c>
      <c r="F2505" t="s">
        <v>2826</v>
      </c>
      <c r="G2505" s="1">
        <v>45383</v>
      </c>
      <c r="H2505" s="1">
        <v>45383</v>
      </c>
      <c r="I2505" t="s">
        <v>551</v>
      </c>
      <c r="J2505" t="s">
        <v>7185</v>
      </c>
      <c r="K2505" t="s">
        <v>24</v>
      </c>
      <c r="L2505" t="s">
        <v>7624</v>
      </c>
      <c r="M2505" t="s">
        <v>843</v>
      </c>
      <c r="N2505" t="s">
        <v>319</v>
      </c>
      <c r="O2505" t="s">
        <v>810</v>
      </c>
      <c r="P2505" t="s">
        <v>811</v>
      </c>
      <c r="Q2505" t="s">
        <v>8918</v>
      </c>
      <c r="R2505" t="s">
        <v>8919</v>
      </c>
      <c r="S2505" t="s">
        <v>803</v>
      </c>
      <c r="T2505" t="s">
        <v>550</v>
      </c>
      <c r="U2505" t="s">
        <v>550</v>
      </c>
      <c r="V2505" t="s">
        <v>9041</v>
      </c>
      <c r="W2505" t="s">
        <v>813</v>
      </c>
      <c r="Z2505" t="s">
        <v>8762</v>
      </c>
    </row>
    <row r="2506" spans="1:26" x14ac:dyDescent="0.3">
      <c r="A2506" t="s">
        <v>330</v>
      </c>
      <c r="B2506" t="s">
        <v>9042</v>
      </c>
      <c r="C2506" t="s">
        <v>9043</v>
      </c>
      <c r="D2506" t="s">
        <v>8762</v>
      </c>
      <c r="E2506" t="s">
        <v>8507</v>
      </c>
      <c r="F2506" t="s">
        <v>2826</v>
      </c>
      <c r="G2506" s="1">
        <v>45658</v>
      </c>
      <c r="H2506" s="1">
        <v>45678</v>
      </c>
      <c r="I2506" t="s">
        <v>665</v>
      </c>
      <c r="J2506" t="s">
        <v>7185</v>
      </c>
      <c r="K2506" t="s">
        <v>958</v>
      </c>
      <c r="L2506" t="s">
        <v>7624</v>
      </c>
      <c r="M2506" t="s">
        <v>843</v>
      </c>
      <c r="N2506" t="s">
        <v>319</v>
      </c>
      <c r="O2506" t="s">
        <v>810</v>
      </c>
      <c r="P2506" t="s">
        <v>811</v>
      </c>
      <c r="Q2506" t="s">
        <v>8918</v>
      </c>
      <c r="R2506" t="s">
        <v>8919</v>
      </c>
      <c r="S2506" t="s">
        <v>7208</v>
      </c>
      <c r="T2506" t="s">
        <v>550</v>
      </c>
      <c r="U2506" t="s">
        <v>550</v>
      </c>
      <c r="V2506" t="s">
        <v>9044</v>
      </c>
      <c r="W2506" t="s">
        <v>813</v>
      </c>
      <c r="Z2506" t="s">
        <v>9042</v>
      </c>
    </row>
    <row r="2507" spans="1:26" x14ac:dyDescent="0.3">
      <c r="A2507" t="s">
        <v>330</v>
      </c>
      <c r="B2507" t="s">
        <v>9045</v>
      </c>
      <c r="C2507" t="s">
        <v>9046</v>
      </c>
      <c r="D2507" t="s">
        <v>8762</v>
      </c>
      <c r="E2507" t="s">
        <v>8507</v>
      </c>
      <c r="F2507" t="s">
        <v>2826</v>
      </c>
      <c r="G2507" s="1">
        <v>46023</v>
      </c>
      <c r="H2507" s="1">
        <v>46079</v>
      </c>
      <c r="I2507" t="s">
        <v>551</v>
      </c>
      <c r="J2507" t="s">
        <v>7185</v>
      </c>
      <c r="K2507" t="s">
        <v>958</v>
      </c>
      <c r="L2507" t="s">
        <v>7624</v>
      </c>
      <c r="M2507" t="s">
        <v>843</v>
      </c>
      <c r="N2507" t="s">
        <v>319</v>
      </c>
      <c r="O2507" t="s">
        <v>810</v>
      </c>
      <c r="P2507" t="s">
        <v>811</v>
      </c>
      <c r="Q2507" t="s">
        <v>8918</v>
      </c>
      <c r="R2507" t="s">
        <v>8919</v>
      </c>
      <c r="S2507" t="s">
        <v>803</v>
      </c>
      <c r="T2507" t="s">
        <v>550</v>
      </c>
      <c r="U2507" t="s">
        <v>550</v>
      </c>
      <c r="V2507" t="s">
        <v>9047</v>
      </c>
      <c r="W2507" t="s">
        <v>813</v>
      </c>
      <c r="Z2507" t="s">
        <v>9045</v>
      </c>
    </row>
    <row r="2508" spans="1:26" x14ac:dyDescent="0.3">
      <c r="A2508" t="s">
        <v>330</v>
      </c>
      <c r="B2508" t="s">
        <v>9048</v>
      </c>
      <c r="C2508" t="s">
        <v>9049</v>
      </c>
      <c r="D2508" t="s">
        <v>9050</v>
      </c>
      <c r="E2508" t="s">
        <v>9051</v>
      </c>
      <c r="F2508" t="s">
        <v>2051</v>
      </c>
      <c r="G2508" s="1">
        <v>45658</v>
      </c>
      <c r="H2508" s="1">
        <v>45811</v>
      </c>
      <c r="I2508" t="s">
        <v>665</v>
      </c>
      <c r="J2508" t="s">
        <v>8336</v>
      </c>
      <c r="K2508" t="s">
        <v>862</v>
      </c>
      <c r="L2508" t="s">
        <v>842</v>
      </c>
      <c r="M2508" t="s">
        <v>843</v>
      </c>
      <c r="N2508" t="s">
        <v>319</v>
      </c>
      <c r="O2508" t="s">
        <v>810</v>
      </c>
      <c r="P2508" t="s">
        <v>811</v>
      </c>
      <c r="Q2508" t="s">
        <v>8918</v>
      </c>
      <c r="R2508" t="s">
        <v>8919</v>
      </c>
      <c r="S2508" t="s">
        <v>7208</v>
      </c>
      <c r="T2508" t="s">
        <v>847</v>
      </c>
      <c r="U2508" t="s">
        <v>550</v>
      </c>
      <c r="V2508" t="s">
        <v>9052</v>
      </c>
      <c r="W2508" t="s">
        <v>813</v>
      </c>
      <c r="Z2508" t="s">
        <v>9048</v>
      </c>
    </row>
    <row r="2509" spans="1:26" x14ac:dyDescent="0.3">
      <c r="A2509" t="s">
        <v>330</v>
      </c>
      <c r="B2509" t="s">
        <v>8773</v>
      </c>
      <c r="C2509" t="s">
        <v>9053</v>
      </c>
      <c r="D2509" t="s">
        <v>550</v>
      </c>
      <c r="E2509" t="s">
        <v>7108</v>
      </c>
      <c r="F2509" t="s">
        <v>1333</v>
      </c>
      <c r="G2509" s="1">
        <v>45628</v>
      </c>
      <c r="H2509" s="1">
        <v>45628</v>
      </c>
      <c r="I2509" t="s">
        <v>665</v>
      </c>
      <c r="J2509" t="s">
        <v>7109</v>
      </c>
      <c r="K2509" t="s">
        <v>24</v>
      </c>
      <c r="L2509" t="s">
        <v>7624</v>
      </c>
      <c r="M2509" t="s">
        <v>843</v>
      </c>
      <c r="N2509" t="s">
        <v>319</v>
      </c>
      <c r="O2509" t="s">
        <v>810</v>
      </c>
      <c r="P2509" t="s">
        <v>811</v>
      </c>
      <c r="Q2509" t="s">
        <v>8918</v>
      </c>
      <c r="R2509" t="s">
        <v>8919</v>
      </c>
      <c r="S2509" t="s">
        <v>803</v>
      </c>
      <c r="T2509" t="s">
        <v>550</v>
      </c>
      <c r="U2509" t="s">
        <v>550</v>
      </c>
      <c r="V2509" t="s">
        <v>9054</v>
      </c>
      <c r="W2509" t="s">
        <v>813</v>
      </c>
      <c r="Z2509" t="s">
        <v>8773</v>
      </c>
    </row>
    <row r="2510" spans="1:26" x14ac:dyDescent="0.3">
      <c r="A2510" t="s">
        <v>330</v>
      </c>
      <c r="B2510" t="s">
        <v>9055</v>
      </c>
      <c r="C2510" t="s">
        <v>9056</v>
      </c>
      <c r="D2510" t="s">
        <v>8386</v>
      </c>
      <c r="E2510" t="s">
        <v>8387</v>
      </c>
      <c r="F2510" t="s">
        <v>8388</v>
      </c>
      <c r="G2510" s="1">
        <v>45658</v>
      </c>
      <c r="H2510" s="1">
        <v>45662</v>
      </c>
      <c r="I2510" t="s">
        <v>665</v>
      </c>
      <c r="J2510" t="s">
        <v>878</v>
      </c>
      <c r="K2510" t="s">
        <v>24</v>
      </c>
      <c r="L2510" t="s">
        <v>7624</v>
      </c>
      <c r="M2510" t="s">
        <v>9057</v>
      </c>
      <c r="N2510" t="s">
        <v>9058</v>
      </c>
      <c r="O2510" t="s">
        <v>810</v>
      </c>
      <c r="P2510" t="s">
        <v>811</v>
      </c>
      <c r="Q2510" t="s">
        <v>8918</v>
      </c>
      <c r="R2510" t="s">
        <v>8919</v>
      </c>
      <c r="S2510" t="s">
        <v>803</v>
      </c>
      <c r="T2510" t="s">
        <v>550</v>
      </c>
      <c r="U2510" t="s">
        <v>550</v>
      </c>
      <c r="V2510" t="s">
        <v>9059</v>
      </c>
      <c r="W2510" t="s">
        <v>7194</v>
      </c>
      <c r="Z2510" t="s">
        <v>9055</v>
      </c>
    </row>
    <row r="2511" spans="1:26" x14ac:dyDescent="0.3">
      <c r="A2511" t="s">
        <v>330</v>
      </c>
      <c r="B2511" t="s">
        <v>9060</v>
      </c>
      <c r="C2511" t="s">
        <v>9061</v>
      </c>
      <c r="D2511" t="s">
        <v>7674</v>
      </c>
      <c r="E2511" t="s">
        <v>6417</v>
      </c>
      <c r="F2511" t="s">
        <v>1040</v>
      </c>
      <c r="G2511" s="1">
        <v>45658</v>
      </c>
      <c r="H2511" s="1">
        <v>45719</v>
      </c>
      <c r="I2511" t="s">
        <v>665</v>
      </c>
      <c r="J2511" t="s">
        <v>6418</v>
      </c>
      <c r="K2511" t="s">
        <v>958</v>
      </c>
      <c r="L2511" t="s">
        <v>6502</v>
      </c>
      <c r="M2511" t="s">
        <v>9057</v>
      </c>
      <c r="N2511" t="s">
        <v>9058</v>
      </c>
      <c r="O2511" t="s">
        <v>810</v>
      </c>
      <c r="P2511" t="s">
        <v>811</v>
      </c>
      <c r="Q2511" t="s">
        <v>8918</v>
      </c>
      <c r="R2511" t="s">
        <v>8919</v>
      </c>
      <c r="S2511" t="s">
        <v>7675</v>
      </c>
      <c r="T2511" t="s">
        <v>550</v>
      </c>
      <c r="U2511" t="s">
        <v>550</v>
      </c>
      <c r="V2511" t="s">
        <v>9062</v>
      </c>
      <c r="W2511" t="s">
        <v>7194</v>
      </c>
      <c r="X2511" t="s">
        <v>8407</v>
      </c>
      <c r="Z2511" t="s">
        <v>9060</v>
      </c>
    </row>
    <row r="2512" spans="1:26" x14ac:dyDescent="0.3">
      <c r="A2512" t="s">
        <v>330</v>
      </c>
      <c r="B2512" t="s">
        <v>9063</v>
      </c>
      <c r="C2512" t="s">
        <v>7469</v>
      </c>
      <c r="D2512" t="s">
        <v>9064</v>
      </c>
      <c r="E2512" t="s">
        <v>6417</v>
      </c>
      <c r="F2512" t="s">
        <v>1040</v>
      </c>
      <c r="G2512" s="1">
        <v>45658</v>
      </c>
      <c r="H2512" s="1">
        <v>45742</v>
      </c>
      <c r="I2512" t="s">
        <v>665</v>
      </c>
      <c r="J2512" t="s">
        <v>6418</v>
      </c>
      <c r="K2512" t="s">
        <v>958</v>
      </c>
      <c r="L2512" t="s">
        <v>6419</v>
      </c>
      <c r="M2512" t="s">
        <v>9057</v>
      </c>
      <c r="N2512" t="s">
        <v>9058</v>
      </c>
      <c r="O2512" t="s">
        <v>810</v>
      </c>
      <c r="P2512" t="s">
        <v>811</v>
      </c>
      <c r="Q2512" t="s">
        <v>8918</v>
      </c>
      <c r="R2512" t="s">
        <v>8919</v>
      </c>
      <c r="S2512" t="s">
        <v>9065</v>
      </c>
      <c r="T2512" t="s">
        <v>550</v>
      </c>
      <c r="U2512" t="s">
        <v>550</v>
      </c>
      <c r="V2512" t="s">
        <v>9066</v>
      </c>
      <c r="W2512" t="s">
        <v>7194</v>
      </c>
      <c r="X2512" t="s">
        <v>8348</v>
      </c>
      <c r="Z2512" t="s">
        <v>9063</v>
      </c>
    </row>
    <row r="2513" spans="1:26" x14ac:dyDescent="0.3">
      <c r="A2513" t="s">
        <v>330</v>
      </c>
      <c r="B2513" t="s">
        <v>9067</v>
      </c>
      <c r="C2513" t="s">
        <v>7473</v>
      </c>
      <c r="D2513" t="s">
        <v>9064</v>
      </c>
      <c r="E2513" t="s">
        <v>6417</v>
      </c>
      <c r="F2513" t="s">
        <v>1040</v>
      </c>
      <c r="G2513" s="1">
        <v>45658</v>
      </c>
      <c r="H2513" s="1">
        <v>46020</v>
      </c>
      <c r="I2513" t="s">
        <v>665</v>
      </c>
      <c r="J2513" t="s">
        <v>6418</v>
      </c>
      <c r="K2513" t="s">
        <v>958</v>
      </c>
      <c r="L2513" t="s">
        <v>6419</v>
      </c>
      <c r="M2513" t="s">
        <v>9057</v>
      </c>
      <c r="N2513" t="s">
        <v>9058</v>
      </c>
      <c r="O2513" t="s">
        <v>810</v>
      </c>
      <c r="P2513" t="s">
        <v>811</v>
      </c>
      <c r="Q2513" t="s">
        <v>8918</v>
      </c>
      <c r="R2513" t="s">
        <v>8919</v>
      </c>
      <c r="S2513" t="s">
        <v>9065</v>
      </c>
      <c r="T2513" t="s">
        <v>550</v>
      </c>
      <c r="U2513" t="s">
        <v>550</v>
      </c>
      <c r="V2513" t="s">
        <v>9068</v>
      </c>
      <c r="W2513" t="s">
        <v>7194</v>
      </c>
      <c r="X2513" t="s">
        <v>8348</v>
      </c>
      <c r="Z2513" t="s">
        <v>9067</v>
      </c>
    </row>
    <row r="2514" spans="1:26" x14ac:dyDescent="0.3">
      <c r="A2514" t="s">
        <v>330</v>
      </c>
      <c r="B2514" t="s">
        <v>9069</v>
      </c>
      <c r="C2514" t="s">
        <v>7463</v>
      </c>
      <c r="D2514" t="s">
        <v>9064</v>
      </c>
      <c r="E2514" t="s">
        <v>6417</v>
      </c>
      <c r="F2514" t="s">
        <v>1040</v>
      </c>
      <c r="G2514" s="1">
        <v>45658</v>
      </c>
      <c r="H2514" s="1">
        <v>45795</v>
      </c>
      <c r="I2514" t="s">
        <v>665</v>
      </c>
      <c r="J2514" t="s">
        <v>6418</v>
      </c>
      <c r="K2514" t="s">
        <v>958</v>
      </c>
      <c r="L2514" t="s">
        <v>6419</v>
      </c>
      <c r="M2514" t="s">
        <v>9057</v>
      </c>
      <c r="N2514" t="s">
        <v>9058</v>
      </c>
      <c r="O2514" t="s">
        <v>810</v>
      </c>
      <c r="P2514" t="s">
        <v>811</v>
      </c>
      <c r="Q2514" t="s">
        <v>8918</v>
      </c>
      <c r="R2514" t="s">
        <v>8919</v>
      </c>
      <c r="S2514" t="s">
        <v>9065</v>
      </c>
      <c r="T2514" t="s">
        <v>550</v>
      </c>
      <c r="U2514" t="s">
        <v>550</v>
      </c>
      <c r="V2514" t="s">
        <v>9070</v>
      </c>
      <c r="W2514" t="s">
        <v>7194</v>
      </c>
      <c r="X2514" t="s">
        <v>8348</v>
      </c>
      <c r="Z2514" t="s">
        <v>9069</v>
      </c>
    </row>
    <row r="2515" spans="1:26" x14ac:dyDescent="0.3">
      <c r="A2515" t="s">
        <v>330</v>
      </c>
      <c r="B2515" t="s">
        <v>9071</v>
      </c>
      <c r="C2515" t="s">
        <v>9072</v>
      </c>
      <c r="D2515" t="s">
        <v>9073</v>
      </c>
      <c r="E2515" t="s">
        <v>6417</v>
      </c>
      <c r="F2515" t="s">
        <v>1040</v>
      </c>
      <c r="G2515" s="1">
        <v>46023</v>
      </c>
      <c r="H2515" s="1">
        <v>46107</v>
      </c>
      <c r="I2515" t="s">
        <v>551</v>
      </c>
      <c r="J2515" t="s">
        <v>6418</v>
      </c>
      <c r="K2515" t="s">
        <v>958</v>
      </c>
      <c r="L2515" t="s">
        <v>6419</v>
      </c>
      <c r="M2515" t="s">
        <v>9057</v>
      </c>
      <c r="N2515" t="s">
        <v>9058</v>
      </c>
      <c r="O2515" t="s">
        <v>810</v>
      </c>
      <c r="P2515" t="s">
        <v>811</v>
      </c>
      <c r="Q2515" t="s">
        <v>8918</v>
      </c>
      <c r="R2515" t="s">
        <v>8919</v>
      </c>
      <c r="S2515" t="s">
        <v>9074</v>
      </c>
      <c r="T2515" t="s">
        <v>550</v>
      </c>
      <c r="U2515" t="s">
        <v>550</v>
      </c>
      <c r="V2515" t="s">
        <v>9075</v>
      </c>
      <c r="W2515" t="s">
        <v>7194</v>
      </c>
      <c r="X2515" t="s">
        <v>8348</v>
      </c>
      <c r="Z2515" t="s">
        <v>9071</v>
      </c>
    </row>
    <row r="2516" spans="1:26" x14ac:dyDescent="0.3">
      <c r="A2516" t="s">
        <v>330</v>
      </c>
      <c r="B2516" t="s">
        <v>9076</v>
      </c>
      <c r="C2516" t="s">
        <v>9077</v>
      </c>
      <c r="D2516" t="s">
        <v>9073</v>
      </c>
      <c r="E2516" t="s">
        <v>6417</v>
      </c>
      <c r="F2516" t="s">
        <v>1040</v>
      </c>
      <c r="G2516" s="1">
        <v>46023</v>
      </c>
      <c r="H2516" s="1">
        <v>46385</v>
      </c>
      <c r="I2516" t="s">
        <v>551</v>
      </c>
      <c r="J2516" t="s">
        <v>6418</v>
      </c>
      <c r="K2516" t="s">
        <v>958</v>
      </c>
      <c r="L2516" t="s">
        <v>6419</v>
      </c>
      <c r="M2516" t="s">
        <v>9057</v>
      </c>
      <c r="N2516" t="s">
        <v>9058</v>
      </c>
      <c r="O2516" t="s">
        <v>810</v>
      </c>
      <c r="P2516" t="s">
        <v>811</v>
      </c>
      <c r="Q2516" t="s">
        <v>8918</v>
      </c>
      <c r="R2516" t="s">
        <v>8919</v>
      </c>
      <c r="S2516" t="s">
        <v>9074</v>
      </c>
      <c r="T2516" t="s">
        <v>550</v>
      </c>
      <c r="U2516" t="s">
        <v>550</v>
      </c>
      <c r="V2516" t="s">
        <v>9078</v>
      </c>
      <c r="W2516" t="s">
        <v>7194</v>
      </c>
      <c r="X2516" t="s">
        <v>8348</v>
      </c>
      <c r="Z2516" t="s">
        <v>9076</v>
      </c>
    </row>
    <row r="2517" spans="1:26" x14ac:dyDescent="0.3">
      <c r="A2517" t="s">
        <v>330</v>
      </c>
      <c r="B2517" t="s">
        <v>9079</v>
      </c>
      <c r="C2517" t="s">
        <v>7463</v>
      </c>
      <c r="D2517" t="s">
        <v>9073</v>
      </c>
      <c r="E2517" t="s">
        <v>6417</v>
      </c>
      <c r="F2517" t="s">
        <v>1040</v>
      </c>
      <c r="G2517" s="1">
        <v>46023</v>
      </c>
      <c r="H2517" s="1">
        <v>46160</v>
      </c>
      <c r="I2517" t="s">
        <v>551</v>
      </c>
      <c r="J2517" t="s">
        <v>6418</v>
      </c>
      <c r="K2517" t="s">
        <v>958</v>
      </c>
      <c r="L2517" t="s">
        <v>6419</v>
      </c>
      <c r="M2517" t="s">
        <v>9057</v>
      </c>
      <c r="N2517" t="s">
        <v>9058</v>
      </c>
      <c r="O2517" t="s">
        <v>810</v>
      </c>
      <c r="P2517" t="s">
        <v>811</v>
      </c>
      <c r="Q2517" t="s">
        <v>8918</v>
      </c>
      <c r="R2517" t="s">
        <v>8919</v>
      </c>
      <c r="S2517" t="s">
        <v>9074</v>
      </c>
      <c r="T2517" t="s">
        <v>550</v>
      </c>
      <c r="U2517" t="s">
        <v>550</v>
      </c>
      <c r="V2517" t="s">
        <v>9080</v>
      </c>
      <c r="W2517" t="s">
        <v>7194</v>
      </c>
      <c r="X2517" t="s">
        <v>8348</v>
      </c>
      <c r="Z2517" t="s">
        <v>9079</v>
      </c>
    </row>
    <row r="2518" spans="1:26" x14ac:dyDescent="0.3">
      <c r="A2518" t="s">
        <v>330</v>
      </c>
      <c r="B2518" t="s">
        <v>9081</v>
      </c>
      <c r="C2518" t="s">
        <v>9082</v>
      </c>
      <c r="D2518" t="s">
        <v>550</v>
      </c>
      <c r="E2518" t="s">
        <v>7178</v>
      </c>
      <c r="F2518" t="s">
        <v>7920</v>
      </c>
      <c r="G2518" s="1">
        <v>45658</v>
      </c>
      <c r="H2518" s="1">
        <v>45658</v>
      </c>
      <c r="I2518" t="s">
        <v>551</v>
      </c>
      <c r="J2518" t="s">
        <v>7526</v>
      </c>
      <c r="K2518" t="s">
        <v>24</v>
      </c>
      <c r="L2518" t="s">
        <v>7624</v>
      </c>
      <c r="M2518" t="s">
        <v>9057</v>
      </c>
      <c r="N2518" t="s">
        <v>9058</v>
      </c>
      <c r="O2518" t="s">
        <v>810</v>
      </c>
      <c r="P2518" t="s">
        <v>811</v>
      </c>
      <c r="Q2518" t="s">
        <v>8918</v>
      </c>
      <c r="R2518" t="s">
        <v>8919</v>
      </c>
      <c r="S2518" t="s">
        <v>803</v>
      </c>
      <c r="T2518" t="s">
        <v>550</v>
      </c>
      <c r="U2518" t="s">
        <v>550</v>
      </c>
      <c r="V2518" t="s">
        <v>9083</v>
      </c>
      <c r="W2518" t="s">
        <v>813</v>
      </c>
      <c r="Z2518" t="s">
        <v>9081</v>
      </c>
    </row>
    <row r="2519" spans="1:26" x14ac:dyDescent="0.3">
      <c r="A2519" t="s">
        <v>330</v>
      </c>
      <c r="B2519" t="s">
        <v>9084</v>
      </c>
      <c r="C2519" t="s">
        <v>9085</v>
      </c>
      <c r="D2519" t="s">
        <v>9081</v>
      </c>
      <c r="E2519" t="s">
        <v>7178</v>
      </c>
      <c r="F2519" t="s">
        <v>7920</v>
      </c>
      <c r="G2519" s="1">
        <v>45658</v>
      </c>
      <c r="H2519" s="1">
        <v>45696</v>
      </c>
      <c r="I2519" t="s">
        <v>665</v>
      </c>
      <c r="J2519" t="s">
        <v>7526</v>
      </c>
      <c r="K2519" t="s">
        <v>24</v>
      </c>
      <c r="L2519" t="s">
        <v>7624</v>
      </c>
      <c r="M2519" t="s">
        <v>9057</v>
      </c>
      <c r="N2519" t="s">
        <v>9058</v>
      </c>
      <c r="O2519" t="s">
        <v>810</v>
      </c>
      <c r="P2519" t="s">
        <v>811</v>
      </c>
      <c r="Q2519" t="s">
        <v>8918</v>
      </c>
      <c r="R2519" t="s">
        <v>8919</v>
      </c>
      <c r="S2519" t="s">
        <v>803</v>
      </c>
      <c r="T2519" t="s">
        <v>550</v>
      </c>
      <c r="U2519" t="s">
        <v>550</v>
      </c>
      <c r="V2519" t="s">
        <v>9086</v>
      </c>
      <c r="W2519" t="s">
        <v>813</v>
      </c>
      <c r="Z2519" t="s">
        <v>9084</v>
      </c>
    </row>
    <row r="2520" spans="1:26" x14ac:dyDescent="0.3">
      <c r="A2520" t="s">
        <v>330</v>
      </c>
      <c r="B2520" t="s">
        <v>9087</v>
      </c>
      <c r="C2520" t="s">
        <v>9088</v>
      </c>
      <c r="D2520" t="s">
        <v>9081</v>
      </c>
      <c r="E2520" t="s">
        <v>7178</v>
      </c>
      <c r="F2520" t="s">
        <v>7920</v>
      </c>
      <c r="G2520" s="1">
        <v>46023</v>
      </c>
      <c r="H2520" s="1">
        <v>46080</v>
      </c>
      <c r="I2520" t="s">
        <v>551</v>
      </c>
      <c r="J2520" t="s">
        <v>7526</v>
      </c>
      <c r="K2520" t="s">
        <v>24</v>
      </c>
      <c r="L2520" t="s">
        <v>7624</v>
      </c>
      <c r="M2520" t="s">
        <v>9057</v>
      </c>
      <c r="N2520" t="s">
        <v>9058</v>
      </c>
      <c r="O2520" t="s">
        <v>810</v>
      </c>
      <c r="P2520" t="s">
        <v>811</v>
      </c>
      <c r="Q2520" t="s">
        <v>8918</v>
      </c>
      <c r="R2520" t="s">
        <v>8919</v>
      </c>
      <c r="S2520" t="s">
        <v>803</v>
      </c>
      <c r="T2520" t="s">
        <v>550</v>
      </c>
      <c r="U2520" t="s">
        <v>550</v>
      </c>
      <c r="V2520" t="s">
        <v>9089</v>
      </c>
      <c r="W2520" t="s">
        <v>813</v>
      </c>
      <c r="Z2520" t="s">
        <v>9087</v>
      </c>
    </row>
    <row r="2521" spans="1:26" x14ac:dyDescent="0.3">
      <c r="A2521" t="s">
        <v>330</v>
      </c>
      <c r="B2521" t="s">
        <v>9090</v>
      </c>
      <c r="C2521" t="s">
        <v>9091</v>
      </c>
      <c r="D2521" t="s">
        <v>550</v>
      </c>
      <c r="E2521" t="s">
        <v>9092</v>
      </c>
      <c r="F2521" t="s">
        <v>9093</v>
      </c>
      <c r="G2521" s="1">
        <v>45901</v>
      </c>
      <c r="H2521" s="1">
        <v>45901</v>
      </c>
      <c r="I2521" t="s">
        <v>551</v>
      </c>
      <c r="J2521" t="s">
        <v>8769</v>
      </c>
      <c r="K2521" t="s">
        <v>24</v>
      </c>
      <c r="L2521" t="s">
        <v>7624</v>
      </c>
      <c r="M2521" t="s">
        <v>9057</v>
      </c>
      <c r="N2521" t="s">
        <v>9058</v>
      </c>
      <c r="O2521" t="s">
        <v>810</v>
      </c>
      <c r="P2521" t="s">
        <v>811</v>
      </c>
      <c r="Q2521" t="s">
        <v>8918</v>
      </c>
      <c r="R2521" t="s">
        <v>8919</v>
      </c>
      <c r="S2521" t="s">
        <v>803</v>
      </c>
      <c r="T2521" t="s">
        <v>550</v>
      </c>
      <c r="U2521" t="s">
        <v>550</v>
      </c>
      <c r="V2521" t="s">
        <v>9094</v>
      </c>
      <c r="W2521" t="s">
        <v>813</v>
      </c>
      <c r="Z2521" t="s">
        <v>9090</v>
      </c>
    </row>
    <row r="2522" spans="1:26" x14ac:dyDescent="0.3">
      <c r="A2522" t="s">
        <v>330</v>
      </c>
      <c r="B2522" t="s">
        <v>9095</v>
      </c>
      <c r="C2522" t="s">
        <v>9096</v>
      </c>
      <c r="D2522" t="s">
        <v>9090</v>
      </c>
      <c r="E2522" t="s">
        <v>9092</v>
      </c>
      <c r="F2522" t="s">
        <v>9093</v>
      </c>
      <c r="G2522" s="1">
        <v>45658</v>
      </c>
      <c r="H2522" s="1">
        <v>45662</v>
      </c>
      <c r="I2522" t="s">
        <v>665</v>
      </c>
      <c r="J2522" t="s">
        <v>8769</v>
      </c>
      <c r="K2522" t="s">
        <v>24</v>
      </c>
      <c r="L2522" t="s">
        <v>7624</v>
      </c>
      <c r="M2522" t="s">
        <v>9057</v>
      </c>
      <c r="N2522" t="s">
        <v>9058</v>
      </c>
      <c r="O2522" t="s">
        <v>810</v>
      </c>
      <c r="P2522" t="s">
        <v>811</v>
      </c>
      <c r="Q2522" t="s">
        <v>8918</v>
      </c>
      <c r="R2522" t="s">
        <v>8919</v>
      </c>
      <c r="S2522" t="s">
        <v>803</v>
      </c>
      <c r="T2522" t="s">
        <v>550</v>
      </c>
      <c r="U2522" t="s">
        <v>550</v>
      </c>
      <c r="V2522" t="s">
        <v>9097</v>
      </c>
      <c r="W2522" t="s">
        <v>813</v>
      </c>
      <c r="Z2522" t="s">
        <v>9095</v>
      </c>
    </row>
    <row r="2523" spans="1:26" x14ac:dyDescent="0.3">
      <c r="A2523" t="s">
        <v>330</v>
      </c>
      <c r="B2523" t="s">
        <v>9098</v>
      </c>
      <c r="C2523" t="s">
        <v>9099</v>
      </c>
      <c r="D2523" t="s">
        <v>9090</v>
      </c>
      <c r="E2523" t="s">
        <v>9092</v>
      </c>
      <c r="F2523" t="s">
        <v>9093</v>
      </c>
      <c r="G2523" s="1">
        <v>46023</v>
      </c>
      <c r="H2523" s="1">
        <v>46043</v>
      </c>
      <c r="I2523" t="s">
        <v>551</v>
      </c>
      <c r="J2523" t="s">
        <v>8769</v>
      </c>
      <c r="K2523" t="s">
        <v>24</v>
      </c>
      <c r="L2523" t="s">
        <v>7624</v>
      </c>
      <c r="M2523" t="s">
        <v>9057</v>
      </c>
      <c r="N2523" t="s">
        <v>9058</v>
      </c>
      <c r="O2523" t="s">
        <v>810</v>
      </c>
      <c r="P2523" t="s">
        <v>811</v>
      </c>
      <c r="Q2523" t="s">
        <v>8918</v>
      </c>
      <c r="R2523" t="s">
        <v>8919</v>
      </c>
      <c r="S2523" t="s">
        <v>803</v>
      </c>
      <c r="T2523" t="s">
        <v>550</v>
      </c>
      <c r="U2523" t="s">
        <v>550</v>
      </c>
      <c r="V2523" t="s">
        <v>9100</v>
      </c>
      <c r="W2523" t="s">
        <v>813</v>
      </c>
      <c r="Z2523" t="s">
        <v>9098</v>
      </c>
    </row>
    <row r="2524" spans="1:26" x14ac:dyDescent="0.3">
      <c r="A2524" t="s">
        <v>330</v>
      </c>
      <c r="B2524" t="s">
        <v>9101</v>
      </c>
      <c r="C2524" t="s">
        <v>9102</v>
      </c>
      <c r="D2524" t="s">
        <v>8758</v>
      </c>
      <c r="E2524" t="s">
        <v>8575</v>
      </c>
      <c r="F2524" t="s">
        <v>1897</v>
      </c>
      <c r="G2524" s="1">
        <v>45658</v>
      </c>
      <c r="H2524" s="1">
        <v>45684</v>
      </c>
      <c r="I2524" t="s">
        <v>665</v>
      </c>
      <c r="J2524" t="s">
        <v>8387</v>
      </c>
      <c r="K2524" t="s">
        <v>4782</v>
      </c>
      <c r="L2524" t="s">
        <v>842</v>
      </c>
      <c r="M2524" t="s">
        <v>843</v>
      </c>
      <c r="N2524" t="s">
        <v>319</v>
      </c>
      <c r="O2524" t="s">
        <v>810</v>
      </c>
      <c r="P2524" t="s">
        <v>811</v>
      </c>
      <c r="Q2524" t="s">
        <v>8918</v>
      </c>
      <c r="R2524" t="s">
        <v>8919</v>
      </c>
      <c r="S2524" t="s">
        <v>7208</v>
      </c>
      <c r="T2524" t="s">
        <v>847</v>
      </c>
      <c r="U2524" t="s">
        <v>550</v>
      </c>
      <c r="V2524" t="s">
        <v>9103</v>
      </c>
      <c r="W2524" t="s">
        <v>813</v>
      </c>
      <c r="Z2524" t="s">
        <v>9101</v>
      </c>
    </row>
    <row r="2525" spans="1:26" x14ac:dyDescent="0.3">
      <c r="A2525" t="s">
        <v>330</v>
      </c>
      <c r="B2525" t="s">
        <v>9104</v>
      </c>
      <c r="C2525" t="s">
        <v>9105</v>
      </c>
      <c r="D2525" t="s">
        <v>8758</v>
      </c>
      <c r="E2525" t="s">
        <v>8575</v>
      </c>
      <c r="F2525" t="s">
        <v>1897</v>
      </c>
      <c r="G2525" s="1">
        <v>46023</v>
      </c>
      <c r="H2525" s="1">
        <v>46031</v>
      </c>
      <c r="I2525" t="s">
        <v>551</v>
      </c>
      <c r="J2525" t="s">
        <v>8387</v>
      </c>
      <c r="K2525" t="s">
        <v>4782</v>
      </c>
      <c r="L2525" t="s">
        <v>842</v>
      </c>
      <c r="M2525" t="s">
        <v>843</v>
      </c>
      <c r="N2525" t="s">
        <v>319</v>
      </c>
      <c r="O2525" t="s">
        <v>810</v>
      </c>
      <c r="P2525" t="s">
        <v>811</v>
      </c>
      <c r="Q2525" t="s">
        <v>8918</v>
      </c>
      <c r="R2525" t="s">
        <v>8919</v>
      </c>
      <c r="S2525" t="s">
        <v>803</v>
      </c>
      <c r="T2525" t="s">
        <v>847</v>
      </c>
      <c r="U2525" t="s">
        <v>550</v>
      </c>
      <c r="V2525" t="s">
        <v>9106</v>
      </c>
      <c r="W2525" t="s">
        <v>813</v>
      </c>
      <c r="Z2525" t="s">
        <v>9104</v>
      </c>
    </row>
    <row r="2526" spans="1:26" x14ac:dyDescent="0.3">
      <c r="A2526" t="s">
        <v>330</v>
      </c>
      <c r="B2526" t="s">
        <v>9107</v>
      </c>
      <c r="C2526" t="s">
        <v>9108</v>
      </c>
      <c r="D2526" t="s">
        <v>550</v>
      </c>
      <c r="E2526" t="s">
        <v>8464</v>
      </c>
      <c r="F2526" t="s">
        <v>3443</v>
      </c>
      <c r="G2526" s="1">
        <v>45658</v>
      </c>
      <c r="H2526" s="1">
        <v>45658</v>
      </c>
      <c r="I2526" t="s">
        <v>665</v>
      </c>
      <c r="J2526" t="s">
        <v>8465</v>
      </c>
      <c r="K2526" t="s">
        <v>635</v>
      </c>
      <c r="L2526" t="s">
        <v>7624</v>
      </c>
      <c r="M2526" t="s">
        <v>843</v>
      </c>
      <c r="N2526" t="s">
        <v>319</v>
      </c>
      <c r="O2526" t="s">
        <v>810</v>
      </c>
      <c r="P2526" t="s">
        <v>811</v>
      </c>
      <c r="Q2526" t="s">
        <v>8918</v>
      </c>
      <c r="R2526" t="s">
        <v>8919</v>
      </c>
      <c r="S2526" t="s">
        <v>803</v>
      </c>
      <c r="T2526" t="s">
        <v>550</v>
      </c>
      <c r="U2526" t="s">
        <v>550</v>
      </c>
      <c r="V2526" t="s">
        <v>9109</v>
      </c>
      <c r="W2526" t="s">
        <v>813</v>
      </c>
      <c r="Z2526" t="s">
        <v>9107</v>
      </c>
    </row>
    <row r="2527" spans="1:26" x14ac:dyDescent="0.3">
      <c r="A2527" t="s">
        <v>330</v>
      </c>
      <c r="B2527" t="s">
        <v>9110</v>
      </c>
      <c r="C2527" t="s">
        <v>9111</v>
      </c>
      <c r="D2527" t="s">
        <v>9107</v>
      </c>
      <c r="E2527" t="s">
        <v>8464</v>
      </c>
      <c r="F2527" t="s">
        <v>3443</v>
      </c>
      <c r="G2527" s="1">
        <v>45658</v>
      </c>
      <c r="H2527" s="1">
        <v>45659</v>
      </c>
      <c r="I2527" t="s">
        <v>665</v>
      </c>
      <c r="J2527" t="s">
        <v>8465</v>
      </c>
      <c r="K2527" t="s">
        <v>24</v>
      </c>
      <c r="L2527" t="s">
        <v>7624</v>
      </c>
      <c r="M2527" t="s">
        <v>843</v>
      </c>
      <c r="N2527" t="s">
        <v>319</v>
      </c>
      <c r="O2527" t="s">
        <v>810</v>
      </c>
      <c r="P2527" t="s">
        <v>811</v>
      </c>
      <c r="Q2527" t="s">
        <v>8918</v>
      </c>
      <c r="R2527" t="s">
        <v>8919</v>
      </c>
      <c r="S2527" t="s">
        <v>803</v>
      </c>
      <c r="T2527" t="s">
        <v>847</v>
      </c>
      <c r="U2527" t="s">
        <v>550</v>
      </c>
      <c r="V2527" t="s">
        <v>9112</v>
      </c>
      <c r="W2527" t="s">
        <v>813</v>
      </c>
      <c r="Z2527" t="s">
        <v>9110</v>
      </c>
    </row>
    <row r="2528" spans="1:26" x14ac:dyDescent="0.3">
      <c r="A2528" t="s">
        <v>330</v>
      </c>
      <c r="B2528" t="s">
        <v>9113</v>
      </c>
      <c r="C2528" t="s">
        <v>9114</v>
      </c>
      <c r="D2528" t="s">
        <v>9107</v>
      </c>
      <c r="E2528" t="s">
        <v>8769</v>
      </c>
      <c r="F2528" t="s">
        <v>7148</v>
      </c>
      <c r="G2528" s="1">
        <v>45658</v>
      </c>
      <c r="H2528" s="1">
        <v>45667</v>
      </c>
      <c r="I2528" t="s">
        <v>665</v>
      </c>
      <c r="J2528" t="s">
        <v>8507</v>
      </c>
      <c r="K2528" t="s">
        <v>24</v>
      </c>
      <c r="L2528" t="s">
        <v>7624</v>
      </c>
      <c r="M2528" t="s">
        <v>843</v>
      </c>
      <c r="N2528" t="s">
        <v>319</v>
      </c>
      <c r="O2528" t="s">
        <v>810</v>
      </c>
      <c r="P2528" t="s">
        <v>811</v>
      </c>
      <c r="Q2528" t="s">
        <v>8918</v>
      </c>
      <c r="R2528" t="s">
        <v>8919</v>
      </c>
      <c r="S2528" t="s">
        <v>803</v>
      </c>
      <c r="T2528" t="s">
        <v>550</v>
      </c>
      <c r="U2528" t="s">
        <v>550</v>
      </c>
      <c r="V2528" t="s">
        <v>9115</v>
      </c>
      <c r="W2528" t="s">
        <v>813</v>
      </c>
      <c r="Z2528" t="s">
        <v>9113</v>
      </c>
    </row>
    <row r="2529" spans="1:26" x14ac:dyDescent="0.3">
      <c r="A2529" t="s">
        <v>330</v>
      </c>
      <c r="B2529" t="s">
        <v>9116</v>
      </c>
      <c r="C2529" t="s">
        <v>9117</v>
      </c>
      <c r="D2529" t="s">
        <v>9107</v>
      </c>
      <c r="E2529" t="s">
        <v>7088</v>
      </c>
      <c r="F2529" t="s">
        <v>7089</v>
      </c>
      <c r="G2529" s="1">
        <v>45658</v>
      </c>
      <c r="H2529" s="1">
        <v>45676</v>
      </c>
      <c r="I2529" t="s">
        <v>665</v>
      </c>
      <c r="J2529" t="s">
        <v>8369</v>
      </c>
      <c r="K2529" t="s">
        <v>24</v>
      </c>
      <c r="L2529" t="s">
        <v>7624</v>
      </c>
      <c r="M2529" t="s">
        <v>843</v>
      </c>
      <c r="N2529" t="s">
        <v>319</v>
      </c>
      <c r="O2529" t="s">
        <v>810</v>
      </c>
      <c r="P2529" t="s">
        <v>811</v>
      </c>
      <c r="Q2529" t="s">
        <v>8918</v>
      </c>
      <c r="R2529" t="s">
        <v>8919</v>
      </c>
      <c r="S2529" t="s">
        <v>803</v>
      </c>
      <c r="T2529" t="s">
        <v>550</v>
      </c>
      <c r="U2529" t="s">
        <v>550</v>
      </c>
      <c r="V2529" t="s">
        <v>9118</v>
      </c>
      <c r="W2529" t="s">
        <v>813</v>
      </c>
      <c r="Z2529" t="s">
        <v>9116</v>
      </c>
    </row>
    <row r="2530" spans="1:26" x14ac:dyDescent="0.3">
      <c r="A2530" t="s">
        <v>330</v>
      </c>
      <c r="B2530" t="s">
        <v>9119</v>
      </c>
      <c r="C2530" t="s">
        <v>9120</v>
      </c>
      <c r="D2530" t="s">
        <v>9107</v>
      </c>
      <c r="E2530" t="s">
        <v>8464</v>
      </c>
      <c r="F2530" t="s">
        <v>3443</v>
      </c>
      <c r="G2530" s="1">
        <v>45658</v>
      </c>
      <c r="H2530" s="1">
        <v>45664</v>
      </c>
      <c r="I2530" t="s">
        <v>665</v>
      </c>
      <c r="J2530" t="s">
        <v>8465</v>
      </c>
      <c r="K2530" t="s">
        <v>24</v>
      </c>
      <c r="L2530" t="s">
        <v>842</v>
      </c>
      <c r="M2530" t="s">
        <v>843</v>
      </c>
      <c r="N2530" t="s">
        <v>319</v>
      </c>
      <c r="O2530" t="s">
        <v>810</v>
      </c>
      <c r="P2530" t="s">
        <v>811</v>
      </c>
      <c r="Q2530" t="s">
        <v>8918</v>
      </c>
      <c r="R2530" t="s">
        <v>8919</v>
      </c>
      <c r="S2530" t="s">
        <v>803</v>
      </c>
      <c r="T2530" t="s">
        <v>847</v>
      </c>
      <c r="U2530" t="s">
        <v>550</v>
      </c>
      <c r="V2530" t="s">
        <v>9121</v>
      </c>
      <c r="W2530" t="s">
        <v>813</v>
      </c>
      <c r="Z2530" t="s">
        <v>9119</v>
      </c>
    </row>
    <row r="2531" spans="1:26" x14ac:dyDescent="0.3">
      <c r="A2531" t="s">
        <v>330</v>
      </c>
      <c r="B2531" t="s">
        <v>9122</v>
      </c>
      <c r="C2531" t="s">
        <v>9123</v>
      </c>
      <c r="D2531" t="s">
        <v>9107</v>
      </c>
      <c r="E2531" t="s">
        <v>8464</v>
      </c>
      <c r="F2531" t="s">
        <v>3443</v>
      </c>
      <c r="G2531" s="1">
        <v>45658</v>
      </c>
      <c r="H2531" s="1">
        <v>45662</v>
      </c>
      <c r="I2531" t="s">
        <v>665</v>
      </c>
      <c r="J2531" t="s">
        <v>8465</v>
      </c>
      <c r="K2531" t="s">
        <v>24</v>
      </c>
      <c r="L2531" t="s">
        <v>842</v>
      </c>
      <c r="M2531" t="s">
        <v>843</v>
      </c>
      <c r="N2531" t="s">
        <v>319</v>
      </c>
      <c r="O2531" t="s">
        <v>810</v>
      </c>
      <c r="P2531" t="s">
        <v>811</v>
      </c>
      <c r="Q2531" t="s">
        <v>8918</v>
      </c>
      <c r="R2531" t="s">
        <v>8919</v>
      </c>
      <c r="S2531" t="s">
        <v>803</v>
      </c>
      <c r="T2531" t="s">
        <v>847</v>
      </c>
      <c r="U2531" t="s">
        <v>550</v>
      </c>
      <c r="V2531" t="s">
        <v>9124</v>
      </c>
      <c r="W2531" t="s">
        <v>813</v>
      </c>
      <c r="Z2531" t="s">
        <v>9122</v>
      </c>
    </row>
    <row r="2532" spans="1:26" x14ac:dyDescent="0.3">
      <c r="A2532" t="s">
        <v>330</v>
      </c>
      <c r="B2532" t="s">
        <v>9125</v>
      </c>
      <c r="C2532" t="s">
        <v>9126</v>
      </c>
      <c r="D2532" t="s">
        <v>9107</v>
      </c>
      <c r="E2532" t="s">
        <v>9127</v>
      </c>
      <c r="F2532" t="s">
        <v>9128</v>
      </c>
      <c r="G2532" s="1">
        <v>45689</v>
      </c>
      <c r="H2532" s="1">
        <v>45690</v>
      </c>
      <c r="I2532" t="s">
        <v>665</v>
      </c>
      <c r="J2532" t="s">
        <v>9129</v>
      </c>
      <c r="K2532" t="s">
        <v>862</v>
      </c>
      <c r="L2532" t="s">
        <v>842</v>
      </c>
      <c r="M2532" t="s">
        <v>843</v>
      </c>
      <c r="N2532" t="s">
        <v>319</v>
      </c>
      <c r="O2532" t="s">
        <v>810</v>
      </c>
      <c r="P2532" t="s">
        <v>811</v>
      </c>
      <c r="Q2532" t="s">
        <v>8918</v>
      </c>
      <c r="R2532" t="s">
        <v>8919</v>
      </c>
      <c r="S2532" t="s">
        <v>803</v>
      </c>
      <c r="T2532" t="s">
        <v>847</v>
      </c>
      <c r="U2532" t="s">
        <v>550</v>
      </c>
      <c r="V2532" t="s">
        <v>9130</v>
      </c>
      <c r="W2532" t="s">
        <v>813</v>
      </c>
      <c r="Z2532" t="s">
        <v>9125</v>
      </c>
    </row>
    <row r="2533" spans="1:26" x14ac:dyDescent="0.3">
      <c r="A2533" t="s">
        <v>330</v>
      </c>
      <c r="B2533" t="s">
        <v>9131</v>
      </c>
      <c r="C2533" t="s">
        <v>9132</v>
      </c>
      <c r="D2533" t="s">
        <v>9107</v>
      </c>
      <c r="E2533" t="s">
        <v>9133</v>
      </c>
      <c r="F2533" t="s">
        <v>9134</v>
      </c>
      <c r="G2533" s="1">
        <v>45689</v>
      </c>
      <c r="H2533" s="1">
        <v>45690</v>
      </c>
      <c r="I2533" t="s">
        <v>665</v>
      </c>
      <c r="J2533" t="s">
        <v>8451</v>
      </c>
      <c r="K2533" t="s">
        <v>24</v>
      </c>
      <c r="L2533" t="s">
        <v>7624</v>
      </c>
      <c r="M2533" t="s">
        <v>843</v>
      </c>
      <c r="N2533" t="s">
        <v>319</v>
      </c>
      <c r="O2533" t="s">
        <v>810</v>
      </c>
      <c r="P2533" t="s">
        <v>811</v>
      </c>
      <c r="Q2533" t="s">
        <v>8918</v>
      </c>
      <c r="R2533" t="s">
        <v>8919</v>
      </c>
      <c r="S2533" t="s">
        <v>803</v>
      </c>
      <c r="T2533" t="s">
        <v>550</v>
      </c>
      <c r="U2533" t="s">
        <v>550</v>
      </c>
      <c r="V2533" t="s">
        <v>9135</v>
      </c>
      <c r="W2533" t="s">
        <v>813</v>
      </c>
      <c r="Z2533" t="s">
        <v>9131</v>
      </c>
    </row>
    <row r="2534" spans="1:26" x14ac:dyDescent="0.3">
      <c r="A2534" t="s">
        <v>330</v>
      </c>
      <c r="B2534" t="s">
        <v>9136</v>
      </c>
      <c r="C2534" t="s">
        <v>9137</v>
      </c>
      <c r="D2534" t="s">
        <v>9107</v>
      </c>
      <c r="E2534" t="s">
        <v>9138</v>
      </c>
      <c r="F2534" t="s">
        <v>9139</v>
      </c>
      <c r="G2534" s="1">
        <v>45778</v>
      </c>
      <c r="H2534" s="1">
        <v>45782</v>
      </c>
      <c r="I2534" t="s">
        <v>665</v>
      </c>
      <c r="J2534" t="s">
        <v>9140</v>
      </c>
      <c r="K2534" t="s">
        <v>24</v>
      </c>
      <c r="L2534" t="s">
        <v>7624</v>
      </c>
      <c r="M2534" t="s">
        <v>843</v>
      </c>
      <c r="N2534" t="s">
        <v>319</v>
      </c>
      <c r="O2534" t="s">
        <v>810</v>
      </c>
      <c r="P2534" t="s">
        <v>811</v>
      </c>
      <c r="Q2534" t="s">
        <v>8918</v>
      </c>
      <c r="R2534" t="s">
        <v>8919</v>
      </c>
      <c r="S2534" t="s">
        <v>803</v>
      </c>
      <c r="T2534" t="s">
        <v>550</v>
      </c>
      <c r="U2534" t="s">
        <v>550</v>
      </c>
      <c r="V2534" t="s">
        <v>9141</v>
      </c>
      <c r="W2534" t="s">
        <v>813</v>
      </c>
      <c r="Z2534" t="s">
        <v>9136</v>
      </c>
    </row>
    <row r="2535" spans="1:26" x14ac:dyDescent="0.3">
      <c r="A2535" t="s">
        <v>330</v>
      </c>
      <c r="B2535" t="s">
        <v>9142</v>
      </c>
      <c r="C2535" t="s">
        <v>9143</v>
      </c>
      <c r="D2535" t="s">
        <v>9107</v>
      </c>
      <c r="E2535" t="s">
        <v>7129</v>
      </c>
      <c r="F2535" t="s">
        <v>7148</v>
      </c>
      <c r="G2535" s="1">
        <v>45658</v>
      </c>
      <c r="H2535" s="1">
        <v>45662</v>
      </c>
      <c r="I2535" t="s">
        <v>665</v>
      </c>
      <c r="J2535" t="s">
        <v>8443</v>
      </c>
      <c r="K2535" t="s">
        <v>24</v>
      </c>
      <c r="L2535" t="s">
        <v>7624</v>
      </c>
      <c r="M2535" t="s">
        <v>843</v>
      </c>
      <c r="N2535" t="s">
        <v>319</v>
      </c>
      <c r="O2535" t="s">
        <v>810</v>
      </c>
      <c r="P2535" t="s">
        <v>811</v>
      </c>
      <c r="Q2535" t="s">
        <v>8918</v>
      </c>
      <c r="R2535" t="s">
        <v>8919</v>
      </c>
      <c r="S2535" t="s">
        <v>803</v>
      </c>
      <c r="T2535" t="s">
        <v>550</v>
      </c>
      <c r="U2535" t="s">
        <v>550</v>
      </c>
      <c r="V2535" t="s">
        <v>9144</v>
      </c>
      <c r="W2535" t="s">
        <v>813</v>
      </c>
      <c r="Z2535" t="s">
        <v>9142</v>
      </c>
    </row>
    <row r="2536" spans="1:26" x14ac:dyDescent="0.3">
      <c r="A2536" t="s">
        <v>330</v>
      </c>
      <c r="B2536" t="s">
        <v>9145</v>
      </c>
      <c r="C2536" t="s">
        <v>9146</v>
      </c>
      <c r="D2536" t="s">
        <v>9107</v>
      </c>
      <c r="E2536" t="s">
        <v>9147</v>
      </c>
      <c r="F2536" t="s">
        <v>9148</v>
      </c>
      <c r="G2536" s="1">
        <v>45936</v>
      </c>
      <c r="H2536" s="1">
        <v>45937</v>
      </c>
      <c r="I2536" t="s">
        <v>665</v>
      </c>
      <c r="J2536" t="s">
        <v>8575</v>
      </c>
      <c r="K2536" t="s">
        <v>841</v>
      </c>
      <c r="L2536" t="s">
        <v>842</v>
      </c>
      <c r="M2536" t="s">
        <v>843</v>
      </c>
      <c r="N2536" t="s">
        <v>319</v>
      </c>
      <c r="O2536" t="s">
        <v>810</v>
      </c>
      <c r="P2536" t="s">
        <v>811</v>
      </c>
      <c r="Q2536" t="s">
        <v>8918</v>
      </c>
      <c r="R2536" t="s">
        <v>8919</v>
      </c>
      <c r="S2536" t="s">
        <v>803</v>
      </c>
      <c r="T2536" t="s">
        <v>550</v>
      </c>
      <c r="U2536" t="s">
        <v>550</v>
      </c>
      <c r="V2536" t="s">
        <v>9149</v>
      </c>
      <c r="W2536" t="s">
        <v>813</v>
      </c>
      <c r="Z2536" t="s">
        <v>9145</v>
      </c>
    </row>
    <row r="2537" spans="1:26" x14ac:dyDescent="0.3">
      <c r="A2537" t="s">
        <v>330</v>
      </c>
      <c r="B2537" t="s">
        <v>9150</v>
      </c>
      <c r="C2537" t="s">
        <v>9151</v>
      </c>
      <c r="D2537" t="s">
        <v>9107</v>
      </c>
      <c r="E2537" t="s">
        <v>9152</v>
      </c>
      <c r="F2537" t="s">
        <v>9153</v>
      </c>
      <c r="G2537" s="1">
        <v>45658</v>
      </c>
      <c r="H2537" s="1">
        <v>45669</v>
      </c>
      <c r="I2537" t="s">
        <v>665</v>
      </c>
      <c r="J2537" t="s">
        <v>9154</v>
      </c>
      <c r="K2537" t="s">
        <v>24</v>
      </c>
      <c r="L2537" t="s">
        <v>7624</v>
      </c>
      <c r="M2537" t="s">
        <v>843</v>
      </c>
      <c r="N2537" t="s">
        <v>319</v>
      </c>
      <c r="O2537" t="s">
        <v>810</v>
      </c>
      <c r="P2537" t="s">
        <v>811</v>
      </c>
      <c r="Q2537" t="s">
        <v>8918</v>
      </c>
      <c r="R2537" t="s">
        <v>8919</v>
      </c>
      <c r="S2537" t="s">
        <v>803</v>
      </c>
      <c r="T2537" t="s">
        <v>550</v>
      </c>
      <c r="U2537" t="s">
        <v>550</v>
      </c>
      <c r="V2537" t="s">
        <v>9155</v>
      </c>
      <c r="W2537" t="s">
        <v>813</v>
      </c>
      <c r="Z2537" t="s">
        <v>9150</v>
      </c>
    </row>
    <row r="2538" spans="1:26" x14ac:dyDescent="0.3">
      <c r="A2538" t="s">
        <v>330</v>
      </c>
      <c r="B2538" t="s">
        <v>9156</v>
      </c>
      <c r="C2538" t="s">
        <v>9157</v>
      </c>
      <c r="D2538" t="s">
        <v>9107</v>
      </c>
      <c r="E2538" t="s">
        <v>880</v>
      </c>
      <c r="F2538" t="s">
        <v>7128</v>
      </c>
      <c r="G2538" s="1">
        <v>45658</v>
      </c>
      <c r="H2538" s="1">
        <v>45660</v>
      </c>
      <c r="I2538" t="s">
        <v>665</v>
      </c>
      <c r="J2538" t="s">
        <v>7129</v>
      </c>
      <c r="K2538" t="s">
        <v>24</v>
      </c>
      <c r="L2538" t="s">
        <v>7624</v>
      </c>
      <c r="M2538" t="s">
        <v>843</v>
      </c>
      <c r="N2538" t="s">
        <v>319</v>
      </c>
      <c r="O2538" t="s">
        <v>810</v>
      </c>
      <c r="P2538" t="s">
        <v>811</v>
      </c>
      <c r="Q2538" t="s">
        <v>8918</v>
      </c>
      <c r="R2538" t="s">
        <v>8919</v>
      </c>
      <c r="S2538" t="s">
        <v>803</v>
      </c>
      <c r="T2538" t="s">
        <v>550</v>
      </c>
      <c r="U2538" t="s">
        <v>550</v>
      </c>
      <c r="V2538" t="s">
        <v>9158</v>
      </c>
      <c r="W2538" t="s">
        <v>813</v>
      </c>
      <c r="Z2538" t="s">
        <v>9156</v>
      </c>
    </row>
    <row r="2539" spans="1:26" x14ac:dyDescent="0.3">
      <c r="A2539" t="s">
        <v>330</v>
      </c>
      <c r="B2539" t="s">
        <v>9159</v>
      </c>
      <c r="C2539" t="s">
        <v>9160</v>
      </c>
      <c r="D2539" t="s">
        <v>550</v>
      </c>
      <c r="E2539" t="s">
        <v>7648</v>
      </c>
      <c r="F2539" t="s">
        <v>3498</v>
      </c>
      <c r="G2539" s="1">
        <v>45658</v>
      </c>
      <c r="H2539" s="1">
        <v>45675</v>
      </c>
      <c r="I2539" t="s">
        <v>665</v>
      </c>
      <c r="J2539" t="s">
        <v>7236</v>
      </c>
      <c r="K2539" t="s">
        <v>24</v>
      </c>
      <c r="L2539" t="s">
        <v>7624</v>
      </c>
      <c r="M2539" t="s">
        <v>843</v>
      </c>
      <c r="N2539" t="s">
        <v>319</v>
      </c>
      <c r="O2539" t="s">
        <v>810</v>
      </c>
      <c r="P2539" t="s">
        <v>811</v>
      </c>
      <c r="Q2539" t="s">
        <v>8918</v>
      </c>
      <c r="R2539" t="s">
        <v>8919</v>
      </c>
      <c r="S2539" t="s">
        <v>803</v>
      </c>
      <c r="T2539" t="s">
        <v>550</v>
      </c>
      <c r="U2539" t="s">
        <v>550</v>
      </c>
      <c r="V2539" t="s">
        <v>9161</v>
      </c>
      <c r="W2539" t="s">
        <v>813</v>
      </c>
      <c r="Z2539" t="s">
        <v>9159</v>
      </c>
    </row>
    <row r="2540" spans="1:26" x14ac:dyDescent="0.3">
      <c r="A2540" t="s">
        <v>330</v>
      </c>
      <c r="B2540" t="s">
        <v>9162</v>
      </c>
      <c r="C2540" t="s">
        <v>9163</v>
      </c>
      <c r="D2540" t="s">
        <v>550</v>
      </c>
      <c r="E2540" t="s">
        <v>7517</v>
      </c>
      <c r="F2540" t="s">
        <v>7518</v>
      </c>
      <c r="G2540" s="1">
        <v>45658</v>
      </c>
      <c r="H2540" s="1">
        <v>45677</v>
      </c>
      <c r="I2540" t="s">
        <v>665</v>
      </c>
      <c r="J2540" t="s">
        <v>7519</v>
      </c>
      <c r="K2540" t="s">
        <v>958</v>
      </c>
      <c r="L2540" t="s">
        <v>7624</v>
      </c>
      <c r="M2540" t="s">
        <v>843</v>
      </c>
      <c r="N2540" t="s">
        <v>319</v>
      </c>
      <c r="O2540" t="s">
        <v>810</v>
      </c>
      <c r="P2540" t="s">
        <v>811</v>
      </c>
      <c r="Q2540" t="s">
        <v>8918</v>
      </c>
      <c r="R2540" t="s">
        <v>8919</v>
      </c>
      <c r="S2540" t="s">
        <v>803</v>
      </c>
      <c r="T2540" t="s">
        <v>550</v>
      </c>
      <c r="U2540" t="s">
        <v>550</v>
      </c>
      <c r="V2540" t="s">
        <v>9164</v>
      </c>
      <c r="W2540" t="s">
        <v>813</v>
      </c>
      <c r="Z2540" t="s">
        <v>9162</v>
      </c>
    </row>
    <row r="2541" spans="1:26" x14ac:dyDescent="0.3">
      <c r="A2541" t="s">
        <v>330</v>
      </c>
      <c r="B2541" t="s">
        <v>9165</v>
      </c>
      <c r="C2541" t="s">
        <v>9166</v>
      </c>
      <c r="D2541" t="s">
        <v>550</v>
      </c>
      <c r="E2541" t="s">
        <v>880</v>
      </c>
      <c r="F2541" t="s">
        <v>7128</v>
      </c>
      <c r="G2541" s="1">
        <v>45658</v>
      </c>
      <c r="H2541" s="1">
        <v>45672</v>
      </c>
      <c r="I2541" t="s">
        <v>665</v>
      </c>
      <c r="J2541" t="s">
        <v>7129</v>
      </c>
      <c r="K2541" t="s">
        <v>24</v>
      </c>
      <c r="L2541" t="s">
        <v>7624</v>
      </c>
      <c r="M2541" t="s">
        <v>843</v>
      </c>
      <c r="N2541" t="s">
        <v>319</v>
      </c>
      <c r="O2541" t="s">
        <v>810</v>
      </c>
      <c r="P2541" t="s">
        <v>811</v>
      </c>
      <c r="Q2541" t="s">
        <v>8918</v>
      </c>
      <c r="R2541" t="s">
        <v>8919</v>
      </c>
      <c r="S2541" t="s">
        <v>803</v>
      </c>
      <c r="T2541" t="s">
        <v>550</v>
      </c>
      <c r="U2541" t="s">
        <v>550</v>
      </c>
      <c r="V2541" t="s">
        <v>9167</v>
      </c>
      <c r="W2541" t="s">
        <v>813</v>
      </c>
      <c r="Z2541" t="s">
        <v>9165</v>
      </c>
    </row>
    <row r="2542" spans="1:26" x14ac:dyDescent="0.3">
      <c r="A2542" t="s">
        <v>330</v>
      </c>
      <c r="B2542" t="s">
        <v>9168</v>
      </c>
      <c r="C2542" t="s">
        <v>9169</v>
      </c>
      <c r="D2542" t="s">
        <v>7579</v>
      </c>
      <c r="E2542" t="s">
        <v>7580</v>
      </c>
      <c r="F2542" t="s">
        <v>5789</v>
      </c>
      <c r="G2542" s="1">
        <v>45658</v>
      </c>
      <c r="H2542" s="1">
        <v>45690</v>
      </c>
      <c r="I2542" t="s">
        <v>665</v>
      </c>
      <c r="J2542" t="s">
        <v>7581</v>
      </c>
      <c r="K2542" t="s">
        <v>958</v>
      </c>
      <c r="L2542" t="s">
        <v>7624</v>
      </c>
      <c r="M2542" t="s">
        <v>9057</v>
      </c>
      <c r="N2542" t="s">
        <v>9058</v>
      </c>
      <c r="O2542" t="s">
        <v>810</v>
      </c>
      <c r="P2542" t="s">
        <v>811</v>
      </c>
      <c r="Q2542" t="s">
        <v>8918</v>
      </c>
      <c r="R2542" t="s">
        <v>8919</v>
      </c>
      <c r="S2542" t="s">
        <v>803</v>
      </c>
      <c r="T2542" t="s">
        <v>550</v>
      </c>
      <c r="U2542" t="s">
        <v>550</v>
      </c>
      <c r="V2542" t="s">
        <v>9170</v>
      </c>
      <c r="W2542" t="s">
        <v>7194</v>
      </c>
      <c r="Z2542" t="s">
        <v>9168</v>
      </c>
    </row>
    <row r="2543" spans="1:26" x14ac:dyDescent="0.3">
      <c r="A2543" t="s">
        <v>330</v>
      </c>
      <c r="B2543" t="s">
        <v>9171</v>
      </c>
      <c r="C2543" t="s">
        <v>9172</v>
      </c>
      <c r="D2543" t="s">
        <v>8399</v>
      </c>
      <c r="E2543" t="s">
        <v>8400</v>
      </c>
      <c r="F2543" t="s">
        <v>8401</v>
      </c>
      <c r="G2543" s="1">
        <v>45658</v>
      </c>
      <c r="H2543" s="1">
        <v>45901</v>
      </c>
      <c r="I2543" t="s">
        <v>665</v>
      </c>
      <c r="J2543" t="s">
        <v>8402</v>
      </c>
      <c r="K2543" t="s">
        <v>24</v>
      </c>
      <c r="L2543" t="s">
        <v>7624</v>
      </c>
      <c r="M2543" t="s">
        <v>9057</v>
      </c>
      <c r="N2543" t="s">
        <v>9058</v>
      </c>
      <c r="O2543" t="s">
        <v>810</v>
      </c>
      <c r="P2543" t="s">
        <v>811</v>
      </c>
      <c r="Q2543" t="s">
        <v>8918</v>
      </c>
      <c r="R2543" t="s">
        <v>8919</v>
      </c>
      <c r="S2543" t="s">
        <v>803</v>
      </c>
      <c r="T2543" t="s">
        <v>550</v>
      </c>
      <c r="U2543" t="s">
        <v>550</v>
      </c>
      <c r="V2543" t="s">
        <v>9173</v>
      </c>
      <c r="W2543" t="s">
        <v>7194</v>
      </c>
      <c r="Z2543" t="s">
        <v>9171</v>
      </c>
    </row>
    <row r="2544" spans="1:26" x14ac:dyDescent="0.3">
      <c r="A2544" t="s">
        <v>330</v>
      </c>
      <c r="B2544" t="s">
        <v>9174</v>
      </c>
      <c r="C2544" t="s">
        <v>9175</v>
      </c>
      <c r="D2544" t="s">
        <v>8399</v>
      </c>
      <c r="E2544" t="s">
        <v>8400</v>
      </c>
      <c r="F2544" t="s">
        <v>8401</v>
      </c>
      <c r="G2544" s="1">
        <v>46023</v>
      </c>
      <c r="H2544" s="1">
        <v>46126</v>
      </c>
      <c r="I2544" t="s">
        <v>551</v>
      </c>
      <c r="J2544" t="s">
        <v>8402</v>
      </c>
      <c r="K2544" t="s">
        <v>24</v>
      </c>
      <c r="L2544" t="s">
        <v>7624</v>
      </c>
      <c r="M2544" t="s">
        <v>9057</v>
      </c>
      <c r="N2544" t="s">
        <v>9058</v>
      </c>
      <c r="O2544" t="s">
        <v>810</v>
      </c>
      <c r="P2544" t="s">
        <v>811</v>
      </c>
      <c r="Q2544" t="s">
        <v>8918</v>
      </c>
      <c r="R2544" t="s">
        <v>8919</v>
      </c>
      <c r="S2544" t="s">
        <v>803</v>
      </c>
      <c r="T2544" t="s">
        <v>550</v>
      </c>
      <c r="U2544" t="s">
        <v>550</v>
      </c>
      <c r="V2544" t="s">
        <v>9176</v>
      </c>
      <c r="W2544" t="s">
        <v>7194</v>
      </c>
      <c r="Z2544" t="s">
        <v>9174</v>
      </c>
    </row>
    <row r="2545" spans="1:26" x14ac:dyDescent="0.3">
      <c r="A2545" t="s">
        <v>330</v>
      </c>
      <c r="B2545" t="s">
        <v>9177</v>
      </c>
      <c r="C2545" t="s">
        <v>9178</v>
      </c>
      <c r="D2545" t="s">
        <v>8373</v>
      </c>
      <c r="E2545" t="s">
        <v>7153</v>
      </c>
      <c r="F2545" t="s">
        <v>7154</v>
      </c>
      <c r="G2545" s="1">
        <v>45658</v>
      </c>
      <c r="H2545" s="1">
        <v>45685</v>
      </c>
      <c r="I2545" t="s">
        <v>665</v>
      </c>
      <c r="J2545" t="s">
        <v>7155</v>
      </c>
      <c r="K2545" t="s">
        <v>24</v>
      </c>
      <c r="L2545" t="s">
        <v>7624</v>
      </c>
      <c r="M2545" t="s">
        <v>9057</v>
      </c>
      <c r="N2545" t="s">
        <v>9058</v>
      </c>
      <c r="O2545" t="s">
        <v>810</v>
      </c>
      <c r="P2545" t="s">
        <v>811</v>
      </c>
      <c r="Q2545" t="s">
        <v>8918</v>
      </c>
      <c r="R2545" t="s">
        <v>8919</v>
      </c>
      <c r="S2545" t="s">
        <v>803</v>
      </c>
      <c r="T2545" t="s">
        <v>550</v>
      </c>
      <c r="U2545" t="s">
        <v>550</v>
      </c>
      <c r="V2545" t="s">
        <v>9179</v>
      </c>
      <c r="W2545" t="s">
        <v>7194</v>
      </c>
      <c r="Z2545" t="s">
        <v>9177</v>
      </c>
    </row>
    <row r="2546" spans="1:26" x14ac:dyDescent="0.3">
      <c r="A2546" t="s">
        <v>330</v>
      </c>
      <c r="B2546" t="s">
        <v>9180</v>
      </c>
      <c r="C2546" t="s">
        <v>9181</v>
      </c>
      <c r="D2546" t="s">
        <v>9182</v>
      </c>
      <c r="E2546" t="s">
        <v>7585</v>
      </c>
      <c r="F2546" t="s">
        <v>7586</v>
      </c>
      <c r="G2546" s="1">
        <v>45658</v>
      </c>
      <c r="H2546" s="1">
        <v>45927</v>
      </c>
      <c r="I2546" t="s">
        <v>665</v>
      </c>
      <c r="J2546" t="s">
        <v>7580</v>
      </c>
      <c r="K2546" t="s">
        <v>958</v>
      </c>
      <c r="L2546" t="s">
        <v>7624</v>
      </c>
      <c r="M2546" t="s">
        <v>9057</v>
      </c>
      <c r="N2546" t="s">
        <v>9058</v>
      </c>
      <c r="O2546" t="s">
        <v>810</v>
      </c>
      <c r="P2546" t="s">
        <v>811</v>
      </c>
      <c r="Q2546" t="s">
        <v>8918</v>
      </c>
      <c r="R2546" t="s">
        <v>8919</v>
      </c>
      <c r="S2546" t="s">
        <v>803</v>
      </c>
      <c r="T2546" t="s">
        <v>550</v>
      </c>
      <c r="U2546" t="s">
        <v>550</v>
      </c>
      <c r="V2546" t="s">
        <v>9183</v>
      </c>
      <c r="W2546" t="s">
        <v>7194</v>
      </c>
      <c r="Z2546" t="s">
        <v>9180</v>
      </c>
    </row>
    <row r="2547" spans="1:26" x14ac:dyDescent="0.3">
      <c r="A2547" t="s">
        <v>330</v>
      </c>
      <c r="B2547" t="s">
        <v>9184</v>
      </c>
      <c r="C2547" t="s">
        <v>9185</v>
      </c>
      <c r="D2547" t="s">
        <v>8419</v>
      </c>
      <c r="E2547" t="s">
        <v>7585</v>
      </c>
      <c r="F2547" t="s">
        <v>7586</v>
      </c>
      <c r="G2547" s="1">
        <v>46023</v>
      </c>
      <c r="H2547" s="1">
        <v>46023</v>
      </c>
      <c r="I2547" t="s">
        <v>551</v>
      </c>
      <c r="J2547" t="s">
        <v>7580</v>
      </c>
      <c r="K2547" t="s">
        <v>958</v>
      </c>
      <c r="L2547" t="s">
        <v>7624</v>
      </c>
      <c r="M2547" t="s">
        <v>9057</v>
      </c>
      <c r="N2547" t="s">
        <v>9058</v>
      </c>
      <c r="O2547" t="s">
        <v>810</v>
      </c>
      <c r="P2547" t="s">
        <v>811</v>
      </c>
      <c r="Q2547" t="s">
        <v>8918</v>
      </c>
      <c r="R2547" t="s">
        <v>8919</v>
      </c>
      <c r="S2547" t="s">
        <v>803</v>
      </c>
      <c r="T2547" t="s">
        <v>550</v>
      </c>
      <c r="U2547" t="s">
        <v>550</v>
      </c>
      <c r="V2547" t="s">
        <v>9186</v>
      </c>
      <c r="W2547" t="s">
        <v>7194</v>
      </c>
      <c r="Z2547" t="s">
        <v>9184</v>
      </c>
    </row>
    <row r="2548" spans="1:26" x14ac:dyDescent="0.3">
      <c r="A2548" t="s">
        <v>330</v>
      </c>
      <c r="B2548" t="s">
        <v>9187</v>
      </c>
      <c r="C2548" t="s">
        <v>9188</v>
      </c>
      <c r="D2548" t="s">
        <v>9184</v>
      </c>
      <c r="E2548" t="s">
        <v>7585</v>
      </c>
      <c r="F2548" t="s">
        <v>7586</v>
      </c>
      <c r="G2548" s="1">
        <v>46023</v>
      </c>
      <c r="H2548" s="1">
        <v>46339</v>
      </c>
      <c r="I2548" t="s">
        <v>551</v>
      </c>
      <c r="J2548" t="s">
        <v>7580</v>
      </c>
      <c r="K2548" t="s">
        <v>958</v>
      </c>
      <c r="L2548" t="s">
        <v>7624</v>
      </c>
      <c r="M2548" t="s">
        <v>9057</v>
      </c>
      <c r="N2548" t="s">
        <v>9058</v>
      </c>
      <c r="O2548" t="s">
        <v>810</v>
      </c>
      <c r="P2548" t="s">
        <v>811</v>
      </c>
      <c r="Q2548" t="s">
        <v>8918</v>
      </c>
      <c r="R2548" t="s">
        <v>8919</v>
      </c>
      <c r="S2548" t="s">
        <v>803</v>
      </c>
      <c r="T2548" t="s">
        <v>550</v>
      </c>
      <c r="U2548" t="s">
        <v>550</v>
      </c>
      <c r="V2548" t="s">
        <v>9189</v>
      </c>
      <c r="W2548" t="s">
        <v>7194</v>
      </c>
      <c r="Z2548" t="s">
        <v>9187</v>
      </c>
    </row>
    <row r="2549" spans="1:26" x14ac:dyDescent="0.3">
      <c r="A2549" t="s">
        <v>330</v>
      </c>
      <c r="B2549" t="s">
        <v>9190</v>
      </c>
      <c r="C2549" t="s">
        <v>9191</v>
      </c>
      <c r="D2549" t="s">
        <v>550</v>
      </c>
      <c r="E2549" t="s">
        <v>9192</v>
      </c>
      <c r="F2549" t="s">
        <v>9193</v>
      </c>
      <c r="G2549" s="1">
        <v>45658</v>
      </c>
      <c r="H2549" s="1">
        <v>45658</v>
      </c>
      <c r="I2549" t="s">
        <v>551</v>
      </c>
      <c r="J2549" t="s">
        <v>9194</v>
      </c>
      <c r="K2549" t="s">
        <v>24</v>
      </c>
      <c r="L2549" t="s">
        <v>7624</v>
      </c>
      <c r="M2549" t="s">
        <v>9057</v>
      </c>
      <c r="N2549" t="s">
        <v>9058</v>
      </c>
      <c r="O2549" t="s">
        <v>810</v>
      </c>
      <c r="P2549" t="s">
        <v>811</v>
      </c>
      <c r="Q2549" t="s">
        <v>8918</v>
      </c>
      <c r="R2549" t="s">
        <v>8919</v>
      </c>
      <c r="S2549" t="s">
        <v>803</v>
      </c>
      <c r="T2549" t="s">
        <v>550</v>
      </c>
      <c r="U2549" t="s">
        <v>550</v>
      </c>
      <c r="V2549" t="s">
        <v>9195</v>
      </c>
      <c r="W2549" t="s">
        <v>7194</v>
      </c>
      <c r="Z2549" t="s">
        <v>9190</v>
      </c>
    </row>
    <row r="2550" spans="1:26" x14ac:dyDescent="0.3">
      <c r="A2550" t="s">
        <v>330</v>
      </c>
      <c r="B2550" t="s">
        <v>9196</v>
      </c>
      <c r="C2550" t="s">
        <v>9197</v>
      </c>
      <c r="D2550" t="s">
        <v>9190</v>
      </c>
      <c r="E2550" t="s">
        <v>9192</v>
      </c>
      <c r="F2550" t="s">
        <v>9193</v>
      </c>
      <c r="G2550" s="1">
        <v>45870</v>
      </c>
      <c r="H2550" s="1">
        <v>45901</v>
      </c>
      <c r="I2550" t="s">
        <v>665</v>
      </c>
      <c r="J2550" t="s">
        <v>9194</v>
      </c>
      <c r="K2550" t="s">
        <v>24</v>
      </c>
      <c r="L2550" t="s">
        <v>7624</v>
      </c>
      <c r="M2550" t="s">
        <v>9057</v>
      </c>
      <c r="N2550" t="s">
        <v>9058</v>
      </c>
      <c r="O2550" t="s">
        <v>810</v>
      </c>
      <c r="P2550" t="s">
        <v>811</v>
      </c>
      <c r="Q2550" t="s">
        <v>8918</v>
      </c>
      <c r="R2550" t="s">
        <v>8919</v>
      </c>
      <c r="S2550" t="s">
        <v>803</v>
      </c>
      <c r="T2550" t="s">
        <v>550</v>
      </c>
      <c r="U2550" t="s">
        <v>550</v>
      </c>
      <c r="V2550" t="s">
        <v>9198</v>
      </c>
      <c r="W2550" t="s">
        <v>7194</v>
      </c>
      <c r="Z2550" t="s">
        <v>9196</v>
      </c>
    </row>
    <row r="2551" spans="1:26" x14ac:dyDescent="0.3">
      <c r="A2551" t="s">
        <v>330</v>
      </c>
      <c r="B2551" t="s">
        <v>9199</v>
      </c>
      <c r="C2551" t="s">
        <v>9200</v>
      </c>
      <c r="D2551" t="s">
        <v>9190</v>
      </c>
      <c r="E2551" t="s">
        <v>9192</v>
      </c>
      <c r="F2551" t="s">
        <v>9193</v>
      </c>
      <c r="G2551" s="1">
        <v>46023</v>
      </c>
      <c r="H2551" s="1">
        <v>46054</v>
      </c>
      <c r="I2551" t="s">
        <v>551</v>
      </c>
      <c r="J2551" t="s">
        <v>9194</v>
      </c>
      <c r="K2551" t="s">
        <v>24</v>
      </c>
      <c r="L2551" t="s">
        <v>7624</v>
      </c>
      <c r="M2551" t="s">
        <v>9057</v>
      </c>
      <c r="N2551" t="s">
        <v>9058</v>
      </c>
      <c r="O2551" t="s">
        <v>810</v>
      </c>
      <c r="P2551" t="s">
        <v>811</v>
      </c>
      <c r="Q2551" t="s">
        <v>8918</v>
      </c>
      <c r="R2551" t="s">
        <v>8919</v>
      </c>
      <c r="S2551" t="s">
        <v>803</v>
      </c>
      <c r="T2551" t="s">
        <v>550</v>
      </c>
      <c r="U2551" t="s">
        <v>550</v>
      </c>
      <c r="V2551" t="s">
        <v>9201</v>
      </c>
      <c r="W2551" t="s">
        <v>7194</v>
      </c>
      <c r="Z2551" t="s">
        <v>9199</v>
      </c>
    </row>
    <row r="2552" spans="1:26" x14ac:dyDescent="0.3">
      <c r="A2552" t="s">
        <v>330</v>
      </c>
      <c r="B2552" t="s">
        <v>9202</v>
      </c>
      <c r="C2552" t="s">
        <v>9203</v>
      </c>
      <c r="D2552" t="s">
        <v>9204</v>
      </c>
      <c r="E2552" t="s">
        <v>8769</v>
      </c>
      <c r="F2552" t="s">
        <v>7148</v>
      </c>
      <c r="G2552" s="1">
        <v>46023</v>
      </c>
      <c r="H2552" s="1">
        <v>46067</v>
      </c>
      <c r="I2552" t="s">
        <v>551</v>
      </c>
      <c r="J2552" t="s">
        <v>8507</v>
      </c>
      <c r="K2552" t="s">
        <v>24</v>
      </c>
      <c r="L2552" t="s">
        <v>7624</v>
      </c>
      <c r="M2552" t="s">
        <v>9057</v>
      </c>
      <c r="N2552" t="s">
        <v>9058</v>
      </c>
      <c r="O2552" t="s">
        <v>810</v>
      </c>
      <c r="P2552" t="s">
        <v>811</v>
      </c>
      <c r="Q2552" t="s">
        <v>8918</v>
      </c>
      <c r="R2552" t="s">
        <v>8919</v>
      </c>
      <c r="S2552" t="s">
        <v>803</v>
      </c>
      <c r="T2552" t="s">
        <v>550</v>
      </c>
      <c r="U2552" t="s">
        <v>550</v>
      </c>
      <c r="V2552" t="s">
        <v>9205</v>
      </c>
      <c r="W2552" t="s">
        <v>7194</v>
      </c>
      <c r="Z2552" t="s">
        <v>9202</v>
      </c>
    </row>
    <row r="2553" spans="1:26" x14ac:dyDescent="0.3">
      <c r="A2553" t="s">
        <v>330</v>
      </c>
      <c r="B2553" t="s">
        <v>9206</v>
      </c>
      <c r="C2553" t="s">
        <v>9207</v>
      </c>
      <c r="D2553" t="s">
        <v>9204</v>
      </c>
      <c r="E2553" t="s">
        <v>9208</v>
      </c>
      <c r="F2553" t="s">
        <v>6638</v>
      </c>
      <c r="G2553" s="1">
        <v>46023</v>
      </c>
      <c r="H2553" s="1">
        <v>46025</v>
      </c>
      <c r="I2553" t="s">
        <v>551</v>
      </c>
      <c r="J2553" t="s">
        <v>9133</v>
      </c>
      <c r="K2553" t="s">
        <v>24</v>
      </c>
      <c r="L2553" t="s">
        <v>7624</v>
      </c>
      <c r="M2553" t="s">
        <v>9057</v>
      </c>
      <c r="N2553" t="s">
        <v>9058</v>
      </c>
      <c r="O2553" t="s">
        <v>810</v>
      </c>
      <c r="P2553" t="s">
        <v>811</v>
      </c>
      <c r="Q2553" t="s">
        <v>8918</v>
      </c>
      <c r="R2553" t="s">
        <v>8919</v>
      </c>
      <c r="S2553" t="s">
        <v>803</v>
      </c>
      <c r="T2553" t="s">
        <v>550</v>
      </c>
      <c r="U2553" t="s">
        <v>550</v>
      </c>
      <c r="V2553" t="s">
        <v>9209</v>
      </c>
      <c r="W2553" t="s">
        <v>7194</v>
      </c>
      <c r="Z2553" t="s">
        <v>9206</v>
      </c>
    </row>
    <row r="2554" spans="1:26" x14ac:dyDescent="0.3">
      <c r="A2554" t="s">
        <v>330</v>
      </c>
      <c r="B2554" t="s">
        <v>8699</v>
      </c>
      <c r="C2554" t="s">
        <v>9210</v>
      </c>
      <c r="D2554" t="s">
        <v>550</v>
      </c>
      <c r="E2554" t="s">
        <v>7088</v>
      </c>
      <c r="F2554" t="s">
        <v>7089</v>
      </c>
      <c r="G2554" s="1">
        <v>45566</v>
      </c>
      <c r="H2554" s="1">
        <v>45566</v>
      </c>
      <c r="I2554" t="s">
        <v>551</v>
      </c>
      <c r="J2554" t="s">
        <v>8700</v>
      </c>
      <c r="K2554" t="s">
        <v>24</v>
      </c>
      <c r="L2554" t="s">
        <v>7624</v>
      </c>
      <c r="M2554" t="s">
        <v>881</v>
      </c>
      <c r="N2554" t="s">
        <v>882</v>
      </c>
      <c r="O2554" t="s">
        <v>810</v>
      </c>
      <c r="P2554" t="s">
        <v>811</v>
      </c>
      <c r="Q2554" t="s">
        <v>8918</v>
      </c>
      <c r="R2554" t="s">
        <v>8919</v>
      </c>
      <c r="S2554" t="s">
        <v>803</v>
      </c>
      <c r="T2554" t="s">
        <v>550</v>
      </c>
      <c r="U2554" t="s">
        <v>550</v>
      </c>
      <c r="V2554" t="s">
        <v>9211</v>
      </c>
      <c r="W2554" t="s">
        <v>7092</v>
      </c>
      <c r="Z2554" t="s">
        <v>8699</v>
      </c>
    </row>
    <row r="2555" spans="1:26" x14ac:dyDescent="0.3">
      <c r="A2555" t="s">
        <v>330</v>
      </c>
      <c r="B2555" t="s">
        <v>8481</v>
      </c>
      <c r="C2555" t="s">
        <v>9212</v>
      </c>
      <c r="D2555" t="s">
        <v>550</v>
      </c>
      <c r="E2555" t="s">
        <v>6417</v>
      </c>
      <c r="F2555" t="s">
        <v>1040</v>
      </c>
      <c r="G2555" s="1">
        <v>45293</v>
      </c>
      <c r="H2555" s="1">
        <v>45293</v>
      </c>
      <c r="I2555" t="s">
        <v>551</v>
      </c>
      <c r="J2555" t="s">
        <v>6418</v>
      </c>
      <c r="K2555" t="s">
        <v>958</v>
      </c>
      <c r="L2555" t="s">
        <v>6502</v>
      </c>
      <c r="M2555" t="s">
        <v>843</v>
      </c>
      <c r="N2555" t="s">
        <v>319</v>
      </c>
      <c r="O2555" t="s">
        <v>810</v>
      </c>
      <c r="P2555" t="s">
        <v>811</v>
      </c>
      <c r="Q2555" t="s">
        <v>8918</v>
      </c>
      <c r="R2555" t="s">
        <v>8919</v>
      </c>
      <c r="S2555" t="s">
        <v>550</v>
      </c>
      <c r="T2555" t="s">
        <v>550</v>
      </c>
      <c r="U2555" t="s">
        <v>550</v>
      </c>
      <c r="V2555" t="s">
        <v>9213</v>
      </c>
      <c r="W2555" t="s">
        <v>7092</v>
      </c>
      <c r="X2555" t="s">
        <v>8484</v>
      </c>
      <c r="Z2555" t="s">
        <v>8481</v>
      </c>
    </row>
    <row r="2556" spans="1:26" x14ac:dyDescent="0.3">
      <c r="A2556" t="s">
        <v>330</v>
      </c>
      <c r="B2556" t="s">
        <v>9214</v>
      </c>
      <c r="C2556" t="s">
        <v>9215</v>
      </c>
      <c r="D2556" t="s">
        <v>550</v>
      </c>
      <c r="E2556" t="s">
        <v>9216</v>
      </c>
      <c r="F2556" t="s">
        <v>9217</v>
      </c>
      <c r="G2556" s="1">
        <v>45717</v>
      </c>
      <c r="H2556" s="1">
        <v>45728</v>
      </c>
      <c r="I2556" t="s">
        <v>665</v>
      </c>
      <c r="J2556" t="s">
        <v>9218</v>
      </c>
      <c r="K2556" t="s">
        <v>4782</v>
      </c>
      <c r="L2556" t="s">
        <v>842</v>
      </c>
      <c r="M2556" t="s">
        <v>843</v>
      </c>
      <c r="N2556" t="s">
        <v>319</v>
      </c>
      <c r="O2556" t="s">
        <v>810</v>
      </c>
      <c r="P2556" t="s">
        <v>811</v>
      </c>
      <c r="Q2556" t="s">
        <v>8918</v>
      </c>
      <c r="R2556" t="s">
        <v>8919</v>
      </c>
      <c r="S2556" t="s">
        <v>803</v>
      </c>
      <c r="T2556" t="s">
        <v>847</v>
      </c>
      <c r="U2556" t="s">
        <v>550</v>
      </c>
      <c r="V2556" t="s">
        <v>9219</v>
      </c>
      <c r="W2556" t="s">
        <v>813</v>
      </c>
      <c r="Z2556" t="s">
        <v>9214</v>
      </c>
    </row>
    <row r="2557" spans="1:26" x14ac:dyDescent="0.3">
      <c r="A2557" t="s">
        <v>330</v>
      </c>
      <c r="B2557" t="s">
        <v>8915</v>
      </c>
      <c r="C2557" t="s">
        <v>9220</v>
      </c>
      <c r="D2557" t="s">
        <v>550</v>
      </c>
      <c r="E2557" t="s">
        <v>840</v>
      </c>
      <c r="F2557" t="s">
        <v>1375</v>
      </c>
      <c r="G2557" s="1">
        <v>45658</v>
      </c>
      <c r="H2557" s="1">
        <v>45658</v>
      </c>
      <c r="I2557" t="s">
        <v>551</v>
      </c>
      <c r="J2557" t="s">
        <v>8464</v>
      </c>
      <c r="K2557" t="s">
        <v>862</v>
      </c>
      <c r="L2557" t="s">
        <v>842</v>
      </c>
      <c r="M2557" t="s">
        <v>843</v>
      </c>
      <c r="N2557" t="s">
        <v>319</v>
      </c>
      <c r="O2557" t="s">
        <v>810</v>
      </c>
      <c r="P2557" t="s">
        <v>811</v>
      </c>
      <c r="Q2557" t="s">
        <v>8918</v>
      </c>
      <c r="R2557" t="s">
        <v>8919</v>
      </c>
      <c r="S2557" t="s">
        <v>803</v>
      </c>
      <c r="T2557" t="s">
        <v>550</v>
      </c>
      <c r="U2557" t="s">
        <v>550</v>
      </c>
      <c r="V2557" t="s">
        <v>9221</v>
      </c>
      <c r="W2557" t="s">
        <v>813</v>
      </c>
      <c r="Z2557" t="s">
        <v>8915</v>
      </c>
    </row>
    <row r="2558" spans="1:26" x14ac:dyDescent="0.3">
      <c r="A2558" t="s">
        <v>330</v>
      </c>
      <c r="B2558" t="s">
        <v>9222</v>
      </c>
      <c r="C2558" t="s">
        <v>9223</v>
      </c>
      <c r="D2558" t="s">
        <v>8915</v>
      </c>
      <c r="E2558" t="s">
        <v>840</v>
      </c>
      <c r="F2558" t="s">
        <v>1375</v>
      </c>
      <c r="G2558" s="1">
        <v>45658</v>
      </c>
      <c r="H2558" s="1">
        <v>45693</v>
      </c>
      <c r="I2558" t="s">
        <v>665</v>
      </c>
      <c r="J2558" t="s">
        <v>8464</v>
      </c>
      <c r="K2558" t="s">
        <v>862</v>
      </c>
      <c r="L2558" t="s">
        <v>842</v>
      </c>
      <c r="M2558" t="s">
        <v>843</v>
      </c>
      <c r="N2558" t="s">
        <v>319</v>
      </c>
      <c r="O2558" t="s">
        <v>810</v>
      </c>
      <c r="P2558" t="s">
        <v>811</v>
      </c>
      <c r="Q2558" t="s">
        <v>8918</v>
      </c>
      <c r="R2558" t="s">
        <v>8919</v>
      </c>
      <c r="S2558" t="s">
        <v>803</v>
      </c>
      <c r="T2558" t="s">
        <v>847</v>
      </c>
      <c r="U2558" t="s">
        <v>550</v>
      </c>
      <c r="V2558" t="s">
        <v>9224</v>
      </c>
      <c r="W2558" t="s">
        <v>813</v>
      </c>
      <c r="Z2558" t="s">
        <v>9222</v>
      </c>
    </row>
    <row r="2559" spans="1:26" x14ac:dyDescent="0.3">
      <c r="A2559" t="s">
        <v>330</v>
      </c>
      <c r="B2559" t="s">
        <v>9225</v>
      </c>
      <c r="C2559" t="s">
        <v>9226</v>
      </c>
      <c r="D2559" t="s">
        <v>8448</v>
      </c>
      <c r="E2559" t="s">
        <v>8402</v>
      </c>
      <c r="F2559" t="s">
        <v>1319</v>
      </c>
      <c r="G2559" s="1">
        <v>45658</v>
      </c>
      <c r="H2559" s="1">
        <v>45670</v>
      </c>
      <c r="I2559" t="s">
        <v>665</v>
      </c>
      <c r="J2559" t="s">
        <v>7190</v>
      </c>
      <c r="K2559" t="s">
        <v>24</v>
      </c>
      <c r="L2559" t="s">
        <v>7624</v>
      </c>
      <c r="M2559" t="s">
        <v>843</v>
      </c>
      <c r="N2559" t="s">
        <v>319</v>
      </c>
      <c r="O2559" t="s">
        <v>810</v>
      </c>
      <c r="P2559" t="s">
        <v>811</v>
      </c>
      <c r="Q2559" t="s">
        <v>8918</v>
      </c>
      <c r="R2559" t="s">
        <v>8919</v>
      </c>
      <c r="S2559" t="s">
        <v>7208</v>
      </c>
      <c r="T2559" t="s">
        <v>550</v>
      </c>
      <c r="U2559" t="s">
        <v>550</v>
      </c>
      <c r="V2559" t="s">
        <v>9227</v>
      </c>
      <c r="W2559" t="s">
        <v>813</v>
      </c>
      <c r="Z2559" t="s">
        <v>9225</v>
      </c>
    </row>
    <row r="2560" spans="1:26" x14ac:dyDescent="0.3">
      <c r="A2560" t="s">
        <v>330</v>
      </c>
      <c r="B2560" t="s">
        <v>9228</v>
      </c>
      <c r="C2560" t="s">
        <v>9229</v>
      </c>
      <c r="D2560" t="s">
        <v>8448</v>
      </c>
      <c r="E2560" t="s">
        <v>8402</v>
      </c>
      <c r="F2560" t="s">
        <v>1319</v>
      </c>
      <c r="G2560" s="1">
        <v>46023</v>
      </c>
      <c r="H2560" s="1">
        <v>46046</v>
      </c>
      <c r="I2560" t="s">
        <v>551</v>
      </c>
      <c r="J2560" t="s">
        <v>7190</v>
      </c>
      <c r="K2560" t="s">
        <v>24</v>
      </c>
      <c r="L2560" t="s">
        <v>7624</v>
      </c>
      <c r="M2560" t="s">
        <v>843</v>
      </c>
      <c r="N2560" t="s">
        <v>319</v>
      </c>
      <c r="O2560" t="s">
        <v>810</v>
      </c>
      <c r="P2560" t="s">
        <v>811</v>
      </c>
      <c r="Q2560" t="s">
        <v>8918</v>
      </c>
      <c r="R2560" t="s">
        <v>8919</v>
      </c>
      <c r="S2560" t="s">
        <v>7208</v>
      </c>
      <c r="T2560" t="s">
        <v>550</v>
      </c>
      <c r="U2560" t="s">
        <v>550</v>
      </c>
      <c r="V2560" t="s">
        <v>9230</v>
      </c>
      <c r="W2560" t="s">
        <v>813</v>
      </c>
      <c r="Z2560" t="s">
        <v>9228</v>
      </c>
    </row>
    <row r="2561" spans="1:26" x14ac:dyDescent="0.3">
      <c r="A2561" t="s">
        <v>330</v>
      </c>
      <c r="B2561" t="s">
        <v>9231</v>
      </c>
      <c r="C2561" t="s">
        <v>9232</v>
      </c>
      <c r="D2561" t="s">
        <v>8515</v>
      </c>
      <c r="E2561" t="s">
        <v>7142</v>
      </c>
      <c r="F2561" t="s">
        <v>7143</v>
      </c>
      <c r="G2561" s="1">
        <v>45658</v>
      </c>
      <c r="H2561" s="1">
        <v>45679</v>
      </c>
      <c r="I2561" t="s">
        <v>665</v>
      </c>
      <c r="J2561" t="s">
        <v>7144</v>
      </c>
      <c r="K2561" t="s">
        <v>24</v>
      </c>
      <c r="L2561" t="s">
        <v>7624</v>
      </c>
      <c r="M2561" t="s">
        <v>843</v>
      </c>
      <c r="N2561" t="s">
        <v>319</v>
      </c>
      <c r="O2561" t="s">
        <v>810</v>
      </c>
      <c r="P2561" t="s">
        <v>811</v>
      </c>
      <c r="Q2561" t="s">
        <v>8918</v>
      </c>
      <c r="R2561" t="s">
        <v>8919</v>
      </c>
      <c r="S2561" t="s">
        <v>803</v>
      </c>
      <c r="T2561" t="s">
        <v>550</v>
      </c>
      <c r="U2561" t="s">
        <v>550</v>
      </c>
      <c r="V2561" t="s">
        <v>9233</v>
      </c>
      <c r="W2561" t="s">
        <v>813</v>
      </c>
      <c r="Z2561" t="s">
        <v>9231</v>
      </c>
    </row>
    <row r="2562" spans="1:26" x14ac:dyDescent="0.3">
      <c r="A2562" t="s">
        <v>330</v>
      </c>
      <c r="B2562" t="s">
        <v>9234</v>
      </c>
      <c r="C2562" t="s">
        <v>9235</v>
      </c>
      <c r="D2562" t="s">
        <v>8515</v>
      </c>
      <c r="E2562" t="s">
        <v>7142</v>
      </c>
      <c r="F2562" t="s">
        <v>7143</v>
      </c>
      <c r="G2562" s="1">
        <v>46036</v>
      </c>
      <c r="H2562" s="1">
        <v>46044</v>
      </c>
      <c r="I2562" t="s">
        <v>551</v>
      </c>
      <c r="J2562" t="s">
        <v>7144</v>
      </c>
      <c r="K2562" t="s">
        <v>24</v>
      </c>
      <c r="L2562" t="s">
        <v>7624</v>
      </c>
      <c r="M2562" t="s">
        <v>843</v>
      </c>
      <c r="N2562" t="s">
        <v>319</v>
      </c>
      <c r="O2562" t="s">
        <v>810</v>
      </c>
      <c r="P2562" t="s">
        <v>811</v>
      </c>
      <c r="Q2562" t="s">
        <v>8918</v>
      </c>
      <c r="R2562" t="s">
        <v>8919</v>
      </c>
      <c r="S2562" t="s">
        <v>803</v>
      </c>
      <c r="T2562" t="s">
        <v>550</v>
      </c>
      <c r="U2562" t="s">
        <v>550</v>
      </c>
      <c r="V2562" t="s">
        <v>9236</v>
      </c>
      <c r="W2562" t="s">
        <v>813</v>
      </c>
      <c r="Z2562" t="s">
        <v>9234</v>
      </c>
    </row>
    <row r="2563" spans="1:26" x14ac:dyDescent="0.3">
      <c r="A2563" t="s">
        <v>330</v>
      </c>
      <c r="B2563" t="s">
        <v>9237</v>
      </c>
      <c r="C2563" t="s">
        <v>9238</v>
      </c>
      <c r="D2563" t="s">
        <v>8511</v>
      </c>
      <c r="E2563" t="s">
        <v>7153</v>
      </c>
      <c r="F2563" t="s">
        <v>7154</v>
      </c>
      <c r="G2563" s="1">
        <v>45658</v>
      </c>
      <c r="H2563" s="1">
        <v>45669</v>
      </c>
      <c r="I2563" t="s">
        <v>665</v>
      </c>
      <c r="J2563" t="s">
        <v>7155</v>
      </c>
      <c r="K2563" t="s">
        <v>24</v>
      </c>
      <c r="L2563" t="s">
        <v>7624</v>
      </c>
      <c r="M2563" t="s">
        <v>843</v>
      </c>
      <c r="N2563" t="s">
        <v>319</v>
      </c>
      <c r="O2563" t="s">
        <v>810</v>
      </c>
      <c r="P2563" t="s">
        <v>811</v>
      </c>
      <c r="Q2563" t="s">
        <v>8918</v>
      </c>
      <c r="R2563" t="s">
        <v>8919</v>
      </c>
      <c r="S2563" t="s">
        <v>803</v>
      </c>
      <c r="T2563" t="s">
        <v>550</v>
      </c>
      <c r="U2563" t="s">
        <v>550</v>
      </c>
      <c r="V2563" t="s">
        <v>9239</v>
      </c>
      <c r="W2563" t="s">
        <v>813</v>
      </c>
      <c r="Z2563" t="s">
        <v>9237</v>
      </c>
    </row>
    <row r="2564" spans="1:26" x14ac:dyDescent="0.3">
      <c r="A2564" t="s">
        <v>330</v>
      </c>
      <c r="B2564" t="s">
        <v>9240</v>
      </c>
      <c r="C2564" t="s">
        <v>9241</v>
      </c>
      <c r="D2564" t="s">
        <v>8511</v>
      </c>
      <c r="E2564" t="s">
        <v>7153</v>
      </c>
      <c r="F2564" t="s">
        <v>7154</v>
      </c>
      <c r="G2564" s="1">
        <v>46023</v>
      </c>
      <c r="H2564" s="1">
        <v>46062</v>
      </c>
      <c r="I2564" t="s">
        <v>551</v>
      </c>
      <c r="J2564" t="s">
        <v>7155</v>
      </c>
      <c r="K2564" t="s">
        <v>24</v>
      </c>
      <c r="L2564" t="s">
        <v>7624</v>
      </c>
      <c r="M2564" t="s">
        <v>843</v>
      </c>
      <c r="N2564" t="s">
        <v>319</v>
      </c>
      <c r="O2564" t="s">
        <v>810</v>
      </c>
      <c r="P2564" t="s">
        <v>811</v>
      </c>
      <c r="Q2564" t="s">
        <v>8918</v>
      </c>
      <c r="R2564" t="s">
        <v>8919</v>
      </c>
      <c r="S2564" t="s">
        <v>803</v>
      </c>
      <c r="T2564" t="s">
        <v>550</v>
      </c>
      <c r="U2564" t="s">
        <v>550</v>
      </c>
      <c r="V2564" t="s">
        <v>9242</v>
      </c>
      <c r="W2564" t="s">
        <v>813</v>
      </c>
      <c r="Z2564" t="s">
        <v>9240</v>
      </c>
    </row>
    <row r="2565" spans="1:26" x14ac:dyDescent="0.3">
      <c r="A2565" t="s">
        <v>330</v>
      </c>
      <c r="B2565" t="s">
        <v>9243</v>
      </c>
      <c r="C2565" t="s">
        <v>9244</v>
      </c>
      <c r="D2565" t="s">
        <v>8506</v>
      </c>
      <c r="E2565" t="s">
        <v>8507</v>
      </c>
      <c r="F2565" t="s">
        <v>2826</v>
      </c>
      <c r="G2565" s="1">
        <v>45658</v>
      </c>
      <c r="H2565" s="1">
        <v>45711</v>
      </c>
      <c r="I2565" t="s">
        <v>665</v>
      </c>
      <c r="J2565" t="s">
        <v>7185</v>
      </c>
      <c r="K2565" t="s">
        <v>24</v>
      </c>
      <c r="L2565" t="s">
        <v>7624</v>
      </c>
      <c r="M2565" t="s">
        <v>843</v>
      </c>
      <c r="N2565" t="s">
        <v>319</v>
      </c>
      <c r="O2565" t="s">
        <v>810</v>
      </c>
      <c r="P2565" t="s">
        <v>811</v>
      </c>
      <c r="Q2565" t="s">
        <v>8918</v>
      </c>
      <c r="R2565" t="s">
        <v>8919</v>
      </c>
      <c r="S2565" t="s">
        <v>803</v>
      </c>
      <c r="T2565" t="s">
        <v>550</v>
      </c>
      <c r="U2565" t="s">
        <v>550</v>
      </c>
      <c r="V2565" t="s">
        <v>9245</v>
      </c>
      <c r="W2565" t="s">
        <v>813</v>
      </c>
      <c r="Z2565" t="s">
        <v>9243</v>
      </c>
    </row>
    <row r="2566" spans="1:26" x14ac:dyDescent="0.3">
      <c r="A2566" t="s">
        <v>330</v>
      </c>
      <c r="B2566" t="s">
        <v>9246</v>
      </c>
      <c r="C2566" t="s">
        <v>9247</v>
      </c>
      <c r="D2566" t="s">
        <v>8506</v>
      </c>
      <c r="E2566" t="s">
        <v>8507</v>
      </c>
      <c r="F2566" t="s">
        <v>2826</v>
      </c>
      <c r="G2566" s="1">
        <v>46023</v>
      </c>
      <c r="H2566" s="1">
        <v>46038</v>
      </c>
      <c r="I2566" t="s">
        <v>551</v>
      </c>
      <c r="J2566" t="s">
        <v>7185</v>
      </c>
      <c r="K2566" t="s">
        <v>24</v>
      </c>
      <c r="L2566" t="s">
        <v>7624</v>
      </c>
      <c r="M2566" t="s">
        <v>843</v>
      </c>
      <c r="N2566" t="s">
        <v>319</v>
      </c>
      <c r="O2566" t="s">
        <v>810</v>
      </c>
      <c r="P2566" t="s">
        <v>811</v>
      </c>
      <c r="Q2566" t="s">
        <v>8918</v>
      </c>
      <c r="R2566" t="s">
        <v>8919</v>
      </c>
      <c r="S2566" t="s">
        <v>803</v>
      </c>
      <c r="T2566" t="s">
        <v>550</v>
      </c>
      <c r="U2566" t="s">
        <v>550</v>
      </c>
      <c r="V2566" t="s">
        <v>9248</v>
      </c>
      <c r="W2566" t="s">
        <v>813</v>
      </c>
      <c r="Z2566" t="s">
        <v>9246</v>
      </c>
    </row>
    <row r="2567" spans="1:26" x14ac:dyDescent="0.3">
      <c r="A2567" t="s">
        <v>330</v>
      </c>
      <c r="B2567" t="s">
        <v>8515</v>
      </c>
      <c r="C2567" t="s">
        <v>9249</v>
      </c>
      <c r="D2567" t="s">
        <v>550</v>
      </c>
      <c r="E2567" t="s">
        <v>7142</v>
      </c>
      <c r="F2567" t="s">
        <v>7143</v>
      </c>
      <c r="G2567" s="1">
        <v>45201</v>
      </c>
      <c r="H2567" s="1">
        <v>45201</v>
      </c>
      <c r="I2567" t="s">
        <v>551</v>
      </c>
      <c r="J2567" t="s">
        <v>7144</v>
      </c>
      <c r="K2567" t="s">
        <v>24</v>
      </c>
      <c r="L2567" t="s">
        <v>809</v>
      </c>
      <c r="M2567" t="s">
        <v>843</v>
      </c>
      <c r="N2567" t="s">
        <v>319</v>
      </c>
      <c r="O2567" t="s">
        <v>810</v>
      </c>
      <c r="P2567" t="s">
        <v>811</v>
      </c>
      <c r="Q2567" t="s">
        <v>8918</v>
      </c>
      <c r="R2567" t="s">
        <v>8919</v>
      </c>
      <c r="S2567" t="s">
        <v>803</v>
      </c>
      <c r="T2567" t="s">
        <v>550</v>
      </c>
      <c r="U2567" t="s">
        <v>550</v>
      </c>
      <c r="V2567" t="s">
        <v>9250</v>
      </c>
      <c r="W2567" t="s">
        <v>813</v>
      </c>
      <c r="Z2567" t="s">
        <v>8515</v>
      </c>
    </row>
    <row r="2568" spans="1:26" x14ac:dyDescent="0.3">
      <c r="A2568" t="s">
        <v>330</v>
      </c>
      <c r="B2568" t="s">
        <v>9251</v>
      </c>
      <c r="C2568" t="s">
        <v>9252</v>
      </c>
      <c r="D2568" t="s">
        <v>804</v>
      </c>
      <c r="E2568" t="s">
        <v>806</v>
      </c>
      <c r="F2568" t="s">
        <v>805</v>
      </c>
      <c r="G2568" s="1">
        <v>45658</v>
      </c>
      <c r="H2568" s="1">
        <v>45658</v>
      </c>
      <c r="I2568" t="s">
        <v>665</v>
      </c>
      <c r="J2568" t="s">
        <v>807</v>
      </c>
      <c r="K2568" t="s">
        <v>808</v>
      </c>
      <c r="L2568" t="s">
        <v>7624</v>
      </c>
      <c r="M2568" t="s">
        <v>843</v>
      </c>
      <c r="N2568" t="s">
        <v>319</v>
      </c>
      <c r="O2568" t="s">
        <v>810</v>
      </c>
      <c r="P2568" t="s">
        <v>811</v>
      </c>
      <c r="Q2568" t="s">
        <v>8918</v>
      </c>
      <c r="R2568" t="s">
        <v>8919</v>
      </c>
      <c r="S2568" t="s">
        <v>803</v>
      </c>
      <c r="T2568" t="s">
        <v>550</v>
      </c>
      <c r="U2568" t="s">
        <v>550</v>
      </c>
      <c r="V2568" t="s">
        <v>9253</v>
      </c>
      <c r="W2568" t="s">
        <v>813</v>
      </c>
      <c r="Z2568" t="s">
        <v>9251</v>
      </c>
    </row>
    <row r="2569" spans="1:26" x14ac:dyDescent="0.3">
      <c r="A2569" t="s">
        <v>330</v>
      </c>
      <c r="B2569" t="s">
        <v>8511</v>
      </c>
      <c r="C2569" t="s">
        <v>9254</v>
      </c>
      <c r="D2569" t="s">
        <v>550</v>
      </c>
      <c r="E2569" t="s">
        <v>7153</v>
      </c>
      <c r="F2569" t="s">
        <v>7154</v>
      </c>
      <c r="G2569" s="1">
        <v>45078</v>
      </c>
      <c r="H2569" s="1">
        <v>45078</v>
      </c>
      <c r="I2569" t="s">
        <v>551</v>
      </c>
      <c r="J2569" t="s">
        <v>7155</v>
      </c>
      <c r="K2569" t="s">
        <v>24</v>
      </c>
      <c r="L2569" t="s">
        <v>809</v>
      </c>
      <c r="M2569" t="s">
        <v>843</v>
      </c>
      <c r="N2569" t="s">
        <v>319</v>
      </c>
      <c r="O2569" t="s">
        <v>810</v>
      </c>
      <c r="P2569" t="s">
        <v>811</v>
      </c>
      <c r="Q2569" t="s">
        <v>8918</v>
      </c>
      <c r="R2569" t="s">
        <v>8919</v>
      </c>
      <c r="S2569" t="s">
        <v>803</v>
      </c>
      <c r="T2569" t="s">
        <v>550</v>
      </c>
      <c r="U2569" t="s">
        <v>550</v>
      </c>
      <c r="V2569" t="s">
        <v>9255</v>
      </c>
      <c r="W2569" t="s">
        <v>813</v>
      </c>
      <c r="Z2569" t="s">
        <v>8511</v>
      </c>
    </row>
    <row r="2570" spans="1:26" x14ac:dyDescent="0.3">
      <c r="A2570" t="s">
        <v>330</v>
      </c>
      <c r="B2570" t="s">
        <v>8491</v>
      </c>
      <c r="C2570" t="s">
        <v>9256</v>
      </c>
      <c r="D2570" t="s">
        <v>550</v>
      </c>
      <c r="E2570" t="s">
        <v>6417</v>
      </c>
      <c r="F2570" t="s">
        <v>1040</v>
      </c>
      <c r="G2570" s="1">
        <v>45566</v>
      </c>
      <c r="H2570" s="1">
        <v>45566</v>
      </c>
      <c r="I2570" t="s">
        <v>551</v>
      </c>
      <c r="J2570" t="s">
        <v>6418</v>
      </c>
      <c r="K2570" t="s">
        <v>958</v>
      </c>
      <c r="L2570" t="s">
        <v>6502</v>
      </c>
      <c r="M2570" t="s">
        <v>843</v>
      </c>
      <c r="N2570" t="s">
        <v>319</v>
      </c>
      <c r="O2570" t="s">
        <v>810</v>
      </c>
      <c r="P2570" t="s">
        <v>811</v>
      </c>
      <c r="Q2570" t="s">
        <v>8918</v>
      </c>
      <c r="R2570" t="s">
        <v>8919</v>
      </c>
      <c r="S2570" t="s">
        <v>8492</v>
      </c>
      <c r="T2570" t="s">
        <v>550</v>
      </c>
      <c r="U2570" t="s">
        <v>550</v>
      </c>
      <c r="V2570" t="s">
        <v>9257</v>
      </c>
      <c r="W2570" t="s">
        <v>7092</v>
      </c>
      <c r="X2570" t="s">
        <v>8494</v>
      </c>
      <c r="Z2570" t="s">
        <v>8491</v>
      </c>
    </row>
    <row r="2571" spans="1:26" x14ac:dyDescent="0.3">
      <c r="A2571" t="s">
        <v>330</v>
      </c>
      <c r="B2571" t="s">
        <v>9258</v>
      </c>
      <c r="C2571" t="s">
        <v>9259</v>
      </c>
      <c r="D2571" t="s">
        <v>9260</v>
      </c>
      <c r="E2571" t="s">
        <v>816</v>
      </c>
      <c r="F2571" t="s">
        <v>817</v>
      </c>
      <c r="G2571" s="1">
        <v>45658</v>
      </c>
      <c r="H2571" s="1">
        <v>45658</v>
      </c>
      <c r="I2571" t="s">
        <v>665</v>
      </c>
      <c r="J2571" t="s">
        <v>816</v>
      </c>
      <c r="K2571" t="s">
        <v>900</v>
      </c>
      <c r="L2571" t="s">
        <v>217</v>
      </c>
      <c r="M2571" t="s">
        <v>843</v>
      </c>
      <c r="N2571" t="s">
        <v>319</v>
      </c>
      <c r="O2571" t="s">
        <v>810</v>
      </c>
      <c r="P2571" t="s">
        <v>811</v>
      </c>
      <c r="Q2571" t="s">
        <v>8918</v>
      </c>
      <c r="R2571" t="s">
        <v>8919</v>
      </c>
      <c r="S2571" t="s">
        <v>550</v>
      </c>
      <c r="T2571" t="s">
        <v>8433</v>
      </c>
      <c r="U2571" t="s">
        <v>550</v>
      </c>
      <c r="V2571" t="s">
        <v>9261</v>
      </c>
      <c r="W2571" t="s">
        <v>7092</v>
      </c>
      <c r="Z2571" t="s">
        <v>9258</v>
      </c>
    </row>
    <row r="2572" spans="1:26" x14ac:dyDescent="0.3">
      <c r="A2572" t="s">
        <v>330</v>
      </c>
      <c r="B2572" t="s">
        <v>8448</v>
      </c>
      <c r="C2572" t="s">
        <v>9262</v>
      </c>
      <c r="D2572" t="s">
        <v>550</v>
      </c>
      <c r="E2572" t="s">
        <v>8402</v>
      </c>
      <c r="F2572" t="s">
        <v>1319</v>
      </c>
      <c r="G2572" s="1">
        <v>45292</v>
      </c>
      <c r="H2572" s="1">
        <v>45292</v>
      </c>
      <c r="I2572" t="s">
        <v>551</v>
      </c>
      <c r="J2572" t="s">
        <v>7190</v>
      </c>
      <c r="K2572" t="s">
        <v>24</v>
      </c>
      <c r="L2572" t="s">
        <v>7624</v>
      </c>
      <c r="M2572" t="s">
        <v>843</v>
      </c>
      <c r="N2572" t="s">
        <v>319</v>
      </c>
      <c r="O2572" t="s">
        <v>810</v>
      </c>
      <c r="P2572" t="s">
        <v>811</v>
      </c>
      <c r="Q2572" t="s">
        <v>8918</v>
      </c>
      <c r="R2572" t="s">
        <v>8919</v>
      </c>
      <c r="S2572" t="s">
        <v>7208</v>
      </c>
      <c r="T2572" t="s">
        <v>550</v>
      </c>
      <c r="U2572" t="s">
        <v>550</v>
      </c>
      <c r="V2572" t="s">
        <v>9263</v>
      </c>
      <c r="W2572" t="s">
        <v>7092</v>
      </c>
      <c r="Z2572" t="s">
        <v>8448</v>
      </c>
    </row>
    <row r="2573" spans="1:26" x14ac:dyDescent="0.3">
      <c r="A2573" t="s">
        <v>330</v>
      </c>
      <c r="B2573" t="s">
        <v>9264</v>
      </c>
      <c r="C2573" t="s">
        <v>9265</v>
      </c>
      <c r="D2573" t="s">
        <v>550</v>
      </c>
      <c r="E2573" t="s">
        <v>7648</v>
      </c>
      <c r="F2573" t="s">
        <v>3498</v>
      </c>
      <c r="G2573" s="1">
        <v>45658</v>
      </c>
      <c r="H2573" s="1">
        <v>45658</v>
      </c>
      <c r="I2573" t="s">
        <v>665</v>
      </c>
      <c r="J2573" t="s">
        <v>7236</v>
      </c>
      <c r="K2573" t="s">
        <v>24</v>
      </c>
      <c r="L2573" t="s">
        <v>7624</v>
      </c>
      <c r="M2573" t="s">
        <v>843</v>
      </c>
      <c r="N2573" t="s">
        <v>319</v>
      </c>
      <c r="O2573" t="s">
        <v>810</v>
      </c>
      <c r="P2573" t="s">
        <v>811</v>
      </c>
      <c r="Q2573" t="s">
        <v>8918</v>
      </c>
      <c r="R2573" t="s">
        <v>8919</v>
      </c>
      <c r="S2573" t="s">
        <v>803</v>
      </c>
      <c r="T2573" t="s">
        <v>550</v>
      </c>
      <c r="U2573" t="s">
        <v>550</v>
      </c>
      <c r="V2573" t="s">
        <v>9266</v>
      </c>
      <c r="W2573" t="s">
        <v>813</v>
      </c>
      <c r="Z2573" t="s">
        <v>9264</v>
      </c>
    </row>
    <row r="2574" spans="1:26" x14ac:dyDescent="0.3">
      <c r="A2574" t="s">
        <v>330</v>
      </c>
      <c r="B2574" t="s">
        <v>9267</v>
      </c>
      <c r="C2574" t="s">
        <v>9268</v>
      </c>
      <c r="D2574" t="s">
        <v>9264</v>
      </c>
      <c r="E2574" t="s">
        <v>7648</v>
      </c>
      <c r="F2574" t="s">
        <v>3498</v>
      </c>
      <c r="G2574" s="1">
        <v>45658</v>
      </c>
      <c r="H2574" s="1">
        <v>45682</v>
      </c>
      <c r="I2574" t="s">
        <v>665</v>
      </c>
      <c r="J2574" t="s">
        <v>7236</v>
      </c>
      <c r="K2574" t="s">
        <v>24</v>
      </c>
      <c r="L2574" t="s">
        <v>7624</v>
      </c>
      <c r="M2574" t="s">
        <v>843</v>
      </c>
      <c r="N2574" t="s">
        <v>319</v>
      </c>
      <c r="O2574" t="s">
        <v>810</v>
      </c>
      <c r="P2574" t="s">
        <v>811</v>
      </c>
      <c r="Q2574" t="s">
        <v>8918</v>
      </c>
      <c r="R2574" t="s">
        <v>8919</v>
      </c>
      <c r="S2574" t="s">
        <v>803</v>
      </c>
      <c r="T2574" t="s">
        <v>550</v>
      </c>
      <c r="U2574" t="s">
        <v>550</v>
      </c>
      <c r="V2574" t="s">
        <v>9269</v>
      </c>
      <c r="W2574" t="s">
        <v>813</v>
      </c>
      <c r="Z2574" t="s">
        <v>9267</v>
      </c>
    </row>
    <row r="2575" spans="1:26" x14ac:dyDescent="0.3">
      <c r="A2575" t="s">
        <v>330</v>
      </c>
      <c r="B2575" t="s">
        <v>9204</v>
      </c>
      <c r="C2575" t="s">
        <v>9270</v>
      </c>
      <c r="D2575" t="s">
        <v>550</v>
      </c>
      <c r="E2575" t="s">
        <v>8769</v>
      </c>
      <c r="F2575" t="s">
        <v>7148</v>
      </c>
      <c r="G2575" s="1">
        <v>46023</v>
      </c>
      <c r="H2575" s="1">
        <v>46023</v>
      </c>
      <c r="I2575" t="s">
        <v>551</v>
      </c>
      <c r="J2575" t="s">
        <v>8507</v>
      </c>
      <c r="K2575" t="s">
        <v>24</v>
      </c>
      <c r="L2575" t="s">
        <v>7624</v>
      </c>
      <c r="M2575" t="s">
        <v>843</v>
      </c>
      <c r="N2575" t="s">
        <v>319</v>
      </c>
      <c r="O2575" t="s">
        <v>810</v>
      </c>
      <c r="P2575" t="s">
        <v>811</v>
      </c>
      <c r="Q2575" t="s">
        <v>8918</v>
      </c>
      <c r="R2575" t="s">
        <v>8919</v>
      </c>
      <c r="S2575" t="s">
        <v>803</v>
      </c>
      <c r="T2575" t="s">
        <v>550</v>
      </c>
      <c r="U2575" t="s">
        <v>550</v>
      </c>
      <c r="V2575" t="s">
        <v>9271</v>
      </c>
      <c r="W2575" t="s">
        <v>813</v>
      </c>
      <c r="Z2575" t="s">
        <v>9204</v>
      </c>
    </row>
    <row r="2576" spans="1:26" x14ac:dyDescent="0.3">
      <c r="A2576" t="s">
        <v>330</v>
      </c>
      <c r="B2576" t="s">
        <v>9272</v>
      </c>
      <c r="C2576" t="s">
        <v>9273</v>
      </c>
      <c r="D2576" t="s">
        <v>9204</v>
      </c>
      <c r="E2576" t="s">
        <v>8769</v>
      </c>
      <c r="F2576" t="s">
        <v>7148</v>
      </c>
      <c r="G2576" s="1">
        <v>46023</v>
      </c>
      <c r="H2576" s="1">
        <v>46024</v>
      </c>
      <c r="I2576" t="s">
        <v>551</v>
      </c>
      <c r="J2576" t="s">
        <v>8507</v>
      </c>
      <c r="K2576" t="s">
        <v>24</v>
      </c>
      <c r="L2576" t="s">
        <v>7624</v>
      </c>
      <c r="M2576" t="s">
        <v>843</v>
      </c>
      <c r="N2576" t="s">
        <v>319</v>
      </c>
      <c r="O2576" t="s">
        <v>810</v>
      </c>
      <c r="P2576" t="s">
        <v>811</v>
      </c>
      <c r="Q2576" t="s">
        <v>8918</v>
      </c>
      <c r="R2576" t="s">
        <v>8919</v>
      </c>
      <c r="S2576" t="s">
        <v>803</v>
      </c>
      <c r="T2576" t="s">
        <v>550</v>
      </c>
      <c r="U2576" t="s">
        <v>550</v>
      </c>
      <c r="V2576" t="s">
        <v>9274</v>
      </c>
      <c r="W2576" t="s">
        <v>813</v>
      </c>
      <c r="Z2576" t="s">
        <v>9272</v>
      </c>
    </row>
    <row r="2577" spans="1:26" x14ac:dyDescent="0.3">
      <c r="A2577" t="s">
        <v>330</v>
      </c>
      <c r="B2577" t="s">
        <v>9275</v>
      </c>
      <c r="C2577" t="s">
        <v>9276</v>
      </c>
      <c r="D2577" t="s">
        <v>9204</v>
      </c>
      <c r="E2577" t="s">
        <v>880</v>
      </c>
      <c r="F2577" t="s">
        <v>7128</v>
      </c>
      <c r="G2577" s="1">
        <v>46023</v>
      </c>
      <c r="H2577" s="1">
        <v>46031</v>
      </c>
      <c r="I2577" t="s">
        <v>551</v>
      </c>
      <c r="J2577" t="s">
        <v>7129</v>
      </c>
      <c r="K2577" t="s">
        <v>24</v>
      </c>
      <c r="L2577" t="s">
        <v>7624</v>
      </c>
      <c r="M2577" t="s">
        <v>843</v>
      </c>
      <c r="N2577" t="s">
        <v>319</v>
      </c>
      <c r="O2577" t="s">
        <v>810</v>
      </c>
      <c r="P2577" t="s">
        <v>811</v>
      </c>
      <c r="Q2577" t="s">
        <v>8918</v>
      </c>
      <c r="R2577" t="s">
        <v>8919</v>
      </c>
      <c r="S2577" t="s">
        <v>803</v>
      </c>
      <c r="T2577" t="s">
        <v>550</v>
      </c>
      <c r="U2577" t="s">
        <v>550</v>
      </c>
      <c r="V2577" t="s">
        <v>9277</v>
      </c>
      <c r="W2577" t="s">
        <v>813</v>
      </c>
      <c r="Z2577" t="s">
        <v>9275</v>
      </c>
    </row>
    <row r="2578" spans="1:26" x14ac:dyDescent="0.3">
      <c r="A2578" t="s">
        <v>330</v>
      </c>
      <c r="B2578" t="s">
        <v>9278</v>
      </c>
      <c r="C2578" t="s">
        <v>9279</v>
      </c>
      <c r="D2578" t="s">
        <v>9204</v>
      </c>
      <c r="E2578" t="s">
        <v>880</v>
      </c>
      <c r="F2578" t="s">
        <v>7128</v>
      </c>
      <c r="G2578" s="1">
        <v>46023</v>
      </c>
      <c r="H2578" s="1">
        <v>46028</v>
      </c>
      <c r="I2578" t="s">
        <v>551</v>
      </c>
      <c r="J2578" t="s">
        <v>7129</v>
      </c>
      <c r="K2578" t="s">
        <v>24</v>
      </c>
      <c r="L2578" t="s">
        <v>7624</v>
      </c>
      <c r="M2578" t="s">
        <v>843</v>
      </c>
      <c r="N2578" t="s">
        <v>319</v>
      </c>
      <c r="O2578" t="s">
        <v>810</v>
      </c>
      <c r="P2578" t="s">
        <v>811</v>
      </c>
      <c r="Q2578" t="s">
        <v>8918</v>
      </c>
      <c r="R2578" t="s">
        <v>8919</v>
      </c>
      <c r="S2578" t="s">
        <v>803</v>
      </c>
      <c r="T2578" t="s">
        <v>550</v>
      </c>
      <c r="U2578" t="s">
        <v>550</v>
      </c>
      <c r="V2578" t="s">
        <v>9280</v>
      </c>
      <c r="W2578" t="s">
        <v>813</v>
      </c>
      <c r="Z2578" t="s">
        <v>9278</v>
      </c>
    </row>
    <row r="2579" spans="1:26" x14ac:dyDescent="0.3">
      <c r="A2579" t="s">
        <v>330</v>
      </c>
      <c r="B2579" t="s">
        <v>9281</v>
      </c>
      <c r="C2579" t="s">
        <v>9282</v>
      </c>
      <c r="D2579" t="s">
        <v>9204</v>
      </c>
      <c r="E2579" t="s">
        <v>7164</v>
      </c>
      <c r="F2579" t="s">
        <v>7647</v>
      </c>
      <c r="G2579" s="1">
        <v>46023</v>
      </c>
      <c r="H2579" s="1">
        <v>46030</v>
      </c>
      <c r="I2579" t="s">
        <v>551</v>
      </c>
      <c r="J2579" t="s">
        <v>7648</v>
      </c>
      <c r="K2579" t="s">
        <v>24</v>
      </c>
      <c r="L2579" t="s">
        <v>7624</v>
      </c>
      <c r="M2579" t="s">
        <v>843</v>
      </c>
      <c r="N2579" t="s">
        <v>319</v>
      </c>
      <c r="O2579" t="s">
        <v>810</v>
      </c>
      <c r="P2579" t="s">
        <v>811</v>
      </c>
      <c r="Q2579" t="s">
        <v>8918</v>
      </c>
      <c r="R2579" t="s">
        <v>8919</v>
      </c>
      <c r="S2579" t="s">
        <v>803</v>
      </c>
      <c r="T2579" t="s">
        <v>550</v>
      </c>
      <c r="U2579" t="s">
        <v>550</v>
      </c>
      <c r="V2579" t="s">
        <v>9283</v>
      </c>
      <c r="W2579" t="s">
        <v>813</v>
      </c>
      <c r="Z2579" t="s">
        <v>9281</v>
      </c>
    </row>
    <row r="2580" spans="1:26" x14ac:dyDescent="0.3">
      <c r="A2580" t="s">
        <v>330</v>
      </c>
      <c r="B2580" t="s">
        <v>9284</v>
      </c>
      <c r="C2580" t="s">
        <v>9285</v>
      </c>
      <c r="D2580" t="s">
        <v>9204</v>
      </c>
      <c r="E2580" t="s">
        <v>8451</v>
      </c>
      <c r="F2580" t="s">
        <v>8452</v>
      </c>
      <c r="G2580" s="1">
        <v>46023</v>
      </c>
      <c r="H2580" s="1">
        <v>46027</v>
      </c>
      <c r="I2580" t="s">
        <v>551</v>
      </c>
      <c r="J2580" t="s">
        <v>806</v>
      </c>
      <c r="K2580" t="s">
        <v>862</v>
      </c>
      <c r="L2580" t="s">
        <v>842</v>
      </c>
      <c r="M2580" t="s">
        <v>843</v>
      </c>
      <c r="N2580" t="s">
        <v>319</v>
      </c>
      <c r="O2580" t="s">
        <v>810</v>
      </c>
      <c r="P2580" t="s">
        <v>811</v>
      </c>
      <c r="Q2580" t="s">
        <v>8918</v>
      </c>
      <c r="R2580" t="s">
        <v>8919</v>
      </c>
      <c r="S2580" t="s">
        <v>803</v>
      </c>
      <c r="T2580" t="s">
        <v>550</v>
      </c>
      <c r="U2580" t="s">
        <v>550</v>
      </c>
      <c r="V2580" t="s">
        <v>9286</v>
      </c>
      <c r="W2580" t="s">
        <v>813</v>
      </c>
      <c r="Z2580" t="s">
        <v>9284</v>
      </c>
    </row>
    <row r="2581" spans="1:26" x14ac:dyDescent="0.3">
      <c r="A2581" t="s">
        <v>330</v>
      </c>
      <c r="B2581" t="s">
        <v>9050</v>
      </c>
      <c r="C2581" t="s">
        <v>9287</v>
      </c>
      <c r="D2581" t="s">
        <v>550</v>
      </c>
      <c r="E2581" t="s">
        <v>9051</v>
      </c>
      <c r="F2581" t="s">
        <v>2051</v>
      </c>
      <c r="G2581" s="1">
        <v>45537</v>
      </c>
      <c r="H2581" s="1">
        <v>45537</v>
      </c>
      <c r="I2581" t="s">
        <v>551</v>
      </c>
      <c r="J2581" t="s">
        <v>8336</v>
      </c>
      <c r="K2581" t="s">
        <v>3232</v>
      </c>
      <c r="L2581" t="s">
        <v>7624</v>
      </c>
      <c r="M2581" t="s">
        <v>843</v>
      </c>
      <c r="N2581" t="s">
        <v>319</v>
      </c>
      <c r="O2581" t="s">
        <v>810</v>
      </c>
      <c r="P2581" t="s">
        <v>811</v>
      </c>
      <c r="Q2581" t="s">
        <v>8918</v>
      </c>
      <c r="R2581" t="s">
        <v>8919</v>
      </c>
      <c r="S2581" t="s">
        <v>803</v>
      </c>
      <c r="T2581" t="s">
        <v>550</v>
      </c>
      <c r="U2581" t="s">
        <v>550</v>
      </c>
      <c r="V2581" t="s">
        <v>9288</v>
      </c>
      <c r="W2581" t="s">
        <v>7092</v>
      </c>
      <c r="Z2581" t="s">
        <v>9050</v>
      </c>
    </row>
    <row r="2582" spans="1:26" x14ac:dyDescent="0.3">
      <c r="A2582" t="s">
        <v>330</v>
      </c>
      <c r="B2582" t="s">
        <v>9289</v>
      </c>
      <c r="C2582" t="s">
        <v>4814</v>
      </c>
      <c r="D2582" t="s">
        <v>9050</v>
      </c>
      <c r="E2582" t="s">
        <v>9051</v>
      </c>
      <c r="F2582" t="s">
        <v>2051</v>
      </c>
      <c r="G2582" s="1">
        <v>45537</v>
      </c>
      <c r="H2582" s="1">
        <v>45604</v>
      </c>
      <c r="I2582" t="s">
        <v>665</v>
      </c>
      <c r="J2582" t="s">
        <v>8336</v>
      </c>
      <c r="K2582" t="s">
        <v>3232</v>
      </c>
      <c r="L2582" t="s">
        <v>7624</v>
      </c>
      <c r="M2582" t="s">
        <v>843</v>
      </c>
      <c r="N2582" t="s">
        <v>319</v>
      </c>
      <c r="O2582" t="s">
        <v>810</v>
      </c>
      <c r="P2582" t="s">
        <v>811</v>
      </c>
      <c r="Q2582" t="s">
        <v>8918</v>
      </c>
      <c r="R2582" t="s">
        <v>8919</v>
      </c>
      <c r="S2582" t="s">
        <v>803</v>
      </c>
      <c r="T2582" t="s">
        <v>550</v>
      </c>
      <c r="U2582" t="s">
        <v>550</v>
      </c>
      <c r="V2582" t="s">
        <v>9290</v>
      </c>
      <c r="W2582" t="s">
        <v>7092</v>
      </c>
      <c r="Z2582" t="s">
        <v>9289</v>
      </c>
    </row>
    <row r="2583" spans="1:26" x14ac:dyDescent="0.3">
      <c r="A2583" t="s">
        <v>330</v>
      </c>
      <c r="B2583" t="s">
        <v>9291</v>
      </c>
      <c r="C2583" t="s">
        <v>9292</v>
      </c>
      <c r="D2583" t="s">
        <v>9050</v>
      </c>
      <c r="E2583" t="s">
        <v>9051</v>
      </c>
      <c r="F2583" t="s">
        <v>2051</v>
      </c>
      <c r="G2583" s="1">
        <v>46023</v>
      </c>
      <c r="H2583" s="1">
        <v>46174</v>
      </c>
      <c r="I2583" t="s">
        <v>551</v>
      </c>
      <c r="J2583" t="s">
        <v>8336</v>
      </c>
      <c r="K2583" t="s">
        <v>4782</v>
      </c>
      <c r="L2583" t="s">
        <v>7624</v>
      </c>
      <c r="M2583" t="s">
        <v>843</v>
      </c>
      <c r="N2583" t="s">
        <v>319</v>
      </c>
      <c r="O2583" t="s">
        <v>810</v>
      </c>
      <c r="P2583" t="s">
        <v>811</v>
      </c>
      <c r="Q2583" t="s">
        <v>8918</v>
      </c>
      <c r="R2583" t="s">
        <v>8919</v>
      </c>
      <c r="S2583" t="s">
        <v>7208</v>
      </c>
      <c r="T2583" t="s">
        <v>550</v>
      </c>
      <c r="U2583" t="s">
        <v>550</v>
      </c>
      <c r="V2583" t="s">
        <v>9293</v>
      </c>
      <c r="W2583" t="s">
        <v>7092</v>
      </c>
      <c r="Z2583" t="s">
        <v>9291</v>
      </c>
    </row>
    <row r="2584" spans="1:26" x14ac:dyDescent="0.3">
      <c r="A2584" t="s">
        <v>330</v>
      </c>
      <c r="B2584" t="s">
        <v>9294</v>
      </c>
      <c r="C2584" t="s">
        <v>9295</v>
      </c>
      <c r="D2584" t="s">
        <v>8491</v>
      </c>
      <c r="E2584" t="s">
        <v>6417</v>
      </c>
      <c r="F2584" t="s">
        <v>1040</v>
      </c>
      <c r="G2584" s="1">
        <v>45658</v>
      </c>
      <c r="H2584" s="1">
        <v>45710</v>
      </c>
      <c r="I2584" t="s">
        <v>665</v>
      </c>
      <c r="J2584" t="s">
        <v>6418</v>
      </c>
      <c r="K2584" t="s">
        <v>958</v>
      </c>
      <c r="L2584" t="s">
        <v>6502</v>
      </c>
      <c r="M2584" t="s">
        <v>843</v>
      </c>
      <c r="N2584" t="s">
        <v>319</v>
      </c>
      <c r="O2584" t="s">
        <v>810</v>
      </c>
      <c r="P2584" t="s">
        <v>811</v>
      </c>
      <c r="Q2584" t="s">
        <v>8918</v>
      </c>
      <c r="R2584" t="s">
        <v>8919</v>
      </c>
      <c r="S2584" t="s">
        <v>8492</v>
      </c>
      <c r="T2584" t="s">
        <v>550</v>
      </c>
      <c r="U2584" t="s">
        <v>550</v>
      </c>
      <c r="V2584" t="s">
        <v>9296</v>
      </c>
      <c r="W2584" t="s">
        <v>813</v>
      </c>
      <c r="X2584" t="s">
        <v>8494</v>
      </c>
      <c r="Z2584" t="s">
        <v>9294</v>
      </c>
    </row>
    <row r="2585" spans="1:26" x14ac:dyDescent="0.3">
      <c r="A2585" t="s">
        <v>330</v>
      </c>
      <c r="B2585" t="s">
        <v>9297</v>
      </c>
      <c r="C2585" t="s">
        <v>9298</v>
      </c>
      <c r="D2585" t="s">
        <v>8491</v>
      </c>
      <c r="E2585" t="s">
        <v>6417</v>
      </c>
      <c r="F2585" t="s">
        <v>1040</v>
      </c>
      <c r="G2585" s="1">
        <v>46023</v>
      </c>
      <c r="H2585" s="1">
        <v>46023</v>
      </c>
      <c r="I2585" t="s">
        <v>551</v>
      </c>
      <c r="J2585" t="s">
        <v>6418</v>
      </c>
      <c r="K2585" t="s">
        <v>958</v>
      </c>
      <c r="L2585" t="s">
        <v>6502</v>
      </c>
      <c r="M2585" t="s">
        <v>843</v>
      </c>
      <c r="N2585" t="s">
        <v>319</v>
      </c>
      <c r="O2585" t="s">
        <v>810</v>
      </c>
      <c r="P2585" t="s">
        <v>811</v>
      </c>
      <c r="Q2585" t="s">
        <v>8918</v>
      </c>
      <c r="R2585" t="s">
        <v>8919</v>
      </c>
      <c r="S2585" t="s">
        <v>8492</v>
      </c>
      <c r="T2585" t="s">
        <v>550</v>
      </c>
      <c r="U2585" t="s">
        <v>550</v>
      </c>
      <c r="V2585" t="s">
        <v>9299</v>
      </c>
      <c r="W2585" t="s">
        <v>813</v>
      </c>
      <c r="X2585" t="s">
        <v>8494</v>
      </c>
      <c r="Z2585" t="s">
        <v>9297</v>
      </c>
    </row>
    <row r="2586" spans="1:26" x14ac:dyDescent="0.3">
      <c r="A2586" t="s">
        <v>330</v>
      </c>
      <c r="B2586" t="s">
        <v>9300</v>
      </c>
      <c r="C2586" t="s">
        <v>9301</v>
      </c>
      <c r="D2586" t="s">
        <v>804</v>
      </c>
      <c r="E2586" t="s">
        <v>806</v>
      </c>
      <c r="F2586" t="s">
        <v>805</v>
      </c>
      <c r="G2586" s="1">
        <v>45658</v>
      </c>
      <c r="H2586" s="1">
        <v>45658</v>
      </c>
      <c r="I2586" t="s">
        <v>665</v>
      </c>
      <c r="J2586" t="s">
        <v>807</v>
      </c>
      <c r="K2586" t="s">
        <v>808</v>
      </c>
      <c r="L2586" t="s">
        <v>809</v>
      </c>
      <c r="M2586" t="s">
        <v>843</v>
      </c>
      <c r="N2586" t="s">
        <v>319</v>
      </c>
      <c r="O2586" t="s">
        <v>810</v>
      </c>
      <c r="P2586" t="s">
        <v>811</v>
      </c>
      <c r="Q2586" t="s">
        <v>8918</v>
      </c>
      <c r="R2586" t="s">
        <v>8919</v>
      </c>
      <c r="S2586" t="s">
        <v>803</v>
      </c>
      <c r="T2586" t="s">
        <v>550</v>
      </c>
      <c r="U2586" t="s">
        <v>550</v>
      </c>
      <c r="V2586" t="s">
        <v>9302</v>
      </c>
      <c r="W2586" t="s">
        <v>813</v>
      </c>
      <c r="Y2586" t="s">
        <v>803</v>
      </c>
      <c r="Z2586" t="s">
        <v>9300</v>
      </c>
    </row>
    <row r="2587" spans="1:26" x14ac:dyDescent="0.3">
      <c r="A2587" t="s">
        <v>330</v>
      </c>
      <c r="B2587" t="s">
        <v>9303</v>
      </c>
      <c r="C2587" t="s">
        <v>7627</v>
      </c>
      <c r="D2587" t="s">
        <v>9064</v>
      </c>
      <c r="E2587" t="s">
        <v>6417</v>
      </c>
      <c r="F2587" t="s">
        <v>1040</v>
      </c>
      <c r="G2587" s="1">
        <v>45658</v>
      </c>
      <c r="H2587" s="1">
        <v>45895</v>
      </c>
      <c r="I2587" t="s">
        <v>665</v>
      </c>
      <c r="J2587" t="s">
        <v>6418</v>
      </c>
      <c r="K2587" t="s">
        <v>958</v>
      </c>
      <c r="L2587" t="s">
        <v>6419</v>
      </c>
      <c r="M2587" t="s">
        <v>843</v>
      </c>
      <c r="N2587" t="s">
        <v>319</v>
      </c>
      <c r="O2587" t="s">
        <v>810</v>
      </c>
      <c r="P2587" t="s">
        <v>811</v>
      </c>
      <c r="Q2587" t="s">
        <v>8918</v>
      </c>
      <c r="R2587" t="s">
        <v>8919</v>
      </c>
      <c r="S2587" t="s">
        <v>9065</v>
      </c>
      <c r="T2587" t="s">
        <v>550</v>
      </c>
      <c r="U2587" t="s">
        <v>550</v>
      </c>
      <c r="V2587" t="s">
        <v>9304</v>
      </c>
      <c r="W2587" t="s">
        <v>813</v>
      </c>
      <c r="X2587" t="s">
        <v>8348</v>
      </c>
      <c r="Z2587" t="s">
        <v>9303</v>
      </c>
    </row>
    <row r="2588" spans="1:26" x14ac:dyDescent="0.3">
      <c r="A2588" t="s">
        <v>330</v>
      </c>
      <c r="B2588" t="s">
        <v>9305</v>
      </c>
      <c r="C2588" t="s">
        <v>7631</v>
      </c>
      <c r="D2588" t="s">
        <v>9064</v>
      </c>
      <c r="E2588" t="s">
        <v>6417</v>
      </c>
      <c r="F2588" t="s">
        <v>1040</v>
      </c>
      <c r="G2588" s="1">
        <v>45658</v>
      </c>
      <c r="H2588" s="1">
        <v>45895</v>
      </c>
      <c r="I2588" t="s">
        <v>665</v>
      </c>
      <c r="J2588" t="s">
        <v>6418</v>
      </c>
      <c r="K2588" t="s">
        <v>958</v>
      </c>
      <c r="L2588" t="s">
        <v>6419</v>
      </c>
      <c r="M2588" t="s">
        <v>843</v>
      </c>
      <c r="N2588" t="s">
        <v>319</v>
      </c>
      <c r="O2588" t="s">
        <v>810</v>
      </c>
      <c r="P2588" t="s">
        <v>811</v>
      </c>
      <c r="Q2588" t="s">
        <v>8918</v>
      </c>
      <c r="R2588" t="s">
        <v>8919</v>
      </c>
      <c r="S2588" t="s">
        <v>9065</v>
      </c>
      <c r="T2588" t="s">
        <v>550</v>
      </c>
      <c r="U2588" t="s">
        <v>550</v>
      </c>
      <c r="V2588" t="s">
        <v>9306</v>
      </c>
      <c r="W2588" t="s">
        <v>813</v>
      </c>
      <c r="X2588" t="s">
        <v>8348</v>
      </c>
      <c r="Z2588" t="s">
        <v>9305</v>
      </c>
    </row>
    <row r="2589" spans="1:26" x14ac:dyDescent="0.3">
      <c r="A2589" t="s">
        <v>330</v>
      </c>
      <c r="B2589" t="s">
        <v>9307</v>
      </c>
      <c r="C2589" t="s">
        <v>9308</v>
      </c>
      <c r="D2589" t="s">
        <v>9073</v>
      </c>
      <c r="E2589" t="s">
        <v>6417</v>
      </c>
      <c r="F2589" t="s">
        <v>1040</v>
      </c>
      <c r="G2589" s="1">
        <v>46023</v>
      </c>
      <c r="H2589" s="1">
        <v>46260</v>
      </c>
      <c r="I2589" t="s">
        <v>551</v>
      </c>
      <c r="J2589" t="s">
        <v>6418</v>
      </c>
      <c r="K2589" t="s">
        <v>958</v>
      </c>
      <c r="L2589" t="s">
        <v>6419</v>
      </c>
      <c r="M2589" t="s">
        <v>843</v>
      </c>
      <c r="N2589" t="s">
        <v>319</v>
      </c>
      <c r="O2589" t="s">
        <v>810</v>
      </c>
      <c r="P2589" t="s">
        <v>811</v>
      </c>
      <c r="Q2589" t="s">
        <v>8918</v>
      </c>
      <c r="R2589" t="s">
        <v>8919</v>
      </c>
      <c r="S2589" t="s">
        <v>9074</v>
      </c>
      <c r="T2589" t="s">
        <v>550</v>
      </c>
      <c r="U2589" t="s">
        <v>550</v>
      </c>
      <c r="V2589" t="s">
        <v>9309</v>
      </c>
      <c r="W2589" t="s">
        <v>813</v>
      </c>
      <c r="X2589" t="s">
        <v>8348</v>
      </c>
      <c r="Z2589" t="s">
        <v>9307</v>
      </c>
    </row>
    <row r="2590" spans="1:26" x14ac:dyDescent="0.3">
      <c r="A2590" t="s">
        <v>330</v>
      </c>
      <c r="B2590" t="s">
        <v>9310</v>
      </c>
      <c r="C2590" t="s">
        <v>9311</v>
      </c>
      <c r="D2590" t="s">
        <v>9073</v>
      </c>
      <c r="E2590" t="s">
        <v>6417</v>
      </c>
      <c r="F2590" t="s">
        <v>1040</v>
      </c>
      <c r="G2590" s="1">
        <v>46023</v>
      </c>
      <c r="H2590" s="1">
        <v>46260</v>
      </c>
      <c r="I2590" t="s">
        <v>551</v>
      </c>
      <c r="J2590" t="s">
        <v>6418</v>
      </c>
      <c r="K2590" t="s">
        <v>958</v>
      </c>
      <c r="L2590" t="s">
        <v>6419</v>
      </c>
      <c r="M2590" t="s">
        <v>843</v>
      </c>
      <c r="N2590" t="s">
        <v>319</v>
      </c>
      <c r="O2590" t="s">
        <v>810</v>
      </c>
      <c r="P2590" t="s">
        <v>811</v>
      </c>
      <c r="Q2590" t="s">
        <v>8918</v>
      </c>
      <c r="R2590" t="s">
        <v>8919</v>
      </c>
      <c r="S2590" t="s">
        <v>9074</v>
      </c>
      <c r="T2590" t="s">
        <v>550</v>
      </c>
      <c r="U2590" t="s">
        <v>550</v>
      </c>
      <c r="V2590" t="s">
        <v>9312</v>
      </c>
      <c r="W2590" t="s">
        <v>813</v>
      </c>
      <c r="X2590" t="s">
        <v>8348</v>
      </c>
      <c r="Z2590" t="s">
        <v>9310</v>
      </c>
    </row>
    <row r="2591" spans="1:26" x14ac:dyDescent="0.3">
      <c r="A2591" t="s">
        <v>330</v>
      </c>
      <c r="B2591" t="s">
        <v>9313</v>
      </c>
      <c r="C2591" t="s">
        <v>9314</v>
      </c>
      <c r="D2591" t="s">
        <v>550</v>
      </c>
      <c r="E2591" t="s">
        <v>8402</v>
      </c>
      <c r="F2591" t="s">
        <v>1319</v>
      </c>
      <c r="G2591" s="1">
        <v>45658</v>
      </c>
      <c r="H2591" s="1">
        <v>45658</v>
      </c>
      <c r="I2591" t="s">
        <v>551</v>
      </c>
      <c r="J2591" t="s">
        <v>7190</v>
      </c>
      <c r="K2591" t="s">
        <v>24</v>
      </c>
      <c r="L2591" t="s">
        <v>7624</v>
      </c>
      <c r="M2591" t="s">
        <v>843</v>
      </c>
      <c r="N2591" t="s">
        <v>319</v>
      </c>
      <c r="O2591" t="s">
        <v>810</v>
      </c>
      <c r="P2591" t="s">
        <v>811</v>
      </c>
      <c r="Q2591" t="s">
        <v>8918</v>
      </c>
      <c r="R2591" t="s">
        <v>8919</v>
      </c>
      <c r="S2591" t="s">
        <v>803</v>
      </c>
      <c r="T2591" t="s">
        <v>550</v>
      </c>
      <c r="U2591" t="s">
        <v>550</v>
      </c>
      <c r="V2591" t="s">
        <v>9315</v>
      </c>
      <c r="W2591" t="s">
        <v>813</v>
      </c>
      <c r="Z2591" t="s">
        <v>9313</v>
      </c>
    </row>
    <row r="2592" spans="1:26" x14ac:dyDescent="0.3">
      <c r="A2592" t="s">
        <v>330</v>
      </c>
      <c r="B2592" t="s">
        <v>9316</v>
      </c>
      <c r="C2592" t="s">
        <v>9317</v>
      </c>
      <c r="D2592" t="s">
        <v>9313</v>
      </c>
      <c r="E2592" t="s">
        <v>8402</v>
      </c>
      <c r="F2592" t="s">
        <v>1319</v>
      </c>
      <c r="G2592" s="1">
        <v>45658</v>
      </c>
      <c r="H2592" s="1">
        <v>45682</v>
      </c>
      <c r="I2592" t="s">
        <v>665</v>
      </c>
      <c r="J2592" t="s">
        <v>7190</v>
      </c>
      <c r="K2592" t="s">
        <v>24</v>
      </c>
      <c r="L2592" t="s">
        <v>7624</v>
      </c>
      <c r="M2592" t="s">
        <v>843</v>
      </c>
      <c r="N2592" t="s">
        <v>319</v>
      </c>
      <c r="O2592" t="s">
        <v>810</v>
      </c>
      <c r="P2592" t="s">
        <v>811</v>
      </c>
      <c r="Q2592" t="s">
        <v>8918</v>
      </c>
      <c r="R2592" t="s">
        <v>8919</v>
      </c>
      <c r="S2592" t="s">
        <v>803</v>
      </c>
      <c r="T2592" t="s">
        <v>550</v>
      </c>
      <c r="U2592" t="s">
        <v>550</v>
      </c>
      <c r="V2592" t="s">
        <v>9318</v>
      </c>
      <c r="W2592" t="s">
        <v>813</v>
      </c>
      <c r="Z2592" t="s">
        <v>9316</v>
      </c>
    </row>
    <row r="2593" spans="1:26" x14ac:dyDescent="0.3">
      <c r="A2593" t="s">
        <v>330</v>
      </c>
      <c r="B2593" t="s">
        <v>9319</v>
      </c>
      <c r="C2593" t="s">
        <v>9320</v>
      </c>
      <c r="D2593" t="s">
        <v>8429</v>
      </c>
      <c r="E2593" t="s">
        <v>8430</v>
      </c>
      <c r="F2593" t="s">
        <v>8431</v>
      </c>
      <c r="G2593" s="1">
        <v>46023</v>
      </c>
      <c r="H2593" s="1">
        <v>46115</v>
      </c>
      <c r="I2593" t="s">
        <v>551</v>
      </c>
      <c r="J2593" t="s">
        <v>8432</v>
      </c>
      <c r="K2593" t="s">
        <v>958</v>
      </c>
      <c r="L2593" t="s">
        <v>7624</v>
      </c>
      <c r="M2593" t="s">
        <v>881</v>
      </c>
      <c r="N2593" t="s">
        <v>882</v>
      </c>
      <c r="O2593" t="s">
        <v>810</v>
      </c>
      <c r="P2593" t="s">
        <v>811</v>
      </c>
      <c r="Q2593" t="s">
        <v>8918</v>
      </c>
      <c r="R2593" t="s">
        <v>8919</v>
      </c>
      <c r="S2593" t="s">
        <v>803</v>
      </c>
      <c r="T2593" t="s">
        <v>550</v>
      </c>
      <c r="U2593" t="s">
        <v>550</v>
      </c>
      <c r="V2593" t="s">
        <v>9321</v>
      </c>
      <c r="W2593" t="s">
        <v>7194</v>
      </c>
      <c r="Z2593" t="s">
        <v>9319</v>
      </c>
    </row>
    <row r="2594" spans="1:26" x14ac:dyDescent="0.3">
      <c r="A2594" t="s">
        <v>330</v>
      </c>
      <c r="B2594" t="s">
        <v>8419</v>
      </c>
      <c r="C2594" t="s">
        <v>9322</v>
      </c>
      <c r="D2594" t="s">
        <v>550</v>
      </c>
      <c r="E2594" t="s">
        <v>7585</v>
      </c>
      <c r="F2594" t="s">
        <v>7586</v>
      </c>
      <c r="G2594" s="1">
        <v>45292</v>
      </c>
      <c r="H2594" s="1">
        <v>45292</v>
      </c>
      <c r="I2594" t="s">
        <v>551</v>
      </c>
      <c r="J2594" t="s">
        <v>7580</v>
      </c>
      <c r="K2594" t="s">
        <v>958</v>
      </c>
      <c r="L2594" t="s">
        <v>7624</v>
      </c>
      <c r="M2594" t="s">
        <v>881</v>
      </c>
      <c r="N2594" t="s">
        <v>882</v>
      </c>
      <c r="O2594" t="s">
        <v>810</v>
      </c>
      <c r="P2594" t="s">
        <v>811</v>
      </c>
      <c r="Q2594" t="s">
        <v>8918</v>
      </c>
      <c r="R2594" t="s">
        <v>8919</v>
      </c>
      <c r="S2594" t="s">
        <v>803</v>
      </c>
      <c r="T2594" t="s">
        <v>550</v>
      </c>
      <c r="U2594" t="s">
        <v>550</v>
      </c>
      <c r="V2594" t="s">
        <v>9323</v>
      </c>
      <c r="W2594" t="s">
        <v>7194</v>
      </c>
      <c r="Z2594" t="s">
        <v>8419</v>
      </c>
    </row>
    <row r="2595" spans="1:26" x14ac:dyDescent="0.3">
      <c r="A2595" t="s">
        <v>330</v>
      </c>
      <c r="B2595" t="s">
        <v>9182</v>
      </c>
      <c r="C2595" t="s">
        <v>9324</v>
      </c>
      <c r="D2595" t="s">
        <v>8419</v>
      </c>
      <c r="E2595" t="s">
        <v>7585</v>
      </c>
      <c r="F2595" t="s">
        <v>7586</v>
      </c>
      <c r="G2595" s="1">
        <v>45658</v>
      </c>
      <c r="H2595" s="1">
        <v>45658</v>
      </c>
      <c r="I2595" t="s">
        <v>665</v>
      </c>
      <c r="J2595" t="s">
        <v>7580</v>
      </c>
      <c r="K2595" t="s">
        <v>958</v>
      </c>
      <c r="L2595" t="s">
        <v>7624</v>
      </c>
      <c r="M2595" t="s">
        <v>881</v>
      </c>
      <c r="N2595" t="s">
        <v>882</v>
      </c>
      <c r="O2595" t="s">
        <v>810</v>
      </c>
      <c r="P2595" t="s">
        <v>811</v>
      </c>
      <c r="Q2595" t="s">
        <v>8918</v>
      </c>
      <c r="R2595" t="s">
        <v>8919</v>
      </c>
      <c r="S2595" t="s">
        <v>803</v>
      </c>
      <c r="T2595" t="s">
        <v>550</v>
      </c>
      <c r="U2595" t="s">
        <v>550</v>
      </c>
      <c r="V2595" t="s">
        <v>9325</v>
      </c>
      <c r="W2595" t="s">
        <v>7194</v>
      </c>
      <c r="Z2595" t="s">
        <v>9182</v>
      </c>
    </row>
    <row r="2596" spans="1:26" x14ac:dyDescent="0.3">
      <c r="A2596" t="s">
        <v>330</v>
      </c>
      <c r="B2596" t="s">
        <v>8506</v>
      </c>
      <c r="C2596" t="s">
        <v>9326</v>
      </c>
      <c r="D2596" t="s">
        <v>550</v>
      </c>
      <c r="E2596" t="s">
        <v>8507</v>
      </c>
      <c r="F2596" t="s">
        <v>2826</v>
      </c>
      <c r="G2596" s="1">
        <v>45170</v>
      </c>
      <c r="H2596" s="1">
        <v>45170</v>
      </c>
      <c r="I2596" t="s">
        <v>551</v>
      </c>
      <c r="J2596" t="s">
        <v>7185</v>
      </c>
      <c r="K2596" t="s">
        <v>24</v>
      </c>
      <c r="L2596" t="s">
        <v>809</v>
      </c>
      <c r="M2596" t="s">
        <v>843</v>
      </c>
      <c r="N2596" t="s">
        <v>319</v>
      </c>
      <c r="O2596" t="s">
        <v>810</v>
      </c>
      <c r="P2596" t="s">
        <v>811</v>
      </c>
      <c r="Q2596" t="s">
        <v>8918</v>
      </c>
      <c r="R2596" t="s">
        <v>8919</v>
      </c>
      <c r="S2596" t="s">
        <v>803</v>
      </c>
      <c r="T2596" t="s">
        <v>550</v>
      </c>
      <c r="U2596" t="s">
        <v>550</v>
      </c>
      <c r="V2596" t="s">
        <v>8752</v>
      </c>
      <c r="W2596" t="s">
        <v>813</v>
      </c>
      <c r="X2596" t="s">
        <v>8324</v>
      </c>
      <c r="Y2596" t="s">
        <v>803</v>
      </c>
      <c r="Z2596" t="s">
        <v>8506</v>
      </c>
    </row>
    <row r="2597" spans="1:26" x14ac:dyDescent="0.3">
      <c r="A2597" t="s">
        <v>330</v>
      </c>
      <c r="B2597" t="s">
        <v>8429</v>
      </c>
      <c r="C2597" t="s">
        <v>9327</v>
      </c>
      <c r="D2597" t="s">
        <v>550</v>
      </c>
      <c r="E2597" t="s">
        <v>8430</v>
      </c>
      <c r="F2597" t="s">
        <v>8431</v>
      </c>
      <c r="G2597" s="1">
        <v>45474</v>
      </c>
      <c r="H2597" s="1">
        <v>45474</v>
      </c>
      <c r="I2597" t="s">
        <v>551</v>
      </c>
      <c r="J2597" t="s">
        <v>8432</v>
      </c>
      <c r="K2597" t="s">
        <v>24</v>
      </c>
      <c r="L2597" t="s">
        <v>7624</v>
      </c>
      <c r="M2597" t="s">
        <v>881</v>
      </c>
      <c r="N2597" t="s">
        <v>882</v>
      </c>
      <c r="O2597" t="s">
        <v>810</v>
      </c>
      <c r="P2597" t="s">
        <v>811</v>
      </c>
      <c r="Q2597" t="s">
        <v>8918</v>
      </c>
      <c r="R2597" t="s">
        <v>8919</v>
      </c>
      <c r="S2597" t="s">
        <v>803</v>
      </c>
      <c r="T2597" t="s">
        <v>550</v>
      </c>
      <c r="U2597" t="s">
        <v>550</v>
      </c>
      <c r="V2597" t="s">
        <v>9328</v>
      </c>
      <c r="W2597" t="s">
        <v>7194</v>
      </c>
      <c r="Z2597" t="s">
        <v>8429</v>
      </c>
    </row>
    <row r="2598" spans="1:26" x14ac:dyDescent="0.3">
      <c r="A2598" t="s">
        <v>330</v>
      </c>
      <c r="B2598" t="s">
        <v>9329</v>
      </c>
      <c r="C2598" t="s">
        <v>9330</v>
      </c>
      <c r="D2598" t="s">
        <v>550</v>
      </c>
      <c r="E2598" t="s">
        <v>9331</v>
      </c>
      <c r="F2598" t="s">
        <v>9332</v>
      </c>
      <c r="G2598" s="1">
        <v>45658</v>
      </c>
      <c r="H2598" s="1">
        <v>45658</v>
      </c>
      <c r="I2598" t="s">
        <v>551</v>
      </c>
      <c r="J2598" t="s">
        <v>9051</v>
      </c>
      <c r="K2598" t="s">
        <v>862</v>
      </c>
      <c r="L2598" t="s">
        <v>842</v>
      </c>
      <c r="M2598" t="s">
        <v>881</v>
      </c>
      <c r="N2598" t="s">
        <v>882</v>
      </c>
      <c r="O2598" t="s">
        <v>810</v>
      </c>
      <c r="P2598" t="s">
        <v>811</v>
      </c>
      <c r="Q2598" t="s">
        <v>8918</v>
      </c>
      <c r="R2598" t="s">
        <v>8919</v>
      </c>
      <c r="S2598" t="s">
        <v>803</v>
      </c>
      <c r="T2598" t="s">
        <v>847</v>
      </c>
      <c r="U2598" t="s">
        <v>550</v>
      </c>
      <c r="V2598" t="s">
        <v>9333</v>
      </c>
      <c r="W2598" t="s">
        <v>813</v>
      </c>
      <c r="Z2598" t="s">
        <v>9329</v>
      </c>
    </row>
    <row r="2599" spans="1:26" x14ac:dyDescent="0.3">
      <c r="A2599" t="s">
        <v>330</v>
      </c>
      <c r="B2599" t="s">
        <v>9334</v>
      </c>
      <c r="C2599" t="s">
        <v>9335</v>
      </c>
      <c r="D2599" t="s">
        <v>9329</v>
      </c>
      <c r="E2599" t="s">
        <v>9331</v>
      </c>
      <c r="F2599" t="s">
        <v>9332</v>
      </c>
      <c r="G2599" s="1">
        <v>45849</v>
      </c>
      <c r="H2599" s="1">
        <v>45857</v>
      </c>
      <c r="I2599" t="s">
        <v>665</v>
      </c>
      <c r="J2599" t="s">
        <v>9051</v>
      </c>
      <c r="K2599" t="s">
        <v>862</v>
      </c>
      <c r="L2599" t="s">
        <v>842</v>
      </c>
      <c r="M2599" t="s">
        <v>881</v>
      </c>
      <c r="N2599" t="s">
        <v>882</v>
      </c>
      <c r="O2599" t="s">
        <v>810</v>
      </c>
      <c r="P2599" t="s">
        <v>811</v>
      </c>
      <c r="Q2599" t="s">
        <v>8918</v>
      </c>
      <c r="R2599" t="s">
        <v>8919</v>
      </c>
      <c r="S2599" t="s">
        <v>803</v>
      </c>
      <c r="T2599" t="s">
        <v>847</v>
      </c>
      <c r="U2599" t="s">
        <v>550</v>
      </c>
      <c r="V2599" t="s">
        <v>9336</v>
      </c>
      <c r="W2599" t="s">
        <v>813</v>
      </c>
      <c r="Z2599" t="s">
        <v>9334</v>
      </c>
    </row>
    <row r="2600" spans="1:26" x14ac:dyDescent="0.3">
      <c r="A2600" t="s">
        <v>330</v>
      </c>
      <c r="B2600" t="s">
        <v>9337</v>
      </c>
      <c r="C2600" t="s">
        <v>9330</v>
      </c>
      <c r="D2600" t="s">
        <v>9329</v>
      </c>
      <c r="E2600" t="s">
        <v>9331</v>
      </c>
      <c r="F2600" t="s">
        <v>9332</v>
      </c>
      <c r="G2600" s="1">
        <v>46023</v>
      </c>
      <c r="H2600" s="1">
        <v>46024</v>
      </c>
      <c r="I2600" t="s">
        <v>551</v>
      </c>
      <c r="J2600" t="s">
        <v>9051</v>
      </c>
      <c r="K2600" t="s">
        <v>862</v>
      </c>
      <c r="L2600" t="s">
        <v>842</v>
      </c>
      <c r="M2600" t="s">
        <v>881</v>
      </c>
      <c r="N2600" t="s">
        <v>882</v>
      </c>
      <c r="O2600" t="s">
        <v>810</v>
      </c>
      <c r="P2600" t="s">
        <v>811</v>
      </c>
      <c r="Q2600" t="s">
        <v>8918</v>
      </c>
      <c r="R2600" t="s">
        <v>8919</v>
      </c>
      <c r="S2600" t="s">
        <v>803</v>
      </c>
      <c r="T2600" t="s">
        <v>847</v>
      </c>
      <c r="U2600" t="s">
        <v>550</v>
      </c>
      <c r="V2600" t="s">
        <v>9338</v>
      </c>
      <c r="W2600" t="s">
        <v>813</v>
      </c>
      <c r="Z2600" t="s">
        <v>9337</v>
      </c>
    </row>
    <row r="2601" spans="1:26" x14ac:dyDescent="0.3">
      <c r="A2601" t="s">
        <v>330</v>
      </c>
      <c r="B2601" t="s">
        <v>9339</v>
      </c>
      <c r="C2601" t="s">
        <v>9340</v>
      </c>
      <c r="D2601" t="s">
        <v>8519</v>
      </c>
      <c r="E2601" t="s">
        <v>8402</v>
      </c>
      <c r="F2601" t="s">
        <v>1319</v>
      </c>
      <c r="G2601" s="1">
        <v>45658</v>
      </c>
      <c r="H2601" s="1">
        <v>45682</v>
      </c>
      <c r="I2601" t="s">
        <v>665</v>
      </c>
      <c r="J2601" t="s">
        <v>7190</v>
      </c>
      <c r="K2601" t="s">
        <v>24</v>
      </c>
      <c r="L2601" t="s">
        <v>7624</v>
      </c>
      <c r="M2601" t="s">
        <v>881</v>
      </c>
      <c r="N2601" t="s">
        <v>882</v>
      </c>
      <c r="O2601" t="s">
        <v>810</v>
      </c>
      <c r="P2601" t="s">
        <v>811</v>
      </c>
      <c r="Q2601" t="s">
        <v>8918</v>
      </c>
      <c r="R2601" t="s">
        <v>8919</v>
      </c>
      <c r="S2601" t="s">
        <v>7208</v>
      </c>
      <c r="T2601" t="s">
        <v>550</v>
      </c>
      <c r="U2601" t="s">
        <v>550</v>
      </c>
      <c r="V2601" t="s">
        <v>9341</v>
      </c>
      <c r="W2601" t="s">
        <v>886</v>
      </c>
      <c r="Z2601" t="s">
        <v>9339</v>
      </c>
    </row>
    <row r="2602" spans="1:26" x14ac:dyDescent="0.3">
      <c r="A2602" t="s">
        <v>330</v>
      </c>
      <c r="B2602" t="s">
        <v>9342</v>
      </c>
      <c r="C2602" t="s">
        <v>9343</v>
      </c>
      <c r="D2602" t="s">
        <v>8519</v>
      </c>
      <c r="E2602" t="s">
        <v>8402</v>
      </c>
      <c r="F2602" t="s">
        <v>1319</v>
      </c>
      <c r="G2602" s="1">
        <v>46023</v>
      </c>
      <c r="H2602" s="1">
        <v>46088</v>
      </c>
      <c r="I2602" t="s">
        <v>551</v>
      </c>
      <c r="J2602" t="s">
        <v>7190</v>
      </c>
      <c r="K2602" t="s">
        <v>24</v>
      </c>
      <c r="L2602" t="s">
        <v>7624</v>
      </c>
      <c r="M2602" t="s">
        <v>881</v>
      </c>
      <c r="N2602" t="s">
        <v>882</v>
      </c>
      <c r="O2602" t="s">
        <v>810</v>
      </c>
      <c r="P2602" t="s">
        <v>811</v>
      </c>
      <c r="Q2602" t="s">
        <v>8918</v>
      </c>
      <c r="R2602" t="s">
        <v>8919</v>
      </c>
      <c r="S2602" t="s">
        <v>7208</v>
      </c>
      <c r="T2602" t="s">
        <v>550</v>
      </c>
      <c r="U2602" t="s">
        <v>550</v>
      </c>
      <c r="V2602" t="s">
        <v>9344</v>
      </c>
      <c r="W2602" t="s">
        <v>886</v>
      </c>
      <c r="Z2602" t="s">
        <v>9342</v>
      </c>
    </row>
    <row r="2603" spans="1:26" x14ac:dyDescent="0.3">
      <c r="A2603" t="s">
        <v>330</v>
      </c>
      <c r="B2603" t="s">
        <v>9345</v>
      </c>
      <c r="C2603" t="s">
        <v>9346</v>
      </c>
      <c r="D2603" t="s">
        <v>9182</v>
      </c>
      <c r="E2603" t="s">
        <v>7585</v>
      </c>
      <c r="F2603" t="s">
        <v>7586</v>
      </c>
      <c r="G2603" s="1">
        <v>45658</v>
      </c>
      <c r="H2603" s="1">
        <v>45712</v>
      </c>
      <c r="I2603" t="s">
        <v>665</v>
      </c>
      <c r="J2603" t="s">
        <v>7580</v>
      </c>
      <c r="K2603" t="s">
        <v>958</v>
      </c>
      <c r="L2603" t="s">
        <v>7624</v>
      </c>
      <c r="M2603" t="s">
        <v>881</v>
      </c>
      <c r="N2603" t="s">
        <v>882</v>
      </c>
      <c r="O2603" t="s">
        <v>810</v>
      </c>
      <c r="P2603" t="s">
        <v>811</v>
      </c>
      <c r="Q2603" t="s">
        <v>8918</v>
      </c>
      <c r="R2603" t="s">
        <v>8919</v>
      </c>
      <c r="S2603" t="s">
        <v>803</v>
      </c>
      <c r="T2603" t="s">
        <v>550</v>
      </c>
      <c r="U2603" t="s">
        <v>550</v>
      </c>
      <c r="V2603" t="s">
        <v>9347</v>
      </c>
      <c r="W2603" t="s">
        <v>886</v>
      </c>
      <c r="Z2603" t="s">
        <v>9345</v>
      </c>
    </row>
    <row r="2604" spans="1:26" x14ac:dyDescent="0.3">
      <c r="A2604" t="s">
        <v>330</v>
      </c>
      <c r="B2604" t="s">
        <v>9348</v>
      </c>
      <c r="C2604" t="s">
        <v>9349</v>
      </c>
      <c r="D2604" t="s">
        <v>8699</v>
      </c>
      <c r="E2604" t="s">
        <v>7088</v>
      </c>
      <c r="F2604" t="s">
        <v>7089</v>
      </c>
      <c r="G2604" s="1">
        <v>45658</v>
      </c>
      <c r="H2604" s="1">
        <v>45767</v>
      </c>
      <c r="I2604" t="s">
        <v>665</v>
      </c>
      <c r="J2604" t="s">
        <v>8700</v>
      </c>
      <c r="K2604" t="s">
        <v>24</v>
      </c>
      <c r="L2604" t="s">
        <v>7624</v>
      </c>
      <c r="M2604" t="s">
        <v>881</v>
      </c>
      <c r="N2604" t="s">
        <v>882</v>
      </c>
      <c r="O2604" t="s">
        <v>810</v>
      </c>
      <c r="P2604" t="s">
        <v>811</v>
      </c>
      <c r="Q2604" t="s">
        <v>8918</v>
      </c>
      <c r="R2604" t="s">
        <v>8919</v>
      </c>
      <c r="S2604" t="s">
        <v>7208</v>
      </c>
      <c r="T2604" t="s">
        <v>550</v>
      </c>
      <c r="U2604" t="s">
        <v>550</v>
      </c>
      <c r="V2604" t="s">
        <v>9350</v>
      </c>
      <c r="W2604" t="s">
        <v>886</v>
      </c>
      <c r="Z2604" t="s">
        <v>9348</v>
      </c>
    </row>
    <row r="2605" spans="1:26" x14ac:dyDescent="0.3">
      <c r="A2605" t="s">
        <v>330</v>
      </c>
      <c r="B2605" t="s">
        <v>9351</v>
      </c>
      <c r="C2605" t="s">
        <v>9352</v>
      </c>
      <c r="D2605" t="s">
        <v>8699</v>
      </c>
      <c r="E2605" t="s">
        <v>7088</v>
      </c>
      <c r="F2605" t="s">
        <v>7089</v>
      </c>
      <c r="G2605" s="1">
        <v>46023</v>
      </c>
      <c r="H2605" s="1">
        <v>46051</v>
      </c>
      <c r="I2605" t="s">
        <v>551</v>
      </c>
      <c r="J2605" t="s">
        <v>8700</v>
      </c>
      <c r="K2605" t="s">
        <v>24</v>
      </c>
      <c r="L2605" t="s">
        <v>7624</v>
      </c>
      <c r="M2605" t="s">
        <v>881</v>
      </c>
      <c r="N2605" t="s">
        <v>882</v>
      </c>
      <c r="O2605" t="s">
        <v>810</v>
      </c>
      <c r="P2605" t="s">
        <v>811</v>
      </c>
      <c r="Q2605" t="s">
        <v>8918</v>
      </c>
      <c r="R2605" t="s">
        <v>8919</v>
      </c>
      <c r="S2605" t="s">
        <v>803</v>
      </c>
      <c r="T2605" t="s">
        <v>550</v>
      </c>
      <c r="U2605" t="s">
        <v>550</v>
      </c>
      <c r="V2605" t="s">
        <v>9353</v>
      </c>
      <c r="W2605" t="s">
        <v>886</v>
      </c>
      <c r="Z2605" t="s">
        <v>9351</v>
      </c>
    </row>
    <row r="2606" spans="1:26" x14ac:dyDescent="0.3">
      <c r="A2606" t="s">
        <v>330</v>
      </c>
      <c r="B2606" t="s">
        <v>9354</v>
      </c>
      <c r="C2606" t="s">
        <v>9355</v>
      </c>
      <c r="D2606" t="s">
        <v>8429</v>
      </c>
      <c r="E2606" t="s">
        <v>8430</v>
      </c>
      <c r="F2606" t="s">
        <v>8431</v>
      </c>
      <c r="G2606" s="1">
        <v>45673</v>
      </c>
      <c r="H2606" s="1">
        <v>45734</v>
      </c>
      <c r="I2606" t="s">
        <v>665</v>
      </c>
      <c r="J2606" t="s">
        <v>8432</v>
      </c>
      <c r="K2606" t="s">
        <v>958</v>
      </c>
      <c r="L2606" t="s">
        <v>7624</v>
      </c>
      <c r="M2606" t="s">
        <v>881</v>
      </c>
      <c r="N2606" t="s">
        <v>882</v>
      </c>
      <c r="O2606" t="s">
        <v>810</v>
      </c>
      <c r="P2606" t="s">
        <v>811</v>
      </c>
      <c r="Q2606" t="s">
        <v>8918</v>
      </c>
      <c r="R2606" t="s">
        <v>8919</v>
      </c>
      <c r="S2606" t="s">
        <v>803</v>
      </c>
      <c r="T2606" t="s">
        <v>8433</v>
      </c>
      <c r="U2606" t="s">
        <v>550</v>
      </c>
      <c r="V2606" t="s">
        <v>9356</v>
      </c>
      <c r="W2606" t="s">
        <v>886</v>
      </c>
      <c r="Z2606" t="s">
        <v>9354</v>
      </c>
    </row>
    <row r="2607" spans="1:26" x14ac:dyDescent="0.3">
      <c r="A2607" t="s">
        <v>330</v>
      </c>
      <c r="B2607" t="s">
        <v>9357</v>
      </c>
      <c r="C2607" t="s">
        <v>9358</v>
      </c>
      <c r="D2607" t="s">
        <v>9107</v>
      </c>
      <c r="E2607" t="s">
        <v>9359</v>
      </c>
      <c r="F2607" t="s">
        <v>9360</v>
      </c>
      <c r="G2607" s="1">
        <v>45658</v>
      </c>
      <c r="H2607" s="1">
        <v>45661</v>
      </c>
      <c r="I2607" t="s">
        <v>665</v>
      </c>
      <c r="J2607" t="s">
        <v>9127</v>
      </c>
      <c r="K2607" t="s">
        <v>635</v>
      </c>
      <c r="L2607" t="s">
        <v>7624</v>
      </c>
      <c r="M2607" t="s">
        <v>881</v>
      </c>
      <c r="N2607" t="s">
        <v>882</v>
      </c>
      <c r="O2607" t="s">
        <v>810</v>
      </c>
      <c r="P2607" t="s">
        <v>811</v>
      </c>
      <c r="Q2607" t="s">
        <v>8918</v>
      </c>
      <c r="R2607" t="s">
        <v>8919</v>
      </c>
      <c r="S2607" t="s">
        <v>803</v>
      </c>
      <c r="T2607" t="s">
        <v>550</v>
      </c>
      <c r="U2607" t="s">
        <v>550</v>
      </c>
      <c r="V2607" t="s">
        <v>9361</v>
      </c>
      <c r="W2607" t="s">
        <v>886</v>
      </c>
      <c r="Z2607" t="s">
        <v>9357</v>
      </c>
    </row>
    <row r="2608" spans="1:26" x14ac:dyDescent="0.3">
      <c r="A2608" t="s">
        <v>330</v>
      </c>
      <c r="B2608" t="s">
        <v>9362</v>
      </c>
      <c r="C2608" t="s">
        <v>9363</v>
      </c>
      <c r="D2608" t="s">
        <v>550</v>
      </c>
      <c r="E2608" t="s">
        <v>9364</v>
      </c>
      <c r="F2608" t="s">
        <v>9365</v>
      </c>
      <c r="G2608" s="1">
        <v>45658</v>
      </c>
      <c r="H2608" s="1">
        <v>45673</v>
      </c>
      <c r="I2608" t="s">
        <v>665</v>
      </c>
      <c r="J2608" t="s">
        <v>8430</v>
      </c>
      <c r="K2608" t="s">
        <v>24</v>
      </c>
      <c r="L2608" t="s">
        <v>7624</v>
      </c>
      <c r="M2608" t="s">
        <v>881</v>
      </c>
      <c r="N2608" t="s">
        <v>882</v>
      </c>
      <c r="O2608" t="s">
        <v>810</v>
      </c>
      <c r="P2608" t="s">
        <v>811</v>
      </c>
      <c r="Q2608" t="s">
        <v>8918</v>
      </c>
      <c r="R2608" t="s">
        <v>8919</v>
      </c>
      <c r="S2608" t="s">
        <v>803</v>
      </c>
      <c r="T2608" t="s">
        <v>550</v>
      </c>
      <c r="U2608" t="s">
        <v>550</v>
      </c>
      <c r="V2608" t="s">
        <v>9366</v>
      </c>
      <c r="W2608" t="s">
        <v>886</v>
      </c>
      <c r="Z2608" t="s">
        <v>9362</v>
      </c>
    </row>
    <row r="2609" spans="1:26" x14ac:dyDescent="0.3">
      <c r="A2609" t="s">
        <v>330</v>
      </c>
      <c r="B2609" t="s">
        <v>9367</v>
      </c>
      <c r="C2609" t="s">
        <v>9368</v>
      </c>
      <c r="D2609" t="s">
        <v>9204</v>
      </c>
      <c r="E2609" t="s">
        <v>9369</v>
      </c>
      <c r="F2609" t="s">
        <v>9370</v>
      </c>
      <c r="G2609" s="1">
        <v>46054</v>
      </c>
      <c r="H2609" s="1">
        <v>46060</v>
      </c>
      <c r="I2609" t="s">
        <v>551</v>
      </c>
      <c r="J2609" t="s">
        <v>9216</v>
      </c>
      <c r="K2609" t="s">
        <v>862</v>
      </c>
      <c r="L2609" t="s">
        <v>7624</v>
      </c>
      <c r="M2609" t="s">
        <v>881</v>
      </c>
      <c r="N2609" t="s">
        <v>882</v>
      </c>
      <c r="O2609" t="s">
        <v>810</v>
      </c>
      <c r="P2609" t="s">
        <v>811</v>
      </c>
      <c r="Q2609" t="s">
        <v>8918</v>
      </c>
      <c r="R2609" t="s">
        <v>8919</v>
      </c>
      <c r="S2609" t="s">
        <v>803</v>
      </c>
      <c r="T2609" t="s">
        <v>847</v>
      </c>
      <c r="U2609" t="s">
        <v>550</v>
      </c>
      <c r="V2609" t="s">
        <v>9371</v>
      </c>
      <c r="W2609" t="s">
        <v>886</v>
      </c>
      <c r="Z2609" t="s">
        <v>9367</v>
      </c>
    </row>
    <row r="2610" spans="1:26" x14ac:dyDescent="0.3">
      <c r="A2610" t="s">
        <v>330</v>
      </c>
      <c r="B2610" t="s">
        <v>8399</v>
      </c>
      <c r="C2610" t="s">
        <v>9372</v>
      </c>
      <c r="D2610" t="s">
        <v>550</v>
      </c>
      <c r="E2610" t="s">
        <v>8400</v>
      </c>
      <c r="F2610" t="s">
        <v>8401</v>
      </c>
      <c r="G2610" s="1">
        <v>44928</v>
      </c>
      <c r="H2610" s="1">
        <v>44928</v>
      </c>
      <c r="I2610" t="s">
        <v>551</v>
      </c>
      <c r="J2610" t="s">
        <v>8402</v>
      </c>
      <c r="K2610" t="s">
        <v>24</v>
      </c>
      <c r="L2610" t="s">
        <v>809</v>
      </c>
      <c r="M2610" t="s">
        <v>881</v>
      </c>
      <c r="N2610" t="s">
        <v>882</v>
      </c>
      <c r="O2610" t="s">
        <v>810</v>
      </c>
      <c r="P2610" t="s">
        <v>811</v>
      </c>
      <c r="Q2610" t="s">
        <v>8918</v>
      </c>
      <c r="R2610" t="s">
        <v>8919</v>
      </c>
      <c r="S2610" t="s">
        <v>803</v>
      </c>
      <c r="T2610" t="s">
        <v>550</v>
      </c>
      <c r="U2610" t="s">
        <v>550</v>
      </c>
      <c r="V2610" t="s">
        <v>9373</v>
      </c>
      <c r="W2610" t="s">
        <v>7194</v>
      </c>
      <c r="X2610" t="s">
        <v>8324</v>
      </c>
      <c r="Y2610" t="s">
        <v>803</v>
      </c>
      <c r="Z2610" t="s">
        <v>8399</v>
      </c>
    </row>
    <row r="2611" spans="1:26" x14ac:dyDescent="0.3">
      <c r="A2611" t="s">
        <v>330</v>
      </c>
      <c r="B2611" t="s">
        <v>8386</v>
      </c>
      <c r="C2611" t="s">
        <v>9374</v>
      </c>
      <c r="D2611" t="s">
        <v>550</v>
      </c>
      <c r="E2611" t="s">
        <v>8387</v>
      </c>
      <c r="F2611" t="s">
        <v>8388</v>
      </c>
      <c r="G2611" s="1">
        <v>45170</v>
      </c>
      <c r="H2611" s="1">
        <v>45170</v>
      </c>
      <c r="I2611" t="s">
        <v>665</v>
      </c>
      <c r="J2611" t="s">
        <v>878</v>
      </c>
      <c r="K2611" t="s">
        <v>24</v>
      </c>
      <c r="L2611" t="s">
        <v>809</v>
      </c>
      <c r="M2611" t="s">
        <v>881</v>
      </c>
      <c r="N2611" t="s">
        <v>882</v>
      </c>
      <c r="O2611" t="s">
        <v>810</v>
      </c>
      <c r="P2611" t="s">
        <v>811</v>
      </c>
      <c r="Q2611" t="s">
        <v>8918</v>
      </c>
      <c r="R2611" t="s">
        <v>8919</v>
      </c>
      <c r="S2611" t="s">
        <v>803</v>
      </c>
      <c r="T2611" t="s">
        <v>550</v>
      </c>
      <c r="U2611" t="s">
        <v>550</v>
      </c>
      <c r="V2611" t="s">
        <v>8597</v>
      </c>
      <c r="W2611" t="s">
        <v>7194</v>
      </c>
      <c r="X2611" t="s">
        <v>8324</v>
      </c>
      <c r="Y2611" t="s">
        <v>803</v>
      </c>
      <c r="Z2611" t="s">
        <v>8386</v>
      </c>
    </row>
    <row r="2612" spans="1:26" x14ac:dyDescent="0.3">
      <c r="A2612" t="s">
        <v>330</v>
      </c>
      <c r="B2612" t="s">
        <v>8373</v>
      </c>
      <c r="C2612" t="s">
        <v>9375</v>
      </c>
      <c r="D2612" t="s">
        <v>550</v>
      </c>
      <c r="E2612" t="s">
        <v>7153</v>
      </c>
      <c r="F2612" t="s">
        <v>7154</v>
      </c>
      <c r="G2612" s="1">
        <v>45231</v>
      </c>
      <c r="H2612" s="1">
        <v>45231</v>
      </c>
      <c r="I2612" t="s">
        <v>665</v>
      </c>
      <c r="J2612" t="s">
        <v>7155</v>
      </c>
      <c r="K2612" t="s">
        <v>24</v>
      </c>
      <c r="L2612" t="s">
        <v>809</v>
      </c>
      <c r="M2612" t="s">
        <v>881</v>
      </c>
      <c r="N2612" t="s">
        <v>882</v>
      </c>
      <c r="O2612" t="s">
        <v>810</v>
      </c>
      <c r="P2612" t="s">
        <v>811</v>
      </c>
      <c r="Q2612" t="s">
        <v>8918</v>
      </c>
      <c r="R2612" t="s">
        <v>8919</v>
      </c>
      <c r="S2612" t="s">
        <v>803</v>
      </c>
      <c r="T2612" t="s">
        <v>550</v>
      </c>
      <c r="U2612" t="s">
        <v>550</v>
      </c>
      <c r="V2612" t="s">
        <v>9376</v>
      </c>
      <c r="W2612" t="s">
        <v>7194</v>
      </c>
      <c r="Z2612" t="s">
        <v>8373</v>
      </c>
    </row>
    <row r="2613" spans="1:26" x14ac:dyDescent="0.3">
      <c r="A2613" t="s">
        <v>330</v>
      </c>
      <c r="B2613" t="s">
        <v>9377</v>
      </c>
      <c r="C2613" t="s">
        <v>7248</v>
      </c>
      <c r="D2613" t="s">
        <v>9064</v>
      </c>
      <c r="E2613" t="s">
        <v>6417</v>
      </c>
      <c r="F2613" t="s">
        <v>1040</v>
      </c>
      <c r="G2613" s="1">
        <v>45658</v>
      </c>
      <c r="H2613" s="1">
        <v>45845</v>
      </c>
      <c r="I2613" t="s">
        <v>665</v>
      </c>
      <c r="J2613" t="s">
        <v>6418</v>
      </c>
      <c r="K2613" t="s">
        <v>958</v>
      </c>
      <c r="L2613" t="s">
        <v>6419</v>
      </c>
      <c r="M2613" t="s">
        <v>881</v>
      </c>
      <c r="N2613" t="s">
        <v>882</v>
      </c>
      <c r="O2613" t="s">
        <v>810</v>
      </c>
      <c r="P2613" t="s">
        <v>811</v>
      </c>
      <c r="Q2613" t="s">
        <v>8918</v>
      </c>
      <c r="R2613" t="s">
        <v>8919</v>
      </c>
      <c r="S2613" t="s">
        <v>9065</v>
      </c>
      <c r="T2613" t="s">
        <v>550</v>
      </c>
      <c r="U2613" t="s">
        <v>550</v>
      </c>
      <c r="V2613" t="s">
        <v>9378</v>
      </c>
      <c r="W2613" t="s">
        <v>886</v>
      </c>
      <c r="X2613" t="s">
        <v>8348</v>
      </c>
      <c r="Z2613" t="s">
        <v>9377</v>
      </c>
    </row>
    <row r="2614" spans="1:26" x14ac:dyDescent="0.3">
      <c r="A2614" t="s">
        <v>330</v>
      </c>
      <c r="B2614" t="s">
        <v>9379</v>
      </c>
      <c r="C2614" t="s">
        <v>7253</v>
      </c>
      <c r="D2614" t="s">
        <v>9064</v>
      </c>
      <c r="E2614" t="s">
        <v>6417</v>
      </c>
      <c r="F2614" t="s">
        <v>1040</v>
      </c>
      <c r="G2614" s="1">
        <v>45658</v>
      </c>
      <c r="H2614" s="1">
        <v>45757</v>
      </c>
      <c r="I2614" t="s">
        <v>665</v>
      </c>
      <c r="J2614" t="s">
        <v>6418</v>
      </c>
      <c r="K2614" t="s">
        <v>958</v>
      </c>
      <c r="L2614" t="s">
        <v>6419</v>
      </c>
      <c r="M2614" t="s">
        <v>881</v>
      </c>
      <c r="N2614" t="s">
        <v>882</v>
      </c>
      <c r="O2614" t="s">
        <v>810</v>
      </c>
      <c r="P2614" t="s">
        <v>811</v>
      </c>
      <c r="Q2614" t="s">
        <v>8918</v>
      </c>
      <c r="R2614" t="s">
        <v>8919</v>
      </c>
      <c r="S2614" t="s">
        <v>9065</v>
      </c>
      <c r="T2614" t="s">
        <v>550</v>
      </c>
      <c r="U2614" t="s">
        <v>550</v>
      </c>
      <c r="V2614" t="s">
        <v>9380</v>
      </c>
      <c r="W2614" t="s">
        <v>886</v>
      </c>
      <c r="X2614" t="s">
        <v>8348</v>
      </c>
      <c r="Z2614" t="s">
        <v>9379</v>
      </c>
    </row>
    <row r="2615" spans="1:26" x14ac:dyDescent="0.3">
      <c r="A2615" t="s">
        <v>330</v>
      </c>
      <c r="B2615" t="s">
        <v>9381</v>
      </c>
      <c r="C2615" t="s">
        <v>7248</v>
      </c>
      <c r="D2615" t="s">
        <v>9073</v>
      </c>
      <c r="E2615" t="s">
        <v>6417</v>
      </c>
      <c r="F2615" t="s">
        <v>1040</v>
      </c>
      <c r="G2615" s="1">
        <v>46023</v>
      </c>
      <c r="H2615" s="1">
        <v>46210</v>
      </c>
      <c r="I2615" t="s">
        <v>551</v>
      </c>
      <c r="J2615" t="s">
        <v>6418</v>
      </c>
      <c r="K2615" t="s">
        <v>958</v>
      </c>
      <c r="L2615" t="s">
        <v>6419</v>
      </c>
      <c r="M2615" t="s">
        <v>881</v>
      </c>
      <c r="N2615" t="s">
        <v>882</v>
      </c>
      <c r="O2615" t="s">
        <v>810</v>
      </c>
      <c r="P2615" t="s">
        <v>811</v>
      </c>
      <c r="Q2615" t="s">
        <v>8918</v>
      </c>
      <c r="R2615" t="s">
        <v>8919</v>
      </c>
      <c r="S2615" t="s">
        <v>9074</v>
      </c>
      <c r="T2615" t="s">
        <v>550</v>
      </c>
      <c r="U2615" t="s">
        <v>550</v>
      </c>
      <c r="V2615" t="s">
        <v>9382</v>
      </c>
      <c r="W2615" t="s">
        <v>886</v>
      </c>
      <c r="X2615" t="s">
        <v>8348</v>
      </c>
      <c r="Z2615" t="s">
        <v>9381</v>
      </c>
    </row>
    <row r="2616" spans="1:26" x14ac:dyDescent="0.3">
      <c r="A2616" t="s">
        <v>330</v>
      </c>
      <c r="B2616" t="s">
        <v>9383</v>
      </c>
      <c r="C2616" t="s">
        <v>9384</v>
      </c>
      <c r="D2616" t="s">
        <v>9073</v>
      </c>
      <c r="E2616" t="s">
        <v>6417</v>
      </c>
      <c r="F2616" t="s">
        <v>1040</v>
      </c>
      <c r="G2616" s="1">
        <v>46023</v>
      </c>
      <c r="H2616" s="1">
        <v>46192</v>
      </c>
      <c r="I2616" t="s">
        <v>551</v>
      </c>
      <c r="J2616" t="s">
        <v>6418</v>
      </c>
      <c r="K2616" t="s">
        <v>958</v>
      </c>
      <c r="L2616" t="s">
        <v>6419</v>
      </c>
      <c r="M2616" t="s">
        <v>881</v>
      </c>
      <c r="N2616" t="s">
        <v>882</v>
      </c>
      <c r="O2616" t="s">
        <v>810</v>
      </c>
      <c r="P2616" t="s">
        <v>811</v>
      </c>
      <c r="Q2616" t="s">
        <v>8918</v>
      </c>
      <c r="R2616" t="s">
        <v>8919</v>
      </c>
      <c r="S2616" t="s">
        <v>9074</v>
      </c>
      <c r="T2616" t="s">
        <v>550</v>
      </c>
      <c r="U2616" t="s">
        <v>550</v>
      </c>
      <c r="V2616" t="s">
        <v>9385</v>
      </c>
      <c r="W2616" t="s">
        <v>886</v>
      </c>
      <c r="X2616" t="s">
        <v>8348</v>
      </c>
      <c r="Z2616" t="s">
        <v>9383</v>
      </c>
    </row>
    <row r="2617" spans="1:26" x14ac:dyDescent="0.3">
      <c r="A2617" t="s">
        <v>330</v>
      </c>
      <c r="B2617" t="s">
        <v>9064</v>
      </c>
      <c r="C2617" t="s">
        <v>7221</v>
      </c>
      <c r="D2617" t="s">
        <v>550</v>
      </c>
      <c r="E2617" t="s">
        <v>6417</v>
      </c>
      <c r="F2617" t="s">
        <v>1040</v>
      </c>
      <c r="G2617" s="1">
        <v>45659</v>
      </c>
      <c r="H2617" s="1">
        <v>45659</v>
      </c>
      <c r="I2617" t="s">
        <v>665</v>
      </c>
      <c r="J2617" t="s">
        <v>6418</v>
      </c>
      <c r="K2617" t="s">
        <v>958</v>
      </c>
      <c r="L2617" t="s">
        <v>6419</v>
      </c>
      <c r="M2617" t="s">
        <v>810</v>
      </c>
      <c r="N2617" t="s">
        <v>811</v>
      </c>
      <c r="O2617" t="s">
        <v>810</v>
      </c>
      <c r="P2617" t="s">
        <v>811</v>
      </c>
      <c r="Q2617" t="s">
        <v>8918</v>
      </c>
      <c r="R2617" t="s">
        <v>8919</v>
      </c>
      <c r="S2617" t="s">
        <v>9065</v>
      </c>
      <c r="T2617" t="s">
        <v>550</v>
      </c>
      <c r="U2617" t="s">
        <v>550</v>
      </c>
      <c r="V2617" t="s">
        <v>9386</v>
      </c>
      <c r="W2617" t="s">
        <v>7092</v>
      </c>
      <c r="X2617" t="s">
        <v>8348</v>
      </c>
      <c r="Z2617" t="s">
        <v>9064</v>
      </c>
    </row>
    <row r="2618" spans="1:26" x14ac:dyDescent="0.3">
      <c r="A2618" t="s">
        <v>330</v>
      </c>
      <c r="B2618" t="s">
        <v>9387</v>
      </c>
      <c r="C2618" t="s">
        <v>7460</v>
      </c>
      <c r="D2618" t="s">
        <v>9064</v>
      </c>
      <c r="E2618" t="s">
        <v>6417</v>
      </c>
      <c r="F2618" t="s">
        <v>1040</v>
      </c>
      <c r="G2618" s="1">
        <v>45658</v>
      </c>
      <c r="H2618" s="1">
        <v>45720</v>
      </c>
      <c r="I2618" t="s">
        <v>665</v>
      </c>
      <c r="J2618" t="s">
        <v>6418</v>
      </c>
      <c r="K2618" t="s">
        <v>958</v>
      </c>
      <c r="L2618" t="s">
        <v>6419</v>
      </c>
      <c r="M2618" t="s">
        <v>810</v>
      </c>
      <c r="N2618" t="s">
        <v>811</v>
      </c>
      <c r="O2618" t="s">
        <v>810</v>
      </c>
      <c r="P2618" t="s">
        <v>811</v>
      </c>
      <c r="Q2618" t="s">
        <v>8918</v>
      </c>
      <c r="R2618" t="s">
        <v>8919</v>
      </c>
      <c r="S2618" t="s">
        <v>9065</v>
      </c>
      <c r="T2618" t="s">
        <v>550</v>
      </c>
      <c r="U2618" t="s">
        <v>550</v>
      </c>
      <c r="V2618" t="s">
        <v>9388</v>
      </c>
      <c r="W2618" t="s">
        <v>7092</v>
      </c>
      <c r="X2618" t="s">
        <v>8348</v>
      </c>
      <c r="Z2618" t="s">
        <v>9387</v>
      </c>
    </row>
    <row r="2619" spans="1:26" x14ac:dyDescent="0.3">
      <c r="A2619" t="s">
        <v>330</v>
      </c>
      <c r="B2619" t="s">
        <v>9073</v>
      </c>
      <c r="C2619" t="s">
        <v>7221</v>
      </c>
      <c r="D2619" t="s">
        <v>550</v>
      </c>
      <c r="E2619" t="s">
        <v>6417</v>
      </c>
      <c r="F2619" t="s">
        <v>1040</v>
      </c>
      <c r="G2619" s="1">
        <v>46024</v>
      </c>
      <c r="H2619" s="1">
        <v>46024</v>
      </c>
      <c r="I2619" t="s">
        <v>551</v>
      </c>
      <c r="J2619" t="s">
        <v>6418</v>
      </c>
      <c r="K2619" t="s">
        <v>958</v>
      </c>
      <c r="L2619" t="s">
        <v>6419</v>
      </c>
      <c r="M2619" t="s">
        <v>810</v>
      </c>
      <c r="N2619" t="s">
        <v>811</v>
      </c>
      <c r="O2619" t="s">
        <v>810</v>
      </c>
      <c r="P2619" t="s">
        <v>811</v>
      </c>
      <c r="Q2619" t="s">
        <v>8918</v>
      </c>
      <c r="R2619" t="s">
        <v>8919</v>
      </c>
      <c r="S2619" t="s">
        <v>9074</v>
      </c>
      <c r="T2619" t="s">
        <v>550</v>
      </c>
      <c r="U2619" t="s">
        <v>550</v>
      </c>
      <c r="V2619" t="s">
        <v>9389</v>
      </c>
      <c r="W2619" t="s">
        <v>7092</v>
      </c>
      <c r="X2619" t="s">
        <v>8348</v>
      </c>
      <c r="Z2619" t="s">
        <v>9073</v>
      </c>
    </row>
    <row r="2620" spans="1:26" x14ac:dyDescent="0.3">
      <c r="A2620" t="s">
        <v>330</v>
      </c>
      <c r="B2620" t="s">
        <v>9390</v>
      </c>
      <c r="C2620" t="s">
        <v>9391</v>
      </c>
      <c r="D2620" t="s">
        <v>9073</v>
      </c>
      <c r="E2620" t="s">
        <v>6417</v>
      </c>
      <c r="F2620" t="s">
        <v>1040</v>
      </c>
      <c r="G2620" s="1">
        <v>46023</v>
      </c>
      <c r="H2620" s="1">
        <v>46085</v>
      </c>
      <c r="I2620" t="s">
        <v>551</v>
      </c>
      <c r="J2620" t="s">
        <v>6418</v>
      </c>
      <c r="K2620" t="s">
        <v>958</v>
      </c>
      <c r="L2620" t="s">
        <v>6419</v>
      </c>
      <c r="M2620" t="s">
        <v>810</v>
      </c>
      <c r="N2620" t="s">
        <v>811</v>
      </c>
      <c r="O2620" t="s">
        <v>810</v>
      </c>
      <c r="P2620" t="s">
        <v>811</v>
      </c>
      <c r="Q2620" t="s">
        <v>8918</v>
      </c>
      <c r="R2620" t="s">
        <v>8919</v>
      </c>
      <c r="S2620" t="s">
        <v>9074</v>
      </c>
      <c r="T2620" t="s">
        <v>550</v>
      </c>
      <c r="U2620" t="s">
        <v>550</v>
      </c>
      <c r="V2620" t="s">
        <v>9392</v>
      </c>
      <c r="W2620" t="s">
        <v>7092</v>
      </c>
      <c r="X2620" t="s">
        <v>8348</v>
      </c>
      <c r="Z2620" t="s">
        <v>9390</v>
      </c>
    </row>
    <row r="2621" spans="1:26" x14ac:dyDescent="0.3">
      <c r="A2621" t="s">
        <v>330</v>
      </c>
      <c r="B2621" t="s">
        <v>8519</v>
      </c>
      <c r="C2621" t="s">
        <v>9393</v>
      </c>
      <c r="D2621" t="s">
        <v>550</v>
      </c>
      <c r="E2621" t="s">
        <v>8402</v>
      </c>
      <c r="F2621" t="s">
        <v>1319</v>
      </c>
      <c r="G2621" s="1">
        <v>45231</v>
      </c>
      <c r="H2621" s="1">
        <v>45231</v>
      </c>
      <c r="I2621" t="s">
        <v>551</v>
      </c>
      <c r="J2621" t="s">
        <v>7190</v>
      </c>
      <c r="K2621" t="s">
        <v>24</v>
      </c>
      <c r="L2621" t="s">
        <v>809</v>
      </c>
      <c r="M2621" t="s">
        <v>810</v>
      </c>
      <c r="N2621" t="s">
        <v>811</v>
      </c>
      <c r="O2621" t="s">
        <v>810</v>
      </c>
      <c r="P2621" t="s">
        <v>811</v>
      </c>
      <c r="Q2621" t="s">
        <v>8918</v>
      </c>
      <c r="R2621" t="s">
        <v>8919</v>
      </c>
      <c r="S2621" t="s">
        <v>7208</v>
      </c>
      <c r="T2621" t="s">
        <v>550</v>
      </c>
      <c r="U2621" t="s">
        <v>550</v>
      </c>
      <c r="V2621" t="s">
        <v>9394</v>
      </c>
      <c r="W2621" t="s">
        <v>7092</v>
      </c>
      <c r="X2621" t="s">
        <v>8324</v>
      </c>
      <c r="Y2621" t="s">
        <v>803</v>
      </c>
      <c r="Z2621" t="s">
        <v>8519</v>
      </c>
    </row>
    <row r="2622" spans="1:26" x14ac:dyDescent="0.3">
      <c r="A2622" t="s">
        <v>330</v>
      </c>
      <c r="B2622" t="s">
        <v>9395</v>
      </c>
      <c r="C2622" t="s">
        <v>9396</v>
      </c>
      <c r="D2622" t="s">
        <v>550</v>
      </c>
      <c r="E2622" t="s">
        <v>6417</v>
      </c>
      <c r="F2622" t="s">
        <v>1040</v>
      </c>
      <c r="G2622" s="1">
        <v>45659</v>
      </c>
      <c r="H2622" s="1">
        <v>45659</v>
      </c>
      <c r="I2622" t="s">
        <v>665</v>
      </c>
      <c r="J2622" t="s">
        <v>6418</v>
      </c>
      <c r="K2622" t="s">
        <v>958</v>
      </c>
      <c r="L2622" t="s">
        <v>6419</v>
      </c>
      <c r="M2622" t="s">
        <v>9397</v>
      </c>
      <c r="N2622" t="s">
        <v>9398</v>
      </c>
      <c r="O2622" t="s">
        <v>6422</v>
      </c>
      <c r="P2622" t="s">
        <v>6423</v>
      </c>
      <c r="Q2622" t="s">
        <v>8918</v>
      </c>
      <c r="R2622" t="s">
        <v>8919</v>
      </c>
      <c r="S2622" t="s">
        <v>9399</v>
      </c>
      <c r="T2622" t="s">
        <v>550</v>
      </c>
      <c r="U2622" t="s">
        <v>550</v>
      </c>
      <c r="V2622" t="s">
        <v>9400</v>
      </c>
      <c r="W2622" t="s">
        <v>6428</v>
      </c>
      <c r="X2622" t="s">
        <v>6429</v>
      </c>
      <c r="Z2622" t="s">
        <v>9395</v>
      </c>
    </row>
    <row r="2623" spans="1:26" x14ac:dyDescent="0.3">
      <c r="A2623" t="s">
        <v>330</v>
      </c>
      <c r="B2623" t="s">
        <v>9401</v>
      </c>
      <c r="C2623" t="s">
        <v>6431</v>
      </c>
      <c r="D2623" t="s">
        <v>9395</v>
      </c>
      <c r="E2623" t="s">
        <v>6417</v>
      </c>
      <c r="F2623" t="s">
        <v>1040</v>
      </c>
      <c r="G2623" s="1">
        <v>45658</v>
      </c>
      <c r="H2623" s="1">
        <v>46003</v>
      </c>
      <c r="I2623" t="s">
        <v>665</v>
      </c>
      <c r="J2623" t="s">
        <v>6418</v>
      </c>
      <c r="K2623" t="s">
        <v>958</v>
      </c>
      <c r="L2623" t="s">
        <v>6419</v>
      </c>
      <c r="M2623" t="s">
        <v>9397</v>
      </c>
      <c r="N2623" t="s">
        <v>9398</v>
      </c>
      <c r="O2623" t="s">
        <v>6422</v>
      </c>
      <c r="P2623" t="s">
        <v>6423</v>
      </c>
      <c r="Q2623" t="s">
        <v>8918</v>
      </c>
      <c r="R2623" t="s">
        <v>8919</v>
      </c>
      <c r="S2623" t="s">
        <v>9399</v>
      </c>
      <c r="T2623" t="s">
        <v>550</v>
      </c>
      <c r="U2623" t="s">
        <v>550</v>
      </c>
      <c r="V2623" t="s">
        <v>9402</v>
      </c>
      <c r="W2623" t="s">
        <v>6428</v>
      </c>
      <c r="X2623" t="s">
        <v>6429</v>
      </c>
      <c r="Z2623" t="s">
        <v>9401</v>
      </c>
    </row>
    <row r="2624" spans="1:26" x14ac:dyDescent="0.3">
      <c r="A2624" t="s">
        <v>330</v>
      </c>
      <c r="B2624" t="s">
        <v>9403</v>
      </c>
      <c r="C2624" t="s">
        <v>6434</v>
      </c>
      <c r="D2624" t="s">
        <v>9395</v>
      </c>
      <c r="E2624" t="s">
        <v>6417</v>
      </c>
      <c r="F2624" t="s">
        <v>1040</v>
      </c>
      <c r="G2624" s="1">
        <v>45658</v>
      </c>
      <c r="H2624" s="1">
        <v>45658</v>
      </c>
      <c r="I2624" t="s">
        <v>665</v>
      </c>
      <c r="J2624" t="s">
        <v>6418</v>
      </c>
      <c r="K2624" t="s">
        <v>958</v>
      </c>
      <c r="L2624" t="s">
        <v>6419</v>
      </c>
      <c r="M2624" t="s">
        <v>9397</v>
      </c>
      <c r="N2624" t="s">
        <v>9398</v>
      </c>
      <c r="O2624" t="s">
        <v>6422</v>
      </c>
      <c r="P2624" t="s">
        <v>6423</v>
      </c>
      <c r="Q2624" t="s">
        <v>8918</v>
      </c>
      <c r="R2624" t="s">
        <v>8919</v>
      </c>
      <c r="S2624" t="s">
        <v>9399</v>
      </c>
      <c r="T2624" t="s">
        <v>550</v>
      </c>
      <c r="U2624" t="s">
        <v>550</v>
      </c>
      <c r="V2624" t="s">
        <v>9404</v>
      </c>
      <c r="W2624" t="s">
        <v>6428</v>
      </c>
      <c r="X2624" t="s">
        <v>6429</v>
      </c>
      <c r="Z2624" t="s">
        <v>9403</v>
      </c>
    </row>
    <row r="2625" spans="1:26" x14ac:dyDescent="0.3">
      <c r="A2625" t="s">
        <v>330</v>
      </c>
      <c r="B2625" t="s">
        <v>9405</v>
      </c>
      <c r="C2625" t="s">
        <v>9406</v>
      </c>
      <c r="D2625" t="s">
        <v>550</v>
      </c>
      <c r="E2625" t="s">
        <v>6417</v>
      </c>
      <c r="F2625" t="s">
        <v>1040</v>
      </c>
      <c r="G2625" s="1">
        <v>46024</v>
      </c>
      <c r="H2625" s="1">
        <v>46024</v>
      </c>
      <c r="I2625" t="s">
        <v>551</v>
      </c>
      <c r="J2625" t="s">
        <v>6418</v>
      </c>
      <c r="K2625" t="s">
        <v>958</v>
      </c>
      <c r="L2625" t="s">
        <v>6419</v>
      </c>
      <c r="M2625" t="s">
        <v>9397</v>
      </c>
      <c r="N2625" t="s">
        <v>9398</v>
      </c>
      <c r="O2625" t="s">
        <v>6422</v>
      </c>
      <c r="P2625" t="s">
        <v>6423</v>
      </c>
      <c r="Q2625" t="s">
        <v>8918</v>
      </c>
      <c r="R2625" t="s">
        <v>8919</v>
      </c>
      <c r="S2625" t="s">
        <v>9407</v>
      </c>
      <c r="T2625" t="s">
        <v>550</v>
      </c>
      <c r="U2625" t="s">
        <v>550</v>
      </c>
      <c r="V2625" t="s">
        <v>9408</v>
      </c>
      <c r="W2625" t="s">
        <v>6428</v>
      </c>
      <c r="X2625" t="s">
        <v>6429</v>
      </c>
      <c r="Z2625" t="s">
        <v>9405</v>
      </c>
    </row>
    <row r="2626" spans="1:26" x14ac:dyDescent="0.3">
      <c r="A2626" t="s">
        <v>330</v>
      </c>
      <c r="B2626" t="s">
        <v>9409</v>
      </c>
      <c r="C2626" t="s">
        <v>9406</v>
      </c>
      <c r="D2626" t="s">
        <v>9405</v>
      </c>
      <c r="E2626" t="s">
        <v>6417</v>
      </c>
      <c r="F2626" t="s">
        <v>1040</v>
      </c>
      <c r="G2626" s="1">
        <v>46023</v>
      </c>
      <c r="H2626" s="1">
        <v>46427</v>
      </c>
      <c r="I2626" t="s">
        <v>551</v>
      </c>
      <c r="J2626" t="s">
        <v>6418</v>
      </c>
      <c r="K2626" t="s">
        <v>958</v>
      </c>
      <c r="L2626" t="s">
        <v>6419</v>
      </c>
      <c r="M2626" t="s">
        <v>9397</v>
      </c>
      <c r="N2626" t="s">
        <v>9398</v>
      </c>
      <c r="O2626" t="s">
        <v>6422</v>
      </c>
      <c r="P2626" t="s">
        <v>6423</v>
      </c>
      <c r="Q2626" t="s">
        <v>8918</v>
      </c>
      <c r="R2626" t="s">
        <v>8919</v>
      </c>
      <c r="S2626" t="s">
        <v>9407</v>
      </c>
      <c r="T2626" t="s">
        <v>550</v>
      </c>
      <c r="U2626" t="s">
        <v>550</v>
      </c>
      <c r="V2626" t="s">
        <v>9410</v>
      </c>
      <c r="W2626" t="s">
        <v>6428</v>
      </c>
      <c r="X2626" t="s">
        <v>6429</v>
      </c>
      <c r="Z2626" t="s">
        <v>9409</v>
      </c>
    </row>
    <row r="2627" spans="1:26" x14ac:dyDescent="0.3">
      <c r="A2627" t="s">
        <v>330</v>
      </c>
      <c r="B2627" t="s">
        <v>9411</v>
      </c>
      <c r="C2627" t="s">
        <v>7035</v>
      </c>
      <c r="D2627" t="s">
        <v>550</v>
      </c>
      <c r="E2627" t="s">
        <v>6417</v>
      </c>
      <c r="F2627" t="s">
        <v>1040</v>
      </c>
      <c r="G2627" s="1">
        <v>45659</v>
      </c>
      <c r="H2627" s="1">
        <v>45659</v>
      </c>
      <c r="I2627" t="s">
        <v>665</v>
      </c>
      <c r="J2627" t="s">
        <v>6418</v>
      </c>
      <c r="K2627" t="s">
        <v>958</v>
      </c>
      <c r="L2627" t="s">
        <v>6419</v>
      </c>
      <c r="M2627" t="s">
        <v>6422</v>
      </c>
      <c r="N2627" t="s">
        <v>6423</v>
      </c>
      <c r="O2627" t="s">
        <v>6422</v>
      </c>
      <c r="P2627" t="s">
        <v>6423</v>
      </c>
      <c r="Q2627" t="s">
        <v>8918</v>
      </c>
      <c r="R2627" t="s">
        <v>8919</v>
      </c>
      <c r="S2627" t="s">
        <v>9412</v>
      </c>
      <c r="T2627" t="s">
        <v>550</v>
      </c>
      <c r="U2627" t="s">
        <v>550</v>
      </c>
      <c r="V2627" t="s">
        <v>9413</v>
      </c>
      <c r="W2627" t="s">
        <v>6428</v>
      </c>
      <c r="X2627" t="s">
        <v>6871</v>
      </c>
      <c r="Z2627" t="s">
        <v>9411</v>
      </c>
    </row>
    <row r="2628" spans="1:26" x14ac:dyDescent="0.3">
      <c r="A2628" t="s">
        <v>330</v>
      </c>
      <c r="B2628" t="s">
        <v>9414</v>
      </c>
      <c r="C2628" t="s">
        <v>8271</v>
      </c>
      <c r="D2628" t="s">
        <v>9411</v>
      </c>
      <c r="E2628" t="s">
        <v>6417</v>
      </c>
      <c r="F2628" t="s">
        <v>1040</v>
      </c>
      <c r="G2628" s="1">
        <v>45658</v>
      </c>
      <c r="H2628" s="1">
        <v>46657</v>
      </c>
      <c r="I2628" t="s">
        <v>665</v>
      </c>
      <c r="J2628" t="s">
        <v>6418</v>
      </c>
      <c r="K2628" t="s">
        <v>958</v>
      </c>
      <c r="L2628" t="s">
        <v>6419</v>
      </c>
      <c r="M2628" t="s">
        <v>6422</v>
      </c>
      <c r="N2628" t="s">
        <v>6423</v>
      </c>
      <c r="O2628" t="s">
        <v>6422</v>
      </c>
      <c r="P2628" t="s">
        <v>6423</v>
      </c>
      <c r="Q2628" t="s">
        <v>8918</v>
      </c>
      <c r="R2628" t="s">
        <v>8919</v>
      </c>
      <c r="S2628" t="s">
        <v>9412</v>
      </c>
      <c r="T2628" t="s">
        <v>550</v>
      </c>
      <c r="U2628" t="s">
        <v>550</v>
      </c>
      <c r="V2628" t="s">
        <v>9415</v>
      </c>
      <c r="W2628" t="s">
        <v>6428</v>
      </c>
      <c r="X2628" t="s">
        <v>6871</v>
      </c>
      <c r="Z2628" t="s">
        <v>9414</v>
      </c>
    </row>
    <row r="2629" spans="1:26" x14ac:dyDescent="0.3">
      <c r="A2629" t="s">
        <v>330</v>
      </c>
      <c r="B2629" t="s">
        <v>9416</v>
      </c>
      <c r="C2629" t="s">
        <v>6873</v>
      </c>
      <c r="D2629" t="s">
        <v>9411</v>
      </c>
      <c r="E2629" t="s">
        <v>6417</v>
      </c>
      <c r="F2629" t="s">
        <v>1040</v>
      </c>
      <c r="G2629" s="1">
        <v>45658</v>
      </c>
      <c r="H2629" s="1">
        <v>45854</v>
      </c>
      <c r="I2629" t="s">
        <v>665</v>
      </c>
      <c r="J2629" t="s">
        <v>6418</v>
      </c>
      <c r="K2629" t="s">
        <v>958</v>
      </c>
      <c r="L2629" t="s">
        <v>6419</v>
      </c>
      <c r="M2629" t="s">
        <v>6422</v>
      </c>
      <c r="N2629" t="s">
        <v>6423</v>
      </c>
      <c r="O2629" t="s">
        <v>6422</v>
      </c>
      <c r="P2629" t="s">
        <v>6423</v>
      </c>
      <c r="Q2629" t="s">
        <v>8918</v>
      </c>
      <c r="R2629" t="s">
        <v>8919</v>
      </c>
      <c r="S2629" t="s">
        <v>9412</v>
      </c>
      <c r="T2629" t="s">
        <v>550</v>
      </c>
      <c r="U2629" t="s">
        <v>550</v>
      </c>
      <c r="V2629" t="s">
        <v>9417</v>
      </c>
      <c r="W2629" t="s">
        <v>6428</v>
      </c>
      <c r="X2629" t="s">
        <v>6871</v>
      </c>
      <c r="Z2629" t="s">
        <v>9416</v>
      </c>
    </row>
    <row r="2630" spans="1:26" x14ac:dyDescent="0.3">
      <c r="A2630" t="s">
        <v>330</v>
      </c>
      <c r="B2630" t="s">
        <v>9418</v>
      </c>
      <c r="C2630" t="s">
        <v>7035</v>
      </c>
      <c r="D2630" t="s">
        <v>550</v>
      </c>
      <c r="E2630" t="s">
        <v>6417</v>
      </c>
      <c r="F2630" t="s">
        <v>1040</v>
      </c>
      <c r="G2630" s="1">
        <v>46024</v>
      </c>
      <c r="H2630" s="1">
        <v>46024</v>
      </c>
      <c r="I2630" t="s">
        <v>551</v>
      </c>
      <c r="J2630" t="s">
        <v>6418</v>
      </c>
      <c r="K2630" t="s">
        <v>958</v>
      </c>
      <c r="L2630" t="s">
        <v>6419</v>
      </c>
      <c r="M2630" t="s">
        <v>6422</v>
      </c>
      <c r="N2630" t="s">
        <v>6423</v>
      </c>
      <c r="O2630" t="s">
        <v>6422</v>
      </c>
      <c r="P2630" t="s">
        <v>6423</v>
      </c>
      <c r="Q2630" t="s">
        <v>8918</v>
      </c>
      <c r="R2630" t="s">
        <v>8919</v>
      </c>
      <c r="S2630" t="s">
        <v>9419</v>
      </c>
      <c r="T2630" t="s">
        <v>550</v>
      </c>
      <c r="U2630" t="s">
        <v>550</v>
      </c>
      <c r="V2630" t="s">
        <v>9420</v>
      </c>
      <c r="W2630" t="s">
        <v>6428</v>
      </c>
      <c r="X2630" t="s">
        <v>6871</v>
      </c>
      <c r="Z2630" t="s">
        <v>9418</v>
      </c>
    </row>
    <row r="2631" spans="1:26" x14ac:dyDescent="0.3">
      <c r="A2631" t="s">
        <v>330</v>
      </c>
      <c r="B2631" t="s">
        <v>9421</v>
      </c>
      <c r="C2631" t="s">
        <v>8271</v>
      </c>
      <c r="D2631" t="s">
        <v>9418</v>
      </c>
      <c r="E2631" t="s">
        <v>6417</v>
      </c>
      <c r="F2631" t="s">
        <v>1040</v>
      </c>
      <c r="G2631" s="1">
        <v>46023</v>
      </c>
      <c r="H2631" s="1">
        <v>47018</v>
      </c>
      <c r="I2631" t="s">
        <v>551</v>
      </c>
      <c r="J2631" t="s">
        <v>6418</v>
      </c>
      <c r="K2631" t="s">
        <v>958</v>
      </c>
      <c r="L2631" t="s">
        <v>6419</v>
      </c>
      <c r="M2631" t="s">
        <v>6422</v>
      </c>
      <c r="N2631" t="s">
        <v>6423</v>
      </c>
      <c r="O2631" t="s">
        <v>6422</v>
      </c>
      <c r="P2631" t="s">
        <v>6423</v>
      </c>
      <c r="Q2631" t="s">
        <v>8918</v>
      </c>
      <c r="R2631" t="s">
        <v>8919</v>
      </c>
      <c r="S2631" t="s">
        <v>9419</v>
      </c>
      <c r="T2631" t="s">
        <v>550</v>
      </c>
      <c r="U2631" t="s">
        <v>550</v>
      </c>
      <c r="V2631" t="s">
        <v>9422</v>
      </c>
      <c r="W2631" t="s">
        <v>6428</v>
      </c>
      <c r="X2631" t="s">
        <v>6871</v>
      </c>
      <c r="Z2631" t="s">
        <v>9421</v>
      </c>
    </row>
    <row r="2632" spans="1:26" x14ac:dyDescent="0.3">
      <c r="A2632" t="s">
        <v>330</v>
      </c>
      <c r="B2632" t="s">
        <v>9423</v>
      </c>
      <c r="C2632" t="s">
        <v>6873</v>
      </c>
      <c r="D2632" t="s">
        <v>9418</v>
      </c>
      <c r="E2632" t="s">
        <v>6417</v>
      </c>
      <c r="F2632" t="s">
        <v>1040</v>
      </c>
      <c r="G2632" s="1">
        <v>46023</v>
      </c>
      <c r="H2632" s="1">
        <v>46242</v>
      </c>
      <c r="I2632" t="s">
        <v>551</v>
      </c>
      <c r="J2632" t="s">
        <v>6418</v>
      </c>
      <c r="K2632" t="s">
        <v>958</v>
      </c>
      <c r="L2632" t="s">
        <v>6419</v>
      </c>
      <c r="M2632" t="s">
        <v>6422</v>
      </c>
      <c r="N2632" t="s">
        <v>6423</v>
      </c>
      <c r="O2632" t="s">
        <v>6422</v>
      </c>
      <c r="P2632" t="s">
        <v>6423</v>
      </c>
      <c r="Q2632" t="s">
        <v>8918</v>
      </c>
      <c r="R2632" t="s">
        <v>8919</v>
      </c>
      <c r="S2632" t="s">
        <v>9419</v>
      </c>
      <c r="T2632" t="s">
        <v>550</v>
      </c>
      <c r="U2632" t="s">
        <v>550</v>
      </c>
      <c r="V2632" t="s">
        <v>9424</v>
      </c>
      <c r="W2632" t="s">
        <v>6428</v>
      </c>
      <c r="X2632" t="s">
        <v>6871</v>
      </c>
      <c r="Z2632" t="s">
        <v>9423</v>
      </c>
    </row>
    <row r="2633" spans="1:26" x14ac:dyDescent="0.3">
      <c r="A2633" t="s">
        <v>330</v>
      </c>
      <c r="B2633" t="s">
        <v>9425</v>
      </c>
      <c r="C2633" t="s">
        <v>9426</v>
      </c>
      <c r="D2633" t="s">
        <v>8481</v>
      </c>
      <c r="E2633" t="s">
        <v>6417</v>
      </c>
      <c r="F2633" t="s">
        <v>1040</v>
      </c>
      <c r="G2633" s="1">
        <v>46023</v>
      </c>
      <c r="H2633" s="1">
        <v>46037</v>
      </c>
      <c r="I2633" t="s">
        <v>551</v>
      </c>
      <c r="J2633" t="s">
        <v>6418</v>
      </c>
      <c r="K2633" t="s">
        <v>958</v>
      </c>
      <c r="L2633" t="s">
        <v>6502</v>
      </c>
      <c r="M2633" t="s">
        <v>9427</v>
      </c>
      <c r="N2633" t="s">
        <v>9428</v>
      </c>
      <c r="O2633" t="s">
        <v>843</v>
      </c>
      <c r="P2633" t="s">
        <v>319</v>
      </c>
      <c r="Q2633" t="s">
        <v>8918</v>
      </c>
      <c r="R2633" t="s">
        <v>8919</v>
      </c>
      <c r="S2633" t="s">
        <v>8482</v>
      </c>
      <c r="T2633" t="s">
        <v>550</v>
      </c>
      <c r="U2633" t="s">
        <v>550</v>
      </c>
      <c r="V2633" t="s">
        <v>9429</v>
      </c>
      <c r="W2633" t="s">
        <v>813</v>
      </c>
      <c r="X2633" t="s">
        <v>8484</v>
      </c>
      <c r="Z2633" t="s">
        <v>9425</v>
      </c>
    </row>
    <row r="2634" spans="1:26" x14ac:dyDescent="0.3">
      <c r="A2634" t="s">
        <v>330</v>
      </c>
      <c r="B2634" t="s">
        <v>9430</v>
      </c>
      <c r="C2634" t="s">
        <v>9431</v>
      </c>
      <c r="D2634" t="s">
        <v>8481</v>
      </c>
      <c r="E2634" t="s">
        <v>6417</v>
      </c>
      <c r="F2634" t="s">
        <v>1040</v>
      </c>
      <c r="G2634" s="1">
        <v>45658</v>
      </c>
      <c r="H2634" s="1">
        <v>45692</v>
      </c>
      <c r="I2634" t="s">
        <v>665</v>
      </c>
      <c r="J2634" t="s">
        <v>6418</v>
      </c>
      <c r="K2634" t="s">
        <v>958</v>
      </c>
      <c r="L2634" t="s">
        <v>6502</v>
      </c>
      <c r="M2634" t="s">
        <v>843</v>
      </c>
      <c r="N2634" t="s">
        <v>319</v>
      </c>
      <c r="O2634" t="s">
        <v>843</v>
      </c>
      <c r="P2634" t="s">
        <v>319</v>
      </c>
      <c r="Q2634" t="s">
        <v>8918</v>
      </c>
      <c r="R2634" t="s">
        <v>8919</v>
      </c>
      <c r="S2634" t="s">
        <v>8482</v>
      </c>
      <c r="T2634" t="s">
        <v>550</v>
      </c>
      <c r="U2634" t="s">
        <v>550</v>
      </c>
      <c r="V2634" t="s">
        <v>9432</v>
      </c>
      <c r="W2634" t="s">
        <v>813</v>
      </c>
      <c r="X2634" t="s">
        <v>8484</v>
      </c>
      <c r="Z2634" t="s">
        <v>9430</v>
      </c>
    </row>
    <row r="2635" spans="1:26" x14ac:dyDescent="0.3">
      <c r="A2635" t="s">
        <v>330</v>
      </c>
      <c r="B2635" t="s">
        <v>9433</v>
      </c>
      <c r="C2635" t="s">
        <v>9434</v>
      </c>
      <c r="D2635" t="s">
        <v>9313</v>
      </c>
      <c r="E2635" t="s">
        <v>8402</v>
      </c>
      <c r="F2635" t="s">
        <v>1319</v>
      </c>
      <c r="G2635" s="1">
        <v>46023</v>
      </c>
      <c r="H2635" s="1">
        <v>46063</v>
      </c>
      <c r="I2635" t="s">
        <v>551</v>
      </c>
      <c r="J2635" t="s">
        <v>7190</v>
      </c>
      <c r="K2635" t="s">
        <v>24</v>
      </c>
      <c r="L2635" t="s">
        <v>7624</v>
      </c>
      <c r="M2635" t="s">
        <v>843</v>
      </c>
      <c r="N2635" t="s">
        <v>319</v>
      </c>
      <c r="O2635" t="s">
        <v>9435</v>
      </c>
      <c r="P2635" t="s">
        <v>9436</v>
      </c>
      <c r="Q2635" t="s">
        <v>8918</v>
      </c>
      <c r="R2635" t="s">
        <v>8919</v>
      </c>
      <c r="S2635" t="s">
        <v>803</v>
      </c>
      <c r="T2635" t="s">
        <v>550</v>
      </c>
      <c r="U2635" t="s">
        <v>550</v>
      </c>
      <c r="V2635" t="s">
        <v>9437</v>
      </c>
      <c r="W2635" t="s">
        <v>813</v>
      </c>
      <c r="Z2635" t="s">
        <v>9433</v>
      </c>
    </row>
    <row r="2636" spans="1:26" x14ac:dyDescent="0.3">
      <c r="A2636" t="s">
        <v>330</v>
      </c>
      <c r="B2636" t="s">
        <v>9438</v>
      </c>
      <c r="C2636" t="s">
        <v>9439</v>
      </c>
      <c r="D2636" t="s">
        <v>550</v>
      </c>
      <c r="E2636" t="s">
        <v>6418</v>
      </c>
      <c r="F2636" t="s">
        <v>9440</v>
      </c>
      <c r="G2636" s="1">
        <v>43102</v>
      </c>
      <c r="H2636" s="1">
        <v>43465</v>
      </c>
      <c r="I2636" t="s">
        <v>551</v>
      </c>
      <c r="J2636" t="s">
        <v>9441</v>
      </c>
      <c r="K2636" t="s">
        <v>4203</v>
      </c>
      <c r="L2636" t="s">
        <v>4436</v>
      </c>
      <c r="M2636" t="s">
        <v>8918</v>
      </c>
      <c r="N2636" t="s">
        <v>8919</v>
      </c>
      <c r="O2636" t="s">
        <v>2201</v>
      </c>
      <c r="P2636" t="s">
        <v>2202</v>
      </c>
      <c r="Q2636" t="s">
        <v>8918</v>
      </c>
      <c r="R2636" t="s">
        <v>8919</v>
      </c>
      <c r="S2636" t="s">
        <v>550</v>
      </c>
      <c r="T2636" t="s">
        <v>550</v>
      </c>
      <c r="U2636" t="s">
        <v>550</v>
      </c>
      <c r="V2636" t="s">
        <v>550</v>
      </c>
    </row>
    <row r="2637" spans="1:26" x14ac:dyDescent="0.3">
      <c r="A2637" t="s">
        <v>330</v>
      </c>
      <c r="B2637" t="s">
        <v>9442</v>
      </c>
      <c r="C2637" t="s">
        <v>9443</v>
      </c>
      <c r="D2637" t="s">
        <v>7579</v>
      </c>
      <c r="E2637" t="s">
        <v>7580</v>
      </c>
      <c r="F2637" t="s">
        <v>5789</v>
      </c>
      <c r="G2637" s="1">
        <v>46023</v>
      </c>
      <c r="H2637" s="1">
        <v>46062</v>
      </c>
      <c r="I2637" t="s">
        <v>551</v>
      </c>
      <c r="J2637" t="s">
        <v>7581</v>
      </c>
      <c r="K2637" t="s">
        <v>958</v>
      </c>
      <c r="L2637" t="s">
        <v>7624</v>
      </c>
      <c r="M2637" t="s">
        <v>9057</v>
      </c>
      <c r="N2637" t="s">
        <v>9058</v>
      </c>
      <c r="O2637" t="s">
        <v>883</v>
      </c>
      <c r="P2637" t="s">
        <v>884</v>
      </c>
      <c r="Q2637" t="s">
        <v>8918</v>
      </c>
      <c r="R2637" t="s">
        <v>8919</v>
      </c>
      <c r="S2637" t="s">
        <v>803</v>
      </c>
      <c r="T2637" t="s">
        <v>550</v>
      </c>
      <c r="U2637" t="s">
        <v>550</v>
      </c>
      <c r="V2637" t="s">
        <v>9444</v>
      </c>
      <c r="W2637" t="s">
        <v>7194</v>
      </c>
      <c r="Z2637" t="s">
        <v>9442</v>
      </c>
    </row>
    <row r="2638" spans="1:26" x14ac:dyDescent="0.3">
      <c r="A2638" t="s">
        <v>330</v>
      </c>
      <c r="B2638" t="s">
        <v>9445</v>
      </c>
      <c r="C2638" t="s">
        <v>9446</v>
      </c>
      <c r="D2638" t="s">
        <v>7087</v>
      </c>
      <c r="E2638" t="s">
        <v>7088</v>
      </c>
      <c r="F2638" t="s">
        <v>7089</v>
      </c>
      <c r="G2638" s="1">
        <v>45658</v>
      </c>
      <c r="H2638" s="1">
        <v>45675</v>
      </c>
      <c r="I2638" t="s">
        <v>665</v>
      </c>
      <c r="J2638" t="s">
        <v>7090</v>
      </c>
      <c r="K2638" t="s">
        <v>958</v>
      </c>
      <c r="L2638" t="s">
        <v>7624</v>
      </c>
      <c r="M2638" t="s">
        <v>843</v>
      </c>
      <c r="N2638" t="s">
        <v>319</v>
      </c>
      <c r="O2638" t="s">
        <v>883</v>
      </c>
      <c r="P2638" t="s">
        <v>884</v>
      </c>
      <c r="Q2638" t="s">
        <v>8918</v>
      </c>
      <c r="R2638" t="s">
        <v>8919</v>
      </c>
      <c r="S2638" t="s">
        <v>803</v>
      </c>
      <c r="T2638" t="s">
        <v>550</v>
      </c>
      <c r="U2638" t="s">
        <v>550</v>
      </c>
      <c r="V2638" t="s">
        <v>9447</v>
      </c>
      <c r="W2638" t="s">
        <v>7194</v>
      </c>
      <c r="Z2638" t="s">
        <v>9445</v>
      </c>
    </row>
    <row r="2639" spans="1:26" x14ac:dyDescent="0.3">
      <c r="A2639" t="s">
        <v>330</v>
      </c>
      <c r="B2639" t="s">
        <v>7579</v>
      </c>
      <c r="C2639" t="s">
        <v>9448</v>
      </c>
      <c r="D2639" t="s">
        <v>550</v>
      </c>
      <c r="E2639" t="s">
        <v>7580</v>
      </c>
      <c r="F2639" t="s">
        <v>5789</v>
      </c>
      <c r="G2639" s="1">
        <v>44564</v>
      </c>
      <c r="H2639" s="1">
        <v>44564</v>
      </c>
      <c r="I2639" t="s">
        <v>551</v>
      </c>
      <c r="J2639" t="s">
        <v>7581</v>
      </c>
      <c r="K2639" t="s">
        <v>958</v>
      </c>
      <c r="L2639" t="s">
        <v>809</v>
      </c>
      <c r="M2639" t="s">
        <v>881</v>
      </c>
      <c r="N2639" t="s">
        <v>882</v>
      </c>
      <c r="O2639" t="s">
        <v>883</v>
      </c>
      <c r="P2639" t="s">
        <v>884</v>
      </c>
      <c r="Q2639" t="s">
        <v>8918</v>
      </c>
      <c r="R2639" t="s">
        <v>8919</v>
      </c>
      <c r="S2639" t="s">
        <v>803</v>
      </c>
      <c r="T2639" t="s">
        <v>550</v>
      </c>
      <c r="U2639" t="s">
        <v>550</v>
      </c>
      <c r="V2639" t="s">
        <v>9449</v>
      </c>
      <c r="W2639" t="s">
        <v>7194</v>
      </c>
      <c r="X2639" t="s">
        <v>809</v>
      </c>
      <c r="Y2639" t="s">
        <v>803</v>
      </c>
      <c r="Z2639" t="s">
        <v>7579</v>
      </c>
    </row>
    <row r="2640" spans="1:26" x14ac:dyDescent="0.3">
      <c r="A2640" t="s">
        <v>330</v>
      </c>
      <c r="B2640" t="s">
        <v>9450</v>
      </c>
      <c r="C2640" t="s">
        <v>9451</v>
      </c>
      <c r="D2640" t="s">
        <v>6975</v>
      </c>
      <c r="E2640" t="s">
        <v>6417</v>
      </c>
      <c r="F2640" t="s">
        <v>1040</v>
      </c>
      <c r="G2640" s="1">
        <v>45658</v>
      </c>
      <c r="H2640" s="1">
        <v>47067</v>
      </c>
      <c r="I2640" t="s">
        <v>665</v>
      </c>
      <c r="J2640" t="s">
        <v>6418</v>
      </c>
      <c r="K2640" t="s">
        <v>958</v>
      </c>
      <c r="L2640" t="s">
        <v>6502</v>
      </c>
      <c r="M2640" t="s">
        <v>7068</v>
      </c>
      <c r="N2640" t="s">
        <v>7069</v>
      </c>
      <c r="O2640" t="s">
        <v>6961</v>
      </c>
      <c r="P2640" t="s">
        <v>6962</v>
      </c>
      <c r="Q2640" t="s">
        <v>8918</v>
      </c>
      <c r="R2640" t="s">
        <v>8919</v>
      </c>
      <c r="S2640" t="s">
        <v>6976</v>
      </c>
      <c r="T2640" t="s">
        <v>550</v>
      </c>
      <c r="U2640" t="s">
        <v>550</v>
      </c>
      <c r="V2640" t="s">
        <v>9452</v>
      </c>
      <c r="W2640" t="s">
        <v>6978</v>
      </c>
      <c r="X2640" t="s">
        <v>6979</v>
      </c>
      <c r="Z2640" t="s">
        <v>9450</v>
      </c>
    </row>
    <row r="2641" spans="1:26" x14ac:dyDescent="0.3">
      <c r="A2641" t="s">
        <v>330</v>
      </c>
      <c r="B2641" t="s">
        <v>9453</v>
      </c>
      <c r="C2641" t="s">
        <v>9454</v>
      </c>
      <c r="D2641" t="s">
        <v>6975</v>
      </c>
      <c r="E2641" t="s">
        <v>6417</v>
      </c>
      <c r="F2641" t="s">
        <v>1040</v>
      </c>
      <c r="G2641" s="1">
        <v>46023</v>
      </c>
      <c r="H2641" s="1">
        <v>47524</v>
      </c>
      <c r="I2641" t="s">
        <v>551</v>
      </c>
      <c r="J2641" t="s">
        <v>6418</v>
      </c>
      <c r="K2641" t="s">
        <v>958</v>
      </c>
      <c r="L2641" t="s">
        <v>6502</v>
      </c>
      <c r="M2641" t="s">
        <v>7068</v>
      </c>
      <c r="N2641" t="s">
        <v>7069</v>
      </c>
      <c r="O2641" t="s">
        <v>6961</v>
      </c>
      <c r="P2641" t="s">
        <v>6962</v>
      </c>
      <c r="Q2641" t="s">
        <v>8918</v>
      </c>
      <c r="R2641" t="s">
        <v>8919</v>
      </c>
      <c r="S2641" t="s">
        <v>6976</v>
      </c>
      <c r="T2641" t="s">
        <v>550</v>
      </c>
      <c r="U2641" t="s">
        <v>550</v>
      </c>
      <c r="V2641" t="s">
        <v>9455</v>
      </c>
      <c r="W2641" t="s">
        <v>6978</v>
      </c>
      <c r="X2641" t="s">
        <v>6979</v>
      </c>
      <c r="Z2641" t="s">
        <v>9453</v>
      </c>
    </row>
    <row r="2642" spans="1:26" x14ac:dyDescent="0.3">
      <c r="A2642" t="s">
        <v>330</v>
      </c>
      <c r="B2642" t="s">
        <v>7176</v>
      </c>
      <c r="C2642" t="s">
        <v>9456</v>
      </c>
      <c r="D2642" t="s">
        <v>550</v>
      </c>
      <c r="E2642" t="s">
        <v>7177</v>
      </c>
      <c r="F2642" t="s">
        <v>3223</v>
      </c>
      <c r="G2642" s="1">
        <v>44743</v>
      </c>
      <c r="H2642" s="1">
        <v>44743</v>
      </c>
      <c r="I2642" t="s">
        <v>780</v>
      </c>
      <c r="J2642" t="s">
        <v>7178</v>
      </c>
      <c r="K2642" t="s">
        <v>4782</v>
      </c>
      <c r="L2642" t="s">
        <v>809</v>
      </c>
      <c r="M2642" t="s">
        <v>810</v>
      </c>
      <c r="N2642" t="s">
        <v>811</v>
      </c>
      <c r="O2642" t="s">
        <v>883</v>
      </c>
      <c r="P2642" t="s">
        <v>884</v>
      </c>
      <c r="Q2642" t="s">
        <v>8918</v>
      </c>
      <c r="R2642" t="s">
        <v>8919</v>
      </c>
      <c r="S2642" t="s">
        <v>803</v>
      </c>
      <c r="T2642" t="s">
        <v>550</v>
      </c>
      <c r="U2642" t="s">
        <v>550</v>
      </c>
      <c r="V2642" t="s">
        <v>9457</v>
      </c>
      <c r="W2642" t="s">
        <v>813</v>
      </c>
      <c r="X2642" t="s">
        <v>809</v>
      </c>
      <c r="Y2642" t="s">
        <v>803</v>
      </c>
      <c r="Z2642" t="s">
        <v>7176</v>
      </c>
    </row>
    <row r="2643" spans="1:26" x14ac:dyDescent="0.3">
      <c r="A2643" t="s">
        <v>330</v>
      </c>
      <c r="B2643" t="s">
        <v>9458</v>
      </c>
      <c r="C2643" t="s">
        <v>9459</v>
      </c>
      <c r="D2643" t="s">
        <v>7801</v>
      </c>
      <c r="E2643" t="s">
        <v>6417</v>
      </c>
      <c r="F2643" t="s">
        <v>1040</v>
      </c>
      <c r="G2643" s="1">
        <v>45658</v>
      </c>
      <c r="H2643" s="1">
        <v>45730</v>
      </c>
      <c r="I2643" t="s">
        <v>665</v>
      </c>
      <c r="J2643" t="s">
        <v>6418</v>
      </c>
      <c r="K2643" t="s">
        <v>958</v>
      </c>
      <c r="L2643" t="s">
        <v>6502</v>
      </c>
      <c r="M2643" t="s">
        <v>9460</v>
      </c>
      <c r="N2643" t="s">
        <v>9461</v>
      </c>
      <c r="O2643" t="s">
        <v>6961</v>
      </c>
      <c r="P2643" t="s">
        <v>6962</v>
      </c>
      <c r="Q2643" t="s">
        <v>8918</v>
      </c>
      <c r="R2643" t="s">
        <v>8919</v>
      </c>
      <c r="S2643" t="s">
        <v>7802</v>
      </c>
      <c r="T2643" t="s">
        <v>550</v>
      </c>
      <c r="U2643" t="s">
        <v>550</v>
      </c>
      <c r="V2643" t="s">
        <v>9462</v>
      </c>
      <c r="W2643" t="s">
        <v>6964</v>
      </c>
      <c r="X2643" t="s">
        <v>7804</v>
      </c>
      <c r="Z2643" t="s">
        <v>9458</v>
      </c>
    </row>
    <row r="2644" spans="1:26" x14ac:dyDescent="0.3">
      <c r="A2644" t="s">
        <v>330</v>
      </c>
      <c r="B2644" t="s">
        <v>9463</v>
      </c>
      <c r="C2644" t="s">
        <v>9464</v>
      </c>
      <c r="D2644" t="s">
        <v>7801</v>
      </c>
      <c r="E2644" t="s">
        <v>6417</v>
      </c>
      <c r="F2644" t="s">
        <v>1040</v>
      </c>
      <c r="G2644" s="1">
        <v>46023</v>
      </c>
      <c r="H2644" s="1">
        <v>46026</v>
      </c>
      <c r="I2644" t="s">
        <v>551</v>
      </c>
      <c r="J2644" t="s">
        <v>6418</v>
      </c>
      <c r="K2644" t="s">
        <v>958</v>
      </c>
      <c r="L2644" t="s">
        <v>6502</v>
      </c>
      <c r="M2644" t="s">
        <v>9460</v>
      </c>
      <c r="N2644" t="s">
        <v>9461</v>
      </c>
      <c r="O2644" t="s">
        <v>6961</v>
      </c>
      <c r="P2644" t="s">
        <v>6962</v>
      </c>
      <c r="Q2644" t="s">
        <v>8918</v>
      </c>
      <c r="R2644" t="s">
        <v>8919</v>
      </c>
      <c r="S2644" t="s">
        <v>7802</v>
      </c>
      <c r="T2644" t="s">
        <v>550</v>
      </c>
      <c r="U2644" t="s">
        <v>550</v>
      </c>
      <c r="V2644" t="s">
        <v>9465</v>
      </c>
      <c r="W2644" t="s">
        <v>6964</v>
      </c>
      <c r="X2644" t="s">
        <v>7804</v>
      </c>
      <c r="Z2644" t="s">
        <v>9463</v>
      </c>
    </row>
    <row r="2645" spans="1:26" x14ac:dyDescent="0.3">
      <c r="A2645" t="s">
        <v>330</v>
      </c>
      <c r="B2645" t="s">
        <v>7801</v>
      </c>
      <c r="C2645" t="s">
        <v>9466</v>
      </c>
      <c r="D2645" t="s">
        <v>550</v>
      </c>
      <c r="E2645" t="s">
        <v>6417</v>
      </c>
      <c r="F2645" t="s">
        <v>1040</v>
      </c>
      <c r="G2645" s="1">
        <v>45446</v>
      </c>
      <c r="H2645" s="1">
        <v>45446</v>
      </c>
      <c r="I2645" t="s">
        <v>551</v>
      </c>
      <c r="J2645" t="s">
        <v>6418</v>
      </c>
      <c r="K2645" t="s">
        <v>958</v>
      </c>
      <c r="L2645" t="s">
        <v>6502</v>
      </c>
      <c r="M2645" t="s">
        <v>9460</v>
      </c>
      <c r="N2645" t="s">
        <v>9461</v>
      </c>
      <c r="O2645" t="s">
        <v>6961</v>
      </c>
      <c r="P2645" t="s">
        <v>6962</v>
      </c>
      <c r="Q2645" t="s">
        <v>8918</v>
      </c>
      <c r="R2645" t="s">
        <v>8919</v>
      </c>
      <c r="S2645" t="s">
        <v>7802</v>
      </c>
      <c r="T2645" t="s">
        <v>550</v>
      </c>
      <c r="U2645" t="s">
        <v>550</v>
      </c>
      <c r="V2645" t="s">
        <v>9467</v>
      </c>
      <c r="W2645" t="s">
        <v>6964</v>
      </c>
      <c r="Z2645" t="s">
        <v>7801</v>
      </c>
    </row>
    <row r="2646" spans="1:26" x14ac:dyDescent="0.3">
      <c r="A2646" t="s">
        <v>330</v>
      </c>
      <c r="B2646" t="s">
        <v>7674</v>
      </c>
      <c r="C2646" t="s">
        <v>9468</v>
      </c>
      <c r="D2646" t="s">
        <v>550</v>
      </c>
      <c r="E2646" t="s">
        <v>6417</v>
      </c>
      <c r="F2646" t="s">
        <v>1040</v>
      </c>
      <c r="G2646" s="1">
        <v>45201</v>
      </c>
      <c r="H2646" s="1">
        <v>45201</v>
      </c>
      <c r="I2646" t="s">
        <v>551</v>
      </c>
      <c r="J2646" t="s">
        <v>6418</v>
      </c>
      <c r="K2646" t="s">
        <v>958</v>
      </c>
      <c r="L2646" t="s">
        <v>6502</v>
      </c>
      <c r="M2646" t="s">
        <v>881</v>
      </c>
      <c r="N2646" t="s">
        <v>882</v>
      </c>
      <c r="O2646" t="s">
        <v>6961</v>
      </c>
      <c r="P2646" t="s">
        <v>6962</v>
      </c>
      <c r="Q2646" t="s">
        <v>8918</v>
      </c>
      <c r="R2646" t="s">
        <v>8919</v>
      </c>
      <c r="S2646" t="s">
        <v>7675</v>
      </c>
      <c r="T2646" t="s">
        <v>550</v>
      </c>
      <c r="U2646" t="s">
        <v>550</v>
      </c>
      <c r="V2646" t="s">
        <v>9469</v>
      </c>
      <c r="W2646" t="s">
        <v>6972</v>
      </c>
      <c r="X2646" t="s">
        <v>6451</v>
      </c>
      <c r="Y2646" t="s">
        <v>6452</v>
      </c>
      <c r="Z2646" t="s">
        <v>7674</v>
      </c>
    </row>
    <row r="2647" spans="1:26" x14ac:dyDescent="0.3">
      <c r="A2647" t="s">
        <v>330</v>
      </c>
      <c r="B2647" t="s">
        <v>9470</v>
      </c>
      <c r="C2647" t="s">
        <v>9471</v>
      </c>
      <c r="D2647" t="s">
        <v>550</v>
      </c>
      <c r="E2647" t="s">
        <v>6417</v>
      </c>
      <c r="F2647" t="s">
        <v>1040</v>
      </c>
      <c r="G2647" s="1">
        <v>45659</v>
      </c>
      <c r="H2647" s="1">
        <v>45659</v>
      </c>
      <c r="I2647" t="s">
        <v>665</v>
      </c>
      <c r="J2647" t="s">
        <v>6418</v>
      </c>
      <c r="K2647" t="s">
        <v>958</v>
      </c>
      <c r="L2647" t="s">
        <v>6419</v>
      </c>
      <c r="M2647" t="s">
        <v>6984</v>
      </c>
      <c r="N2647" t="s">
        <v>6985</v>
      </c>
      <c r="O2647" t="s">
        <v>6961</v>
      </c>
      <c r="P2647" t="s">
        <v>6962</v>
      </c>
      <c r="Q2647" t="s">
        <v>8918</v>
      </c>
      <c r="R2647" t="s">
        <v>8919</v>
      </c>
      <c r="S2647" t="s">
        <v>9472</v>
      </c>
      <c r="T2647" t="s">
        <v>550</v>
      </c>
      <c r="U2647" t="s">
        <v>550</v>
      </c>
      <c r="V2647" t="s">
        <v>9473</v>
      </c>
      <c r="W2647" t="s">
        <v>6988</v>
      </c>
      <c r="X2647" t="s">
        <v>7422</v>
      </c>
      <c r="Z2647" t="s">
        <v>9470</v>
      </c>
    </row>
    <row r="2648" spans="1:26" x14ac:dyDescent="0.3">
      <c r="A2648" t="s">
        <v>330</v>
      </c>
      <c r="B2648" t="s">
        <v>9474</v>
      </c>
      <c r="C2648" t="s">
        <v>6990</v>
      </c>
      <c r="D2648" t="s">
        <v>9470</v>
      </c>
      <c r="E2648" t="s">
        <v>6417</v>
      </c>
      <c r="F2648" t="s">
        <v>1040</v>
      </c>
      <c r="G2648" s="1">
        <v>45658</v>
      </c>
      <c r="H2648" s="1">
        <v>46455</v>
      </c>
      <c r="I2648" t="s">
        <v>665</v>
      </c>
      <c r="J2648" t="s">
        <v>6418</v>
      </c>
      <c r="K2648" t="s">
        <v>958</v>
      </c>
      <c r="L2648" t="s">
        <v>6419</v>
      </c>
      <c r="M2648" t="s">
        <v>6984</v>
      </c>
      <c r="N2648" t="s">
        <v>6985</v>
      </c>
      <c r="O2648" t="s">
        <v>6961</v>
      </c>
      <c r="P2648" t="s">
        <v>6962</v>
      </c>
      <c r="Q2648" t="s">
        <v>8918</v>
      </c>
      <c r="R2648" t="s">
        <v>8919</v>
      </c>
      <c r="S2648" t="s">
        <v>9472</v>
      </c>
      <c r="T2648" t="s">
        <v>550</v>
      </c>
      <c r="U2648" t="s">
        <v>550</v>
      </c>
      <c r="V2648" t="s">
        <v>9475</v>
      </c>
      <c r="W2648" t="s">
        <v>6988</v>
      </c>
      <c r="X2648" t="s">
        <v>7422</v>
      </c>
      <c r="Z2648" t="s">
        <v>9474</v>
      </c>
    </row>
    <row r="2649" spans="1:26" x14ac:dyDescent="0.3">
      <c r="A2649" t="s">
        <v>330</v>
      </c>
      <c r="B2649" t="s">
        <v>9476</v>
      </c>
      <c r="C2649" t="s">
        <v>6993</v>
      </c>
      <c r="D2649" t="s">
        <v>9470</v>
      </c>
      <c r="E2649" t="s">
        <v>6417</v>
      </c>
      <c r="F2649" t="s">
        <v>1040</v>
      </c>
      <c r="G2649" s="1">
        <v>45658</v>
      </c>
      <c r="H2649" s="1">
        <v>46620</v>
      </c>
      <c r="I2649" t="s">
        <v>665</v>
      </c>
      <c r="J2649" t="s">
        <v>6418</v>
      </c>
      <c r="K2649" t="s">
        <v>958</v>
      </c>
      <c r="L2649" t="s">
        <v>6419</v>
      </c>
      <c r="M2649" t="s">
        <v>6984</v>
      </c>
      <c r="N2649" t="s">
        <v>6985</v>
      </c>
      <c r="O2649" t="s">
        <v>6961</v>
      </c>
      <c r="P2649" t="s">
        <v>6962</v>
      </c>
      <c r="Q2649" t="s">
        <v>8918</v>
      </c>
      <c r="R2649" t="s">
        <v>8919</v>
      </c>
      <c r="S2649" t="s">
        <v>9472</v>
      </c>
      <c r="T2649" t="s">
        <v>550</v>
      </c>
      <c r="U2649" t="s">
        <v>550</v>
      </c>
      <c r="V2649" t="s">
        <v>9477</v>
      </c>
      <c r="W2649" t="s">
        <v>6988</v>
      </c>
      <c r="X2649" t="s">
        <v>7422</v>
      </c>
      <c r="Z2649" t="s">
        <v>9476</v>
      </c>
    </row>
    <row r="2650" spans="1:26" x14ac:dyDescent="0.3">
      <c r="A2650" t="s">
        <v>330</v>
      </c>
      <c r="B2650" t="s">
        <v>9478</v>
      </c>
      <c r="C2650" t="s">
        <v>7310</v>
      </c>
      <c r="D2650" t="s">
        <v>9470</v>
      </c>
      <c r="E2650" t="s">
        <v>6417</v>
      </c>
      <c r="F2650" t="s">
        <v>1040</v>
      </c>
      <c r="G2650" s="1">
        <v>45658</v>
      </c>
      <c r="H2650" s="1">
        <v>46051</v>
      </c>
      <c r="I2650" t="s">
        <v>665</v>
      </c>
      <c r="J2650" t="s">
        <v>6418</v>
      </c>
      <c r="K2650" t="s">
        <v>958</v>
      </c>
      <c r="L2650" t="s">
        <v>6419</v>
      </c>
      <c r="M2650" t="s">
        <v>6984</v>
      </c>
      <c r="N2650" t="s">
        <v>6985</v>
      </c>
      <c r="O2650" t="s">
        <v>6961</v>
      </c>
      <c r="P2650" t="s">
        <v>6962</v>
      </c>
      <c r="Q2650" t="s">
        <v>8918</v>
      </c>
      <c r="R2650" t="s">
        <v>8919</v>
      </c>
      <c r="S2650" t="s">
        <v>9472</v>
      </c>
      <c r="T2650" t="s">
        <v>550</v>
      </c>
      <c r="U2650" t="s">
        <v>550</v>
      </c>
      <c r="V2650" t="s">
        <v>9479</v>
      </c>
      <c r="W2650" t="s">
        <v>6988</v>
      </c>
      <c r="X2650" t="s">
        <v>7422</v>
      </c>
      <c r="Z2650" t="s">
        <v>9478</v>
      </c>
    </row>
    <row r="2651" spans="1:26" x14ac:dyDescent="0.3">
      <c r="A2651" t="s">
        <v>330</v>
      </c>
      <c r="B2651" t="s">
        <v>9480</v>
      </c>
      <c r="C2651" t="s">
        <v>6996</v>
      </c>
      <c r="D2651" t="s">
        <v>9470</v>
      </c>
      <c r="E2651" t="s">
        <v>6417</v>
      </c>
      <c r="F2651" t="s">
        <v>1040</v>
      </c>
      <c r="G2651" s="1">
        <v>45659</v>
      </c>
      <c r="H2651" s="1">
        <v>45659</v>
      </c>
      <c r="I2651" t="s">
        <v>665</v>
      </c>
      <c r="J2651" t="s">
        <v>6418</v>
      </c>
      <c r="K2651" t="s">
        <v>958</v>
      </c>
      <c r="L2651" t="s">
        <v>6419</v>
      </c>
      <c r="M2651" t="s">
        <v>6984</v>
      </c>
      <c r="N2651" t="s">
        <v>6985</v>
      </c>
      <c r="O2651" t="s">
        <v>6961</v>
      </c>
      <c r="P2651" t="s">
        <v>6962</v>
      </c>
      <c r="Q2651" t="s">
        <v>8918</v>
      </c>
      <c r="R2651" t="s">
        <v>8919</v>
      </c>
      <c r="S2651" t="s">
        <v>9472</v>
      </c>
      <c r="T2651" t="s">
        <v>550</v>
      </c>
      <c r="U2651" t="s">
        <v>550</v>
      </c>
      <c r="V2651" t="s">
        <v>9481</v>
      </c>
      <c r="W2651" t="s">
        <v>6988</v>
      </c>
      <c r="X2651" t="s">
        <v>7422</v>
      </c>
      <c r="Z2651" t="s">
        <v>9480</v>
      </c>
    </row>
    <row r="2652" spans="1:26" x14ac:dyDescent="0.3">
      <c r="A2652" t="s">
        <v>330</v>
      </c>
      <c r="B2652" t="s">
        <v>9482</v>
      </c>
      <c r="C2652" t="s">
        <v>6999</v>
      </c>
      <c r="D2652" t="s">
        <v>9480</v>
      </c>
      <c r="E2652" t="s">
        <v>6417</v>
      </c>
      <c r="F2652" t="s">
        <v>1040</v>
      </c>
      <c r="G2652" s="1">
        <v>45658</v>
      </c>
      <c r="H2652" s="1">
        <v>45950</v>
      </c>
      <c r="I2652" t="s">
        <v>665</v>
      </c>
      <c r="J2652" t="s">
        <v>6418</v>
      </c>
      <c r="K2652" t="s">
        <v>958</v>
      </c>
      <c r="L2652" t="s">
        <v>6419</v>
      </c>
      <c r="M2652" t="s">
        <v>6984</v>
      </c>
      <c r="N2652" t="s">
        <v>6985</v>
      </c>
      <c r="O2652" t="s">
        <v>6961</v>
      </c>
      <c r="P2652" t="s">
        <v>6962</v>
      </c>
      <c r="Q2652" t="s">
        <v>8918</v>
      </c>
      <c r="R2652" t="s">
        <v>8919</v>
      </c>
      <c r="S2652" t="s">
        <v>9472</v>
      </c>
      <c r="T2652" t="s">
        <v>550</v>
      </c>
      <c r="U2652" t="s">
        <v>550</v>
      </c>
      <c r="V2652" t="s">
        <v>9483</v>
      </c>
      <c r="W2652" t="s">
        <v>6988</v>
      </c>
      <c r="X2652" t="s">
        <v>7422</v>
      </c>
      <c r="Z2652" t="s">
        <v>9482</v>
      </c>
    </row>
    <row r="2653" spans="1:26" x14ac:dyDescent="0.3">
      <c r="A2653" t="s">
        <v>330</v>
      </c>
      <c r="B2653" t="s">
        <v>9484</v>
      </c>
      <c r="C2653" t="s">
        <v>7002</v>
      </c>
      <c r="D2653" t="s">
        <v>9480</v>
      </c>
      <c r="E2653" t="s">
        <v>6417</v>
      </c>
      <c r="F2653" t="s">
        <v>1040</v>
      </c>
      <c r="G2653" s="1">
        <v>45658</v>
      </c>
      <c r="H2653" s="1">
        <v>45734</v>
      </c>
      <c r="I2653" t="s">
        <v>665</v>
      </c>
      <c r="J2653" t="s">
        <v>6418</v>
      </c>
      <c r="K2653" t="s">
        <v>958</v>
      </c>
      <c r="L2653" t="s">
        <v>6419</v>
      </c>
      <c r="M2653" t="s">
        <v>6984</v>
      </c>
      <c r="N2653" t="s">
        <v>6985</v>
      </c>
      <c r="O2653" t="s">
        <v>6961</v>
      </c>
      <c r="P2653" t="s">
        <v>6962</v>
      </c>
      <c r="Q2653" t="s">
        <v>8918</v>
      </c>
      <c r="R2653" t="s">
        <v>8919</v>
      </c>
      <c r="S2653" t="s">
        <v>9472</v>
      </c>
      <c r="T2653" t="s">
        <v>550</v>
      </c>
      <c r="U2653" t="s">
        <v>550</v>
      </c>
      <c r="V2653" t="s">
        <v>9485</v>
      </c>
      <c r="W2653" t="s">
        <v>6988</v>
      </c>
      <c r="X2653" t="s">
        <v>7422</v>
      </c>
      <c r="Z2653" t="s">
        <v>9484</v>
      </c>
    </row>
    <row r="2654" spans="1:26" x14ac:dyDescent="0.3">
      <c r="A2654" t="s">
        <v>330</v>
      </c>
      <c r="B2654" t="s">
        <v>9486</v>
      </c>
      <c r="C2654" t="s">
        <v>9487</v>
      </c>
      <c r="D2654" t="s">
        <v>9470</v>
      </c>
      <c r="E2654" t="s">
        <v>6417</v>
      </c>
      <c r="F2654" t="s">
        <v>1040</v>
      </c>
      <c r="G2654" s="1">
        <v>45658</v>
      </c>
      <c r="H2654" s="1">
        <v>45727</v>
      </c>
      <c r="I2654" t="s">
        <v>665</v>
      </c>
      <c r="J2654" t="s">
        <v>6418</v>
      </c>
      <c r="K2654" t="s">
        <v>958</v>
      </c>
      <c r="L2654" t="s">
        <v>6419</v>
      </c>
      <c r="M2654" t="s">
        <v>6984</v>
      </c>
      <c r="N2654" t="s">
        <v>6985</v>
      </c>
      <c r="O2654" t="s">
        <v>6961</v>
      </c>
      <c r="P2654" t="s">
        <v>6962</v>
      </c>
      <c r="Q2654" t="s">
        <v>8918</v>
      </c>
      <c r="R2654" t="s">
        <v>8919</v>
      </c>
      <c r="S2654" t="s">
        <v>9472</v>
      </c>
      <c r="T2654" t="s">
        <v>550</v>
      </c>
      <c r="U2654" t="s">
        <v>550</v>
      </c>
      <c r="V2654" t="s">
        <v>9488</v>
      </c>
      <c r="W2654" t="s">
        <v>6988</v>
      </c>
      <c r="X2654" t="s">
        <v>7422</v>
      </c>
      <c r="Z2654" t="s">
        <v>9486</v>
      </c>
    </row>
    <row r="2655" spans="1:26" x14ac:dyDescent="0.3">
      <c r="A2655" t="s">
        <v>330</v>
      </c>
      <c r="B2655" t="s">
        <v>9489</v>
      </c>
      <c r="C2655" t="s">
        <v>9490</v>
      </c>
      <c r="D2655" t="s">
        <v>550</v>
      </c>
      <c r="E2655" t="s">
        <v>6417</v>
      </c>
      <c r="F2655" t="s">
        <v>1040</v>
      </c>
      <c r="G2655" s="1">
        <v>46024</v>
      </c>
      <c r="H2655" s="1">
        <v>46024</v>
      </c>
      <c r="I2655" t="s">
        <v>551</v>
      </c>
      <c r="J2655" t="s">
        <v>6418</v>
      </c>
      <c r="K2655" t="s">
        <v>958</v>
      </c>
      <c r="L2655" t="s">
        <v>6419</v>
      </c>
      <c r="M2655" t="s">
        <v>6984</v>
      </c>
      <c r="N2655" t="s">
        <v>6985</v>
      </c>
      <c r="O2655" t="s">
        <v>6961</v>
      </c>
      <c r="P2655" t="s">
        <v>6962</v>
      </c>
      <c r="Q2655" t="s">
        <v>8918</v>
      </c>
      <c r="R2655" t="s">
        <v>8919</v>
      </c>
      <c r="S2655" t="s">
        <v>9491</v>
      </c>
      <c r="T2655" t="s">
        <v>550</v>
      </c>
      <c r="U2655" t="s">
        <v>550</v>
      </c>
      <c r="V2655" t="s">
        <v>9492</v>
      </c>
      <c r="W2655" t="s">
        <v>6988</v>
      </c>
      <c r="X2655" t="s">
        <v>7422</v>
      </c>
      <c r="Z2655" t="s">
        <v>9489</v>
      </c>
    </row>
    <row r="2656" spans="1:26" x14ac:dyDescent="0.3">
      <c r="A2656" t="s">
        <v>330</v>
      </c>
      <c r="B2656" t="s">
        <v>9493</v>
      </c>
      <c r="C2656" t="s">
        <v>6990</v>
      </c>
      <c r="D2656" t="s">
        <v>9489</v>
      </c>
      <c r="E2656" t="s">
        <v>6417</v>
      </c>
      <c r="F2656" t="s">
        <v>1040</v>
      </c>
      <c r="G2656" s="1">
        <v>46023</v>
      </c>
      <c r="H2656" s="1">
        <v>46820</v>
      </c>
      <c r="I2656" t="s">
        <v>551</v>
      </c>
      <c r="J2656" t="s">
        <v>6418</v>
      </c>
      <c r="K2656" t="s">
        <v>958</v>
      </c>
      <c r="L2656" t="s">
        <v>6419</v>
      </c>
      <c r="M2656" t="s">
        <v>6984</v>
      </c>
      <c r="N2656" t="s">
        <v>6985</v>
      </c>
      <c r="O2656" t="s">
        <v>6961</v>
      </c>
      <c r="P2656" t="s">
        <v>6962</v>
      </c>
      <c r="Q2656" t="s">
        <v>8918</v>
      </c>
      <c r="R2656" t="s">
        <v>8919</v>
      </c>
      <c r="S2656" t="s">
        <v>9491</v>
      </c>
      <c r="T2656" t="s">
        <v>550</v>
      </c>
      <c r="U2656" t="s">
        <v>550</v>
      </c>
      <c r="V2656" t="s">
        <v>9494</v>
      </c>
      <c r="W2656" t="s">
        <v>6988</v>
      </c>
      <c r="X2656" t="s">
        <v>7422</v>
      </c>
      <c r="Z2656" t="s">
        <v>9493</v>
      </c>
    </row>
    <row r="2657" spans="1:26" x14ac:dyDescent="0.3">
      <c r="A2657" t="s">
        <v>330</v>
      </c>
      <c r="B2657" t="s">
        <v>9495</v>
      </c>
      <c r="C2657" t="s">
        <v>6993</v>
      </c>
      <c r="D2657" t="s">
        <v>9489</v>
      </c>
      <c r="E2657" t="s">
        <v>6417</v>
      </c>
      <c r="F2657" t="s">
        <v>1040</v>
      </c>
      <c r="G2657" s="1">
        <v>46023</v>
      </c>
      <c r="H2657" s="1">
        <v>46985</v>
      </c>
      <c r="I2657" t="s">
        <v>551</v>
      </c>
      <c r="J2657" t="s">
        <v>6418</v>
      </c>
      <c r="K2657" t="s">
        <v>958</v>
      </c>
      <c r="L2657" t="s">
        <v>6419</v>
      </c>
      <c r="M2657" t="s">
        <v>6984</v>
      </c>
      <c r="N2657" t="s">
        <v>6985</v>
      </c>
      <c r="O2657" t="s">
        <v>6961</v>
      </c>
      <c r="P2657" t="s">
        <v>6962</v>
      </c>
      <c r="Q2657" t="s">
        <v>8918</v>
      </c>
      <c r="R2657" t="s">
        <v>8919</v>
      </c>
      <c r="S2657" t="s">
        <v>9491</v>
      </c>
      <c r="T2657" t="s">
        <v>550</v>
      </c>
      <c r="U2657" t="s">
        <v>550</v>
      </c>
      <c r="V2657" t="s">
        <v>9496</v>
      </c>
      <c r="W2657" t="s">
        <v>6988</v>
      </c>
      <c r="X2657" t="s">
        <v>7422</v>
      </c>
      <c r="Z2657" t="s">
        <v>9495</v>
      </c>
    </row>
    <row r="2658" spans="1:26" x14ac:dyDescent="0.3">
      <c r="A2658" t="s">
        <v>330</v>
      </c>
      <c r="B2658" t="s">
        <v>9497</v>
      </c>
      <c r="C2658" t="s">
        <v>9498</v>
      </c>
      <c r="D2658" t="s">
        <v>9489</v>
      </c>
      <c r="E2658" t="s">
        <v>6417</v>
      </c>
      <c r="F2658" t="s">
        <v>1040</v>
      </c>
      <c r="G2658" s="1">
        <v>46023</v>
      </c>
      <c r="H2658" s="1">
        <v>46416</v>
      </c>
      <c r="I2658" t="s">
        <v>551</v>
      </c>
      <c r="J2658" t="s">
        <v>6418</v>
      </c>
      <c r="K2658" t="s">
        <v>958</v>
      </c>
      <c r="L2658" t="s">
        <v>6419</v>
      </c>
      <c r="M2658" t="s">
        <v>6984</v>
      </c>
      <c r="N2658" t="s">
        <v>6985</v>
      </c>
      <c r="O2658" t="s">
        <v>6961</v>
      </c>
      <c r="P2658" t="s">
        <v>6962</v>
      </c>
      <c r="Q2658" t="s">
        <v>8918</v>
      </c>
      <c r="R2658" t="s">
        <v>8919</v>
      </c>
      <c r="S2658" t="s">
        <v>9491</v>
      </c>
      <c r="T2658" t="s">
        <v>550</v>
      </c>
      <c r="U2658" t="s">
        <v>550</v>
      </c>
      <c r="V2658" t="s">
        <v>9499</v>
      </c>
      <c r="W2658" t="s">
        <v>6988</v>
      </c>
      <c r="X2658" t="s">
        <v>7422</v>
      </c>
      <c r="Z2658" t="s">
        <v>9497</v>
      </c>
    </row>
    <row r="2659" spans="1:26" x14ac:dyDescent="0.3">
      <c r="A2659" t="s">
        <v>330</v>
      </c>
      <c r="B2659" t="s">
        <v>9500</v>
      </c>
      <c r="C2659" t="s">
        <v>9501</v>
      </c>
      <c r="D2659" t="s">
        <v>9489</v>
      </c>
      <c r="E2659" t="s">
        <v>6417</v>
      </c>
      <c r="F2659" t="s">
        <v>1040</v>
      </c>
      <c r="G2659" s="1">
        <v>46024</v>
      </c>
      <c r="H2659" s="1">
        <v>46024</v>
      </c>
      <c r="I2659" t="s">
        <v>551</v>
      </c>
      <c r="J2659" t="s">
        <v>6418</v>
      </c>
      <c r="K2659" t="s">
        <v>958</v>
      </c>
      <c r="L2659" t="s">
        <v>6419</v>
      </c>
      <c r="M2659" t="s">
        <v>6984</v>
      </c>
      <c r="N2659" t="s">
        <v>6985</v>
      </c>
      <c r="O2659" t="s">
        <v>6961</v>
      </c>
      <c r="P2659" t="s">
        <v>6962</v>
      </c>
      <c r="Q2659" t="s">
        <v>8918</v>
      </c>
      <c r="R2659" t="s">
        <v>8919</v>
      </c>
      <c r="S2659" t="s">
        <v>9491</v>
      </c>
      <c r="T2659" t="s">
        <v>550</v>
      </c>
      <c r="U2659" t="s">
        <v>550</v>
      </c>
      <c r="V2659" t="s">
        <v>9502</v>
      </c>
      <c r="W2659" t="s">
        <v>6988</v>
      </c>
      <c r="X2659" t="s">
        <v>7422</v>
      </c>
      <c r="Z2659" t="s">
        <v>9500</v>
      </c>
    </row>
    <row r="2660" spans="1:26" x14ac:dyDescent="0.3">
      <c r="A2660" t="s">
        <v>330</v>
      </c>
      <c r="B2660" t="s">
        <v>9503</v>
      </c>
      <c r="C2660" t="s">
        <v>9504</v>
      </c>
      <c r="D2660" t="s">
        <v>9500</v>
      </c>
      <c r="E2660" t="s">
        <v>6417</v>
      </c>
      <c r="F2660" t="s">
        <v>1040</v>
      </c>
      <c r="G2660" s="1">
        <v>46023</v>
      </c>
      <c r="H2660" s="1">
        <v>46315</v>
      </c>
      <c r="I2660" t="s">
        <v>551</v>
      </c>
      <c r="J2660" t="s">
        <v>6418</v>
      </c>
      <c r="K2660" t="s">
        <v>958</v>
      </c>
      <c r="L2660" t="s">
        <v>6419</v>
      </c>
      <c r="M2660" t="s">
        <v>6984</v>
      </c>
      <c r="N2660" t="s">
        <v>6985</v>
      </c>
      <c r="O2660" t="s">
        <v>6961</v>
      </c>
      <c r="P2660" t="s">
        <v>6962</v>
      </c>
      <c r="Q2660" t="s">
        <v>8918</v>
      </c>
      <c r="R2660" t="s">
        <v>8919</v>
      </c>
      <c r="S2660" t="s">
        <v>9491</v>
      </c>
      <c r="T2660" t="s">
        <v>550</v>
      </c>
      <c r="U2660" t="s">
        <v>550</v>
      </c>
      <c r="V2660" t="s">
        <v>9505</v>
      </c>
      <c r="W2660" t="s">
        <v>6988</v>
      </c>
      <c r="X2660" t="s">
        <v>7422</v>
      </c>
      <c r="Z2660" t="s">
        <v>9503</v>
      </c>
    </row>
    <row r="2661" spans="1:26" x14ac:dyDescent="0.3">
      <c r="A2661" t="s">
        <v>330</v>
      </c>
      <c r="B2661" t="s">
        <v>9506</v>
      </c>
      <c r="C2661" t="s">
        <v>9507</v>
      </c>
      <c r="D2661" t="s">
        <v>9500</v>
      </c>
      <c r="E2661" t="s">
        <v>6417</v>
      </c>
      <c r="F2661" t="s">
        <v>1040</v>
      </c>
      <c r="G2661" s="1">
        <v>46023</v>
      </c>
      <c r="H2661" s="1">
        <v>46099</v>
      </c>
      <c r="I2661" t="s">
        <v>551</v>
      </c>
      <c r="J2661" t="s">
        <v>6418</v>
      </c>
      <c r="K2661" t="s">
        <v>958</v>
      </c>
      <c r="L2661" t="s">
        <v>6419</v>
      </c>
      <c r="M2661" t="s">
        <v>6984</v>
      </c>
      <c r="N2661" t="s">
        <v>6985</v>
      </c>
      <c r="O2661" t="s">
        <v>6961</v>
      </c>
      <c r="P2661" t="s">
        <v>6962</v>
      </c>
      <c r="Q2661" t="s">
        <v>8918</v>
      </c>
      <c r="R2661" t="s">
        <v>8919</v>
      </c>
      <c r="S2661" t="s">
        <v>9491</v>
      </c>
      <c r="T2661" t="s">
        <v>550</v>
      </c>
      <c r="U2661" t="s">
        <v>550</v>
      </c>
      <c r="V2661" t="s">
        <v>9508</v>
      </c>
      <c r="W2661" t="s">
        <v>6988</v>
      </c>
      <c r="X2661" t="s">
        <v>7422</v>
      </c>
      <c r="Z2661" t="s">
        <v>9506</v>
      </c>
    </row>
    <row r="2662" spans="1:26" x14ac:dyDescent="0.3">
      <c r="A2662" t="s">
        <v>330</v>
      </c>
      <c r="B2662" t="s">
        <v>9509</v>
      </c>
      <c r="C2662" t="s">
        <v>9510</v>
      </c>
      <c r="D2662" t="s">
        <v>9489</v>
      </c>
      <c r="E2662" t="s">
        <v>6417</v>
      </c>
      <c r="F2662" t="s">
        <v>1040</v>
      </c>
      <c r="G2662" s="1">
        <v>46024</v>
      </c>
      <c r="H2662" s="1">
        <v>46024</v>
      </c>
      <c r="I2662" t="s">
        <v>551</v>
      </c>
      <c r="J2662" t="s">
        <v>6418</v>
      </c>
      <c r="K2662" t="s">
        <v>958</v>
      </c>
      <c r="L2662" t="s">
        <v>6419</v>
      </c>
      <c r="M2662" t="s">
        <v>6984</v>
      </c>
      <c r="N2662" t="s">
        <v>6985</v>
      </c>
      <c r="O2662" t="s">
        <v>6961</v>
      </c>
      <c r="P2662" t="s">
        <v>6962</v>
      </c>
      <c r="Q2662" t="s">
        <v>8918</v>
      </c>
      <c r="R2662" t="s">
        <v>8919</v>
      </c>
      <c r="S2662" t="s">
        <v>9491</v>
      </c>
      <c r="T2662" t="s">
        <v>550</v>
      </c>
      <c r="U2662" t="s">
        <v>550</v>
      </c>
      <c r="V2662" t="s">
        <v>9511</v>
      </c>
      <c r="W2662" t="s">
        <v>6988</v>
      </c>
      <c r="X2662" t="s">
        <v>7422</v>
      </c>
      <c r="Z2662" t="s">
        <v>9509</v>
      </c>
    </row>
    <row r="2663" spans="1:26" x14ac:dyDescent="0.3">
      <c r="A2663" t="s">
        <v>330</v>
      </c>
      <c r="B2663" t="s">
        <v>9512</v>
      </c>
      <c r="C2663" t="s">
        <v>9513</v>
      </c>
      <c r="D2663" t="s">
        <v>9509</v>
      </c>
      <c r="E2663" t="s">
        <v>6417</v>
      </c>
      <c r="F2663" t="s">
        <v>1040</v>
      </c>
      <c r="G2663" s="1">
        <v>46023</v>
      </c>
      <c r="H2663" s="1">
        <v>46092</v>
      </c>
      <c r="I2663" t="s">
        <v>551</v>
      </c>
      <c r="J2663" t="s">
        <v>6418</v>
      </c>
      <c r="K2663" t="s">
        <v>958</v>
      </c>
      <c r="L2663" t="s">
        <v>6419</v>
      </c>
      <c r="M2663" t="s">
        <v>6984</v>
      </c>
      <c r="N2663" t="s">
        <v>6985</v>
      </c>
      <c r="O2663" t="s">
        <v>6961</v>
      </c>
      <c r="P2663" t="s">
        <v>6962</v>
      </c>
      <c r="Q2663" t="s">
        <v>8918</v>
      </c>
      <c r="R2663" t="s">
        <v>8919</v>
      </c>
      <c r="S2663" t="s">
        <v>9491</v>
      </c>
      <c r="T2663" t="s">
        <v>550</v>
      </c>
      <c r="U2663" t="s">
        <v>550</v>
      </c>
      <c r="V2663" t="s">
        <v>9514</v>
      </c>
      <c r="W2663" t="s">
        <v>6988</v>
      </c>
      <c r="X2663" t="s">
        <v>7422</v>
      </c>
      <c r="Z2663" t="s">
        <v>9512</v>
      </c>
    </row>
    <row r="2664" spans="1:26" x14ac:dyDescent="0.3">
      <c r="A2664" t="s">
        <v>330</v>
      </c>
      <c r="B2664" t="s">
        <v>6967</v>
      </c>
      <c r="C2664" t="s">
        <v>9515</v>
      </c>
      <c r="D2664" t="s">
        <v>550</v>
      </c>
      <c r="E2664" t="s">
        <v>6417</v>
      </c>
      <c r="F2664" t="s">
        <v>1040</v>
      </c>
      <c r="G2664" s="1">
        <v>44562</v>
      </c>
      <c r="H2664" s="1">
        <v>44562</v>
      </c>
      <c r="I2664" t="s">
        <v>551</v>
      </c>
      <c r="J2664" t="s">
        <v>6418</v>
      </c>
      <c r="K2664" t="s">
        <v>958</v>
      </c>
      <c r="L2664" t="s">
        <v>6502</v>
      </c>
      <c r="M2664" t="s">
        <v>6968</v>
      </c>
      <c r="N2664" t="s">
        <v>6969</v>
      </c>
      <c r="O2664" t="s">
        <v>6961</v>
      </c>
      <c r="P2664" t="s">
        <v>6962</v>
      </c>
      <c r="Q2664" t="s">
        <v>8918</v>
      </c>
      <c r="R2664" t="s">
        <v>8919</v>
      </c>
      <c r="S2664" t="s">
        <v>7693</v>
      </c>
      <c r="T2664" t="s">
        <v>550</v>
      </c>
      <c r="U2664" t="s">
        <v>550</v>
      </c>
      <c r="V2664" t="s">
        <v>7763</v>
      </c>
      <c r="W2664" t="s">
        <v>6972</v>
      </c>
      <c r="X2664" t="s">
        <v>6451</v>
      </c>
      <c r="Y2664" t="s">
        <v>6452</v>
      </c>
      <c r="Z2664" t="s">
        <v>6967</v>
      </c>
    </row>
    <row r="2665" spans="1:26" x14ac:dyDescent="0.3">
      <c r="A2665" t="s">
        <v>330</v>
      </c>
      <c r="B2665" t="s">
        <v>9516</v>
      </c>
      <c r="C2665" t="s">
        <v>9517</v>
      </c>
      <c r="D2665" t="s">
        <v>6967</v>
      </c>
      <c r="E2665" t="s">
        <v>6417</v>
      </c>
      <c r="F2665" t="s">
        <v>1040</v>
      </c>
      <c r="G2665" s="1">
        <v>45658</v>
      </c>
      <c r="H2665" s="1">
        <v>45726</v>
      </c>
      <c r="I2665" t="s">
        <v>665</v>
      </c>
      <c r="J2665" t="s">
        <v>6418</v>
      </c>
      <c r="K2665" t="s">
        <v>958</v>
      </c>
      <c r="L2665" t="s">
        <v>6502</v>
      </c>
      <c r="M2665" t="s">
        <v>6968</v>
      </c>
      <c r="N2665" t="s">
        <v>6969</v>
      </c>
      <c r="O2665" t="s">
        <v>6961</v>
      </c>
      <c r="P2665" t="s">
        <v>6962</v>
      </c>
      <c r="Q2665" t="s">
        <v>8918</v>
      </c>
      <c r="R2665" t="s">
        <v>8919</v>
      </c>
      <c r="S2665" t="s">
        <v>7693</v>
      </c>
      <c r="T2665" t="s">
        <v>550</v>
      </c>
      <c r="U2665" t="s">
        <v>550</v>
      </c>
      <c r="V2665" t="s">
        <v>9518</v>
      </c>
      <c r="W2665" t="s">
        <v>6450</v>
      </c>
      <c r="X2665" t="s">
        <v>7695</v>
      </c>
      <c r="Z2665" t="s">
        <v>9516</v>
      </c>
    </row>
    <row r="2666" spans="1:26" x14ac:dyDescent="0.3">
      <c r="A2666" t="s">
        <v>330</v>
      </c>
      <c r="B2666" t="s">
        <v>9519</v>
      </c>
      <c r="C2666" t="s">
        <v>9520</v>
      </c>
      <c r="D2666" t="s">
        <v>6967</v>
      </c>
      <c r="E2666" t="s">
        <v>6417</v>
      </c>
      <c r="F2666" t="s">
        <v>1040</v>
      </c>
      <c r="G2666" s="1">
        <v>46023</v>
      </c>
      <c r="H2666" s="1">
        <v>46069</v>
      </c>
      <c r="I2666" t="s">
        <v>551</v>
      </c>
      <c r="J2666" t="s">
        <v>6418</v>
      </c>
      <c r="K2666" t="s">
        <v>958</v>
      </c>
      <c r="L2666" t="s">
        <v>6502</v>
      </c>
      <c r="M2666" t="s">
        <v>6968</v>
      </c>
      <c r="N2666" t="s">
        <v>6969</v>
      </c>
      <c r="O2666" t="s">
        <v>6961</v>
      </c>
      <c r="P2666" t="s">
        <v>6962</v>
      </c>
      <c r="Q2666" t="s">
        <v>8918</v>
      </c>
      <c r="R2666" t="s">
        <v>8919</v>
      </c>
      <c r="S2666" t="s">
        <v>7693</v>
      </c>
      <c r="T2666" t="s">
        <v>550</v>
      </c>
      <c r="U2666" t="s">
        <v>550</v>
      </c>
      <c r="V2666" t="s">
        <v>9521</v>
      </c>
      <c r="W2666" t="s">
        <v>6450</v>
      </c>
      <c r="X2666" t="s">
        <v>7695</v>
      </c>
      <c r="Z2666" t="s">
        <v>9519</v>
      </c>
    </row>
    <row r="2667" spans="1:26" x14ac:dyDescent="0.3">
      <c r="A2667" t="s">
        <v>330</v>
      </c>
      <c r="B2667" t="s">
        <v>7087</v>
      </c>
      <c r="C2667" t="s">
        <v>9522</v>
      </c>
      <c r="D2667" t="s">
        <v>550</v>
      </c>
      <c r="E2667" t="s">
        <v>7088</v>
      </c>
      <c r="F2667" t="s">
        <v>7089</v>
      </c>
      <c r="G2667" s="1">
        <v>44378</v>
      </c>
      <c r="H2667" s="1">
        <v>44378</v>
      </c>
      <c r="I2667" t="s">
        <v>665</v>
      </c>
      <c r="J2667" t="s">
        <v>7090</v>
      </c>
      <c r="K2667" t="s">
        <v>958</v>
      </c>
      <c r="L2667" t="s">
        <v>809</v>
      </c>
      <c r="M2667" t="s">
        <v>810</v>
      </c>
      <c r="N2667" t="s">
        <v>811</v>
      </c>
      <c r="O2667" t="s">
        <v>883</v>
      </c>
      <c r="P2667" t="s">
        <v>884</v>
      </c>
      <c r="Q2667" t="s">
        <v>8918</v>
      </c>
      <c r="R2667" t="s">
        <v>8919</v>
      </c>
      <c r="S2667" t="s">
        <v>803</v>
      </c>
      <c r="T2667" t="s">
        <v>550</v>
      </c>
      <c r="U2667" t="s">
        <v>550</v>
      </c>
      <c r="V2667" t="s">
        <v>9523</v>
      </c>
      <c r="W2667" t="s">
        <v>7092</v>
      </c>
      <c r="X2667" t="s">
        <v>809</v>
      </c>
      <c r="Y2667" t="s">
        <v>803</v>
      </c>
      <c r="Z2667" t="s">
        <v>7087</v>
      </c>
    </row>
    <row r="2668" spans="1:26" x14ac:dyDescent="0.3">
      <c r="A2668" t="s">
        <v>330</v>
      </c>
      <c r="B2668" t="s">
        <v>9524</v>
      </c>
      <c r="C2668" t="s">
        <v>9525</v>
      </c>
      <c r="D2668" t="s">
        <v>7399</v>
      </c>
      <c r="E2668" t="s">
        <v>6417</v>
      </c>
      <c r="F2668" t="s">
        <v>1040</v>
      </c>
      <c r="G2668" s="1">
        <v>45292</v>
      </c>
      <c r="H2668" s="1">
        <v>45534</v>
      </c>
      <c r="I2668" t="s">
        <v>665</v>
      </c>
      <c r="J2668" t="s">
        <v>6418</v>
      </c>
      <c r="K2668" t="s">
        <v>958</v>
      </c>
      <c r="L2668" t="s">
        <v>6502</v>
      </c>
      <c r="M2668" t="s">
        <v>6446</v>
      </c>
      <c r="N2668" t="s">
        <v>6447</v>
      </c>
      <c r="O2668" t="s">
        <v>6961</v>
      </c>
      <c r="P2668" t="s">
        <v>6962</v>
      </c>
      <c r="Q2668" t="s">
        <v>8918</v>
      </c>
      <c r="R2668" t="s">
        <v>8919</v>
      </c>
      <c r="S2668" t="s">
        <v>7400</v>
      </c>
      <c r="T2668" t="s">
        <v>550</v>
      </c>
      <c r="U2668" t="s">
        <v>550</v>
      </c>
      <c r="V2668" t="s">
        <v>9526</v>
      </c>
      <c r="W2668" t="s">
        <v>6964</v>
      </c>
      <c r="X2668" t="s">
        <v>7458</v>
      </c>
      <c r="Z2668" t="s">
        <v>9524</v>
      </c>
    </row>
    <row r="2669" spans="1:26" x14ac:dyDescent="0.3">
      <c r="A2669" t="s">
        <v>330</v>
      </c>
      <c r="B2669" t="s">
        <v>9527</v>
      </c>
      <c r="C2669" t="s">
        <v>9528</v>
      </c>
      <c r="D2669" t="s">
        <v>7399</v>
      </c>
      <c r="E2669" t="s">
        <v>6417</v>
      </c>
      <c r="F2669" t="s">
        <v>1040</v>
      </c>
      <c r="G2669" s="1">
        <v>45292</v>
      </c>
      <c r="H2669" s="1">
        <v>45815</v>
      </c>
      <c r="I2669" t="s">
        <v>665</v>
      </c>
      <c r="J2669" t="s">
        <v>6418</v>
      </c>
      <c r="K2669" t="s">
        <v>958</v>
      </c>
      <c r="L2669" t="s">
        <v>6502</v>
      </c>
      <c r="M2669" t="s">
        <v>6446</v>
      </c>
      <c r="N2669" t="s">
        <v>6447</v>
      </c>
      <c r="O2669" t="s">
        <v>6961</v>
      </c>
      <c r="P2669" t="s">
        <v>6962</v>
      </c>
      <c r="Q2669" t="s">
        <v>8918</v>
      </c>
      <c r="R2669" t="s">
        <v>8919</v>
      </c>
      <c r="S2669" t="s">
        <v>7400</v>
      </c>
      <c r="T2669" t="s">
        <v>550</v>
      </c>
      <c r="U2669" t="s">
        <v>550</v>
      </c>
      <c r="V2669" t="s">
        <v>9529</v>
      </c>
      <c r="W2669" t="s">
        <v>6964</v>
      </c>
      <c r="X2669" t="s">
        <v>7458</v>
      </c>
      <c r="Z2669" t="s">
        <v>9527</v>
      </c>
    </row>
    <row r="2670" spans="1:26" x14ac:dyDescent="0.3">
      <c r="A2670" t="s">
        <v>330</v>
      </c>
      <c r="B2670" t="s">
        <v>9530</v>
      </c>
      <c r="C2670" t="s">
        <v>9531</v>
      </c>
      <c r="D2670" t="s">
        <v>7399</v>
      </c>
      <c r="E2670" t="s">
        <v>6417</v>
      </c>
      <c r="F2670" t="s">
        <v>1040</v>
      </c>
      <c r="G2670" s="1">
        <v>45658</v>
      </c>
      <c r="H2670" s="1">
        <v>46104</v>
      </c>
      <c r="I2670" t="s">
        <v>665</v>
      </c>
      <c r="J2670" t="s">
        <v>6418</v>
      </c>
      <c r="K2670" t="s">
        <v>958</v>
      </c>
      <c r="L2670" t="s">
        <v>6502</v>
      </c>
      <c r="M2670" t="s">
        <v>6446</v>
      </c>
      <c r="N2670" t="s">
        <v>6447</v>
      </c>
      <c r="O2670" t="s">
        <v>6961</v>
      </c>
      <c r="P2670" t="s">
        <v>6962</v>
      </c>
      <c r="Q2670" t="s">
        <v>8918</v>
      </c>
      <c r="R2670" t="s">
        <v>8919</v>
      </c>
      <c r="S2670" t="s">
        <v>7400</v>
      </c>
      <c r="T2670" t="s">
        <v>550</v>
      </c>
      <c r="U2670" t="s">
        <v>550</v>
      </c>
      <c r="V2670" t="s">
        <v>9532</v>
      </c>
      <c r="W2670" t="s">
        <v>6964</v>
      </c>
      <c r="X2670" t="s">
        <v>7458</v>
      </c>
      <c r="Z2670" t="s">
        <v>9530</v>
      </c>
    </row>
    <row r="2671" spans="1:26" x14ac:dyDescent="0.3">
      <c r="A2671" t="s">
        <v>330</v>
      </c>
      <c r="B2671" t="s">
        <v>9533</v>
      </c>
      <c r="C2671" t="s">
        <v>9534</v>
      </c>
      <c r="D2671" t="s">
        <v>7399</v>
      </c>
      <c r="E2671" t="s">
        <v>6417</v>
      </c>
      <c r="F2671" t="s">
        <v>1040</v>
      </c>
      <c r="G2671" s="1">
        <v>45658</v>
      </c>
      <c r="H2671" s="1">
        <v>46003</v>
      </c>
      <c r="I2671" t="s">
        <v>665</v>
      </c>
      <c r="J2671" t="s">
        <v>6418</v>
      </c>
      <c r="K2671" t="s">
        <v>958</v>
      </c>
      <c r="L2671" t="s">
        <v>6502</v>
      </c>
      <c r="M2671" t="s">
        <v>6446</v>
      </c>
      <c r="N2671" t="s">
        <v>6447</v>
      </c>
      <c r="O2671" t="s">
        <v>6961</v>
      </c>
      <c r="P2671" t="s">
        <v>6962</v>
      </c>
      <c r="Q2671" t="s">
        <v>8918</v>
      </c>
      <c r="R2671" t="s">
        <v>8919</v>
      </c>
      <c r="S2671" t="s">
        <v>7400</v>
      </c>
      <c r="T2671" t="s">
        <v>550</v>
      </c>
      <c r="U2671" t="s">
        <v>550</v>
      </c>
      <c r="V2671" t="s">
        <v>9535</v>
      </c>
      <c r="W2671" t="s">
        <v>6964</v>
      </c>
      <c r="X2671" t="s">
        <v>7458</v>
      </c>
      <c r="Z2671" t="s">
        <v>9533</v>
      </c>
    </row>
    <row r="2672" spans="1:26" x14ac:dyDescent="0.3">
      <c r="A2672" t="s">
        <v>330</v>
      </c>
      <c r="B2672" t="s">
        <v>9536</v>
      </c>
      <c r="C2672" t="s">
        <v>9537</v>
      </c>
      <c r="D2672" t="s">
        <v>7674</v>
      </c>
      <c r="E2672" t="s">
        <v>6417</v>
      </c>
      <c r="F2672" t="s">
        <v>1040</v>
      </c>
      <c r="G2672" s="1">
        <v>46023</v>
      </c>
      <c r="H2672" s="1">
        <v>46023</v>
      </c>
      <c r="I2672" t="s">
        <v>551</v>
      </c>
      <c r="J2672" t="s">
        <v>6418</v>
      </c>
      <c r="K2672" t="s">
        <v>958</v>
      </c>
      <c r="L2672" t="s">
        <v>6502</v>
      </c>
      <c r="M2672" t="s">
        <v>9057</v>
      </c>
      <c r="N2672" t="s">
        <v>9058</v>
      </c>
      <c r="O2672" t="s">
        <v>6961</v>
      </c>
      <c r="P2672" t="s">
        <v>6962</v>
      </c>
      <c r="Q2672" t="s">
        <v>8918</v>
      </c>
      <c r="R2672" t="s">
        <v>8919</v>
      </c>
      <c r="S2672" t="s">
        <v>7675</v>
      </c>
      <c r="T2672" t="s">
        <v>550</v>
      </c>
      <c r="U2672" t="s">
        <v>550</v>
      </c>
      <c r="V2672" t="s">
        <v>9538</v>
      </c>
      <c r="W2672" t="s">
        <v>7194</v>
      </c>
      <c r="X2672" t="s">
        <v>8407</v>
      </c>
      <c r="Z2672" t="s">
        <v>9536</v>
      </c>
    </row>
    <row r="2673" spans="1:26" x14ac:dyDescent="0.3">
      <c r="A2673" t="s">
        <v>330</v>
      </c>
      <c r="B2673" t="s">
        <v>9539</v>
      </c>
      <c r="C2673" t="s">
        <v>9540</v>
      </c>
      <c r="D2673" t="s">
        <v>9541</v>
      </c>
      <c r="E2673" t="s">
        <v>6417</v>
      </c>
      <c r="F2673" t="s">
        <v>1040</v>
      </c>
      <c r="G2673" s="1">
        <v>46023</v>
      </c>
      <c r="H2673" s="1">
        <v>46397</v>
      </c>
      <c r="I2673" t="s">
        <v>551</v>
      </c>
      <c r="J2673" t="s">
        <v>6418</v>
      </c>
      <c r="K2673" t="s">
        <v>958</v>
      </c>
      <c r="L2673" t="s">
        <v>6419</v>
      </c>
      <c r="M2673" t="s">
        <v>6420</v>
      </c>
      <c r="N2673" t="s">
        <v>6421</v>
      </c>
      <c r="O2673" t="s">
        <v>6961</v>
      </c>
      <c r="P2673" t="s">
        <v>6962</v>
      </c>
      <c r="Q2673" t="s">
        <v>8918</v>
      </c>
      <c r="R2673" t="s">
        <v>8919</v>
      </c>
      <c r="S2673" t="s">
        <v>8927</v>
      </c>
      <c r="T2673" t="s">
        <v>550</v>
      </c>
      <c r="U2673" t="s">
        <v>550</v>
      </c>
      <c r="V2673" t="s">
        <v>9542</v>
      </c>
      <c r="W2673" t="s">
        <v>6964</v>
      </c>
      <c r="X2673" t="s">
        <v>6468</v>
      </c>
      <c r="Z2673" t="s">
        <v>9539</v>
      </c>
    </row>
    <row r="2674" spans="1:26" x14ac:dyDescent="0.3">
      <c r="A2674" t="s">
        <v>330</v>
      </c>
      <c r="B2674" t="s">
        <v>9543</v>
      </c>
      <c r="C2674" t="s">
        <v>9544</v>
      </c>
      <c r="D2674" t="s">
        <v>7399</v>
      </c>
      <c r="E2674" t="s">
        <v>6417</v>
      </c>
      <c r="F2674" t="s">
        <v>1040</v>
      </c>
      <c r="G2674" s="1">
        <v>46023</v>
      </c>
      <c r="H2674" s="1">
        <v>46469</v>
      </c>
      <c r="I2674" t="s">
        <v>551</v>
      </c>
      <c r="J2674" t="s">
        <v>6418</v>
      </c>
      <c r="K2674" t="s">
        <v>958</v>
      </c>
      <c r="L2674" t="s">
        <v>6502</v>
      </c>
      <c r="M2674" t="s">
        <v>6446</v>
      </c>
      <c r="N2674" t="s">
        <v>6447</v>
      </c>
      <c r="O2674" t="s">
        <v>6961</v>
      </c>
      <c r="P2674" t="s">
        <v>6962</v>
      </c>
      <c r="Q2674" t="s">
        <v>8918</v>
      </c>
      <c r="R2674" t="s">
        <v>8919</v>
      </c>
      <c r="S2674" t="s">
        <v>7400</v>
      </c>
      <c r="T2674" t="s">
        <v>550</v>
      </c>
      <c r="U2674" t="s">
        <v>550</v>
      </c>
      <c r="V2674" t="s">
        <v>9545</v>
      </c>
      <c r="W2674" t="s">
        <v>6964</v>
      </c>
      <c r="X2674" t="s">
        <v>7458</v>
      </c>
      <c r="Z2674" t="s">
        <v>9543</v>
      </c>
    </row>
    <row r="2675" spans="1:26" x14ac:dyDescent="0.3">
      <c r="A2675" t="s">
        <v>330</v>
      </c>
      <c r="B2675" t="s">
        <v>9546</v>
      </c>
      <c r="C2675" t="s">
        <v>9547</v>
      </c>
      <c r="D2675" t="s">
        <v>7399</v>
      </c>
      <c r="E2675" t="s">
        <v>6417</v>
      </c>
      <c r="F2675" t="s">
        <v>1040</v>
      </c>
      <c r="G2675" s="1">
        <v>46023</v>
      </c>
      <c r="H2675" s="1">
        <v>46442</v>
      </c>
      <c r="I2675" t="s">
        <v>551</v>
      </c>
      <c r="J2675" t="s">
        <v>6418</v>
      </c>
      <c r="K2675" t="s">
        <v>958</v>
      </c>
      <c r="L2675" t="s">
        <v>6502</v>
      </c>
      <c r="M2675" t="s">
        <v>6446</v>
      </c>
      <c r="N2675" t="s">
        <v>6447</v>
      </c>
      <c r="O2675" t="s">
        <v>6961</v>
      </c>
      <c r="P2675" t="s">
        <v>6962</v>
      </c>
      <c r="Q2675" t="s">
        <v>8918</v>
      </c>
      <c r="R2675" t="s">
        <v>8919</v>
      </c>
      <c r="S2675" t="s">
        <v>7400</v>
      </c>
      <c r="T2675" t="s">
        <v>550</v>
      </c>
      <c r="U2675" t="s">
        <v>550</v>
      </c>
      <c r="V2675" t="s">
        <v>9548</v>
      </c>
      <c r="W2675" t="s">
        <v>6964</v>
      </c>
      <c r="X2675" t="s">
        <v>7458</v>
      </c>
      <c r="Z2675" t="s">
        <v>9546</v>
      </c>
    </row>
    <row r="2676" spans="1:26" x14ac:dyDescent="0.3">
      <c r="A2676" t="s">
        <v>330</v>
      </c>
      <c r="B2676" t="s">
        <v>8939</v>
      </c>
      <c r="C2676" t="s">
        <v>9549</v>
      </c>
      <c r="D2676" t="s">
        <v>8930</v>
      </c>
      <c r="E2676" t="s">
        <v>6417</v>
      </c>
      <c r="F2676" t="s">
        <v>1040</v>
      </c>
      <c r="G2676" s="1">
        <v>45659</v>
      </c>
      <c r="H2676" s="1">
        <v>45659</v>
      </c>
      <c r="I2676" t="s">
        <v>665</v>
      </c>
      <c r="J2676" t="s">
        <v>6418</v>
      </c>
      <c r="K2676" t="s">
        <v>958</v>
      </c>
      <c r="L2676" t="s">
        <v>6419</v>
      </c>
      <c r="M2676" t="s">
        <v>6446</v>
      </c>
      <c r="N2676" t="s">
        <v>6447</v>
      </c>
      <c r="O2676" t="s">
        <v>6961</v>
      </c>
      <c r="P2676" t="s">
        <v>6962</v>
      </c>
      <c r="Q2676" t="s">
        <v>8918</v>
      </c>
      <c r="R2676" t="s">
        <v>8919</v>
      </c>
      <c r="S2676" t="s">
        <v>8931</v>
      </c>
      <c r="T2676" t="s">
        <v>550</v>
      </c>
      <c r="U2676" t="s">
        <v>550</v>
      </c>
      <c r="V2676" t="s">
        <v>9550</v>
      </c>
      <c r="W2676" t="s">
        <v>6450</v>
      </c>
      <c r="X2676" t="s">
        <v>6468</v>
      </c>
      <c r="Z2676" t="s">
        <v>8939</v>
      </c>
    </row>
    <row r="2677" spans="1:26" x14ac:dyDescent="0.3">
      <c r="A2677" t="s">
        <v>330</v>
      </c>
      <c r="B2677" t="s">
        <v>9551</v>
      </c>
      <c r="C2677" t="s">
        <v>7009</v>
      </c>
      <c r="D2677" t="s">
        <v>8939</v>
      </c>
      <c r="E2677" t="s">
        <v>6417</v>
      </c>
      <c r="F2677" t="s">
        <v>1040</v>
      </c>
      <c r="G2677" s="1">
        <v>45658</v>
      </c>
      <c r="H2677" s="1">
        <v>46996</v>
      </c>
      <c r="I2677" t="s">
        <v>665</v>
      </c>
      <c r="J2677" t="s">
        <v>6418</v>
      </c>
      <c r="K2677" t="s">
        <v>958</v>
      </c>
      <c r="L2677" t="s">
        <v>6419</v>
      </c>
      <c r="M2677" t="s">
        <v>6446</v>
      </c>
      <c r="N2677" t="s">
        <v>6447</v>
      </c>
      <c r="O2677" t="s">
        <v>6961</v>
      </c>
      <c r="P2677" t="s">
        <v>6962</v>
      </c>
      <c r="Q2677" t="s">
        <v>8918</v>
      </c>
      <c r="R2677" t="s">
        <v>8919</v>
      </c>
      <c r="S2677" t="s">
        <v>8931</v>
      </c>
      <c r="T2677" t="s">
        <v>550</v>
      </c>
      <c r="U2677" t="s">
        <v>550</v>
      </c>
      <c r="V2677" t="s">
        <v>9552</v>
      </c>
      <c r="W2677" t="s">
        <v>6450</v>
      </c>
      <c r="X2677" t="s">
        <v>6468</v>
      </c>
      <c r="Z2677" t="s">
        <v>9551</v>
      </c>
    </row>
    <row r="2678" spans="1:26" x14ac:dyDescent="0.3">
      <c r="A2678" t="s">
        <v>330</v>
      </c>
      <c r="B2678" t="s">
        <v>8930</v>
      </c>
      <c r="C2678" t="s">
        <v>8941</v>
      </c>
      <c r="D2678" t="s">
        <v>550</v>
      </c>
      <c r="E2678" t="s">
        <v>6417</v>
      </c>
      <c r="F2678" t="s">
        <v>1040</v>
      </c>
      <c r="G2678" s="1">
        <v>45659</v>
      </c>
      <c r="H2678" s="1">
        <v>45659</v>
      </c>
      <c r="I2678" t="s">
        <v>665</v>
      </c>
      <c r="J2678" t="s">
        <v>6418</v>
      </c>
      <c r="K2678" t="s">
        <v>958</v>
      </c>
      <c r="L2678" t="s">
        <v>6419</v>
      </c>
      <c r="M2678" t="s">
        <v>6446</v>
      </c>
      <c r="N2678" t="s">
        <v>6447</v>
      </c>
      <c r="O2678" t="s">
        <v>6961</v>
      </c>
      <c r="P2678" t="s">
        <v>6962</v>
      </c>
      <c r="Q2678" t="s">
        <v>8918</v>
      </c>
      <c r="R2678" t="s">
        <v>8919</v>
      </c>
      <c r="S2678" t="s">
        <v>8931</v>
      </c>
      <c r="T2678" t="s">
        <v>550</v>
      </c>
      <c r="U2678" t="s">
        <v>550</v>
      </c>
      <c r="V2678" t="s">
        <v>9553</v>
      </c>
      <c r="W2678" t="s">
        <v>6450</v>
      </c>
      <c r="X2678" t="s">
        <v>6468</v>
      </c>
      <c r="Z2678" t="s">
        <v>8930</v>
      </c>
    </row>
    <row r="2679" spans="1:26" x14ac:dyDescent="0.3">
      <c r="A2679" t="s">
        <v>330</v>
      </c>
      <c r="B2679" t="s">
        <v>9541</v>
      </c>
      <c r="C2679" t="s">
        <v>9554</v>
      </c>
      <c r="D2679" t="s">
        <v>8926</v>
      </c>
      <c r="E2679" t="s">
        <v>6417</v>
      </c>
      <c r="F2679" t="s">
        <v>1040</v>
      </c>
      <c r="G2679" s="1">
        <v>46024</v>
      </c>
      <c r="H2679" s="1">
        <v>46024</v>
      </c>
      <c r="I2679" t="s">
        <v>551</v>
      </c>
      <c r="J2679" t="s">
        <v>6418</v>
      </c>
      <c r="K2679" t="s">
        <v>958</v>
      </c>
      <c r="L2679" t="s">
        <v>6419</v>
      </c>
      <c r="M2679" t="s">
        <v>6446</v>
      </c>
      <c r="N2679" t="s">
        <v>6447</v>
      </c>
      <c r="O2679" t="s">
        <v>6961</v>
      </c>
      <c r="P2679" t="s">
        <v>6962</v>
      </c>
      <c r="Q2679" t="s">
        <v>8918</v>
      </c>
      <c r="R2679" t="s">
        <v>8919</v>
      </c>
      <c r="S2679" t="s">
        <v>8927</v>
      </c>
      <c r="T2679" t="s">
        <v>550</v>
      </c>
      <c r="U2679" t="s">
        <v>550</v>
      </c>
      <c r="V2679" t="s">
        <v>9555</v>
      </c>
      <c r="W2679" t="s">
        <v>6450</v>
      </c>
      <c r="X2679" t="s">
        <v>6468</v>
      </c>
      <c r="Z2679" t="s">
        <v>9541</v>
      </c>
    </row>
    <row r="2680" spans="1:26" x14ac:dyDescent="0.3">
      <c r="A2680" t="s">
        <v>330</v>
      </c>
      <c r="B2680" t="s">
        <v>9556</v>
      </c>
      <c r="C2680" t="s">
        <v>9557</v>
      </c>
      <c r="D2680" t="s">
        <v>9541</v>
      </c>
      <c r="E2680" t="s">
        <v>6417</v>
      </c>
      <c r="F2680" t="s">
        <v>1040</v>
      </c>
      <c r="G2680" s="1">
        <v>46023</v>
      </c>
      <c r="H2680" s="1">
        <v>47335</v>
      </c>
      <c r="I2680" t="s">
        <v>551</v>
      </c>
      <c r="J2680" t="s">
        <v>6418</v>
      </c>
      <c r="K2680" t="s">
        <v>958</v>
      </c>
      <c r="L2680" t="s">
        <v>6419</v>
      </c>
      <c r="M2680" t="s">
        <v>6446</v>
      </c>
      <c r="N2680" t="s">
        <v>6447</v>
      </c>
      <c r="O2680" t="s">
        <v>6961</v>
      </c>
      <c r="P2680" t="s">
        <v>6962</v>
      </c>
      <c r="Q2680" t="s">
        <v>8918</v>
      </c>
      <c r="R2680" t="s">
        <v>8919</v>
      </c>
      <c r="S2680" t="s">
        <v>8927</v>
      </c>
      <c r="T2680" t="s">
        <v>550</v>
      </c>
      <c r="U2680" t="s">
        <v>550</v>
      </c>
      <c r="V2680" t="s">
        <v>9558</v>
      </c>
      <c r="W2680" t="s">
        <v>6450</v>
      </c>
      <c r="X2680" t="s">
        <v>6468</v>
      </c>
      <c r="Z2680" t="s">
        <v>9556</v>
      </c>
    </row>
    <row r="2681" spans="1:26" x14ac:dyDescent="0.3">
      <c r="A2681" t="s">
        <v>330</v>
      </c>
      <c r="B2681" t="s">
        <v>7451</v>
      </c>
      <c r="C2681" t="s">
        <v>9559</v>
      </c>
      <c r="D2681" t="s">
        <v>550</v>
      </c>
      <c r="E2681" t="s">
        <v>6417</v>
      </c>
      <c r="F2681" t="s">
        <v>1040</v>
      </c>
      <c r="G2681" s="1">
        <v>45537</v>
      </c>
      <c r="H2681" s="1">
        <v>45537</v>
      </c>
      <c r="I2681" t="s">
        <v>551</v>
      </c>
      <c r="J2681" t="s">
        <v>6418</v>
      </c>
      <c r="K2681" t="s">
        <v>958</v>
      </c>
      <c r="L2681" t="s">
        <v>6502</v>
      </c>
      <c r="M2681" t="s">
        <v>6446</v>
      </c>
      <c r="N2681" t="s">
        <v>6447</v>
      </c>
      <c r="O2681" t="s">
        <v>6961</v>
      </c>
      <c r="P2681" t="s">
        <v>6962</v>
      </c>
      <c r="Q2681" t="s">
        <v>8918</v>
      </c>
      <c r="R2681" t="s">
        <v>8919</v>
      </c>
      <c r="S2681" t="s">
        <v>7452</v>
      </c>
      <c r="T2681" t="s">
        <v>550</v>
      </c>
      <c r="U2681" t="s">
        <v>550</v>
      </c>
      <c r="V2681" t="s">
        <v>9560</v>
      </c>
      <c r="W2681" t="s">
        <v>6964</v>
      </c>
      <c r="X2681" t="s">
        <v>7454</v>
      </c>
      <c r="Z2681" t="s">
        <v>7451</v>
      </c>
    </row>
    <row r="2682" spans="1:26" x14ac:dyDescent="0.3">
      <c r="A2682" t="s">
        <v>330</v>
      </c>
      <c r="B2682" t="s">
        <v>6975</v>
      </c>
      <c r="C2682" t="s">
        <v>9561</v>
      </c>
      <c r="D2682" t="s">
        <v>550</v>
      </c>
      <c r="E2682" t="s">
        <v>6417</v>
      </c>
      <c r="F2682" t="s">
        <v>1040</v>
      </c>
      <c r="G2682" s="1">
        <v>45293</v>
      </c>
      <c r="H2682" s="1">
        <v>45293</v>
      </c>
      <c r="I2682" t="s">
        <v>551</v>
      </c>
      <c r="J2682" t="s">
        <v>6418</v>
      </c>
      <c r="K2682" t="s">
        <v>958</v>
      </c>
      <c r="L2682" t="s">
        <v>6502</v>
      </c>
      <c r="M2682" t="s">
        <v>7068</v>
      </c>
      <c r="N2682" t="s">
        <v>7069</v>
      </c>
      <c r="O2682" t="s">
        <v>6961</v>
      </c>
      <c r="P2682" t="s">
        <v>6962</v>
      </c>
      <c r="Q2682" t="s">
        <v>8918</v>
      </c>
      <c r="R2682" t="s">
        <v>8919</v>
      </c>
      <c r="S2682" t="s">
        <v>6976</v>
      </c>
      <c r="T2682" t="s">
        <v>550</v>
      </c>
      <c r="U2682" t="s">
        <v>550</v>
      </c>
      <c r="V2682" t="s">
        <v>9562</v>
      </c>
      <c r="W2682" t="s">
        <v>6978</v>
      </c>
      <c r="X2682" t="s">
        <v>6979</v>
      </c>
      <c r="Z2682" t="s">
        <v>6975</v>
      </c>
    </row>
    <row r="2683" spans="1:26" x14ac:dyDescent="0.3">
      <c r="A2683" t="s">
        <v>330</v>
      </c>
      <c r="B2683" t="s">
        <v>9563</v>
      </c>
      <c r="C2683" t="s">
        <v>9564</v>
      </c>
      <c r="D2683" t="s">
        <v>550</v>
      </c>
      <c r="E2683" t="s">
        <v>6417</v>
      </c>
      <c r="F2683" t="s">
        <v>1040</v>
      </c>
      <c r="G2683" s="1">
        <v>45658</v>
      </c>
      <c r="H2683" s="1">
        <v>45660</v>
      </c>
      <c r="I2683" t="s">
        <v>665</v>
      </c>
      <c r="J2683" t="s">
        <v>6418</v>
      </c>
      <c r="K2683" t="s">
        <v>958</v>
      </c>
      <c r="L2683" t="s">
        <v>6502</v>
      </c>
      <c r="M2683" t="s">
        <v>6961</v>
      </c>
      <c r="N2683" t="s">
        <v>6962</v>
      </c>
      <c r="O2683" t="s">
        <v>6961</v>
      </c>
      <c r="P2683" t="s">
        <v>6962</v>
      </c>
      <c r="Q2683" t="s">
        <v>8918</v>
      </c>
      <c r="R2683" t="s">
        <v>8919</v>
      </c>
      <c r="S2683" t="s">
        <v>7716</v>
      </c>
      <c r="T2683" t="s">
        <v>550</v>
      </c>
      <c r="U2683" t="s">
        <v>550</v>
      </c>
      <c r="V2683" t="s">
        <v>9565</v>
      </c>
      <c r="W2683" t="s">
        <v>6964</v>
      </c>
      <c r="X2683" t="s">
        <v>7718</v>
      </c>
      <c r="Z2683" t="s">
        <v>9563</v>
      </c>
    </row>
    <row r="2684" spans="1:26" x14ac:dyDescent="0.3">
      <c r="A2684" t="s">
        <v>330</v>
      </c>
      <c r="B2684" t="s">
        <v>9566</v>
      </c>
      <c r="C2684" t="s">
        <v>9567</v>
      </c>
      <c r="D2684" t="s">
        <v>550</v>
      </c>
      <c r="E2684" t="s">
        <v>816</v>
      </c>
      <c r="F2684" t="s">
        <v>817</v>
      </c>
      <c r="G2684" s="1">
        <v>46024</v>
      </c>
      <c r="H2684" s="1">
        <v>46024</v>
      </c>
      <c r="I2684" t="s">
        <v>551</v>
      </c>
      <c r="J2684" t="s">
        <v>816</v>
      </c>
      <c r="K2684" t="s">
        <v>900</v>
      </c>
      <c r="L2684" t="s">
        <v>217</v>
      </c>
      <c r="M2684" t="s">
        <v>6961</v>
      </c>
      <c r="N2684" t="s">
        <v>6962</v>
      </c>
      <c r="O2684" t="s">
        <v>6961</v>
      </c>
      <c r="P2684" t="s">
        <v>6962</v>
      </c>
      <c r="Q2684" t="s">
        <v>8918</v>
      </c>
      <c r="R2684" t="s">
        <v>8919</v>
      </c>
      <c r="S2684" t="s">
        <v>550</v>
      </c>
      <c r="T2684" t="s">
        <v>550</v>
      </c>
      <c r="U2684" t="s">
        <v>550</v>
      </c>
      <c r="V2684" t="s">
        <v>9568</v>
      </c>
      <c r="W2684" t="s">
        <v>6972</v>
      </c>
      <c r="Z2684" t="s">
        <v>9566</v>
      </c>
    </row>
    <row r="2685" spans="1:26" x14ac:dyDescent="0.3">
      <c r="A2685" t="s">
        <v>330</v>
      </c>
      <c r="B2685" t="s">
        <v>9569</v>
      </c>
      <c r="C2685" t="s">
        <v>9567</v>
      </c>
      <c r="D2685" t="s">
        <v>9566</v>
      </c>
      <c r="E2685" t="s">
        <v>816</v>
      </c>
      <c r="F2685" t="s">
        <v>817</v>
      </c>
      <c r="G2685" s="1">
        <v>46023</v>
      </c>
      <c r="H2685" s="1">
        <v>46023</v>
      </c>
      <c r="I2685" t="s">
        <v>551</v>
      </c>
      <c r="J2685" t="s">
        <v>816</v>
      </c>
      <c r="K2685" t="s">
        <v>900</v>
      </c>
      <c r="L2685" t="s">
        <v>217</v>
      </c>
      <c r="M2685" t="s">
        <v>6961</v>
      </c>
      <c r="N2685" t="s">
        <v>6962</v>
      </c>
      <c r="O2685" t="s">
        <v>6961</v>
      </c>
      <c r="P2685" t="s">
        <v>6962</v>
      </c>
      <c r="Q2685" t="s">
        <v>8918</v>
      </c>
      <c r="R2685" t="s">
        <v>8919</v>
      </c>
      <c r="S2685" t="s">
        <v>550</v>
      </c>
      <c r="T2685" t="s">
        <v>550</v>
      </c>
      <c r="U2685" t="s">
        <v>550</v>
      </c>
      <c r="V2685" t="s">
        <v>9570</v>
      </c>
      <c r="W2685" t="s">
        <v>6972</v>
      </c>
      <c r="Z2685" t="s">
        <v>9569</v>
      </c>
    </row>
    <row r="2686" spans="1:26" x14ac:dyDescent="0.3">
      <c r="A2686" t="s">
        <v>330</v>
      </c>
      <c r="B2686" t="s">
        <v>9571</v>
      </c>
      <c r="C2686" t="s">
        <v>9572</v>
      </c>
      <c r="D2686" t="s">
        <v>8930</v>
      </c>
      <c r="E2686" t="s">
        <v>6417</v>
      </c>
      <c r="F2686" t="s">
        <v>1040</v>
      </c>
      <c r="G2686" s="1">
        <v>45658</v>
      </c>
      <c r="H2686" s="1">
        <v>45857</v>
      </c>
      <c r="I2686" t="s">
        <v>665</v>
      </c>
      <c r="J2686" t="s">
        <v>6418</v>
      </c>
      <c r="K2686" t="s">
        <v>958</v>
      </c>
      <c r="L2686" t="s">
        <v>6419</v>
      </c>
      <c r="M2686" t="s">
        <v>6446</v>
      </c>
      <c r="N2686" t="s">
        <v>6447</v>
      </c>
      <c r="O2686" t="s">
        <v>6961</v>
      </c>
      <c r="P2686" t="s">
        <v>6962</v>
      </c>
      <c r="Q2686" t="s">
        <v>8918</v>
      </c>
      <c r="R2686" t="s">
        <v>8919</v>
      </c>
      <c r="S2686" t="s">
        <v>8931</v>
      </c>
      <c r="T2686" t="s">
        <v>550</v>
      </c>
      <c r="U2686" t="s">
        <v>550</v>
      </c>
      <c r="V2686" t="s">
        <v>9573</v>
      </c>
      <c r="W2686" t="s">
        <v>6450</v>
      </c>
      <c r="X2686" t="s">
        <v>6468</v>
      </c>
      <c r="Z2686" t="s">
        <v>9571</v>
      </c>
    </row>
    <row r="2687" spans="1:26" x14ac:dyDescent="0.3">
      <c r="A2687" t="s">
        <v>330</v>
      </c>
      <c r="B2687" t="s">
        <v>9574</v>
      </c>
      <c r="C2687" t="s">
        <v>9575</v>
      </c>
      <c r="D2687" t="s">
        <v>7451</v>
      </c>
      <c r="E2687" t="s">
        <v>6417</v>
      </c>
      <c r="F2687" t="s">
        <v>1040</v>
      </c>
      <c r="G2687" s="1">
        <v>45658</v>
      </c>
      <c r="H2687" s="1">
        <v>45766</v>
      </c>
      <c r="I2687" t="s">
        <v>665</v>
      </c>
      <c r="J2687" t="s">
        <v>6418</v>
      </c>
      <c r="K2687" t="s">
        <v>958</v>
      </c>
      <c r="L2687" t="s">
        <v>6502</v>
      </c>
      <c r="M2687" t="s">
        <v>6573</v>
      </c>
      <c r="N2687" t="s">
        <v>6574</v>
      </c>
      <c r="O2687" t="s">
        <v>6961</v>
      </c>
      <c r="P2687" t="s">
        <v>6962</v>
      </c>
      <c r="Q2687" t="s">
        <v>8918</v>
      </c>
      <c r="R2687" t="s">
        <v>8919</v>
      </c>
      <c r="S2687" t="s">
        <v>7452</v>
      </c>
      <c r="T2687" t="s">
        <v>550</v>
      </c>
      <c r="U2687" t="s">
        <v>550</v>
      </c>
      <c r="V2687" t="s">
        <v>9576</v>
      </c>
      <c r="W2687" t="s">
        <v>6964</v>
      </c>
      <c r="X2687" t="s">
        <v>7454</v>
      </c>
      <c r="Z2687" t="s">
        <v>9574</v>
      </c>
    </row>
    <row r="2688" spans="1:26" x14ac:dyDescent="0.3">
      <c r="A2688" t="s">
        <v>330</v>
      </c>
      <c r="B2688" t="s">
        <v>9577</v>
      </c>
      <c r="C2688" t="s">
        <v>7442</v>
      </c>
      <c r="D2688" t="s">
        <v>8930</v>
      </c>
      <c r="E2688" t="s">
        <v>6417</v>
      </c>
      <c r="F2688" t="s">
        <v>1040</v>
      </c>
      <c r="G2688" s="1">
        <v>45658</v>
      </c>
      <c r="H2688" s="1">
        <v>45707</v>
      </c>
      <c r="I2688" t="s">
        <v>665</v>
      </c>
      <c r="J2688" t="s">
        <v>6418</v>
      </c>
      <c r="K2688" t="s">
        <v>958</v>
      </c>
      <c r="L2688" t="s">
        <v>6419</v>
      </c>
      <c r="M2688" t="s">
        <v>9578</v>
      </c>
      <c r="N2688" t="s">
        <v>9579</v>
      </c>
      <c r="O2688" t="s">
        <v>6961</v>
      </c>
      <c r="P2688" t="s">
        <v>6962</v>
      </c>
      <c r="Q2688" t="s">
        <v>8918</v>
      </c>
      <c r="R2688" t="s">
        <v>8919</v>
      </c>
      <c r="S2688" t="s">
        <v>8931</v>
      </c>
      <c r="T2688" t="s">
        <v>550</v>
      </c>
      <c r="U2688" t="s">
        <v>550</v>
      </c>
      <c r="V2688" t="s">
        <v>9580</v>
      </c>
      <c r="W2688" t="s">
        <v>6450</v>
      </c>
      <c r="X2688" t="s">
        <v>6468</v>
      </c>
      <c r="Z2688" t="s">
        <v>9577</v>
      </c>
    </row>
    <row r="2689" spans="1:26" x14ac:dyDescent="0.3">
      <c r="A2689" t="s">
        <v>330</v>
      </c>
      <c r="B2689" t="s">
        <v>9581</v>
      </c>
      <c r="C2689" t="s">
        <v>7811</v>
      </c>
      <c r="D2689" t="s">
        <v>8930</v>
      </c>
      <c r="E2689" t="s">
        <v>6417</v>
      </c>
      <c r="F2689" t="s">
        <v>1040</v>
      </c>
      <c r="G2689" s="1">
        <v>45658</v>
      </c>
      <c r="H2689" s="1">
        <v>45721</v>
      </c>
      <c r="I2689" t="s">
        <v>665</v>
      </c>
      <c r="J2689" t="s">
        <v>6418</v>
      </c>
      <c r="K2689" t="s">
        <v>958</v>
      </c>
      <c r="L2689" t="s">
        <v>6419</v>
      </c>
      <c r="M2689" t="s">
        <v>9578</v>
      </c>
      <c r="N2689" t="s">
        <v>9579</v>
      </c>
      <c r="O2689" t="s">
        <v>6961</v>
      </c>
      <c r="P2689" t="s">
        <v>6962</v>
      </c>
      <c r="Q2689" t="s">
        <v>8918</v>
      </c>
      <c r="R2689" t="s">
        <v>8919</v>
      </c>
      <c r="S2689" t="s">
        <v>8931</v>
      </c>
      <c r="T2689" t="s">
        <v>550</v>
      </c>
      <c r="U2689" t="s">
        <v>550</v>
      </c>
      <c r="V2689" t="s">
        <v>9582</v>
      </c>
      <c r="W2689" t="s">
        <v>6450</v>
      </c>
      <c r="X2689" t="s">
        <v>6468</v>
      </c>
      <c r="Z2689" t="s">
        <v>9581</v>
      </c>
    </row>
    <row r="2690" spans="1:26" x14ac:dyDescent="0.3">
      <c r="A2690" t="s">
        <v>330</v>
      </c>
      <c r="B2690" t="s">
        <v>9583</v>
      </c>
      <c r="C2690" t="s">
        <v>9584</v>
      </c>
      <c r="D2690" t="s">
        <v>8926</v>
      </c>
      <c r="E2690" t="s">
        <v>6417</v>
      </c>
      <c r="F2690" t="s">
        <v>1040</v>
      </c>
      <c r="G2690" s="1">
        <v>46023</v>
      </c>
      <c r="H2690" s="1">
        <v>46030</v>
      </c>
      <c r="I2690" t="s">
        <v>551</v>
      </c>
      <c r="J2690" t="s">
        <v>6418</v>
      </c>
      <c r="K2690" t="s">
        <v>958</v>
      </c>
      <c r="L2690" t="s">
        <v>6419</v>
      </c>
      <c r="M2690" t="s">
        <v>9578</v>
      </c>
      <c r="N2690" t="s">
        <v>9579</v>
      </c>
      <c r="O2690" t="s">
        <v>6961</v>
      </c>
      <c r="P2690" t="s">
        <v>6962</v>
      </c>
      <c r="Q2690" t="s">
        <v>8918</v>
      </c>
      <c r="R2690" t="s">
        <v>8919</v>
      </c>
      <c r="S2690" t="s">
        <v>8927</v>
      </c>
      <c r="T2690" t="s">
        <v>550</v>
      </c>
      <c r="U2690" t="s">
        <v>550</v>
      </c>
      <c r="V2690" t="s">
        <v>9585</v>
      </c>
      <c r="W2690" t="s">
        <v>6450</v>
      </c>
      <c r="X2690" t="s">
        <v>6468</v>
      </c>
      <c r="Z2690" t="s">
        <v>9583</v>
      </c>
    </row>
    <row r="2691" spans="1:26" x14ac:dyDescent="0.3">
      <c r="A2691" t="s">
        <v>330</v>
      </c>
      <c r="B2691" t="s">
        <v>9586</v>
      </c>
      <c r="C2691" t="s">
        <v>9587</v>
      </c>
      <c r="D2691" t="s">
        <v>8926</v>
      </c>
      <c r="E2691" t="s">
        <v>6417</v>
      </c>
      <c r="F2691" t="s">
        <v>1040</v>
      </c>
      <c r="G2691" s="1">
        <v>46023</v>
      </c>
      <c r="H2691" s="1">
        <v>46060</v>
      </c>
      <c r="I2691" t="s">
        <v>551</v>
      </c>
      <c r="J2691" t="s">
        <v>6418</v>
      </c>
      <c r="K2691" t="s">
        <v>958</v>
      </c>
      <c r="L2691" t="s">
        <v>6419</v>
      </c>
      <c r="M2691" t="s">
        <v>9578</v>
      </c>
      <c r="N2691" t="s">
        <v>9579</v>
      </c>
      <c r="O2691" t="s">
        <v>6961</v>
      </c>
      <c r="P2691" t="s">
        <v>6962</v>
      </c>
      <c r="Q2691" t="s">
        <v>8918</v>
      </c>
      <c r="R2691" t="s">
        <v>8919</v>
      </c>
      <c r="S2691" t="s">
        <v>8927</v>
      </c>
      <c r="T2691" t="s">
        <v>550</v>
      </c>
      <c r="U2691" t="s">
        <v>550</v>
      </c>
      <c r="V2691" t="s">
        <v>9588</v>
      </c>
      <c r="W2691" t="s">
        <v>6450</v>
      </c>
      <c r="X2691" t="s">
        <v>6468</v>
      </c>
      <c r="Z2691" t="s">
        <v>9586</v>
      </c>
    </row>
    <row r="2692" spans="1:26" x14ac:dyDescent="0.3">
      <c r="A2692" t="s">
        <v>330</v>
      </c>
      <c r="B2692" t="s">
        <v>9589</v>
      </c>
      <c r="C2692" t="s">
        <v>6960</v>
      </c>
      <c r="D2692" t="s">
        <v>8930</v>
      </c>
      <c r="E2692" t="s">
        <v>6417</v>
      </c>
      <c r="F2692" t="s">
        <v>1040</v>
      </c>
      <c r="G2692" s="1">
        <v>45659</v>
      </c>
      <c r="H2692" s="1">
        <v>45659</v>
      </c>
      <c r="I2692" t="s">
        <v>665</v>
      </c>
      <c r="J2692" t="s">
        <v>6418</v>
      </c>
      <c r="K2692" t="s">
        <v>958</v>
      </c>
      <c r="L2692" t="s">
        <v>6419</v>
      </c>
      <c r="M2692" t="s">
        <v>9578</v>
      </c>
      <c r="N2692" t="s">
        <v>9579</v>
      </c>
      <c r="O2692" t="s">
        <v>6961</v>
      </c>
      <c r="P2692" t="s">
        <v>6962</v>
      </c>
      <c r="Q2692" t="s">
        <v>8918</v>
      </c>
      <c r="R2692" t="s">
        <v>8919</v>
      </c>
      <c r="S2692" t="s">
        <v>8931</v>
      </c>
      <c r="T2692" t="s">
        <v>550</v>
      </c>
      <c r="U2692" t="s">
        <v>550</v>
      </c>
      <c r="V2692" t="s">
        <v>9590</v>
      </c>
      <c r="W2692" t="s">
        <v>6964</v>
      </c>
      <c r="X2692" t="s">
        <v>6468</v>
      </c>
      <c r="Z2692" t="s">
        <v>9589</v>
      </c>
    </row>
    <row r="2693" spans="1:26" x14ac:dyDescent="0.3">
      <c r="A2693" t="s">
        <v>330</v>
      </c>
      <c r="B2693" t="s">
        <v>9591</v>
      </c>
      <c r="C2693" t="s">
        <v>7797</v>
      </c>
      <c r="D2693" t="s">
        <v>9589</v>
      </c>
      <c r="E2693" t="s">
        <v>6417</v>
      </c>
      <c r="F2693" t="s">
        <v>1040</v>
      </c>
      <c r="G2693" s="1">
        <v>45658</v>
      </c>
      <c r="H2693" s="1">
        <v>47178</v>
      </c>
      <c r="I2693" t="s">
        <v>665</v>
      </c>
      <c r="J2693" t="s">
        <v>6418</v>
      </c>
      <c r="K2693" t="s">
        <v>958</v>
      </c>
      <c r="L2693" t="s">
        <v>6419</v>
      </c>
      <c r="M2693" t="s">
        <v>9578</v>
      </c>
      <c r="N2693" t="s">
        <v>9579</v>
      </c>
      <c r="O2693" t="s">
        <v>6961</v>
      </c>
      <c r="P2693" t="s">
        <v>6962</v>
      </c>
      <c r="Q2693" t="s">
        <v>8918</v>
      </c>
      <c r="R2693" t="s">
        <v>8919</v>
      </c>
      <c r="S2693" t="s">
        <v>8931</v>
      </c>
      <c r="T2693" t="s">
        <v>550</v>
      </c>
      <c r="U2693" t="s">
        <v>550</v>
      </c>
      <c r="V2693" t="s">
        <v>9592</v>
      </c>
      <c r="W2693" t="s">
        <v>6964</v>
      </c>
      <c r="X2693" t="s">
        <v>6468</v>
      </c>
      <c r="Z2693" t="s">
        <v>9591</v>
      </c>
    </row>
    <row r="2694" spans="1:26" x14ac:dyDescent="0.3">
      <c r="A2694" t="s">
        <v>330</v>
      </c>
      <c r="B2694" t="s">
        <v>9593</v>
      </c>
      <c r="C2694" t="s">
        <v>9594</v>
      </c>
      <c r="D2694" t="s">
        <v>9589</v>
      </c>
      <c r="E2694" t="s">
        <v>6417</v>
      </c>
      <c r="F2694" t="s">
        <v>1040</v>
      </c>
      <c r="G2694" s="1">
        <v>45658</v>
      </c>
      <c r="H2694" s="1">
        <v>45970</v>
      </c>
      <c r="I2694" t="s">
        <v>665</v>
      </c>
      <c r="J2694" t="s">
        <v>6418</v>
      </c>
      <c r="K2694" t="s">
        <v>958</v>
      </c>
      <c r="L2694" t="s">
        <v>6419</v>
      </c>
      <c r="M2694" t="s">
        <v>9578</v>
      </c>
      <c r="N2694" t="s">
        <v>9579</v>
      </c>
      <c r="O2694" t="s">
        <v>6961</v>
      </c>
      <c r="P2694" t="s">
        <v>6962</v>
      </c>
      <c r="Q2694" t="s">
        <v>8918</v>
      </c>
      <c r="R2694" t="s">
        <v>8919</v>
      </c>
      <c r="S2694" t="s">
        <v>8931</v>
      </c>
      <c r="T2694" t="s">
        <v>550</v>
      </c>
      <c r="U2694" t="s">
        <v>550</v>
      </c>
      <c r="V2694" t="s">
        <v>9595</v>
      </c>
      <c r="W2694" t="s">
        <v>6964</v>
      </c>
      <c r="X2694" t="s">
        <v>6468</v>
      </c>
      <c r="Z2694" t="s">
        <v>9593</v>
      </c>
    </row>
    <row r="2695" spans="1:26" x14ac:dyDescent="0.3">
      <c r="A2695" t="s">
        <v>330</v>
      </c>
      <c r="B2695" t="s">
        <v>9596</v>
      </c>
      <c r="C2695" t="s">
        <v>9597</v>
      </c>
      <c r="D2695" t="s">
        <v>9589</v>
      </c>
      <c r="E2695" t="s">
        <v>6417</v>
      </c>
      <c r="F2695" t="s">
        <v>1040</v>
      </c>
      <c r="G2695" s="1">
        <v>45658</v>
      </c>
      <c r="H2695" s="1">
        <v>46907</v>
      </c>
      <c r="I2695" t="s">
        <v>665</v>
      </c>
      <c r="J2695" t="s">
        <v>6418</v>
      </c>
      <c r="K2695" t="s">
        <v>958</v>
      </c>
      <c r="L2695" t="s">
        <v>6419</v>
      </c>
      <c r="M2695" t="s">
        <v>9578</v>
      </c>
      <c r="N2695" t="s">
        <v>9579</v>
      </c>
      <c r="O2695" t="s">
        <v>6961</v>
      </c>
      <c r="P2695" t="s">
        <v>6962</v>
      </c>
      <c r="Q2695" t="s">
        <v>8918</v>
      </c>
      <c r="R2695" t="s">
        <v>8919</v>
      </c>
      <c r="S2695" t="s">
        <v>8931</v>
      </c>
      <c r="T2695" t="s">
        <v>550</v>
      </c>
      <c r="U2695" t="s">
        <v>550</v>
      </c>
      <c r="V2695" t="s">
        <v>9598</v>
      </c>
      <c r="W2695" t="s">
        <v>6964</v>
      </c>
      <c r="X2695" t="s">
        <v>6468</v>
      </c>
      <c r="Z2695" t="s">
        <v>9596</v>
      </c>
    </row>
    <row r="2696" spans="1:26" x14ac:dyDescent="0.3">
      <c r="A2696" t="s">
        <v>330</v>
      </c>
      <c r="B2696" t="s">
        <v>9599</v>
      </c>
      <c r="C2696" t="s">
        <v>9600</v>
      </c>
      <c r="D2696" t="s">
        <v>8926</v>
      </c>
      <c r="E2696" t="s">
        <v>6417</v>
      </c>
      <c r="F2696" t="s">
        <v>1040</v>
      </c>
      <c r="G2696" s="1">
        <v>46024</v>
      </c>
      <c r="H2696" s="1">
        <v>46024</v>
      </c>
      <c r="I2696" t="s">
        <v>551</v>
      </c>
      <c r="J2696" t="s">
        <v>6418</v>
      </c>
      <c r="K2696" t="s">
        <v>958</v>
      </c>
      <c r="L2696" t="s">
        <v>6419</v>
      </c>
      <c r="M2696" t="s">
        <v>9578</v>
      </c>
      <c r="N2696" t="s">
        <v>9579</v>
      </c>
      <c r="O2696" t="s">
        <v>6961</v>
      </c>
      <c r="P2696" t="s">
        <v>6962</v>
      </c>
      <c r="Q2696" t="s">
        <v>8918</v>
      </c>
      <c r="R2696" t="s">
        <v>8919</v>
      </c>
      <c r="S2696" t="s">
        <v>8927</v>
      </c>
      <c r="T2696" t="s">
        <v>550</v>
      </c>
      <c r="U2696" t="s">
        <v>550</v>
      </c>
      <c r="V2696" t="s">
        <v>9601</v>
      </c>
      <c r="W2696" t="s">
        <v>6964</v>
      </c>
      <c r="X2696" t="s">
        <v>6468</v>
      </c>
      <c r="Z2696" t="s">
        <v>9599</v>
      </c>
    </row>
    <row r="2697" spans="1:26" x14ac:dyDescent="0.3">
      <c r="A2697" t="s">
        <v>330</v>
      </c>
      <c r="B2697" t="s">
        <v>9602</v>
      </c>
      <c r="C2697" t="s">
        <v>9603</v>
      </c>
      <c r="D2697" t="s">
        <v>9599</v>
      </c>
      <c r="E2697" t="s">
        <v>6417</v>
      </c>
      <c r="F2697" t="s">
        <v>1040</v>
      </c>
      <c r="G2697" s="1">
        <v>46023</v>
      </c>
      <c r="H2697" s="1">
        <v>48516</v>
      </c>
      <c r="I2697" t="s">
        <v>551</v>
      </c>
      <c r="J2697" t="s">
        <v>6418</v>
      </c>
      <c r="K2697" t="s">
        <v>958</v>
      </c>
      <c r="L2697" t="s">
        <v>6419</v>
      </c>
      <c r="M2697" t="s">
        <v>9578</v>
      </c>
      <c r="N2697" t="s">
        <v>9579</v>
      </c>
      <c r="O2697" t="s">
        <v>6961</v>
      </c>
      <c r="P2697" t="s">
        <v>6962</v>
      </c>
      <c r="Q2697" t="s">
        <v>8918</v>
      </c>
      <c r="R2697" t="s">
        <v>8919</v>
      </c>
      <c r="S2697" t="s">
        <v>8927</v>
      </c>
      <c r="T2697" t="s">
        <v>550</v>
      </c>
      <c r="U2697" t="s">
        <v>550</v>
      </c>
      <c r="V2697" t="s">
        <v>9604</v>
      </c>
      <c r="W2697" t="s">
        <v>6964</v>
      </c>
      <c r="X2697" t="s">
        <v>6468</v>
      </c>
      <c r="Z2697" t="s">
        <v>9602</v>
      </c>
    </row>
    <row r="2698" spans="1:26" x14ac:dyDescent="0.3">
      <c r="A2698" t="s">
        <v>330</v>
      </c>
      <c r="B2698" t="s">
        <v>9605</v>
      </c>
      <c r="C2698" t="s">
        <v>9606</v>
      </c>
      <c r="D2698" t="s">
        <v>9599</v>
      </c>
      <c r="E2698" t="s">
        <v>6417</v>
      </c>
      <c r="F2698" t="s">
        <v>1040</v>
      </c>
      <c r="G2698" s="1">
        <v>46023</v>
      </c>
      <c r="H2698" s="1">
        <v>46335</v>
      </c>
      <c r="I2698" t="s">
        <v>551</v>
      </c>
      <c r="J2698" t="s">
        <v>6418</v>
      </c>
      <c r="K2698" t="s">
        <v>958</v>
      </c>
      <c r="L2698" t="s">
        <v>6419</v>
      </c>
      <c r="M2698" t="s">
        <v>9578</v>
      </c>
      <c r="N2698" t="s">
        <v>9579</v>
      </c>
      <c r="O2698" t="s">
        <v>6961</v>
      </c>
      <c r="P2698" t="s">
        <v>6962</v>
      </c>
      <c r="Q2698" t="s">
        <v>8918</v>
      </c>
      <c r="R2698" t="s">
        <v>8919</v>
      </c>
      <c r="S2698" t="s">
        <v>8927</v>
      </c>
      <c r="T2698" t="s">
        <v>550</v>
      </c>
      <c r="U2698" t="s">
        <v>550</v>
      </c>
      <c r="V2698" t="s">
        <v>9607</v>
      </c>
      <c r="W2698" t="s">
        <v>6964</v>
      </c>
      <c r="X2698" t="s">
        <v>6468</v>
      </c>
      <c r="Z2698" t="s">
        <v>9605</v>
      </c>
    </row>
    <row r="2699" spans="1:26" x14ac:dyDescent="0.3">
      <c r="A2699" t="s">
        <v>330</v>
      </c>
      <c r="B2699" t="s">
        <v>9608</v>
      </c>
      <c r="C2699" t="s">
        <v>9609</v>
      </c>
      <c r="D2699" t="s">
        <v>9599</v>
      </c>
      <c r="E2699" t="s">
        <v>6417</v>
      </c>
      <c r="F2699" t="s">
        <v>1040</v>
      </c>
      <c r="G2699" s="1">
        <v>46023</v>
      </c>
      <c r="H2699" s="1">
        <v>47313</v>
      </c>
      <c r="I2699" t="s">
        <v>551</v>
      </c>
      <c r="J2699" t="s">
        <v>6418</v>
      </c>
      <c r="K2699" t="s">
        <v>958</v>
      </c>
      <c r="L2699" t="s">
        <v>6419</v>
      </c>
      <c r="M2699" t="s">
        <v>9578</v>
      </c>
      <c r="N2699" t="s">
        <v>9579</v>
      </c>
      <c r="O2699" t="s">
        <v>6961</v>
      </c>
      <c r="P2699" t="s">
        <v>6962</v>
      </c>
      <c r="Q2699" t="s">
        <v>8918</v>
      </c>
      <c r="R2699" t="s">
        <v>8919</v>
      </c>
      <c r="S2699" t="s">
        <v>8927</v>
      </c>
      <c r="T2699" t="s">
        <v>550</v>
      </c>
      <c r="U2699" t="s">
        <v>550</v>
      </c>
      <c r="V2699" t="s">
        <v>9610</v>
      </c>
      <c r="W2699" t="s">
        <v>6964</v>
      </c>
      <c r="X2699" t="s">
        <v>6468</v>
      </c>
      <c r="Z2699" t="s">
        <v>9608</v>
      </c>
    </row>
    <row r="2700" spans="1:26" x14ac:dyDescent="0.3">
      <c r="A2700" t="s">
        <v>330</v>
      </c>
      <c r="B2700" t="s">
        <v>7399</v>
      </c>
      <c r="C2700" t="s">
        <v>9611</v>
      </c>
      <c r="D2700" t="s">
        <v>550</v>
      </c>
      <c r="E2700" t="s">
        <v>6417</v>
      </c>
      <c r="F2700" t="s">
        <v>1040</v>
      </c>
      <c r="G2700" s="1">
        <v>44652</v>
      </c>
      <c r="H2700" s="1">
        <v>44652</v>
      </c>
      <c r="I2700" t="s">
        <v>551</v>
      </c>
      <c r="J2700" t="s">
        <v>6418</v>
      </c>
      <c r="K2700" t="s">
        <v>958</v>
      </c>
      <c r="L2700" t="s">
        <v>6502</v>
      </c>
      <c r="M2700" t="s">
        <v>9578</v>
      </c>
      <c r="N2700" t="s">
        <v>9579</v>
      </c>
      <c r="O2700" t="s">
        <v>6961</v>
      </c>
      <c r="P2700" t="s">
        <v>6962</v>
      </c>
      <c r="Q2700" t="s">
        <v>8918</v>
      </c>
      <c r="R2700" t="s">
        <v>8919</v>
      </c>
      <c r="S2700" t="s">
        <v>7400</v>
      </c>
      <c r="T2700" t="s">
        <v>550</v>
      </c>
      <c r="U2700" t="s">
        <v>550</v>
      </c>
      <c r="V2700" t="s">
        <v>9612</v>
      </c>
      <c r="W2700" t="s">
        <v>6972</v>
      </c>
      <c r="X2700" t="s">
        <v>6451</v>
      </c>
      <c r="Y2700" t="s">
        <v>6452</v>
      </c>
      <c r="Z2700" t="s">
        <v>7399</v>
      </c>
    </row>
    <row r="2701" spans="1:26" x14ac:dyDescent="0.3">
      <c r="A2701" t="s">
        <v>330</v>
      </c>
      <c r="B2701" t="s">
        <v>9613</v>
      </c>
      <c r="C2701" t="s">
        <v>9614</v>
      </c>
      <c r="D2701" t="s">
        <v>7451</v>
      </c>
      <c r="E2701" t="s">
        <v>6417</v>
      </c>
      <c r="F2701" t="s">
        <v>1040</v>
      </c>
      <c r="G2701" s="1">
        <v>46023</v>
      </c>
      <c r="H2701" s="1">
        <v>46657</v>
      </c>
      <c r="I2701" t="s">
        <v>551</v>
      </c>
      <c r="J2701" t="s">
        <v>6418</v>
      </c>
      <c r="K2701" t="s">
        <v>958</v>
      </c>
      <c r="L2701" t="s">
        <v>6502</v>
      </c>
      <c r="M2701" t="s">
        <v>9615</v>
      </c>
      <c r="N2701" t="s">
        <v>9616</v>
      </c>
      <c r="O2701" t="s">
        <v>6961</v>
      </c>
      <c r="P2701" t="s">
        <v>6962</v>
      </c>
      <c r="Q2701" t="s">
        <v>8918</v>
      </c>
      <c r="R2701" t="s">
        <v>8919</v>
      </c>
      <c r="S2701" t="s">
        <v>7452</v>
      </c>
      <c r="T2701" t="s">
        <v>550</v>
      </c>
      <c r="U2701" t="s">
        <v>550</v>
      </c>
      <c r="V2701" t="s">
        <v>9617</v>
      </c>
      <c r="W2701" t="s">
        <v>6964</v>
      </c>
      <c r="X2701" t="s">
        <v>7454</v>
      </c>
      <c r="Z2701" t="s">
        <v>9613</v>
      </c>
    </row>
    <row r="2702" spans="1:26" x14ac:dyDescent="0.3">
      <c r="A2702" t="s">
        <v>330</v>
      </c>
      <c r="B2702" t="s">
        <v>9618</v>
      </c>
      <c r="C2702" t="s">
        <v>9619</v>
      </c>
      <c r="D2702" t="s">
        <v>7399</v>
      </c>
      <c r="E2702" t="s">
        <v>6417</v>
      </c>
      <c r="F2702" t="s">
        <v>1040</v>
      </c>
      <c r="G2702" s="1">
        <v>46023</v>
      </c>
      <c r="H2702" s="1">
        <v>46197</v>
      </c>
      <c r="I2702" t="s">
        <v>551</v>
      </c>
      <c r="J2702" t="s">
        <v>6418</v>
      </c>
      <c r="K2702" t="s">
        <v>958</v>
      </c>
      <c r="L2702" t="s">
        <v>6502</v>
      </c>
      <c r="M2702" t="s">
        <v>9620</v>
      </c>
      <c r="N2702" t="s">
        <v>9621</v>
      </c>
      <c r="O2702" t="s">
        <v>6961</v>
      </c>
      <c r="P2702" t="s">
        <v>6962</v>
      </c>
      <c r="Q2702" t="s">
        <v>8918</v>
      </c>
      <c r="R2702" t="s">
        <v>8919</v>
      </c>
      <c r="S2702" t="s">
        <v>7400</v>
      </c>
      <c r="T2702" t="s">
        <v>550</v>
      </c>
      <c r="U2702" t="s">
        <v>550</v>
      </c>
      <c r="V2702" t="s">
        <v>9622</v>
      </c>
      <c r="W2702" t="s">
        <v>6964</v>
      </c>
      <c r="X2702" t="s">
        <v>7458</v>
      </c>
      <c r="Z2702" t="s">
        <v>9618</v>
      </c>
    </row>
    <row r="2703" spans="1:26" x14ac:dyDescent="0.3">
      <c r="A2703" t="s">
        <v>330</v>
      </c>
      <c r="B2703" t="s">
        <v>9623</v>
      </c>
      <c r="C2703" t="s">
        <v>9624</v>
      </c>
      <c r="D2703" t="s">
        <v>9625</v>
      </c>
      <c r="E2703" t="s">
        <v>6417</v>
      </c>
      <c r="F2703" t="s">
        <v>1040</v>
      </c>
      <c r="G2703" s="1">
        <v>45658</v>
      </c>
      <c r="H2703" s="1">
        <v>45689</v>
      </c>
      <c r="I2703" t="s">
        <v>665</v>
      </c>
      <c r="J2703" t="s">
        <v>6418</v>
      </c>
      <c r="K2703" t="s">
        <v>958</v>
      </c>
      <c r="L2703" t="s">
        <v>6419</v>
      </c>
      <c r="M2703" t="s">
        <v>843</v>
      </c>
      <c r="N2703" t="s">
        <v>319</v>
      </c>
      <c r="O2703" t="s">
        <v>6422</v>
      </c>
      <c r="P2703" t="s">
        <v>6423</v>
      </c>
      <c r="Q2703" t="s">
        <v>8918</v>
      </c>
      <c r="R2703" t="s">
        <v>8919</v>
      </c>
      <c r="S2703" t="s">
        <v>9626</v>
      </c>
      <c r="T2703" t="s">
        <v>550</v>
      </c>
      <c r="U2703" t="s">
        <v>550</v>
      </c>
      <c r="V2703" t="s">
        <v>9627</v>
      </c>
      <c r="W2703" t="s">
        <v>6428</v>
      </c>
      <c r="X2703" t="s">
        <v>6881</v>
      </c>
      <c r="Z2703" t="s">
        <v>9623</v>
      </c>
    </row>
    <row r="2704" spans="1:26" x14ac:dyDescent="0.3">
      <c r="A2704" t="s">
        <v>330</v>
      </c>
      <c r="B2704" t="s">
        <v>9625</v>
      </c>
      <c r="C2704" t="s">
        <v>6599</v>
      </c>
      <c r="D2704" t="s">
        <v>550</v>
      </c>
      <c r="E2704" t="s">
        <v>6417</v>
      </c>
      <c r="F2704" t="s">
        <v>1040</v>
      </c>
      <c r="G2704" s="1">
        <v>45659</v>
      </c>
      <c r="H2704" s="1">
        <v>45659</v>
      </c>
      <c r="I2704" t="s">
        <v>665</v>
      </c>
      <c r="J2704" t="s">
        <v>6418</v>
      </c>
      <c r="K2704" t="s">
        <v>958</v>
      </c>
      <c r="L2704" t="s">
        <v>6419</v>
      </c>
      <c r="M2704" t="s">
        <v>9628</v>
      </c>
      <c r="N2704" t="s">
        <v>9629</v>
      </c>
      <c r="O2704" t="s">
        <v>6422</v>
      </c>
      <c r="P2704" t="s">
        <v>6423</v>
      </c>
      <c r="Q2704" t="s">
        <v>8918</v>
      </c>
      <c r="R2704" t="s">
        <v>8919</v>
      </c>
      <c r="S2704" t="s">
        <v>9626</v>
      </c>
      <c r="T2704" t="s">
        <v>550</v>
      </c>
      <c r="U2704" t="s">
        <v>550</v>
      </c>
      <c r="V2704" t="s">
        <v>9630</v>
      </c>
      <c r="W2704" t="s">
        <v>6428</v>
      </c>
      <c r="X2704" t="s">
        <v>6881</v>
      </c>
      <c r="Z2704" t="s">
        <v>9625</v>
      </c>
    </row>
    <row r="2705" spans="1:26" x14ac:dyDescent="0.3">
      <c r="A2705" t="s">
        <v>330</v>
      </c>
      <c r="B2705" t="s">
        <v>9631</v>
      </c>
      <c r="C2705" t="s">
        <v>6599</v>
      </c>
      <c r="D2705" t="s">
        <v>9625</v>
      </c>
      <c r="E2705" t="s">
        <v>6417</v>
      </c>
      <c r="F2705" t="s">
        <v>1040</v>
      </c>
      <c r="G2705" s="1">
        <v>45658</v>
      </c>
      <c r="H2705" s="1">
        <v>45882</v>
      </c>
      <c r="I2705" t="s">
        <v>665</v>
      </c>
      <c r="J2705" t="s">
        <v>6418</v>
      </c>
      <c r="K2705" t="s">
        <v>958</v>
      </c>
      <c r="L2705" t="s">
        <v>6419</v>
      </c>
      <c r="M2705" t="s">
        <v>9628</v>
      </c>
      <c r="N2705" t="s">
        <v>9629</v>
      </c>
      <c r="O2705" t="s">
        <v>6422</v>
      </c>
      <c r="P2705" t="s">
        <v>6423</v>
      </c>
      <c r="Q2705" t="s">
        <v>8918</v>
      </c>
      <c r="R2705" t="s">
        <v>8919</v>
      </c>
      <c r="S2705" t="s">
        <v>9626</v>
      </c>
      <c r="T2705" t="s">
        <v>550</v>
      </c>
      <c r="U2705" t="s">
        <v>550</v>
      </c>
      <c r="V2705" t="s">
        <v>9632</v>
      </c>
      <c r="W2705" t="s">
        <v>6428</v>
      </c>
      <c r="X2705" t="s">
        <v>6881</v>
      </c>
      <c r="Z2705" t="s">
        <v>9631</v>
      </c>
    </row>
    <row r="2706" spans="1:26" x14ac:dyDescent="0.3">
      <c r="A2706" t="s">
        <v>330</v>
      </c>
      <c r="B2706" t="s">
        <v>9633</v>
      </c>
      <c r="C2706" t="s">
        <v>6599</v>
      </c>
      <c r="D2706" t="s">
        <v>550</v>
      </c>
      <c r="E2706" t="s">
        <v>6417</v>
      </c>
      <c r="F2706" t="s">
        <v>1040</v>
      </c>
      <c r="G2706" s="1">
        <v>46024</v>
      </c>
      <c r="H2706" s="1">
        <v>46024</v>
      </c>
      <c r="I2706" t="s">
        <v>551</v>
      </c>
      <c r="J2706" t="s">
        <v>6418</v>
      </c>
      <c r="K2706" t="s">
        <v>958</v>
      </c>
      <c r="L2706" t="s">
        <v>6419</v>
      </c>
      <c r="M2706" t="s">
        <v>9628</v>
      </c>
      <c r="N2706" t="s">
        <v>9629</v>
      </c>
      <c r="O2706" t="s">
        <v>6422</v>
      </c>
      <c r="P2706" t="s">
        <v>6423</v>
      </c>
      <c r="Q2706" t="s">
        <v>8918</v>
      </c>
      <c r="R2706" t="s">
        <v>8919</v>
      </c>
      <c r="S2706" t="s">
        <v>9634</v>
      </c>
      <c r="T2706" t="s">
        <v>550</v>
      </c>
      <c r="U2706" t="s">
        <v>550</v>
      </c>
      <c r="V2706" t="s">
        <v>9635</v>
      </c>
      <c r="W2706" t="s">
        <v>6428</v>
      </c>
      <c r="X2706" t="s">
        <v>6881</v>
      </c>
      <c r="Z2706" t="s">
        <v>9633</v>
      </c>
    </row>
    <row r="2707" spans="1:26" x14ac:dyDescent="0.3">
      <c r="A2707" t="s">
        <v>330</v>
      </c>
      <c r="B2707" t="s">
        <v>9636</v>
      </c>
      <c r="C2707" t="s">
        <v>6599</v>
      </c>
      <c r="D2707" t="s">
        <v>9633</v>
      </c>
      <c r="E2707" t="s">
        <v>6417</v>
      </c>
      <c r="F2707" t="s">
        <v>1040</v>
      </c>
      <c r="G2707" s="1">
        <v>46023</v>
      </c>
      <c r="H2707" s="1">
        <v>46256</v>
      </c>
      <c r="I2707" t="s">
        <v>551</v>
      </c>
      <c r="J2707" t="s">
        <v>6418</v>
      </c>
      <c r="K2707" t="s">
        <v>958</v>
      </c>
      <c r="L2707" t="s">
        <v>6419</v>
      </c>
      <c r="M2707" t="s">
        <v>9628</v>
      </c>
      <c r="N2707" t="s">
        <v>9629</v>
      </c>
      <c r="O2707" t="s">
        <v>6422</v>
      </c>
      <c r="P2707" t="s">
        <v>6423</v>
      </c>
      <c r="Q2707" t="s">
        <v>8918</v>
      </c>
      <c r="R2707" t="s">
        <v>8919</v>
      </c>
      <c r="S2707" t="s">
        <v>9634</v>
      </c>
      <c r="T2707" t="s">
        <v>550</v>
      </c>
      <c r="U2707" t="s">
        <v>550</v>
      </c>
      <c r="V2707" t="s">
        <v>9637</v>
      </c>
      <c r="W2707" t="s">
        <v>6428</v>
      </c>
      <c r="X2707" t="s">
        <v>6881</v>
      </c>
      <c r="Z2707" t="s">
        <v>9636</v>
      </c>
    </row>
    <row r="2708" spans="1:26" x14ac:dyDescent="0.3">
      <c r="A2708" t="s">
        <v>330</v>
      </c>
      <c r="B2708" t="s">
        <v>9638</v>
      </c>
      <c r="C2708" t="s">
        <v>8782</v>
      </c>
      <c r="D2708" t="s">
        <v>9633</v>
      </c>
      <c r="E2708" t="s">
        <v>6417</v>
      </c>
      <c r="F2708" t="s">
        <v>1040</v>
      </c>
      <c r="G2708" s="1">
        <v>46023</v>
      </c>
      <c r="H2708" s="1">
        <v>46029</v>
      </c>
      <c r="I2708" t="s">
        <v>551</v>
      </c>
      <c r="J2708" t="s">
        <v>6418</v>
      </c>
      <c r="K2708" t="s">
        <v>958</v>
      </c>
      <c r="L2708" t="s">
        <v>6419</v>
      </c>
      <c r="M2708" t="s">
        <v>843</v>
      </c>
      <c r="N2708" t="s">
        <v>319</v>
      </c>
      <c r="O2708" t="s">
        <v>6422</v>
      </c>
      <c r="P2708" t="s">
        <v>6423</v>
      </c>
      <c r="Q2708" t="s">
        <v>8918</v>
      </c>
      <c r="R2708" t="s">
        <v>8919</v>
      </c>
      <c r="S2708" t="s">
        <v>9634</v>
      </c>
      <c r="T2708" t="s">
        <v>550</v>
      </c>
      <c r="U2708" t="s">
        <v>550</v>
      </c>
      <c r="V2708" t="s">
        <v>9639</v>
      </c>
      <c r="W2708" t="s">
        <v>6428</v>
      </c>
      <c r="X2708" t="s">
        <v>6881</v>
      </c>
      <c r="Z2708" t="s">
        <v>9638</v>
      </c>
    </row>
    <row r="2709" spans="1:26" x14ac:dyDescent="0.3">
      <c r="A2709" t="s">
        <v>330</v>
      </c>
      <c r="B2709" t="s">
        <v>9640</v>
      </c>
      <c r="C2709" t="s">
        <v>9641</v>
      </c>
      <c r="D2709" t="s">
        <v>9260</v>
      </c>
      <c r="E2709" t="s">
        <v>816</v>
      </c>
      <c r="F2709" t="s">
        <v>817</v>
      </c>
      <c r="G2709" s="1">
        <v>45809</v>
      </c>
      <c r="H2709" s="1">
        <v>45811</v>
      </c>
      <c r="I2709" t="s">
        <v>665</v>
      </c>
      <c r="J2709" t="s">
        <v>816</v>
      </c>
      <c r="K2709" t="s">
        <v>900</v>
      </c>
      <c r="L2709" t="s">
        <v>217</v>
      </c>
      <c r="M2709" t="s">
        <v>3991</v>
      </c>
      <c r="N2709" t="s">
        <v>3992</v>
      </c>
      <c r="O2709" t="s">
        <v>883</v>
      </c>
      <c r="P2709" t="s">
        <v>884</v>
      </c>
      <c r="Q2709" t="s">
        <v>9642</v>
      </c>
      <c r="R2709" t="s">
        <v>9643</v>
      </c>
      <c r="S2709" t="s">
        <v>550</v>
      </c>
      <c r="T2709" t="s">
        <v>550</v>
      </c>
      <c r="U2709" t="s">
        <v>550</v>
      </c>
      <c r="V2709" t="s">
        <v>9644</v>
      </c>
      <c r="W2709" t="s">
        <v>3996</v>
      </c>
      <c r="Z2709" t="s">
        <v>9640</v>
      </c>
    </row>
    <row r="2710" spans="1:26" x14ac:dyDescent="0.3">
      <c r="A2710" t="s">
        <v>330</v>
      </c>
      <c r="B2710" t="s">
        <v>9645</v>
      </c>
      <c r="C2710" t="s">
        <v>7225</v>
      </c>
      <c r="D2710" t="s">
        <v>9260</v>
      </c>
      <c r="E2710" t="s">
        <v>816</v>
      </c>
      <c r="F2710" t="s">
        <v>817</v>
      </c>
      <c r="G2710" s="1">
        <v>45658</v>
      </c>
      <c r="H2710" s="1">
        <v>45658</v>
      </c>
      <c r="I2710" t="s">
        <v>665</v>
      </c>
      <c r="J2710" t="s">
        <v>816</v>
      </c>
      <c r="K2710" t="s">
        <v>900</v>
      </c>
      <c r="L2710" t="s">
        <v>19</v>
      </c>
      <c r="M2710" t="s">
        <v>2201</v>
      </c>
      <c r="N2710" t="s">
        <v>2202</v>
      </c>
      <c r="O2710" t="s">
        <v>883</v>
      </c>
      <c r="P2710" t="s">
        <v>884</v>
      </c>
      <c r="Q2710" t="s">
        <v>9642</v>
      </c>
      <c r="R2710" t="s">
        <v>9643</v>
      </c>
      <c r="S2710" t="s">
        <v>550</v>
      </c>
      <c r="T2710" t="s">
        <v>550</v>
      </c>
      <c r="U2710" t="s">
        <v>550</v>
      </c>
      <c r="V2710" t="s">
        <v>9646</v>
      </c>
      <c r="W2710" t="s">
        <v>941</v>
      </c>
      <c r="Z2710" t="s">
        <v>9645</v>
      </c>
    </row>
    <row r="2711" spans="1:26" x14ac:dyDescent="0.3">
      <c r="A2711" t="s">
        <v>330</v>
      </c>
      <c r="B2711" t="s">
        <v>9647</v>
      </c>
      <c r="C2711" t="s">
        <v>9648</v>
      </c>
      <c r="D2711" t="s">
        <v>9260</v>
      </c>
      <c r="E2711" t="s">
        <v>816</v>
      </c>
      <c r="F2711" t="s">
        <v>817</v>
      </c>
      <c r="G2711" s="1">
        <v>45658</v>
      </c>
      <c r="H2711" s="1">
        <v>45658</v>
      </c>
      <c r="I2711" t="s">
        <v>665</v>
      </c>
      <c r="J2711" t="s">
        <v>816</v>
      </c>
      <c r="K2711" t="s">
        <v>900</v>
      </c>
      <c r="L2711" t="s">
        <v>217</v>
      </c>
      <c r="M2711" t="s">
        <v>2201</v>
      </c>
      <c r="N2711" t="s">
        <v>2202</v>
      </c>
      <c r="O2711" t="s">
        <v>2203</v>
      </c>
      <c r="P2711" t="s">
        <v>2204</v>
      </c>
      <c r="Q2711" t="s">
        <v>9642</v>
      </c>
      <c r="R2711" t="s">
        <v>9643</v>
      </c>
      <c r="S2711" t="s">
        <v>550</v>
      </c>
      <c r="T2711" t="s">
        <v>550</v>
      </c>
      <c r="U2711" t="s">
        <v>550</v>
      </c>
      <c r="V2711" t="s">
        <v>9649</v>
      </c>
      <c r="W2711" t="s">
        <v>9650</v>
      </c>
      <c r="Z2711" t="s">
        <v>9647</v>
      </c>
    </row>
    <row r="2712" spans="1:26" x14ac:dyDescent="0.3">
      <c r="A2712" t="s">
        <v>330</v>
      </c>
      <c r="B2712" t="s">
        <v>9260</v>
      </c>
      <c r="C2712" t="s">
        <v>9651</v>
      </c>
      <c r="D2712" t="s">
        <v>550</v>
      </c>
      <c r="E2712" t="s">
        <v>816</v>
      </c>
      <c r="F2712" t="s">
        <v>817</v>
      </c>
      <c r="G2712" s="1">
        <v>45659</v>
      </c>
      <c r="H2712" s="1">
        <v>45659</v>
      </c>
      <c r="I2712" t="s">
        <v>665</v>
      </c>
      <c r="J2712" t="s">
        <v>816</v>
      </c>
      <c r="K2712" t="s">
        <v>900</v>
      </c>
      <c r="L2712" t="s">
        <v>217</v>
      </c>
      <c r="M2712" t="s">
        <v>936</v>
      </c>
      <c r="N2712" t="s">
        <v>937</v>
      </c>
      <c r="O2712" t="s">
        <v>3991</v>
      </c>
      <c r="P2712" t="s">
        <v>3992</v>
      </c>
      <c r="Q2712" t="s">
        <v>9642</v>
      </c>
      <c r="R2712" t="s">
        <v>9643</v>
      </c>
      <c r="S2712" t="s">
        <v>550</v>
      </c>
      <c r="T2712" t="s">
        <v>550</v>
      </c>
      <c r="U2712" t="s">
        <v>550</v>
      </c>
      <c r="V2712" t="s">
        <v>9652</v>
      </c>
      <c r="W2712" t="s">
        <v>3996</v>
      </c>
      <c r="Z2712" t="s">
        <v>9260</v>
      </c>
    </row>
    <row r="2713" spans="1:26" x14ac:dyDescent="0.3">
      <c r="A2713" t="s">
        <v>330</v>
      </c>
      <c r="B2713" t="s">
        <v>9653</v>
      </c>
      <c r="C2713" t="s">
        <v>9654</v>
      </c>
      <c r="D2713" t="s">
        <v>9260</v>
      </c>
      <c r="E2713" t="s">
        <v>816</v>
      </c>
      <c r="F2713" t="s">
        <v>817</v>
      </c>
      <c r="G2713" s="1">
        <v>45658</v>
      </c>
      <c r="H2713" s="1">
        <v>45693</v>
      </c>
      <c r="I2713" t="s">
        <v>665</v>
      </c>
      <c r="J2713" t="s">
        <v>816</v>
      </c>
      <c r="K2713" t="s">
        <v>900</v>
      </c>
      <c r="L2713" t="s">
        <v>217</v>
      </c>
      <c r="M2713" t="s">
        <v>936</v>
      </c>
      <c r="N2713" t="s">
        <v>937</v>
      </c>
      <c r="O2713" t="s">
        <v>3991</v>
      </c>
      <c r="P2713" t="s">
        <v>3992</v>
      </c>
      <c r="Q2713" t="s">
        <v>9642</v>
      </c>
      <c r="R2713" t="s">
        <v>9643</v>
      </c>
      <c r="S2713" t="s">
        <v>550</v>
      </c>
      <c r="T2713" t="s">
        <v>550</v>
      </c>
      <c r="U2713" t="s">
        <v>550</v>
      </c>
      <c r="V2713" t="s">
        <v>9655</v>
      </c>
      <c r="W2713" t="s">
        <v>3996</v>
      </c>
      <c r="Z2713" t="s">
        <v>9653</v>
      </c>
    </row>
    <row r="2714" spans="1:26" x14ac:dyDescent="0.3">
      <c r="A2714" t="s">
        <v>330</v>
      </c>
      <c r="B2714" t="s">
        <v>9656</v>
      </c>
      <c r="C2714" t="s">
        <v>4000</v>
      </c>
      <c r="D2714" t="s">
        <v>9260</v>
      </c>
      <c r="E2714" t="s">
        <v>816</v>
      </c>
      <c r="F2714" t="s">
        <v>817</v>
      </c>
      <c r="G2714" s="1">
        <v>45658</v>
      </c>
      <c r="H2714" s="1">
        <v>45685</v>
      </c>
      <c r="I2714" t="s">
        <v>665</v>
      </c>
      <c r="J2714" t="s">
        <v>816</v>
      </c>
      <c r="K2714" t="s">
        <v>900</v>
      </c>
      <c r="L2714" t="s">
        <v>217</v>
      </c>
      <c r="M2714" t="s">
        <v>7269</v>
      </c>
      <c r="N2714" t="s">
        <v>7270</v>
      </c>
      <c r="O2714" t="s">
        <v>9657</v>
      </c>
      <c r="P2714" t="s">
        <v>9658</v>
      </c>
      <c r="Q2714" t="s">
        <v>9642</v>
      </c>
      <c r="R2714" t="s">
        <v>9643</v>
      </c>
      <c r="S2714" t="s">
        <v>550</v>
      </c>
      <c r="T2714" t="s">
        <v>550</v>
      </c>
      <c r="U2714" t="s">
        <v>550</v>
      </c>
      <c r="V2714" t="s">
        <v>9659</v>
      </c>
      <c r="W2714" t="s">
        <v>9660</v>
      </c>
      <c r="Z2714" t="s">
        <v>9656</v>
      </c>
    </row>
    <row r="2715" spans="1:26" x14ac:dyDescent="0.3">
      <c r="A2715" t="s">
        <v>330</v>
      </c>
      <c r="B2715" t="s">
        <v>9661</v>
      </c>
      <c r="C2715" t="s">
        <v>9662</v>
      </c>
      <c r="D2715" t="s">
        <v>550</v>
      </c>
      <c r="E2715" t="s">
        <v>9663</v>
      </c>
      <c r="F2715" t="s">
        <v>9664</v>
      </c>
      <c r="G2715" s="1">
        <v>46143</v>
      </c>
      <c r="H2715" s="1">
        <v>46143</v>
      </c>
      <c r="I2715" t="s">
        <v>551</v>
      </c>
      <c r="J2715" t="s">
        <v>9665</v>
      </c>
      <c r="K2715" t="s">
        <v>24</v>
      </c>
      <c r="L2715" t="s">
        <v>7624</v>
      </c>
      <c r="M2715" t="s">
        <v>9057</v>
      </c>
      <c r="N2715" t="s">
        <v>9058</v>
      </c>
      <c r="O2715" t="s">
        <v>810</v>
      </c>
      <c r="P2715" t="s">
        <v>811</v>
      </c>
      <c r="Q2715" t="s">
        <v>9666</v>
      </c>
      <c r="R2715" t="s">
        <v>9667</v>
      </c>
      <c r="S2715" t="s">
        <v>803</v>
      </c>
      <c r="T2715" t="s">
        <v>550</v>
      </c>
      <c r="U2715" t="s">
        <v>550</v>
      </c>
      <c r="V2715" t="s">
        <v>9668</v>
      </c>
      <c r="W2715" t="s">
        <v>7194</v>
      </c>
      <c r="Z2715" t="s">
        <v>9661</v>
      </c>
    </row>
    <row r="2716" spans="1:26" x14ac:dyDescent="0.3">
      <c r="A2716" t="s">
        <v>330</v>
      </c>
      <c r="B2716" t="s">
        <v>9669</v>
      </c>
      <c r="C2716" t="s">
        <v>9670</v>
      </c>
      <c r="D2716" t="s">
        <v>9661</v>
      </c>
      <c r="E2716" t="s">
        <v>9663</v>
      </c>
      <c r="F2716" t="s">
        <v>9664</v>
      </c>
      <c r="G2716" s="1">
        <v>46143</v>
      </c>
      <c r="H2716" s="1">
        <v>46144</v>
      </c>
      <c r="I2716" t="s">
        <v>551</v>
      </c>
      <c r="J2716" t="s">
        <v>9665</v>
      </c>
      <c r="K2716" t="s">
        <v>24</v>
      </c>
      <c r="L2716" t="s">
        <v>7624</v>
      </c>
      <c r="M2716" t="s">
        <v>9057</v>
      </c>
      <c r="N2716" t="s">
        <v>9058</v>
      </c>
      <c r="O2716" t="s">
        <v>810</v>
      </c>
      <c r="P2716" t="s">
        <v>811</v>
      </c>
      <c r="Q2716" t="s">
        <v>9666</v>
      </c>
      <c r="R2716" t="s">
        <v>9667</v>
      </c>
      <c r="S2716" t="s">
        <v>803</v>
      </c>
      <c r="T2716" t="s">
        <v>550</v>
      </c>
      <c r="U2716" t="s">
        <v>550</v>
      </c>
      <c r="V2716" t="s">
        <v>9671</v>
      </c>
      <c r="W2716" t="s">
        <v>7194</v>
      </c>
      <c r="Z2716" t="s">
        <v>9669</v>
      </c>
    </row>
    <row r="2717" spans="1:26" x14ac:dyDescent="0.3">
      <c r="A2717" t="s">
        <v>330</v>
      </c>
      <c r="B2717" t="s">
        <v>9672</v>
      </c>
      <c r="C2717" t="s">
        <v>9673</v>
      </c>
      <c r="D2717" t="s">
        <v>550</v>
      </c>
      <c r="E2717" t="s">
        <v>9674</v>
      </c>
      <c r="F2717" t="s">
        <v>9675</v>
      </c>
      <c r="G2717" s="1">
        <v>46113</v>
      </c>
      <c r="H2717" s="1">
        <v>46113</v>
      </c>
      <c r="I2717" t="s">
        <v>551</v>
      </c>
      <c r="J2717" t="s">
        <v>9192</v>
      </c>
      <c r="K2717" t="s">
        <v>808</v>
      </c>
      <c r="L2717" t="s">
        <v>842</v>
      </c>
      <c r="M2717" t="s">
        <v>9057</v>
      </c>
      <c r="N2717" t="s">
        <v>9058</v>
      </c>
      <c r="O2717" t="s">
        <v>810</v>
      </c>
      <c r="P2717" t="s">
        <v>811</v>
      </c>
      <c r="Q2717" t="s">
        <v>9666</v>
      </c>
      <c r="R2717" t="s">
        <v>9667</v>
      </c>
      <c r="S2717" t="s">
        <v>803</v>
      </c>
      <c r="T2717" t="s">
        <v>550</v>
      </c>
      <c r="U2717" t="s">
        <v>550</v>
      </c>
      <c r="V2717" t="s">
        <v>9676</v>
      </c>
      <c r="W2717" t="s">
        <v>7194</v>
      </c>
      <c r="Z2717" t="s">
        <v>9672</v>
      </c>
    </row>
    <row r="2718" spans="1:26" x14ac:dyDescent="0.3">
      <c r="A2718" t="s">
        <v>330</v>
      </c>
      <c r="B2718" t="s">
        <v>9677</v>
      </c>
      <c r="C2718" t="s">
        <v>9678</v>
      </c>
      <c r="D2718" t="s">
        <v>9672</v>
      </c>
      <c r="E2718" t="s">
        <v>9674</v>
      </c>
      <c r="F2718" t="s">
        <v>9675</v>
      </c>
      <c r="G2718" s="1">
        <v>46113</v>
      </c>
      <c r="H2718" s="1">
        <v>46165</v>
      </c>
      <c r="I2718" t="s">
        <v>551</v>
      </c>
      <c r="J2718" t="s">
        <v>9192</v>
      </c>
      <c r="K2718" t="s">
        <v>808</v>
      </c>
      <c r="L2718" t="s">
        <v>842</v>
      </c>
      <c r="M2718" t="s">
        <v>9057</v>
      </c>
      <c r="N2718" t="s">
        <v>9058</v>
      </c>
      <c r="O2718" t="s">
        <v>810</v>
      </c>
      <c r="P2718" t="s">
        <v>811</v>
      </c>
      <c r="Q2718" t="s">
        <v>9666</v>
      </c>
      <c r="R2718" t="s">
        <v>9667</v>
      </c>
      <c r="S2718" t="s">
        <v>803</v>
      </c>
      <c r="T2718" t="s">
        <v>550</v>
      </c>
      <c r="U2718" t="s">
        <v>550</v>
      </c>
      <c r="V2718" t="s">
        <v>9679</v>
      </c>
      <c r="W2718" t="s">
        <v>7194</v>
      </c>
      <c r="Z2718" t="s">
        <v>9677</v>
      </c>
    </row>
    <row r="2719" spans="1:26" x14ac:dyDescent="0.3">
      <c r="A2719" t="s">
        <v>330</v>
      </c>
      <c r="B2719" t="s">
        <v>9680</v>
      </c>
      <c r="C2719" t="s">
        <v>9681</v>
      </c>
      <c r="D2719" t="s">
        <v>7087</v>
      </c>
      <c r="E2719" t="s">
        <v>7088</v>
      </c>
      <c r="F2719" t="s">
        <v>7089</v>
      </c>
      <c r="G2719" s="1">
        <v>46023</v>
      </c>
      <c r="H2719" s="1">
        <v>46023</v>
      </c>
      <c r="I2719" t="s">
        <v>551</v>
      </c>
      <c r="J2719" t="s">
        <v>7090</v>
      </c>
      <c r="K2719" t="s">
        <v>958</v>
      </c>
      <c r="L2719" t="s">
        <v>7624</v>
      </c>
      <c r="M2719" t="s">
        <v>810</v>
      </c>
      <c r="N2719" t="s">
        <v>811</v>
      </c>
      <c r="O2719" t="s">
        <v>810</v>
      </c>
      <c r="P2719" t="s">
        <v>811</v>
      </c>
      <c r="Q2719" t="s">
        <v>9666</v>
      </c>
      <c r="R2719" t="s">
        <v>9667</v>
      </c>
      <c r="S2719" t="s">
        <v>803</v>
      </c>
      <c r="T2719" t="s">
        <v>550</v>
      </c>
      <c r="U2719" t="s">
        <v>550</v>
      </c>
      <c r="V2719" t="s">
        <v>9682</v>
      </c>
      <c r="W2719" t="s">
        <v>7194</v>
      </c>
      <c r="Z2719" t="s">
        <v>9680</v>
      </c>
    </row>
    <row r="2720" spans="1:26" x14ac:dyDescent="0.3">
      <c r="A2720" t="s">
        <v>330</v>
      </c>
      <c r="B2720" t="s">
        <v>9683</v>
      </c>
      <c r="C2720" t="s">
        <v>9684</v>
      </c>
      <c r="D2720" t="s">
        <v>550</v>
      </c>
      <c r="E2720" t="s">
        <v>7088</v>
      </c>
      <c r="F2720" t="s">
        <v>7089</v>
      </c>
      <c r="G2720" s="1">
        <v>46023</v>
      </c>
      <c r="H2720" s="1">
        <v>46023</v>
      </c>
      <c r="I2720" t="s">
        <v>551</v>
      </c>
      <c r="J2720" t="s">
        <v>7090</v>
      </c>
      <c r="K2720" t="s">
        <v>24</v>
      </c>
      <c r="L2720" t="s">
        <v>7624</v>
      </c>
      <c r="M2720" t="s">
        <v>881</v>
      </c>
      <c r="N2720" t="s">
        <v>882</v>
      </c>
      <c r="O2720" t="s">
        <v>810</v>
      </c>
      <c r="P2720" t="s">
        <v>811</v>
      </c>
      <c r="Q2720" t="s">
        <v>9666</v>
      </c>
      <c r="R2720" t="s">
        <v>9667</v>
      </c>
      <c r="S2720" t="s">
        <v>803</v>
      </c>
      <c r="T2720" t="s">
        <v>550</v>
      </c>
      <c r="U2720" t="s">
        <v>550</v>
      </c>
      <c r="V2720" t="s">
        <v>9685</v>
      </c>
      <c r="W2720" t="s">
        <v>7194</v>
      </c>
      <c r="Z2720" t="s">
        <v>9683</v>
      </c>
    </row>
    <row r="2721" spans="1:26" x14ac:dyDescent="0.3">
      <c r="A2721" t="s">
        <v>330</v>
      </c>
      <c r="B2721" t="s">
        <v>9686</v>
      </c>
      <c r="C2721" t="s">
        <v>9687</v>
      </c>
      <c r="D2721" t="s">
        <v>550</v>
      </c>
      <c r="E2721" t="s">
        <v>7088</v>
      </c>
      <c r="F2721" t="s">
        <v>7089</v>
      </c>
      <c r="G2721" s="1">
        <v>46023</v>
      </c>
      <c r="H2721" s="1">
        <v>46023</v>
      </c>
      <c r="I2721" t="s">
        <v>551</v>
      </c>
      <c r="J2721" t="s">
        <v>8700</v>
      </c>
      <c r="K2721" t="s">
        <v>24</v>
      </c>
      <c r="L2721" t="s">
        <v>7624</v>
      </c>
      <c r="M2721" t="s">
        <v>881</v>
      </c>
      <c r="N2721" t="s">
        <v>882</v>
      </c>
      <c r="O2721" t="s">
        <v>810</v>
      </c>
      <c r="P2721" t="s">
        <v>811</v>
      </c>
      <c r="Q2721" t="s">
        <v>9666</v>
      </c>
      <c r="R2721" t="s">
        <v>9667</v>
      </c>
      <c r="S2721" t="s">
        <v>803</v>
      </c>
      <c r="T2721" t="s">
        <v>550</v>
      </c>
      <c r="U2721" t="s">
        <v>550</v>
      </c>
      <c r="V2721" t="s">
        <v>9688</v>
      </c>
      <c r="W2721" t="s">
        <v>7194</v>
      </c>
      <c r="Z2721" t="s">
        <v>9686</v>
      </c>
    </row>
    <row r="2722" spans="1:26" x14ac:dyDescent="0.3">
      <c r="A2722" t="s">
        <v>330</v>
      </c>
      <c r="B2722" t="s">
        <v>9689</v>
      </c>
      <c r="C2722" t="s">
        <v>9690</v>
      </c>
      <c r="D2722" t="s">
        <v>9686</v>
      </c>
      <c r="E2722" t="s">
        <v>7088</v>
      </c>
      <c r="F2722" t="s">
        <v>7089</v>
      </c>
      <c r="G2722" s="1">
        <v>46023</v>
      </c>
      <c r="H2722" s="1">
        <v>46025</v>
      </c>
      <c r="I2722" t="s">
        <v>551</v>
      </c>
      <c r="J2722" t="s">
        <v>8700</v>
      </c>
      <c r="K2722" t="s">
        <v>24</v>
      </c>
      <c r="L2722" t="s">
        <v>7624</v>
      </c>
      <c r="M2722" t="s">
        <v>881</v>
      </c>
      <c r="N2722" t="s">
        <v>882</v>
      </c>
      <c r="O2722" t="s">
        <v>810</v>
      </c>
      <c r="P2722" t="s">
        <v>811</v>
      </c>
      <c r="Q2722" t="s">
        <v>9666</v>
      </c>
      <c r="R2722" t="s">
        <v>9667</v>
      </c>
      <c r="S2722" t="s">
        <v>803</v>
      </c>
      <c r="T2722" t="s">
        <v>550</v>
      </c>
      <c r="U2722" t="s">
        <v>550</v>
      </c>
      <c r="V2722" t="s">
        <v>9691</v>
      </c>
      <c r="W2722" t="s">
        <v>7194</v>
      </c>
      <c r="Z2722" t="s">
        <v>9689</v>
      </c>
    </row>
    <row r="2723" spans="1:26" x14ac:dyDescent="0.3">
      <c r="A2723" t="s">
        <v>330</v>
      </c>
      <c r="B2723" t="s">
        <v>9692</v>
      </c>
      <c r="C2723" t="s">
        <v>9693</v>
      </c>
      <c r="D2723" t="s">
        <v>9204</v>
      </c>
      <c r="E2723" t="s">
        <v>9694</v>
      </c>
      <c r="F2723" t="s">
        <v>9695</v>
      </c>
      <c r="G2723" s="1">
        <v>46141</v>
      </c>
      <c r="H2723" s="1">
        <v>46152</v>
      </c>
      <c r="I2723" t="s">
        <v>551</v>
      </c>
      <c r="J2723" t="s">
        <v>9331</v>
      </c>
      <c r="K2723" t="s">
        <v>808</v>
      </c>
      <c r="L2723" t="s">
        <v>842</v>
      </c>
      <c r="M2723" t="s">
        <v>810</v>
      </c>
      <c r="N2723" t="s">
        <v>811</v>
      </c>
      <c r="O2723" t="s">
        <v>810</v>
      </c>
      <c r="P2723" t="s">
        <v>811</v>
      </c>
      <c r="Q2723" t="s">
        <v>9666</v>
      </c>
      <c r="R2723" t="s">
        <v>9667</v>
      </c>
      <c r="S2723" t="s">
        <v>803</v>
      </c>
      <c r="T2723" t="s">
        <v>550</v>
      </c>
      <c r="U2723" t="s">
        <v>550</v>
      </c>
      <c r="V2723" t="s">
        <v>9696</v>
      </c>
      <c r="W2723" t="s">
        <v>813</v>
      </c>
      <c r="Z2723" t="s">
        <v>9692</v>
      </c>
    </row>
    <row r="2724" spans="1:26" x14ac:dyDescent="0.3">
      <c r="A2724" t="s">
        <v>330</v>
      </c>
      <c r="B2724" t="s">
        <v>9697</v>
      </c>
      <c r="C2724" t="s">
        <v>9698</v>
      </c>
      <c r="D2724" t="s">
        <v>550</v>
      </c>
      <c r="E2724" t="s">
        <v>8402</v>
      </c>
      <c r="F2724" t="s">
        <v>1319</v>
      </c>
      <c r="G2724" s="1">
        <v>46023</v>
      </c>
      <c r="H2724" s="1">
        <v>46023</v>
      </c>
      <c r="I2724" t="s">
        <v>551</v>
      </c>
      <c r="J2724" t="s">
        <v>7190</v>
      </c>
      <c r="K2724" t="s">
        <v>24</v>
      </c>
      <c r="L2724" t="s">
        <v>7624</v>
      </c>
      <c r="M2724" t="s">
        <v>843</v>
      </c>
      <c r="N2724" t="s">
        <v>319</v>
      </c>
      <c r="O2724" t="s">
        <v>810</v>
      </c>
      <c r="P2724" t="s">
        <v>811</v>
      </c>
      <c r="Q2724" t="s">
        <v>9666</v>
      </c>
      <c r="R2724" t="s">
        <v>9667</v>
      </c>
      <c r="S2724" t="s">
        <v>803</v>
      </c>
      <c r="T2724" t="s">
        <v>550</v>
      </c>
      <c r="U2724" t="s">
        <v>550</v>
      </c>
      <c r="V2724" t="s">
        <v>9699</v>
      </c>
      <c r="W2724" t="s">
        <v>813</v>
      </c>
      <c r="Z2724" t="s">
        <v>9697</v>
      </c>
    </row>
    <row r="2725" spans="1:26" x14ac:dyDescent="0.3">
      <c r="A2725" t="s">
        <v>330</v>
      </c>
      <c r="B2725" t="s">
        <v>9700</v>
      </c>
      <c r="C2725" t="s">
        <v>9701</v>
      </c>
      <c r="D2725" t="s">
        <v>9697</v>
      </c>
      <c r="E2725" t="s">
        <v>8402</v>
      </c>
      <c r="F2725" t="s">
        <v>1319</v>
      </c>
      <c r="G2725" s="1">
        <v>46023</v>
      </c>
      <c r="H2725" s="1">
        <v>46042</v>
      </c>
      <c r="I2725" t="s">
        <v>551</v>
      </c>
      <c r="J2725" t="s">
        <v>7190</v>
      </c>
      <c r="K2725" t="s">
        <v>24</v>
      </c>
      <c r="L2725" t="s">
        <v>7624</v>
      </c>
      <c r="M2725" t="s">
        <v>843</v>
      </c>
      <c r="N2725" t="s">
        <v>319</v>
      </c>
      <c r="O2725" t="s">
        <v>810</v>
      </c>
      <c r="P2725" t="s">
        <v>811</v>
      </c>
      <c r="Q2725" t="s">
        <v>9666</v>
      </c>
      <c r="R2725" t="s">
        <v>9667</v>
      </c>
      <c r="S2725" t="s">
        <v>803</v>
      </c>
      <c r="T2725" t="s">
        <v>550</v>
      </c>
      <c r="U2725" t="s">
        <v>550</v>
      </c>
      <c r="V2725" t="s">
        <v>9702</v>
      </c>
      <c r="W2725" t="s">
        <v>813</v>
      </c>
      <c r="Z2725" t="s">
        <v>9700</v>
      </c>
    </row>
    <row r="2726" spans="1:26" x14ac:dyDescent="0.3">
      <c r="A2726" t="s">
        <v>330</v>
      </c>
      <c r="B2726" t="s">
        <v>9703</v>
      </c>
      <c r="C2726" t="s">
        <v>9704</v>
      </c>
      <c r="D2726" t="s">
        <v>9204</v>
      </c>
      <c r="E2726" t="s">
        <v>8464</v>
      </c>
      <c r="F2726" t="s">
        <v>3443</v>
      </c>
      <c r="G2726" s="1">
        <v>46023</v>
      </c>
      <c r="H2726" s="1">
        <v>46032</v>
      </c>
      <c r="I2726" t="s">
        <v>551</v>
      </c>
      <c r="J2726" t="s">
        <v>8465</v>
      </c>
      <c r="K2726" t="s">
        <v>24</v>
      </c>
      <c r="L2726" t="s">
        <v>842</v>
      </c>
      <c r="M2726" t="s">
        <v>843</v>
      </c>
      <c r="N2726" t="s">
        <v>319</v>
      </c>
      <c r="O2726" t="s">
        <v>810</v>
      </c>
      <c r="P2726" t="s">
        <v>811</v>
      </c>
      <c r="Q2726" t="s">
        <v>9666</v>
      </c>
      <c r="R2726" t="s">
        <v>9667</v>
      </c>
      <c r="S2726" t="s">
        <v>803</v>
      </c>
      <c r="T2726" t="s">
        <v>847</v>
      </c>
      <c r="U2726" t="s">
        <v>550</v>
      </c>
      <c r="V2726" t="s">
        <v>9705</v>
      </c>
      <c r="W2726" t="s">
        <v>813</v>
      </c>
      <c r="Z2726" t="s">
        <v>9703</v>
      </c>
    </row>
    <row r="2727" spans="1:26" x14ac:dyDescent="0.3">
      <c r="A2727" t="s">
        <v>330</v>
      </c>
      <c r="B2727" t="s">
        <v>9706</v>
      </c>
      <c r="C2727" t="s">
        <v>9707</v>
      </c>
      <c r="D2727" t="s">
        <v>9204</v>
      </c>
      <c r="E2727" t="s">
        <v>8464</v>
      </c>
      <c r="F2727" t="s">
        <v>3443</v>
      </c>
      <c r="G2727" s="1">
        <v>46023</v>
      </c>
      <c r="H2727" s="1">
        <v>46028</v>
      </c>
      <c r="I2727" t="s">
        <v>551</v>
      </c>
      <c r="J2727" t="s">
        <v>8465</v>
      </c>
      <c r="K2727" t="s">
        <v>24</v>
      </c>
      <c r="L2727" t="s">
        <v>842</v>
      </c>
      <c r="M2727" t="s">
        <v>843</v>
      </c>
      <c r="N2727" t="s">
        <v>319</v>
      </c>
      <c r="O2727" t="s">
        <v>810</v>
      </c>
      <c r="P2727" t="s">
        <v>811</v>
      </c>
      <c r="Q2727" t="s">
        <v>9666</v>
      </c>
      <c r="R2727" t="s">
        <v>9667</v>
      </c>
      <c r="S2727" t="s">
        <v>803</v>
      </c>
      <c r="T2727" t="s">
        <v>847</v>
      </c>
      <c r="U2727" t="s">
        <v>550</v>
      </c>
      <c r="V2727" t="s">
        <v>9708</v>
      </c>
      <c r="W2727" t="s">
        <v>813</v>
      </c>
      <c r="Z2727" t="s">
        <v>9706</v>
      </c>
    </row>
    <row r="2728" spans="1:26" x14ac:dyDescent="0.3">
      <c r="A2728" t="s">
        <v>330</v>
      </c>
      <c r="B2728" t="s">
        <v>9709</v>
      </c>
      <c r="C2728" t="s">
        <v>9684</v>
      </c>
      <c r="D2728" t="s">
        <v>9683</v>
      </c>
      <c r="E2728" t="s">
        <v>7088</v>
      </c>
      <c r="F2728" t="s">
        <v>7089</v>
      </c>
      <c r="G2728" s="1">
        <v>46023</v>
      </c>
      <c r="H2728" s="1">
        <v>46034</v>
      </c>
      <c r="I2728" t="s">
        <v>551</v>
      </c>
      <c r="J2728" t="s">
        <v>7090</v>
      </c>
      <c r="K2728" t="s">
        <v>24</v>
      </c>
      <c r="L2728" t="s">
        <v>7624</v>
      </c>
      <c r="M2728" t="s">
        <v>843</v>
      </c>
      <c r="N2728" t="s">
        <v>319</v>
      </c>
      <c r="O2728" t="s">
        <v>810</v>
      </c>
      <c r="P2728" t="s">
        <v>811</v>
      </c>
      <c r="Q2728" t="s">
        <v>9666</v>
      </c>
      <c r="R2728" t="s">
        <v>9667</v>
      </c>
      <c r="S2728" t="s">
        <v>803</v>
      </c>
      <c r="T2728" t="s">
        <v>550</v>
      </c>
      <c r="U2728" t="s">
        <v>550</v>
      </c>
      <c r="V2728" t="s">
        <v>9710</v>
      </c>
      <c r="W2728" t="s">
        <v>7194</v>
      </c>
      <c r="Z2728" t="s">
        <v>9709</v>
      </c>
    </row>
    <row r="2729" spans="1:26" x14ac:dyDescent="0.3">
      <c r="A2729" t="s">
        <v>525</v>
      </c>
      <c r="B2729" t="s">
        <v>9711</v>
      </c>
      <c r="C2729" t="s">
        <v>9712</v>
      </c>
      <c r="D2729" t="s">
        <v>1100</v>
      </c>
      <c r="E2729" t="s">
        <v>1102</v>
      </c>
      <c r="F2729" t="s">
        <v>1103</v>
      </c>
      <c r="G2729" s="1">
        <v>46023</v>
      </c>
      <c r="H2729" s="1">
        <v>46072</v>
      </c>
      <c r="I2729" t="s">
        <v>551</v>
      </c>
      <c r="J2729" t="s">
        <v>1104</v>
      </c>
      <c r="K2729" t="s">
        <v>24</v>
      </c>
      <c r="L2729" t="s">
        <v>216</v>
      </c>
      <c r="M2729" t="s">
        <v>2299</v>
      </c>
      <c r="N2729" t="s">
        <v>265</v>
      </c>
      <c r="O2729" t="s">
        <v>2299</v>
      </c>
      <c r="P2729" t="s">
        <v>265</v>
      </c>
      <c r="Q2729" t="s">
        <v>9713</v>
      </c>
      <c r="R2729" t="s">
        <v>221</v>
      </c>
      <c r="S2729" t="s">
        <v>1471</v>
      </c>
      <c r="T2729" t="s">
        <v>550</v>
      </c>
      <c r="U2729" t="s">
        <v>550</v>
      </c>
      <c r="V2729" t="s">
        <v>9714</v>
      </c>
      <c r="W2729" t="s">
        <v>613</v>
      </c>
      <c r="X2729" t="s">
        <v>281</v>
      </c>
      <c r="Y2729" t="s">
        <v>290</v>
      </c>
      <c r="Z2729" t="s">
        <v>9711</v>
      </c>
    </row>
    <row r="2730" spans="1:26" x14ac:dyDescent="0.3">
      <c r="A2730" t="s">
        <v>525</v>
      </c>
      <c r="B2730" t="s">
        <v>9715</v>
      </c>
      <c r="C2730" t="s">
        <v>9716</v>
      </c>
      <c r="D2730" t="s">
        <v>2379</v>
      </c>
      <c r="E2730" t="s">
        <v>2381</v>
      </c>
      <c r="F2730" t="s">
        <v>2382</v>
      </c>
      <c r="G2730" s="1">
        <v>46023</v>
      </c>
      <c r="H2730" s="1">
        <v>46080</v>
      </c>
      <c r="I2730" t="s">
        <v>551</v>
      </c>
      <c r="J2730" t="s">
        <v>2383</v>
      </c>
      <c r="K2730" t="s">
        <v>24</v>
      </c>
      <c r="L2730" t="s">
        <v>216</v>
      </c>
      <c r="M2730" t="s">
        <v>2376</v>
      </c>
      <c r="N2730" t="s">
        <v>2377</v>
      </c>
      <c r="O2730" t="s">
        <v>2299</v>
      </c>
      <c r="P2730" t="s">
        <v>265</v>
      </c>
      <c r="Q2730" t="s">
        <v>9713</v>
      </c>
      <c r="R2730" t="s">
        <v>221</v>
      </c>
      <c r="S2730" t="s">
        <v>783</v>
      </c>
      <c r="T2730" t="s">
        <v>550</v>
      </c>
      <c r="U2730" t="s">
        <v>550</v>
      </c>
      <c r="V2730" t="s">
        <v>9717</v>
      </c>
      <c r="W2730" t="s">
        <v>613</v>
      </c>
      <c r="X2730" t="s">
        <v>281</v>
      </c>
      <c r="Y2730" t="s">
        <v>312</v>
      </c>
      <c r="Z2730" t="s">
        <v>9715</v>
      </c>
    </row>
    <row r="2731" spans="1:26" x14ac:dyDescent="0.3">
      <c r="A2731" t="s">
        <v>525</v>
      </c>
      <c r="B2731" t="s">
        <v>9718</v>
      </c>
      <c r="C2731" t="s">
        <v>9719</v>
      </c>
      <c r="D2731" t="s">
        <v>2379</v>
      </c>
      <c r="E2731" t="s">
        <v>2381</v>
      </c>
      <c r="F2731" t="s">
        <v>2382</v>
      </c>
      <c r="G2731" s="1">
        <v>46023</v>
      </c>
      <c r="H2731" s="1">
        <v>46082</v>
      </c>
      <c r="I2731" t="s">
        <v>551</v>
      </c>
      <c r="J2731" t="s">
        <v>2383</v>
      </c>
      <c r="K2731" t="s">
        <v>24</v>
      </c>
      <c r="L2731" t="s">
        <v>216</v>
      </c>
      <c r="M2731" t="s">
        <v>2376</v>
      </c>
      <c r="N2731" t="s">
        <v>2377</v>
      </c>
      <c r="O2731" t="s">
        <v>2299</v>
      </c>
      <c r="P2731" t="s">
        <v>265</v>
      </c>
      <c r="Q2731" t="s">
        <v>9713</v>
      </c>
      <c r="R2731" t="s">
        <v>221</v>
      </c>
      <c r="S2731" t="s">
        <v>783</v>
      </c>
      <c r="T2731" t="s">
        <v>550</v>
      </c>
      <c r="U2731" t="s">
        <v>550</v>
      </c>
      <c r="V2731" t="s">
        <v>9720</v>
      </c>
      <c r="W2731" t="s">
        <v>613</v>
      </c>
      <c r="X2731" t="s">
        <v>281</v>
      </c>
      <c r="Y2731" t="s">
        <v>312</v>
      </c>
      <c r="Z2731" t="s">
        <v>9718</v>
      </c>
    </row>
    <row r="2732" spans="1:26" x14ac:dyDescent="0.3">
      <c r="A2732" t="s">
        <v>525</v>
      </c>
      <c r="B2732" t="s">
        <v>9721</v>
      </c>
      <c r="C2732" t="s">
        <v>9722</v>
      </c>
      <c r="D2732" t="s">
        <v>1388</v>
      </c>
      <c r="E2732" t="s">
        <v>1306</v>
      </c>
      <c r="F2732" t="s">
        <v>1307</v>
      </c>
      <c r="G2732" s="1">
        <v>46023</v>
      </c>
      <c r="H2732" s="1">
        <v>46034</v>
      </c>
      <c r="I2732" t="s">
        <v>551</v>
      </c>
      <c r="J2732" t="s">
        <v>1308</v>
      </c>
      <c r="K2732" t="s">
        <v>24</v>
      </c>
      <c r="L2732" t="s">
        <v>216</v>
      </c>
      <c r="M2732" t="s">
        <v>2299</v>
      </c>
      <c r="N2732" t="s">
        <v>265</v>
      </c>
      <c r="O2732" t="s">
        <v>2299</v>
      </c>
      <c r="P2732" t="s">
        <v>265</v>
      </c>
      <c r="Q2732" t="s">
        <v>9713</v>
      </c>
      <c r="R2732" t="s">
        <v>221</v>
      </c>
      <c r="S2732" t="s">
        <v>1471</v>
      </c>
      <c r="T2732" t="s">
        <v>550</v>
      </c>
      <c r="U2732" t="s">
        <v>550</v>
      </c>
      <c r="V2732" t="s">
        <v>9723</v>
      </c>
      <c r="W2732" t="s">
        <v>613</v>
      </c>
      <c r="X2732" t="s">
        <v>281</v>
      </c>
      <c r="Y2732" t="s">
        <v>301</v>
      </c>
      <c r="Z2732" t="s">
        <v>9721</v>
      </c>
    </row>
    <row r="2733" spans="1:26" x14ac:dyDescent="0.3">
      <c r="A2733" t="s">
        <v>525</v>
      </c>
      <c r="B2733" t="s">
        <v>9724</v>
      </c>
      <c r="C2733" t="s">
        <v>9725</v>
      </c>
      <c r="D2733" t="s">
        <v>2295</v>
      </c>
      <c r="E2733" t="s">
        <v>2296</v>
      </c>
      <c r="F2733" t="s">
        <v>2297</v>
      </c>
      <c r="G2733" s="1">
        <v>46023</v>
      </c>
      <c r="H2733" s="1">
        <v>46029</v>
      </c>
      <c r="I2733" t="s">
        <v>551</v>
      </c>
      <c r="J2733" t="s">
        <v>2298</v>
      </c>
      <c r="K2733" t="s">
        <v>24</v>
      </c>
      <c r="L2733" t="s">
        <v>216</v>
      </c>
      <c r="M2733" t="s">
        <v>2299</v>
      </c>
      <c r="N2733" t="s">
        <v>265</v>
      </c>
      <c r="O2733" t="s">
        <v>2299</v>
      </c>
      <c r="P2733" t="s">
        <v>265</v>
      </c>
      <c r="Q2733" t="s">
        <v>9713</v>
      </c>
      <c r="R2733" t="s">
        <v>221</v>
      </c>
      <c r="S2733" t="s">
        <v>1471</v>
      </c>
      <c r="T2733" t="s">
        <v>550</v>
      </c>
      <c r="U2733" t="s">
        <v>550</v>
      </c>
      <c r="V2733" t="s">
        <v>9726</v>
      </c>
      <c r="W2733" t="s">
        <v>613</v>
      </c>
      <c r="X2733" t="s">
        <v>281</v>
      </c>
      <c r="Y2733" t="s">
        <v>293</v>
      </c>
      <c r="Z2733" t="s">
        <v>9724</v>
      </c>
    </row>
    <row r="2734" spans="1:26" x14ac:dyDescent="0.3">
      <c r="A2734" t="s">
        <v>525</v>
      </c>
      <c r="B2734" t="s">
        <v>9727</v>
      </c>
      <c r="C2734" t="s">
        <v>9728</v>
      </c>
      <c r="D2734" t="s">
        <v>1313</v>
      </c>
      <c r="E2734" t="s">
        <v>1306</v>
      </c>
      <c r="F2734" t="s">
        <v>1307</v>
      </c>
      <c r="G2734" s="1">
        <v>46023</v>
      </c>
      <c r="H2734" s="1">
        <v>46054</v>
      </c>
      <c r="I2734" t="s">
        <v>551</v>
      </c>
      <c r="J2734" t="s">
        <v>1308</v>
      </c>
      <c r="K2734" t="s">
        <v>24</v>
      </c>
      <c r="L2734" t="s">
        <v>216</v>
      </c>
      <c r="M2734" t="s">
        <v>2299</v>
      </c>
      <c r="N2734" t="s">
        <v>265</v>
      </c>
      <c r="O2734" t="s">
        <v>2299</v>
      </c>
      <c r="P2734" t="s">
        <v>265</v>
      </c>
      <c r="Q2734" t="s">
        <v>9713</v>
      </c>
      <c r="R2734" t="s">
        <v>221</v>
      </c>
      <c r="S2734" t="s">
        <v>1471</v>
      </c>
      <c r="T2734" t="s">
        <v>550</v>
      </c>
      <c r="U2734" t="s">
        <v>550</v>
      </c>
      <c r="V2734" t="s">
        <v>9729</v>
      </c>
      <c r="W2734" t="s">
        <v>613</v>
      </c>
      <c r="X2734" t="s">
        <v>281</v>
      </c>
      <c r="Y2734" t="s">
        <v>297</v>
      </c>
      <c r="Z2734" t="s">
        <v>9727</v>
      </c>
    </row>
    <row r="2735" spans="1:26" x14ac:dyDescent="0.3">
      <c r="A2735" t="s">
        <v>525</v>
      </c>
      <c r="B2735" t="s">
        <v>9730</v>
      </c>
      <c r="C2735" t="s">
        <v>9731</v>
      </c>
      <c r="D2735" t="s">
        <v>2312</v>
      </c>
      <c r="E2735" t="s">
        <v>2313</v>
      </c>
      <c r="F2735" t="s">
        <v>2314</v>
      </c>
      <c r="G2735" s="1">
        <v>46023</v>
      </c>
      <c r="H2735" s="1">
        <v>46034</v>
      </c>
      <c r="I2735" t="s">
        <v>551</v>
      </c>
      <c r="J2735" t="s">
        <v>2315</v>
      </c>
      <c r="K2735" t="s">
        <v>24</v>
      </c>
      <c r="L2735" t="s">
        <v>216</v>
      </c>
      <c r="M2735" t="s">
        <v>2299</v>
      </c>
      <c r="N2735" t="s">
        <v>265</v>
      </c>
      <c r="O2735" t="s">
        <v>2299</v>
      </c>
      <c r="P2735" t="s">
        <v>265</v>
      </c>
      <c r="Q2735" t="s">
        <v>9713</v>
      </c>
      <c r="R2735" t="s">
        <v>221</v>
      </c>
      <c r="S2735" t="s">
        <v>1471</v>
      </c>
      <c r="T2735" t="s">
        <v>550</v>
      </c>
      <c r="U2735" t="s">
        <v>550</v>
      </c>
      <c r="V2735" t="s">
        <v>9732</v>
      </c>
      <c r="W2735" t="s">
        <v>613</v>
      </c>
      <c r="X2735" t="s">
        <v>281</v>
      </c>
      <c r="Y2735" t="s">
        <v>314</v>
      </c>
      <c r="Z2735" t="s">
        <v>9730</v>
      </c>
    </row>
    <row r="2736" spans="1:26" x14ac:dyDescent="0.3">
      <c r="A2736" t="s">
        <v>525</v>
      </c>
      <c r="B2736" t="s">
        <v>9733</v>
      </c>
      <c r="C2736" t="s">
        <v>9734</v>
      </c>
      <c r="D2736" t="s">
        <v>1109</v>
      </c>
      <c r="E2736" t="s">
        <v>664</v>
      </c>
      <c r="F2736" t="s">
        <v>27</v>
      </c>
      <c r="G2736" s="1">
        <v>46023</v>
      </c>
      <c r="H2736" s="1">
        <v>46067</v>
      </c>
      <c r="I2736" t="s">
        <v>551</v>
      </c>
      <c r="J2736" t="s">
        <v>666</v>
      </c>
      <c r="K2736" t="s">
        <v>24</v>
      </c>
      <c r="L2736" t="s">
        <v>216</v>
      </c>
      <c r="M2736" t="s">
        <v>2299</v>
      </c>
      <c r="N2736" t="s">
        <v>265</v>
      </c>
      <c r="O2736" t="s">
        <v>2299</v>
      </c>
      <c r="P2736" t="s">
        <v>265</v>
      </c>
      <c r="Q2736" t="s">
        <v>9713</v>
      </c>
      <c r="R2736" t="s">
        <v>221</v>
      </c>
      <c r="S2736" t="s">
        <v>1471</v>
      </c>
      <c r="T2736" t="s">
        <v>550</v>
      </c>
      <c r="U2736" t="s">
        <v>550</v>
      </c>
      <c r="V2736" t="s">
        <v>9735</v>
      </c>
      <c r="W2736" t="s">
        <v>613</v>
      </c>
      <c r="X2736" t="s">
        <v>281</v>
      </c>
      <c r="Y2736" t="s">
        <v>312</v>
      </c>
      <c r="Z2736" t="s">
        <v>9733</v>
      </c>
    </row>
    <row r="2737" spans="1:26" x14ac:dyDescent="0.3">
      <c r="A2737" t="s">
        <v>525</v>
      </c>
      <c r="B2737" t="s">
        <v>9736</v>
      </c>
      <c r="C2737" t="s">
        <v>9737</v>
      </c>
      <c r="D2737" t="s">
        <v>1050</v>
      </c>
      <c r="E2737" t="s">
        <v>664</v>
      </c>
      <c r="F2737" t="s">
        <v>27</v>
      </c>
      <c r="G2737" s="1">
        <v>46023</v>
      </c>
      <c r="H2737" s="1">
        <v>46187</v>
      </c>
      <c r="I2737" t="s">
        <v>551</v>
      </c>
      <c r="J2737" t="s">
        <v>666</v>
      </c>
      <c r="K2737" t="s">
        <v>24</v>
      </c>
      <c r="L2737" t="s">
        <v>216</v>
      </c>
      <c r="M2737" t="s">
        <v>2299</v>
      </c>
      <c r="N2737" t="s">
        <v>265</v>
      </c>
      <c r="O2737" t="s">
        <v>2299</v>
      </c>
      <c r="P2737" t="s">
        <v>265</v>
      </c>
      <c r="Q2737" t="s">
        <v>9713</v>
      </c>
      <c r="R2737" t="s">
        <v>221</v>
      </c>
      <c r="S2737" t="s">
        <v>1471</v>
      </c>
      <c r="T2737" t="s">
        <v>550</v>
      </c>
      <c r="U2737" t="s">
        <v>550</v>
      </c>
      <c r="V2737" t="s">
        <v>9738</v>
      </c>
      <c r="W2737" t="s">
        <v>613</v>
      </c>
      <c r="X2737" t="s">
        <v>281</v>
      </c>
      <c r="Z2737" t="s">
        <v>9736</v>
      </c>
    </row>
    <row r="2738" spans="1:26" x14ac:dyDescent="0.3">
      <c r="A2738" t="s">
        <v>525</v>
      </c>
      <c r="B2738" t="s">
        <v>9739</v>
      </c>
      <c r="C2738" t="s">
        <v>9740</v>
      </c>
      <c r="D2738" t="s">
        <v>1056</v>
      </c>
      <c r="E2738" t="s">
        <v>664</v>
      </c>
      <c r="F2738" t="s">
        <v>27</v>
      </c>
      <c r="G2738" s="1">
        <v>46023</v>
      </c>
      <c r="H2738" s="1">
        <v>46023</v>
      </c>
      <c r="I2738" t="s">
        <v>551</v>
      </c>
      <c r="J2738" t="s">
        <v>666</v>
      </c>
      <c r="K2738" t="s">
        <v>24</v>
      </c>
      <c r="L2738" t="s">
        <v>216</v>
      </c>
      <c r="M2738" t="s">
        <v>2299</v>
      </c>
      <c r="N2738" t="s">
        <v>265</v>
      </c>
      <c r="O2738" t="s">
        <v>2299</v>
      </c>
      <c r="P2738" t="s">
        <v>265</v>
      </c>
      <c r="Q2738" t="s">
        <v>9713</v>
      </c>
      <c r="R2738" t="s">
        <v>221</v>
      </c>
      <c r="S2738" t="s">
        <v>1471</v>
      </c>
      <c r="T2738" t="s">
        <v>550</v>
      </c>
      <c r="U2738" t="s">
        <v>550</v>
      </c>
      <c r="V2738" t="s">
        <v>9741</v>
      </c>
      <c r="W2738" t="s">
        <v>613</v>
      </c>
      <c r="X2738" t="s">
        <v>281</v>
      </c>
      <c r="Y2738" t="s">
        <v>306</v>
      </c>
      <c r="Z2738" t="s">
        <v>9739</v>
      </c>
    </row>
    <row r="2739" spans="1:26" x14ac:dyDescent="0.3">
      <c r="A2739" t="s">
        <v>525</v>
      </c>
      <c r="B2739" t="s">
        <v>9742</v>
      </c>
      <c r="C2739" t="s">
        <v>9743</v>
      </c>
      <c r="D2739" t="s">
        <v>1091</v>
      </c>
      <c r="E2739" t="s">
        <v>1092</v>
      </c>
      <c r="F2739" t="s">
        <v>1093</v>
      </c>
      <c r="G2739" s="1">
        <v>46023</v>
      </c>
      <c r="H2739" s="1">
        <v>46031</v>
      </c>
      <c r="I2739" t="s">
        <v>551</v>
      </c>
      <c r="J2739" t="s">
        <v>1094</v>
      </c>
      <c r="K2739" t="s">
        <v>24</v>
      </c>
      <c r="L2739" t="s">
        <v>216</v>
      </c>
      <c r="M2739" t="s">
        <v>2299</v>
      </c>
      <c r="N2739" t="s">
        <v>265</v>
      </c>
      <c r="O2739" t="s">
        <v>2299</v>
      </c>
      <c r="P2739" t="s">
        <v>265</v>
      </c>
      <c r="Q2739" t="s">
        <v>9713</v>
      </c>
      <c r="R2739" t="s">
        <v>221</v>
      </c>
      <c r="S2739" t="s">
        <v>1471</v>
      </c>
      <c r="T2739" t="s">
        <v>550</v>
      </c>
      <c r="U2739" t="s">
        <v>550</v>
      </c>
      <c r="V2739" t="s">
        <v>9744</v>
      </c>
      <c r="W2739" t="s">
        <v>613</v>
      </c>
      <c r="X2739" t="s">
        <v>281</v>
      </c>
      <c r="Y2739" t="s">
        <v>655</v>
      </c>
      <c r="Z2739" t="s">
        <v>9742</v>
      </c>
    </row>
    <row r="2740" spans="1:26" x14ac:dyDescent="0.3">
      <c r="A2740" t="s">
        <v>525</v>
      </c>
      <c r="B2740" t="s">
        <v>9745</v>
      </c>
      <c r="C2740" t="s">
        <v>9746</v>
      </c>
      <c r="D2740" t="s">
        <v>2372</v>
      </c>
      <c r="E2740" t="s">
        <v>4742</v>
      </c>
      <c r="F2740" t="s">
        <v>4743</v>
      </c>
      <c r="G2740" s="1">
        <v>46113</v>
      </c>
      <c r="H2740" s="1">
        <v>46120</v>
      </c>
      <c r="I2740" t="s">
        <v>551</v>
      </c>
      <c r="J2740" t="s">
        <v>4747</v>
      </c>
      <c r="K2740" t="s">
        <v>24</v>
      </c>
      <c r="L2740" t="s">
        <v>216</v>
      </c>
      <c r="M2740" t="s">
        <v>2299</v>
      </c>
      <c r="N2740" t="s">
        <v>265</v>
      </c>
      <c r="O2740" t="s">
        <v>2299</v>
      </c>
      <c r="P2740" t="s">
        <v>265</v>
      </c>
      <c r="Q2740" t="s">
        <v>9713</v>
      </c>
      <c r="R2740" t="s">
        <v>221</v>
      </c>
      <c r="S2740" t="s">
        <v>783</v>
      </c>
      <c r="T2740" t="s">
        <v>550</v>
      </c>
      <c r="U2740" t="s">
        <v>550</v>
      </c>
      <c r="V2740" t="s">
        <v>9747</v>
      </c>
      <c r="W2740" t="s">
        <v>613</v>
      </c>
      <c r="X2740" t="s">
        <v>281</v>
      </c>
      <c r="Z2740" t="s">
        <v>9745</v>
      </c>
    </row>
    <row r="2741" spans="1:26" x14ac:dyDescent="0.3">
      <c r="A2741" t="s">
        <v>525</v>
      </c>
      <c r="B2741" t="s">
        <v>9748</v>
      </c>
      <c r="C2741" t="s">
        <v>9749</v>
      </c>
      <c r="D2741" t="s">
        <v>1398</v>
      </c>
      <c r="E2741" t="s">
        <v>664</v>
      </c>
      <c r="F2741" t="s">
        <v>27</v>
      </c>
      <c r="G2741" s="1">
        <v>46023</v>
      </c>
      <c r="H2741" s="1">
        <v>46030</v>
      </c>
      <c r="I2741" t="s">
        <v>551</v>
      </c>
      <c r="J2741" t="s">
        <v>666</v>
      </c>
      <c r="K2741" t="s">
        <v>24</v>
      </c>
      <c r="L2741" t="s">
        <v>216</v>
      </c>
      <c r="M2741" t="s">
        <v>2299</v>
      </c>
      <c r="N2741" t="s">
        <v>265</v>
      </c>
      <c r="O2741" t="s">
        <v>2299</v>
      </c>
      <c r="P2741" t="s">
        <v>265</v>
      </c>
      <c r="Q2741" t="s">
        <v>9713</v>
      </c>
      <c r="R2741" t="s">
        <v>221</v>
      </c>
      <c r="S2741" t="s">
        <v>1471</v>
      </c>
      <c r="T2741" t="s">
        <v>550</v>
      </c>
      <c r="U2741" t="s">
        <v>550</v>
      </c>
      <c r="V2741" t="s">
        <v>9750</v>
      </c>
      <c r="W2741" t="s">
        <v>613</v>
      </c>
      <c r="X2741" t="s">
        <v>281</v>
      </c>
      <c r="Y2741" t="s">
        <v>305</v>
      </c>
      <c r="Z2741" t="s">
        <v>9748</v>
      </c>
    </row>
    <row r="2742" spans="1:26" x14ac:dyDescent="0.3">
      <c r="A2742" t="s">
        <v>525</v>
      </c>
      <c r="B2742" t="s">
        <v>9751</v>
      </c>
      <c r="C2742" t="s">
        <v>9752</v>
      </c>
      <c r="D2742" t="s">
        <v>2335</v>
      </c>
      <c r="E2742" t="s">
        <v>2337</v>
      </c>
      <c r="F2742" t="s">
        <v>2338</v>
      </c>
      <c r="G2742" s="1">
        <v>46023</v>
      </c>
      <c r="H2742" s="1">
        <v>46026</v>
      </c>
      <c r="I2742" t="s">
        <v>551</v>
      </c>
      <c r="J2742" t="s">
        <v>2339</v>
      </c>
      <c r="K2742" t="s">
        <v>24</v>
      </c>
      <c r="L2742" t="s">
        <v>216</v>
      </c>
      <c r="M2742" t="s">
        <v>2299</v>
      </c>
      <c r="N2742" t="s">
        <v>265</v>
      </c>
      <c r="O2742" t="s">
        <v>2299</v>
      </c>
      <c r="P2742" t="s">
        <v>265</v>
      </c>
      <c r="Q2742" t="s">
        <v>9713</v>
      </c>
      <c r="R2742" t="s">
        <v>221</v>
      </c>
      <c r="S2742" t="s">
        <v>783</v>
      </c>
      <c r="T2742" t="s">
        <v>550</v>
      </c>
      <c r="U2742" t="s">
        <v>550</v>
      </c>
      <c r="V2742" t="s">
        <v>9753</v>
      </c>
      <c r="W2742" t="s">
        <v>613</v>
      </c>
      <c r="X2742" t="s">
        <v>281</v>
      </c>
      <c r="Z2742" t="s">
        <v>9751</v>
      </c>
    </row>
    <row r="2743" spans="1:26" x14ac:dyDescent="0.3">
      <c r="A2743" t="s">
        <v>525</v>
      </c>
      <c r="B2743" t="s">
        <v>9754</v>
      </c>
      <c r="C2743" t="s">
        <v>9755</v>
      </c>
      <c r="D2743" t="s">
        <v>2235</v>
      </c>
      <c r="E2743" t="s">
        <v>664</v>
      </c>
      <c r="F2743" t="s">
        <v>27</v>
      </c>
      <c r="G2743" s="1">
        <v>46023</v>
      </c>
      <c r="H2743" s="1">
        <v>46072</v>
      </c>
      <c r="I2743" t="s">
        <v>551</v>
      </c>
      <c r="J2743" t="s">
        <v>666</v>
      </c>
      <c r="K2743" t="s">
        <v>24</v>
      </c>
      <c r="L2743" t="s">
        <v>217</v>
      </c>
      <c r="M2743" t="s">
        <v>2226</v>
      </c>
      <c r="N2743" t="s">
        <v>294</v>
      </c>
      <c r="O2743" t="s">
        <v>2227</v>
      </c>
      <c r="P2743" t="s">
        <v>270</v>
      </c>
      <c r="Q2743" t="s">
        <v>9713</v>
      </c>
      <c r="R2743" t="s">
        <v>221</v>
      </c>
      <c r="S2743" t="s">
        <v>783</v>
      </c>
      <c r="T2743" t="s">
        <v>550</v>
      </c>
      <c r="U2743" t="s">
        <v>550</v>
      </c>
      <c r="V2743" t="s">
        <v>9756</v>
      </c>
      <c r="W2743" t="s">
        <v>613</v>
      </c>
      <c r="X2743" t="s">
        <v>276</v>
      </c>
      <c r="Z2743" t="s">
        <v>9754</v>
      </c>
    </row>
    <row r="2744" spans="1:26" x14ac:dyDescent="0.3">
      <c r="A2744" t="s">
        <v>525</v>
      </c>
      <c r="B2744" t="s">
        <v>9757</v>
      </c>
      <c r="C2744" t="s">
        <v>9758</v>
      </c>
      <c r="D2744" t="s">
        <v>1109</v>
      </c>
      <c r="E2744" t="s">
        <v>664</v>
      </c>
      <c r="F2744" t="s">
        <v>27</v>
      </c>
      <c r="G2744" s="1">
        <v>46023</v>
      </c>
      <c r="H2744" s="1">
        <v>46140</v>
      </c>
      <c r="I2744" t="s">
        <v>551</v>
      </c>
      <c r="J2744" t="s">
        <v>666</v>
      </c>
      <c r="K2744" t="s">
        <v>24</v>
      </c>
      <c r="L2744" t="s">
        <v>216</v>
      </c>
      <c r="M2744" t="s">
        <v>2299</v>
      </c>
      <c r="N2744" t="s">
        <v>265</v>
      </c>
      <c r="O2744" t="s">
        <v>1031</v>
      </c>
      <c r="P2744" t="s">
        <v>239</v>
      </c>
      <c r="Q2744" t="s">
        <v>9713</v>
      </c>
      <c r="R2744" t="s">
        <v>221</v>
      </c>
      <c r="S2744" t="s">
        <v>1471</v>
      </c>
      <c r="T2744" t="s">
        <v>550</v>
      </c>
      <c r="U2744" t="s">
        <v>550</v>
      </c>
      <c r="V2744" t="s">
        <v>9759</v>
      </c>
      <c r="W2744" t="s">
        <v>613</v>
      </c>
      <c r="X2744" t="s">
        <v>281</v>
      </c>
      <c r="Y2744" t="s">
        <v>312</v>
      </c>
      <c r="Z2744" t="s">
        <v>9757</v>
      </c>
    </row>
    <row r="2745" spans="1:26" x14ac:dyDescent="0.3">
      <c r="A2745" t="s">
        <v>525</v>
      </c>
      <c r="B2745" t="s">
        <v>9760</v>
      </c>
      <c r="C2745" t="s">
        <v>9761</v>
      </c>
      <c r="D2745" t="s">
        <v>550</v>
      </c>
      <c r="E2745" t="s">
        <v>664</v>
      </c>
      <c r="F2745" t="s">
        <v>27</v>
      </c>
      <c r="G2745" s="1">
        <v>46023</v>
      </c>
      <c r="H2745" s="1">
        <v>46023</v>
      </c>
      <c r="I2745" t="s">
        <v>780</v>
      </c>
      <c r="J2745" t="s">
        <v>666</v>
      </c>
      <c r="K2745" t="s">
        <v>24</v>
      </c>
      <c r="L2745" t="s">
        <v>217</v>
      </c>
      <c r="M2745" t="s">
        <v>4420</v>
      </c>
      <c r="N2745" t="s">
        <v>299</v>
      </c>
      <c r="O2745" t="s">
        <v>1031</v>
      </c>
      <c r="P2745" t="s">
        <v>239</v>
      </c>
      <c r="Q2745" t="s">
        <v>9713</v>
      </c>
      <c r="R2745" t="s">
        <v>221</v>
      </c>
      <c r="S2745" t="s">
        <v>550</v>
      </c>
      <c r="T2745" t="s">
        <v>550</v>
      </c>
      <c r="U2745" t="s">
        <v>550</v>
      </c>
      <c r="V2745" t="s">
        <v>9762</v>
      </c>
      <c r="W2745" t="s">
        <v>1809</v>
      </c>
      <c r="X2745" t="s">
        <v>272</v>
      </c>
      <c r="Y2745" t="s">
        <v>273</v>
      </c>
      <c r="Z2745" t="s">
        <v>9760</v>
      </c>
    </row>
    <row r="2746" spans="1:26" x14ac:dyDescent="0.3">
      <c r="A2746" t="s">
        <v>525</v>
      </c>
      <c r="B2746" t="s">
        <v>9763</v>
      </c>
      <c r="C2746" t="s">
        <v>9764</v>
      </c>
      <c r="D2746" t="s">
        <v>9760</v>
      </c>
      <c r="E2746" t="s">
        <v>664</v>
      </c>
      <c r="F2746" t="s">
        <v>27</v>
      </c>
      <c r="G2746" s="1">
        <v>46023</v>
      </c>
      <c r="H2746" s="1">
        <v>46030</v>
      </c>
      <c r="I2746" t="s">
        <v>551</v>
      </c>
      <c r="J2746" t="s">
        <v>666</v>
      </c>
      <c r="K2746" t="s">
        <v>24</v>
      </c>
      <c r="L2746" t="s">
        <v>217</v>
      </c>
      <c r="M2746" t="s">
        <v>4420</v>
      </c>
      <c r="N2746" t="s">
        <v>299</v>
      </c>
      <c r="O2746" t="s">
        <v>1031</v>
      </c>
      <c r="P2746" t="s">
        <v>239</v>
      </c>
      <c r="Q2746" t="s">
        <v>9713</v>
      </c>
      <c r="R2746" t="s">
        <v>221</v>
      </c>
      <c r="S2746" t="s">
        <v>783</v>
      </c>
      <c r="T2746" t="s">
        <v>550</v>
      </c>
      <c r="U2746" t="s">
        <v>550</v>
      </c>
      <c r="V2746" t="s">
        <v>9762</v>
      </c>
      <c r="W2746" t="s">
        <v>1809</v>
      </c>
      <c r="X2746" t="s">
        <v>272</v>
      </c>
      <c r="Y2746" t="s">
        <v>273</v>
      </c>
      <c r="Z2746" t="s">
        <v>9760</v>
      </c>
    </row>
    <row r="2747" spans="1:26" x14ac:dyDescent="0.3">
      <c r="A2747" t="s">
        <v>525</v>
      </c>
      <c r="B2747" t="s">
        <v>9765</v>
      </c>
      <c r="C2747" t="s">
        <v>9766</v>
      </c>
      <c r="D2747" t="s">
        <v>4484</v>
      </c>
      <c r="E2747" t="s">
        <v>778</v>
      </c>
      <c r="F2747" t="s">
        <v>779</v>
      </c>
      <c r="G2747" s="1">
        <v>46023</v>
      </c>
      <c r="H2747" s="1">
        <v>46038</v>
      </c>
      <c r="I2747" t="s">
        <v>551</v>
      </c>
      <c r="J2747" t="s">
        <v>781</v>
      </c>
      <c r="K2747" t="s">
        <v>24</v>
      </c>
      <c r="L2747" t="s">
        <v>216</v>
      </c>
      <c r="M2747" t="s">
        <v>782</v>
      </c>
      <c r="N2747" t="s">
        <v>287</v>
      </c>
      <c r="O2747" t="s">
        <v>4080</v>
      </c>
      <c r="P2747" t="s">
        <v>4081</v>
      </c>
      <c r="Q2747" t="s">
        <v>9713</v>
      </c>
      <c r="R2747" t="s">
        <v>221</v>
      </c>
      <c r="S2747" t="s">
        <v>783</v>
      </c>
      <c r="T2747" t="s">
        <v>550</v>
      </c>
      <c r="U2747" t="s">
        <v>550</v>
      </c>
      <c r="V2747" t="s">
        <v>9767</v>
      </c>
      <c r="W2747" t="s">
        <v>613</v>
      </c>
      <c r="X2747" t="s">
        <v>276</v>
      </c>
      <c r="Y2747" t="s">
        <v>286</v>
      </c>
      <c r="Z2747" t="s">
        <v>9765</v>
      </c>
    </row>
    <row r="2748" spans="1:26" x14ac:dyDescent="0.3">
      <c r="A2748" t="s">
        <v>525</v>
      </c>
      <c r="B2748" t="s">
        <v>9768</v>
      </c>
      <c r="C2748" t="s">
        <v>9769</v>
      </c>
      <c r="D2748" t="s">
        <v>4484</v>
      </c>
      <c r="E2748" t="s">
        <v>778</v>
      </c>
      <c r="F2748" t="s">
        <v>779</v>
      </c>
      <c r="G2748" s="1">
        <v>46111</v>
      </c>
      <c r="H2748" s="1">
        <v>46154</v>
      </c>
      <c r="I2748" t="s">
        <v>551</v>
      </c>
      <c r="J2748" t="s">
        <v>781</v>
      </c>
      <c r="K2748" t="s">
        <v>24</v>
      </c>
      <c r="L2748" t="s">
        <v>216</v>
      </c>
      <c r="M2748" t="s">
        <v>782</v>
      </c>
      <c r="N2748" t="s">
        <v>287</v>
      </c>
      <c r="O2748" t="s">
        <v>4080</v>
      </c>
      <c r="P2748" t="s">
        <v>4081</v>
      </c>
      <c r="Q2748" t="s">
        <v>9713</v>
      </c>
      <c r="R2748" t="s">
        <v>221</v>
      </c>
      <c r="S2748" t="s">
        <v>783</v>
      </c>
      <c r="T2748" t="s">
        <v>550</v>
      </c>
      <c r="U2748" t="s">
        <v>550</v>
      </c>
      <c r="V2748" t="s">
        <v>9770</v>
      </c>
      <c r="W2748" t="s">
        <v>613</v>
      </c>
      <c r="X2748" t="s">
        <v>276</v>
      </c>
      <c r="Y2748" t="s">
        <v>286</v>
      </c>
      <c r="Z2748" t="s">
        <v>9768</v>
      </c>
    </row>
    <row r="2749" spans="1:26" x14ac:dyDescent="0.3">
      <c r="A2749" t="s">
        <v>525</v>
      </c>
      <c r="B2749" t="s">
        <v>9771</v>
      </c>
      <c r="C2749" t="s">
        <v>9772</v>
      </c>
      <c r="D2749" t="s">
        <v>2232</v>
      </c>
      <c r="E2749" t="s">
        <v>664</v>
      </c>
      <c r="F2749" t="s">
        <v>27</v>
      </c>
      <c r="G2749" s="1">
        <v>46023</v>
      </c>
      <c r="H2749" s="1">
        <v>46072</v>
      </c>
      <c r="I2749" t="s">
        <v>551</v>
      </c>
      <c r="J2749" t="s">
        <v>666</v>
      </c>
      <c r="K2749" t="s">
        <v>24</v>
      </c>
      <c r="L2749" t="s">
        <v>217</v>
      </c>
      <c r="M2749" t="s">
        <v>782</v>
      </c>
      <c r="N2749" t="s">
        <v>287</v>
      </c>
      <c r="O2749" t="s">
        <v>4080</v>
      </c>
      <c r="P2749" t="s">
        <v>4081</v>
      </c>
      <c r="Q2749" t="s">
        <v>9713</v>
      </c>
      <c r="R2749" t="s">
        <v>221</v>
      </c>
      <c r="S2749" t="s">
        <v>783</v>
      </c>
      <c r="T2749" t="s">
        <v>550</v>
      </c>
      <c r="U2749" t="s">
        <v>550</v>
      </c>
      <c r="V2749" t="s">
        <v>9773</v>
      </c>
      <c r="W2749" t="s">
        <v>613</v>
      </c>
      <c r="X2749" t="s">
        <v>276</v>
      </c>
      <c r="Y2749" t="s">
        <v>282</v>
      </c>
      <c r="Z2749" t="s">
        <v>9771</v>
      </c>
    </row>
    <row r="2750" spans="1:26" x14ac:dyDescent="0.3">
      <c r="A2750" t="s">
        <v>525</v>
      </c>
      <c r="B2750" t="s">
        <v>9774</v>
      </c>
      <c r="C2750" t="s">
        <v>9775</v>
      </c>
      <c r="D2750" t="s">
        <v>2229</v>
      </c>
      <c r="E2750" t="s">
        <v>1039</v>
      </c>
      <c r="F2750" t="s">
        <v>1040</v>
      </c>
      <c r="G2750" s="1">
        <v>46023</v>
      </c>
      <c r="H2750" s="1">
        <v>46041</v>
      </c>
      <c r="I2750" t="s">
        <v>551</v>
      </c>
      <c r="J2750" t="s">
        <v>1041</v>
      </c>
      <c r="K2750" t="s">
        <v>24</v>
      </c>
      <c r="L2750" t="s">
        <v>216</v>
      </c>
      <c r="M2750" t="s">
        <v>2226</v>
      </c>
      <c r="N2750" t="s">
        <v>294</v>
      </c>
      <c r="O2750" t="s">
        <v>4080</v>
      </c>
      <c r="P2750" t="s">
        <v>4081</v>
      </c>
      <c r="Q2750" t="s">
        <v>9713</v>
      </c>
      <c r="R2750" t="s">
        <v>221</v>
      </c>
      <c r="S2750" t="s">
        <v>1471</v>
      </c>
      <c r="T2750" t="s">
        <v>550</v>
      </c>
      <c r="U2750" t="s">
        <v>550</v>
      </c>
      <c r="V2750" t="s">
        <v>9776</v>
      </c>
      <c r="W2750" t="s">
        <v>613</v>
      </c>
      <c r="X2750" t="s">
        <v>276</v>
      </c>
      <c r="Y2750" t="s">
        <v>282</v>
      </c>
      <c r="Z2750" t="s">
        <v>9774</v>
      </c>
    </row>
    <row r="2751" spans="1:26" x14ac:dyDescent="0.3">
      <c r="A2751" t="s">
        <v>525</v>
      </c>
      <c r="B2751" t="s">
        <v>9777</v>
      </c>
      <c r="C2751" t="s">
        <v>9778</v>
      </c>
      <c r="D2751" t="s">
        <v>2238</v>
      </c>
      <c r="E2751" t="s">
        <v>1039</v>
      </c>
      <c r="F2751" t="s">
        <v>1040</v>
      </c>
      <c r="G2751" s="1">
        <v>46023</v>
      </c>
      <c r="H2751" s="1">
        <v>46250</v>
      </c>
      <c r="I2751" t="s">
        <v>551</v>
      </c>
      <c r="J2751" t="s">
        <v>1041</v>
      </c>
      <c r="K2751" t="s">
        <v>24</v>
      </c>
      <c r="L2751" t="s">
        <v>216</v>
      </c>
      <c r="M2751" t="s">
        <v>2226</v>
      </c>
      <c r="N2751" t="s">
        <v>294</v>
      </c>
      <c r="O2751" t="s">
        <v>4080</v>
      </c>
      <c r="P2751" t="s">
        <v>4081</v>
      </c>
      <c r="Q2751" t="s">
        <v>9713</v>
      </c>
      <c r="R2751" t="s">
        <v>221</v>
      </c>
      <c r="S2751" t="s">
        <v>1471</v>
      </c>
      <c r="T2751" t="s">
        <v>550</v>
      </c>
      <c r="U2751" t="s">
        <v>550</v>
      </c>
      <c r="V2751" t="s">
        <v>9779</v>
      </c>
      <c r="W2751" t="s">
        <v>613</v>
      </c>
      <c r="X2751" t="s">
        <v>276</v>
      </c>
      <c r="Y2751" t="s">
        <v>282</v>
      </c>
      <c r="Z2751" t="s">
        <v>9777</v>
      </c>
    </row>
    <row r="2752" spans="1:26" x14ac:dyDescent="0.3">
      <c r="A2752" t="s">
        <v>525</v>
      </c>
      <c r="B2752" t="s">
        <v>9780</v>
      </c>
      <c r="C2752" t="s">
        <v>9781</v>
      </c>
      <c r="D2752" t="s">
        <v>1050</v>
      </c>
      <c r="E2752" t="s">
        <v>664</v>
      </c>
      <c r="F2752" t="s">
        <v>27</v>
      </c>
      <c r="G2752" s="1">
        <v>46023</v>
      </c>
      <c r="H2752" s="1">
        <v>46077</v>
      </c>
      <c r="I2752" t="s">
        <v>551</v>
      </c>
      <c r="J2752" t="s">
        <v>666</v>
      </c>
      <c r="K2752" t="s">
        <v>24</v>
      </c>
      <c r="L2752" t="s">
        <v>216</v>
      </c>
      <c r="M2752" t="s">
        <v>2226</v>
      </c>
      <c r="N2752" t="s">
        <v>294</v>
      </c>
      <c r="O2752" t="s">
        <v>4080</v>
      </c>
      <c r="P2752" t="s">
        <v>4081</v>
      </c>
      <c r="Q2752" t="s">
        <v>9713</v>
      </c>
      <c r="R2752" t="s">
        <v>221</v>
      </c>
      <c r="S2752" t="s">
        <v>1471</v>
      </c>
      <c r="T2752" t="s">
        <v>550</v>
      </c>
      <c r="U2752" t="s">
        <v>550</v>
      </c>
      <c r="V2752" t="s">
        <v>9782</v>
      </c>
      <c r="W2752" t="s">
        <v>613</v>
      </c>
      <c r="X2752" t="s">
        <v>276</v>
      </c>
      <c r="Z2752" t="s">
        <v>9780</v>
      </c>
    </row>
    <row r="2753" spans="1:26" x14ac:dyDescent="0.3">
      <c r="A2753" t="s">
        <v>525</v>
      </c>
      <c r="B2753" t="s">
        <v>9783</v>
      </c>
      <c r="C2753" t="s">
        <v>9784</v>
      </c>
      <c r="D2753" t="s">
        <v>2225</v>
      </c>
      <c r="E2753" t="s">
        <v>1039</v>
      </c>
      <c r="F2753" t="s">
        <v>1040</v>
      </c>
      <c r="G2753" s="1">
        <v>46023</v>
      </c>
      <c r="H2753" s="1">
        <v>46913</v>
      </c>
      <c r="I2753" t="s">
        <v>551</v>
      </c>
      <c r="J2753" t="s">
        <v>1041</v>
      </c>
      <c r="K2753" t="s">
        <v>24</v>
      </c>
      <c r="L2753" t="s">
        <v>216</v>
      </c>
      <c r="M2753" t="s">
        <v>2226</v>
      </c>
      <c r="N2753" t="s">
        <v>294</v>
      </c>
      <c r="O2753" t="s">
        <v>4080</v>
      </c>
      <c r="P2753" t="s">
        <v>4081</v>
      </c>
      <c r="Q2753" t="s">
        <v>9713</v>
      </c>
      <c r="R2753" t="s">
        <v>221</v>
      </c>
      <c r="S2753" t="s">
        <v>783</v>
      </c>
      <c r="T2753" t="s">
        <v>550</v>
      </c>
      <c r="U2753" t="s">
        <v>550</v>
      </c>
      <c r="V2753" t="s">
        <v>9785</v>
      </c>
      <c r="W2753" t="s">
        <v>613</v>
      </c>
      <c r="X2753" t="s">
        <v>276</v>
      </c>
      <c r="Y2753" t="s">
        <v>282</v>
      </c>
      <c r="Z2753" t="s">
        <v>9783</v>
      </c>
    </row>
    <row r="2754" spans="1:26" x14ac:dyDescent="0.3">
      <c r="A2754" t="s">
        <v>525</v>
      </c>
      <c r="B2754" t="s">
        <v>9786</v>
      </c>
      <c r="C2754" t="s">
        <v>9787</v>
      </c>
      <c r="D2754" t="s">
        <v>2240</v>
      </c>
      <c r="E2754" t="s">
        <v>1039</v>
      </c>
      <c r="F2754" t="s">
        <v>1040</v>
      </c>
      <c r="G2754" s="1">
        <v>46023</v>
      </c>
      <c r="H2754" s="1">
        <v>46289</v>
      </c>
      <c r="I2754" t="s">
        <v>551</v>
      </c>
      <c r="J2754" t="s">
        <v>1041</v>
      </c>
      <c r="K2754" t="s">
        <v>24</v>
      </c>
      <c r="L2754" t="s">
        <v>216</v>
      </c>
      <c r="M2754" t="s">
        <v>2226</v>
      </c>
      <c r="N2754" t="s">
        <v>294</v>
      </c>
      <c r="O2754" t="s">
        <v>4080</v>
      </c>
      <c r="P2754" t="s">
        <v>4081</v>
      </c>
      <c r="Q2754" t="s">
        <v>9713</v>
      </c>
      <c r="R2754" t="s">
        <v>221</v>
      </c>
      <c r="S2754" t="s">
        <v>1471</v>
      </c>
      <c r="T2754" t="s">
        <v>550</v>
      </c>
      <c r="U2754" t="s">
        <v>550</v>
      </c>
      <c r="V2754" t="s">
        <v>9788</v>
      </c>
      <c r="W2754" t="s">
        <v>613</v>
      </c>
      <c r="X2754" t="s">
        <v>276</v>
      </c>
      <c r="Y2754" t="s">
        <v>282</v>
      </c>
      <c r="Z2754" t="s">
        <v>9786</v>
      </c>
    </row>
    <row r="2755" spans="1:26" x14ac:dyDescent="0.3">
      <c r="A2755" t="s">
        <v>525</v>
      </c>
      <c r="B2755" t="s">
        <v>9789</v>
      </c>
      <c r="C2755" t="s">
        <v>9790</v>
      </c>
      <c r="D2755" t="s">
        <v>2248</v>
      </c>
      <c r="E2755" t="s">
        <v>1039</v>
      </c>
      <c r="F2755" t="s">
        <v>1040</v>
      </c>
      <c r="G2755" s="1">
        <v>46023</v>
      </c>
      <c r="H2755" s="1">
        <v>46079</v>
      </c>
      <c r="I2755" t="s">
        <v>551</v>
      </c>
      <c r="J2755" t="s">
        <v>1041</v>
      </c>
      <c r="K2755" t="s">
        <v>24</v>
      </c>
      <c r="L2755" t="s">
        <v>216</v>
      </c>
      <c r="M2755" t="s">
        <v>2226</v>
      </c>
      <c r="N2755" t="s">
        <v>294</v>
      </c>
      <c r="O2755" t="s">
        <v>4080</v>
      </c>
      <c r="P2755" t="s">
        <v>4081</v>
      </c>
      <c r="Q2755" t="s">
        <v>9713</v>
      </c>
      <c r="R2755" t="s">
        <v>221</v>
      </c>
      <c r="S2755" t="s">
        <v>783</v>
      </c>
      <c r="T2755" t="s">
        <v>550</v>
      </c>
      <c r="U2755" t="s">
        <v>550</v>
      </c>
      <c r="V2755" t="s">
        <v>9791</v>
      </c>
      <c r="W2755" t="s">
        <v>613</v>
      </c>
      <c r="X2755" t="s">
        <v>276</v>
      </c>
      <c r="Y2755" t="s">
        <v>282</v>
      </c>
      <c r="Z2755" t="s">
        <v>9789</v>
      </c>
    </row>
    <row r="2756" spans="1:26" x14ac:dyDescent="0.3">
      <c r="A2756" t="s">
        <v>525</v>
      </c>
      <c r="B2756" t="s">
        <v>9792</v>
      </c>
      <c r="C2756" t="s">
        <v>9793</v>
      </c>
      <c r="D2756" t="s">
        <v>4465</v>
      </c>
      <c r="E2756" t="s">
        <v>664</v>
      </c>
      <c r="F2756" t="s">
        <v>27</v>
      </c>
      <c r="G2756" s="1">
        <v>46023</v>
      </c>
      <c r="H2756" s="1">
        <v>46023</v>
      </c>
      <c r="I2756" t="s">
        <v>551</v>
      </c>
      <c r="J2756" t="s">
        <v>666</v>
      </c>
      <c r="K2756" t="s">
        <v>24</v>
      </c>
      <c r="L2756" t="s">
        <v>216</v>
      </c>
      <c r="M2756" t="s">
        <v>2226</v>
      </c>
      <c r="N2756" t="s">
        <v>294</v>
      </c>
      <c r="O2756" t="s">
        <v>4080</v>
      </c>
      <c r="P2756" t="s">
        <v>4081</v>
      </c>
      <c r="Q2756" t="s">
        <v>9713</v>
      </c>
      <c r="R2756" t="s">
        <v>221</v>
      </c>
      <c r="S2756" t="s">
        <v>1471</v>
      </c>
      <c r="T2756" t="s">
        <v>550</v>
      </c>
      <c r="U2756" t="s">
        <v>550</v>
      </c>
      <c r="V2756" t="s">
        <v>9794</v>
      </c>
      <c r="W2756" t="s">
        <v>613</v>
      </c>
      <c r="X2756" t="s">
        <v>276</v>
      </c>
      <c r="Z2756" t="s">
        <v>9792</v>
      </c>
    </row>
    <row r="2757" spans="1:26" x14ac:dyDescent="0.3">
      <c r="A2757" t="s">
        <v>525</v>
      </c>
      <c r="B2757" t="s">
        <v>9795</v>
      </c>
      <c r="C2757" t="s">
        <v>9796</v>
      </c>
      <c r="D2757" t="s">
        <v>3983</v>
      </c>
      <c r="E2757" t="s">
        <v>1117</v>
      </c>
      <c r="F2757" t="s">
        <v>1118</v>
      </c>
      <c r="G2757" s="1">
        <v>46023</v>
      </c>
      <c r="H2757" s="1">
        <v>46054</v>
      </c>
      <c r="I2757" t="s">
        <v>551</v>
      </c>
      <c r="J2757" t="s">
        <v>1119</v>
      </c>
      <c r="K2757" t="s">
        <v>24</v>
      </c>
      <c r="L2757" t="s">
        <v>216</v>
      </c>
      <c r="M2757" t="s">
        <v>9797</v>
      </c>
      <c r="N2757" t="s">
        <v>316</v>
      </c>
      <c r="O2757" t="s">
        <v>4080</v>
      </c>
      <c r="P2757" t="s">
        <v>4081</v>
      </c>
      <c r="Q2757" t="s">
        <v>9713</v>
      </c>
      <c r="R2757" t="s">
        <v>221</v>
      </c>
      <c r="S2757" t="s">
        <v>783</v>
      </c>
      <c r="T2757" t="s">
        <v>550</v>
      </c>
      <c r="U2757" t="s">
        <v>550</v>
      </c>
      <c r="V2757" t="s">
        <v>9798</v>
      </c>
      <c r="W2757" t="s">
        <v>613</v>
      </c>
      <c r="X2757" t="s">
        <v>276</v>
      </c>
      <c r="Y2757" t="s">
        <v>277</v>
      </c>
      <c r="Z2757" t="s">
        <v>9795</v>
      </c>
    </row>
    <row r="2758" spans="1:26" x14ac:dyDescent="0.3">
      <c r="A2758" t="s">
        <v>525</v>
      </c>
      <c r="B2758" t="s">
        <v>9799</v>
      </c>
      <c r="C2758" t="s">
        <v>9800</v>
      </c>
      <c r="D2758" t="s">
        <v>3977</v>
      </c>
      <c r="E2758" t="s">
        <v>1117</v>
      </c>
      <c r="F2758" t="s">
        <v>1118</v>
      </c>
      <c r="G2758" s="1">
        <v>46023</v>
      </c>
      <c r="H2758" s="1">
        <v>46100</v>
      </c>
      <c r="I2758" t="s">
        <v>551</v>
      </c>
      <c r="J2758" t="s">
        <v>1119</v>
      </c>
      <c r="K2758" t="s">
        <v>24</v>
      </c>
      <c r="L2758" t="s">
        <v>216</v>
      </c>
      <c r="M2758" t="s">
        <v>9797</v>
      </c>
      <c r="N2758" t="s">
        <v>316</v>
      </c>
      <c r="O2758" t="s">
        <v>4080</v>
      </c>
      <c r="P2758" t="s">
        <v>4081</v>
      </c>
      <c r="Q2758" t="s">
        <v>9713</v>
      </c>
      <c r="R2758" t="s">
        <v>221</v>
      </c>
      <c r="S2758" t="s">
        <v>783</v>
      </c>
      <c r="T2758" t="s">
        <v>550</v>
      </c>
      <c r="U2758" t="s">
        <v>550</v>
      </c>
      <c r="V2758" t="s">
        <v>9801</v>
      </c>
      <c r="W2758" t="s">
        <v>613</v>
      </c>
      <c r="X2758" t="s">
        <v>276</v>
      </c>
      <c r="Y2758" t="s">
        <v>277</v>
      </c>
      <c r="Z2758" t="s">
        <v>9799</v>
      </c>
    </row>
    <row r="2759" spans="1:26" x14ac:dyDescent="0.3">
      <c r="A2759" t="s">
        <v>525</v>
      </c>
      <c r="B2759" t="s">
        <v>9802</v>
      </c>
      <c r="C2759" t="s">
        <v>9803</v>
      </c>
      <c r="D2759" t="s">
        <v>3971</v>
      </c>
      <c r="E2759" t="s">
        <v>1117</v>
      </c>
      <c r="F2759" t="s">
        <v>1118</v>
      </c>
      <c r="G2759" s="1">
        <v>46023</v>
      </c>
      <c r="H2759" s="1">
        <v>46128</v>
      </c>
      <c r="I2759" t="s">
        <v>551</v>
      </c>
      <c r="J2759" t="s">
        <v>1119</v>
      </c>
      <c r="K2759" t="s">
        <v>24</v>
      </c>
      <c r="L2759" t="s">
        <v>216</v>
      </c>
      <c r="M2759" t="s">
        <v>9797</v>
      </c>
      <c r="N2759" t="s">
        <v>316</v>
      </c>
      <c r="O2759" t="s">
        <v>4080</v>
      </c>
      <c r="P2759" t="s">
        <v>4081</v>
      </c>
      <c r="Q2759" t="s">
        <v>9713</v>
      </c>
      <c r="R2759" t="s">
        <v>221</v>
      </c>
      <c r="S2759" t="s">
        <v>783</v>
      </c>
      <c r="T2759" t="s">
        <v>550</v>
      </c>
      <c r="U2759" t="s">
        <v>550</v>
      </c>
      <c r="V2759" t="s">
        <v>9804</v>
      </c>
      <c r="W2759" t="s">
        <v>613</v>
      </c>
      <c r="X2759" t="s">
        <v>276</v>
      </c>
      <c r="Y2759" t="s">
        <v>277</v>
      </c>
      <c r="Z2759" t="s">
        <v>9802</v>
      </c>
    </row>
    <row r="2760" spans="1:26" x14ac:dyDescent="0.3">
      <c r="A2760" t="s">
        <v>525</v>
      </c>
      <c r="B2760" t="s">
        <v>9805</v>
      </c>
      <c r="C2760" t="s">
        <v>9806</v>
      </c>
      <c r="D2760" t="s">
        <v>2243</v>
      </c>
      <c r="E2760" t="s">
        <v>1039</v>
      </c>
      <c r="F2760" t="s">
        <v>1040</v>
      </c>
      <c r="G2760" s="1">
        <v>46023</v>
      </c>
      <c r="H2760" s="1">
        <v>46036</v>
      </c>
      <c r="I2760" t="s">
        <v>551</v>
      </c>
      <c r="J2760" t="s">
        <v>1041</v>
      </c>
      <c r="K2760" t="s">
        <v>24</v>
      </c>
      <c r="L2760" t="s">
        <v>216</v>
      </c>
      <c r="M2760" t="s">
        <v>2226</v>
      </c>
      <c r="N2760" t="s">
        <v>294</v>
      </c>
      <c r="O2760" t="s">
        <v>4080</v>
      </c>
      <c r="P2760" t="s">
        <v>4081</v>
      </c>
      <c r="Q2760" t="s">
        <v>9713</v>
      </c>
      <c r="R2760" t="s">
        <v>221</v>
      </c>
      <c r="S2760" t="s">
        <v>783</v>
      </c>
      <c r="T2760" t="s">
        <v>550</v>
      </c>
      <c r="U2760" t="s">
        <v>550</v>
      </c>
      <c r="V2760" t="s">
        <v>9807</v>
      </c>
      <c r="W2760" t="s">
        <v>613</v>
      </c>
      <c r="X2760" t="s">
        <v>276</v>
      </c>
      <c r="Y2760" t="s">
        <v>282</v>
      </c>
      <c r="Z2760" t="s">
        <v>9805</v>
      </c>
    </row>
    <row r="2761" spans="1:26" x14ac:dyDescent="0.3">
      <c r="A2761" t="s">
        <v>525</v>
      </c>
      <c r="B2761" t="s">
        <v>9808</v>
      </c>
      <c r="C2761" t="s">
        <v>9809</v>
      </c>
      <c r="D2761" t="s">
        <v>550</v>
      </c>
      <c r="E2761" t="s">
        <v>1318</v>
      </c>
      <c r="F2761" t="s">
        <v>1319</v>
      </c>
      <c r="G2761" s="1">
        <v>46023</v>
      </c>
      <c r="H2761" s="1">
        <v>46023</v>
      </c>
      <c r="I2761" t="s">
        <v>780</v>
      </c>
      <c r="J2761" t="s">
        <v>1320</v>
      </c>
      <c r="K2761" t="s">
        <v>24</v>
      </c>
      <c r="L2761" t="s">
        <v>216</v>
      </c>
      <c r="M2761" t="s">
        <v>4420</v>
      </c>
      <c r="N2761" t="s">
        <v>299</v>
      </c>
      <c r="O2761" t="s">
        <v>1293</v>
      </c>
      <c r="P2761" t="s">
        <v>256</v>
      </c>
      <c r="Q2761" t="s">
        <v>9713</v>
      </c>
      <c r="R2761" t="s">
        <v>221</v>
      </c>
      <c r="S2761" t="s">
        <v>550</v>
      </c>
      <c r="T2761" t="s">
        <v>550</v>
      </c>
      <c r="U2761" t="s">
        <v>550</v>
      </c>
      <c r="V2761" t="s">
        <v>9810</v>
      </c>
      <c r="W2761" t="s">
        <v>613</v>
      </c>
      <c r="X2761" t="s">
        <v>272</v>
      </c>
      <c r="Y2761" t="s">
        <v>273</v>
      </c>
      <c r="Z2761" t="s">
        <v>9808</v>
      </c>
    </row>
    <row r="2762" spans="1:26" x14ac:dyDescent="0.3">
      <c r="A2762" t="s">
        <v>525</v>
      </c>
      <c r="B2762" t="s">
        <v>9811</v>
      </c>
      <c r="C2762" t="s">
        <v>9812</v>
      </c>
      <c r="D2762" t="s">
        <v>9808</v>
      </c>
      <c r="E2762" t="s">
        <v>1318</v>
      </c>
      <c r="F2762" t="s">
        <v>1319</v>
      </c>
      <c r="G2762" s="1">
        <v>46023</v>
      </c>
      <c r="H2762" s="1">
        <v>46078</v>
      </c>
      <c r="I2762" t="s">
        <v>551</v>
      </c>
      <c r="J2762" t="s">
        <v>1320</v>
      </c>
      <c r="K2762" t="s">
        <v>958</v>
      </c>
      <c r="L2762" t="s">
        <v>216</v>
      </c>
      <c r="M2762" t="s">
        <v>4420</v>
      </c>
      <c r="N2762" t="s">
        <v>299</v>
      </c>
      <c r="O2762" t="s">
        <v>1293</v>
      </c>
      <c r="P2762" t="s">
        <v>256</v>
      </c>
      <c r="Q2762" t="s">
        <v>9713</v>
      </c>
      <c r="R2762" t="s">
        <v>221</v>
      </c>
      <c r="S2762" t="s">
        <v>783</v>
      </c>
      <c r="T2762" t="s">
        <v>550</v>
      </c>
      <c r="U2762" t="s">
        <v>550</v>
      </c>
      <c r="V2762" t="s">
        <v>9813</v>
      </c>
      <c r="W2762" t="s">
        <v>613</v>
      </c>
      <c r="X2762" t="s">
        <v>272</v>
      </c>
      <c r="Y2762" t="s">
        <v>273</v>
      </c>
      <c r="Z2762" t="s">
        <v>9811</v>
      </c>
    </row>
    <row r="2763" spans="1:26" x14ac:dyDescent="0.3">
      <c r="A2763" t="s">
        <v>525</v>
      </c>
      <c r="B2763" t="s">
        <v>9814</v>
      </c>
      <c r="C2763" t="s">
        <v>9815</v>
      </c>
      <c r="D2763" t="s">
        <v>3339</v>
      </c>
      <c r="E2763" t="s">
        <v>1275</v>
      </c>
      <c r="F2763" t="s">
        <v>1276</v>
      </c>
      <c r="G2763" s="1">
        <v>46023</v>
      </c>
      <c r="H2763" s="1">
        <v>46075</v>
      </c>
      <c r="I2763" t="s">
        <v>551</v>
      </c>
      <c r="J2763" t="s">
        <v>1277</v>
      </c>
      <c r="K2763" t="s">
        <v>24</v>
      </c>
      <c r="L2763" t="s">
        <v>216</v>
      </c>
      <c r="M2763" t="s">
        <v>1293</v>
      </c>
      <c r="N2763" t="s">
        <v>256</v>
      </c>
      <c r="O2763" t="s">
        <v>1293</v>
      </c>
      <c r="P2763" t="s">
        <v>256</v>
      </c>
      <c r="Q2763" t="s">
        <v>9713</v>
      </c>
      <c r="R2763" t="s">
        <v>221</v>
      </c>
      <c r="S2763" t="s">
        <v>783</v>
      </c>
      <c r="T2763" t="s">
        <v>550</v>
      </c>
      <c r="U2763" t="s">
        <v>550</v>
      </c>
      <c r="V2763" t="s">
        <v>9816</v>
      </c>
      <c r="W2763" t="s">
        <v>613</v>
      </c>
      <c r="X2763" t="s">
        <v>267</v>
      </c>
      <c r="Y2763" t="s">
        <v>3342</v>
      </c>
      <c r="Z2763" t="s">
        <v>9814</v>
      </c>
    </row>
    <row r="2764" spans="1:26" x14ac:dyDescent="0.3">
      <c r="A2764" t="s">
        <v>525</v>
      </c>
      <c r="B2764" t="s">
        <v>9817</v>
      </c>
      <c r="C2764" t="s">
        <v>9818</v>
      </c>
      <c r="D2764" t="s">
        <v>4096</v>
      </c>
      <c r="E2764" t="s">
        <v>664</v>
      </c>
      <c r="F2764" t="s">
        <v>27</v>
      </c>
      <c r="G2764" s="1">
        <v>46023</v>
      </c>
      <c r="H2764" s="1">
        <v>46024</v>
      </c>
      <c r="I2764" t="s">
        <v>551</v>
      </c>
      <c r="J2764" t="s">
        <v>666</v>
      </c>
      <c r="K2764" t="s">
        <v>24</v>
      </c>
      <c r="L2764" t="s">
        <v>216</v>
      </c>
      <c r="M2764" t="s">
        <v>1293</v>
      </c>
      <c r="N2764" t="s">
        <v>256</v>
      </c>
      <c r="O2764" t="s">
        <v>1293</v>
      </c>
      <c r="P2764" t="s">
        <v>256</v>
      </c>
      <c r="Q2764" t="s">
        <v>9713</v>
      </c>
      <c r="R2764" t="s">
        <v>221</v>
      </c>
      <c r="S2764" t="s">
        <v>783</v>
      </c>
      <c r="T2764" t="s">
        <v>550</v>
      </c>
      <c r="U2764" t="s">
        <v>550</v>
      </c>
      <c r="V2764" t="s">
        <v>9819</v>
      </c>
      <c r="W2764" t="s">
        <v>613</v>
      </c>
      <c r="X2764" t="s">
        <v>267</v>
      </c>
      <c r="Y2764" t="s">
        <v>3342</v>
      </c>
      <c r="Z2764" t="s">
        <v>9817</v>
      </c>
    </row>
    <row r="2765" spans="1:26" x14ac:dyDescent="0.3">
      <c r="A2765" t="s">
        <v>525</v>
      </c>
      <c r="B2765" t="s">
        <v>9820</v>
      </c>
      <c r="C2765" t="s">
        <v>9821</v>
      </c>
      <c r="D2765" t="s">
        <v>1290</v>
      </c>
      <c r="E2765" t="s">
        <v>1275</v>
      </c>
      <c r="F2765" t="s">
        <v>1276</v>
      </c>
      <c r="G2765" s="1">
        <v>46023</v>
      </c>
      <c r="H2765" s="1">
        <v>46052</v>
      </c>
      <c r="I2765" t="s">
        <v>551</v>
      </c>
      <c r="J2765" t="s">
        <v>1277</v>
      </c>
      <c r="K2765" t="s">
        <v>24</v>
      </c>
      <c r="L2765" t="s">
        <v>216</v>
      </c>
      <c r="M2765" t="s">
        <v>1293</v>
      </c>
      <c r="N2765" t="s">
        <v>256</v>
      </c>
      <c r="O2765" t="s">
        <v>1293</v>
      </c>
      <c r="P2765" t="s">
        <v>256</v>
      </c>
      <c r="Q2765" t="s">
        <v>9713</v>
      </c>
      <c r="R2765" t="s">
        <v>221</v>
      </c>
      <c r="S2765" t="s">
        <v>1471</v>
      </c>
      <c r="T2765" t="s">
        <v>550</v>
      </c>
      <c r="U2765" t="s">
        <v>550</v>
      </c>
      <c r="V2765" t="s">
        <v>9822</v>
      </c>
      <c r="W2765" t="s">
        <v>613</v>
      </c>
      <c r="X2765" t="s">
        <v>267</v>
      </c>
      <c r="Y2765" t="s">
        <v>3342</v>
      </c>
      <c r="Z2765" t="s">
        <v>9820</v>
      </c>
    </row>
    <row r="2766" spans="1:26" x14ac:dyDescent="0.3">
      <c r="A2766" t="s">
        <v>525</v>
      </c>
      <c r="B2766" t="s">
        <v>9823</v>
      </c>
      <c r="C2766" t="s">
        <v>9824</v>
      </c>
      <c r="D2766" t="s">
        <v>9820</v>
      </c>
      <c r="E2766" t="s">
        <v>2587</v>
      </c>
      <c r="F2766" t="s">
        <v>2588</v>
      </c>
      <c r="G2766" s="1">
        <v>46023</v>
      </c>
      <c r="H2766" s="1">
        <v>46023</v>
      </c>
      <c r="I2766" t="s">
        <v>551</v>
      </c>
      <c r="J2766" t="s">
        <v>2589</v>
      </c>
      <c r="K2766" t="s">
        <v>24</v>
      </c>
      <c r="L2766" t="s">
        <v>216</v>
      </c>
      <c r="M2766" t="s">
        <v>1293</v>
      </c>
      <c r="N2766" t="s">
        <v>256</v>
      </c>
      <c r="O2766" t="s">
        <v>1293</v>
      </c>
      <c r="P2766" t="s">
        <v>256</v>
      </c>
      <c r="Q2766" t="s">
        <v>9713</v>
      </c>
      <c r="R2766" t="s">
        <v>221</v>
      </c>
      <c r="S2766" t="s">
        <v>1471</v>
      </c>
      <c r="T2766" t="s">
        <v>550</v>
      </c>
      <c r="U2766" t="s">
        <v>550</v>
      </c>
      <c r="V2766" t="s">
        <v>9825</v>
      </c>
      <c r="W2766" t="s">
        <v>613</v>
      </c>
      <c r="X2766" t="s">
        <v>267</v>
      </c>
      <c r="Y2766" t="s">
        <v>3342</v>
      </c>
      <c r="Z2766" t="s">
        <v>9823</v>
      </c>
    </row>
    <row r="2767" spans="1:26" x14ac:dyDescent="0.3">
      <c r="A2767" t="s">
        <v>525</v>
      </c>
      <c r="B2767" t="s">
        <v>9826</v>
      </c>
      <c r="C2767" t="s">
        <v>9827</v>
      </c>
      <c r="D2767" t="s">
        <v>9820</v>
      </c>
      <c r="E2767" t="s">
        <v>3368</v>
      </c>
      <c r="F2767" t="s">
        <v>3369</v>
      </c>
      <c r="G2767" s="1">
        <v>46023</v>
      </c>
      <c r="H2767" s="1">
        <v>46023</v>
      </c>
      <c r="I2767" t="s">
        <v>551</v>
      </c>
      <c r="J2767" t="s">
        <v>3370</v>
      </c>
      <c r="K2767" t="s">
        <v>24</v>
      </c>
      <c r="L2767" t="s">
        <v>216</v>
      </c>
      <c r="M2767" t="s">
        <v>1293</v>
      </c>
      <c r="N2767" t="s">
        <v>256</v>
      </c>
      <c r="O2767" t="s">
        <v>1293</v>
      </c>
      <c r="P2767" t="s">
        <v>256</v>
      </c>
      <c r="Q2767" t="s">
        <v>9713</v>
      </c>
      <c r="R2767" t="s">
        <v>221</v>
      </c>
      <c r="S2767" t="s">
        <v>1471</v>
      </c>
      <c r="T2767" t="s">
        <v>550</v>
      </c>
      <c r="U2767" t="s">
        <v>550</v>
      </c>
      <c r="V2767" t="s">
        <v>9828</v>
      </c>
      <c r="W2767" t="s">
        <v>613</v>
      </c>
      <c r="X2767" t="s">
        <v>267</v>
      </c>
      <c r="Y2767" t="s">
        <v>3342</v>
      </c>
      <c r="Z2767" t="s">
        <v>9826</v>
      </c>
    </row>
    <row r="2768" spans="1:26" x14ac:dyDescent="0.3">
      <c r="A2768" t="s">
        <v>525</v>
      </c>
      <c r="B2768" t="s">
        <v>9829</v>
      </c>
      <c r="C2768" t="s">
        <v>9830</v>
      </c>
      <c r="D2768" t="s">
        <v>3372</v>
      </c>
      <c r="E2768" t="s">
        <v>664</v>
      </c>
      <c r="F2768" t="s">
        <v>27</v>
      </c>
      <c r="G2768" s="1">
        <v>46023</v>
      </c>
      <c r="H2768" s="1">
        <v>46064</v>
      </c>
      <c r="I2768" t="s">
        <v>551</v>
      </c>
      <c r="J2768" t="s">
        <v>666</v>
      </c>
      <c r="K2768" t="s">
        <v>24</v>
      </c>
      <c r="L2768" t="s">
        <v>216</v>
      </c>
      <c r="M2768" t="s">
        <v>1293</v>
      </c>
      <c r="N2768" t="s">
        <v>256</v>
      </c>
      <c r="O2768" t="s">
        <v>1293</v>
      </c>
      <c r="P2768" t="s">
        <v>256</v>
      </c>
      <c r="Q2768" t="s">
        <v>9713</v>
      </c>
      <c r="R2768" t="s">
        <v>221</v>
      </c>
      <c r="S2768" t="s">
        <v>783</v>
      </c>
      <c r="T2768" t="s">
        <v>550</v>
      </c>
      <c r="U2768" t="s">
        <v>550</v>
      </c>
      <c r="V2768" t="s">
        <v>9831</v>
      </c>
      <c r="W2768" t="s">
        <v>613</v>
      </c>
      <c r="X2768" t="s">
        <v>267</v>
      </c>
      <c r="Z2768" t="s">
        <v>9829</v>
      </c>
    </row>
    <row r="2769" spans="1:26" x14ac:dyDescent="0.3">
      <c r="A2769" t="s">
        <v>525</v>
      </c>
      <c r="B2769" t="s">
        <v>9832</v>
      </c>
      <c r="C2769" t="s">
        <v>9833</v>
      </c>
      <c r="D2769" t="s">
        <v>4083</v>
      </c>
      <c r="E2769" t="s">
        <v>664</v>
      </c>
      <c r="F2769" t="s">
        <v>27</v>
      </c>
      <c r="G2769" s="1">
        <v>46023</v>
      </c>
      <c r="H2769" s="1">
        <v>46037</v>
      </c>
      <c r="I2769" t="s">
        <v>551</v>
      </c>
      <c r="J2769" t="s">
        <v>666</v>
      </c>
      <c r="K2769" t="s">
        <v>24</v>
      </c>
      <c r="L2769" t="s">
        <v>216</v>
      </c>
      <c r="M2769" t="s">
        <v>1293</v>
      </c>
      <c r="N2769" t="s">
        <v>256</v>
      </c>
      <c r="O2769" t="s">
        <v>1293</v>
      </c>
      <c r="P2769" t="s">
        <v>256</v>
      </c>
      <c r="Q2769" t="s">
        <v>9713</v>
      </c>
      <c r="R2769" t="s">
        <v>221</v>
      </c>
      <c r="S2769" t="s">
        <v>1471</v>
      </c>
      <c r="T2769" t="s">
        <v>550</v>
      </c>
      <c r="U2769" t="s">
        <v>550</v>
      </c>
      <c r="V2769" t="s">
        <v>9834</v>
      </c>
      <c r="W2769" t="s">
        <v>613</v>
      </c>
      <c r="X2769" t="s">
        <v>267</v>
      </c>
      <c r="Y2769" t="s">
        <v>3379</v>
      </c>
      <c r="Z2769" t="s">
        <v>9832</v>
      </c>
    </row>
    <row r="2770" spans="1:26" x14ac:dyDescent="0.3">
      <c r="A2770" t="s">
        <v>525</v>
      </c>
      <c r="B2770" t="s">
        <v>9835</v>
      </c>
      <c r="C2770" t="s">
        <v>9836</v>
      </c>
      <c r="D2770" t="s">
        <v>4139</v>
      </c>
      <c r="E2770" t="s">
        <v>1318</v>
      </c>
      <c r="F2770" t="s">
        <v>1319</v>
      </c>
      <c r="G2770" s="1">
        <v>46023</v>
      </c>
      <c r="H2770" s="1">
        <v>46082</v>
      </c>
      <c r="I2770" t="s">
        <v>551</v>
      </c>
      <c r="J2770" t="s">
        <v>1320</v>
      </c>
      <c r="K2770" t="s">
        <v>24</v>
      </c>
      <c r="L2770" t="s">
        <v>216</v>
      </c>
      <c r="M2770" t="s">
        <v>1839</v>
      </c>
      <c r="N2770" t="s">
        <v>222</v>
      </c>
      <c r="O2770" t="s">
        <v>4420</v>
      </c>
      <c r="P2770" t="s">
        <v>299</v>
      </c>
      <c r="Q2770" t="s">
        <v>9713</v>
      </c>
      <c r="R2770" t="s">
        <v>221</v>
      </c>
      <c r="S2770" t="s">
        <v>783</v>
      </c>
      <c r="T2770" t="s">
        <v>550</v>
      </c>
      <c r="U2770" t="s">
        <v>550</v>
      </c>
      <c r="V2770" t="s">
        <v>9837</v>
      </c>
      <c r="W2770" t="s">
        <v>613</v>
      </c>
      <c r="X2770" t="s">
        <v>272</v>
      </c>
      <c r="Y2770" t="s">
        <v>273</v>
      </c>
      <c r="Z2770" t="s">
        <v>9835</v>
      </c>
    </row>
    <row r="2771" spans="1:26" x14ac:dyDescent="0.3">
      <c r="A2771" t="s">
        <v>525</v>
      </c>
      <c r="B2771" t="s">
        <v>9838</v>
      </c>
      <c r="C2771" t="s">
        <v>9839</v>
      </c>
      <c r="D2771" t="s">
        <v>3321</v>
      </c>
      <c r="E2771" t="s">
        <v>1318</v>
      </c>
      <c r="F2771" t="s">
        <v>1319</v>
      </c>
      <c r="G2771" s="1">
        <v>46023</v>
      </c>
      <c r="H2771" s="1">
        <v>46046</v>
      </c>
      <c r="I2771" t="s">
        <v>551</v>
      </c>
      <c r="J2771" t="s">
        <v>1320</v>
      </c>
      <c r="K2771" t="s">
        <v>24</v>
      </c>
      <c r="L2771" t="s">
        <v>216</v>
      </c>
      <c r="M2771" t="s">
        <v>4420</v>
      </c>
      <c r="N2771" t="s">
        <v>299</v>
      </c>
      <c r="O2771" t="s">
        <v>4420</v>
      </c>
      <c r="P2771" t="s">
        <v>299</v>
      </c>
      <c r="Q2771" t="s">
        <v>9713</v>
      </c>
      <c r="R2771" t="s">
        <v>221</v>
      </c>
      <c r="S2771" t="s">
        <v>783</v>
      </c>
      <c r="T2771" t="s">
        <v>550</v>
      </c>
      <c r="U2771" t="s">
        <v>550</v>
      </c>
      <c r="V2771" t="s">
        <v>9840</v>
      </c>
      <c r="W2771" t="s">
        <v>613</v>
      </c>
      <c r="X2771" t="s">
        <v>272</v>
      </c>
      <c r="Y2771" t="s">
        <v>273</v>
      </c>
      <c r="Z2771" t="s">
        <v>9838</v>
      </c>
    </row>
    <row r="2772" spans="1:26" x14ac:dyDescent="0.3">
      <c r="A2772" t="s">
        <v>525</v>
      </c>
      <c r="B2772" t="s">
        <v>9841</v>
      </c>
      <c r="C2772" t="s">
        <v>9842</v>
      </c>
      <c r="D2772" t="s">
        <v>1085</v>
      </c>
      <c r="E2772" t="s">
        <v>664</v>
      </c>
      <c r="F2772" t="s">
        <v>27</v>
      </c>
      <c r="G2772" s="1">
        <v>46023</v>
      </c>
      <c r="H2772" s="1">
        <v>46107</v>
      </c>
      <c r="I2772" t="s">
        <v>551</v>
      </c>
      <c r="J2772" t="s">
        <v>666</v>
      </c>
      <c r="K2772" t="s">
        <v>958</v>
      </c>
      <c r="L2772" t="s">
        <v>216</v>
      </c>
      <c r="M2772" t="s">
        <v>4420</v>
      </c>
      <c r="N2772" t="s">
        <v>299</v>
      </c>
      <c r="O2772" t="s">
        <v>4420</v>
      </c>
      <c r="P2772" t="s">
        <v>299</v>
      </c>
      <c r="Q2772" t="s">
        <v>9713</v>
      </c>
      <c r="R2772" t="s">
        <v>221</v>
      </c>
      <c r="S2772" t="s">
        <v>1471</v>
      </c>
      <c r="T2772" t="s">
        <v>550</v>
      </c>
      <c r="U2772" t="s">
        <v>550</v>
      </c>
      <c r="V2772" t="s">
        <v>9843</v>
      </c>
      <c r="W2772" t="s">
        <v>1809</v>
      </c>
      <c r="X2772" t="s">
        <v>272</v>
      </c>
      <c r="Y2772" t="s">
        <v>273</v>
      </c>
      <c r="Z2772" t="s">
        <v>9841</v>
      </c>
    </row>
    <row r="2773" spans="1:26" x14ac:dyDescent="0.3">
      <c r="A2773" t="s">
        <v>525</v>
      </c>
      <c r="B2773" t="s">
        <v>9844</v>
      </c>
      <c r="C2773" t="s">
        <v>9845</v>
      </c>
      <c r="D2773" t="s">
        <v>3315</v>
      </c>
      <c r="E2773" t="s">
        <v>3317</v>
      </c>
      <c r="F2773" t="s">
        <v>3318</v>
      </c>
      <c r="G2773" s="1">
        <v>46023</v>
      </c>
      <c r="H2773" s="1">
        <v>46042</v>
      </c>
      <c r="I2773" t="s">
        <v>551</v>
      </c>
      <c r="J2773" t="s">
        <v>3319</v>
      </c>
      <c r="K2773" t="s">
        <v>24</v>
      </c>
      <c r="L2773" t="s">
        <v>216</v>
      </c>
      <c r="M2773" t="s">
        <v>4420</v>
      </c>
      <c r="N2773" t="s">
        <v>299</v>
      </c>
      <c r="O2773" t="s">
        <v>4420</v>
      </c>
      <c r="P2773" t="s">
        <v>299</v>
      </c>
      <c r="Q2773" t="s">
        <v>9713</v>
      </c>
      <c r="R2773" t="s">
        <v>221</v>
      </c>
      <c r="S2773" t="s">
        <v>783</v>
      </c>
      <c r="T2773" t="s">
        <v>550</v>
      </c>
      <c r="U2773" t="s">
        <v>550</v>
      </c>
      <c r="V2773" t="s">
        <v>9846</v>
      </c>
      <c r="W2773" t="s">
        <v>1809</v>
      </c>
      <c r="X2773" t="s">
        <v>272</v>
      </c>
      <c r="Y2773" t="s">
        <v>273</v>
      </c>
      <c r="Z2773" t="s">
        <v>9844</v>
      </c>
    </row>
    <row r="2774" spans="1:26" x14ac:dyDescent="0.3">
      <c r="A2774" t="s">
        <v>525</v>
      </c>
      <c r="B2774" t="s">
        <v>9847</v>
      </c>
      <c r="C2774" t="s">
        <v>9848</v>
      </c>
      <c r="D2774" t="s">
        <v>3337</v>
      </c>
      <c r="E2774" t="s">
        <v>2825</v>
      </c>
      <c r="F2774" t="s">
        <v>2826</v>
      </c>
      <c r="G2774" s="1">
        <v>46023</v>
      </c>
      <c r="H2774" s="1">
        <v>46027</v>
      </c>
      <c r="I2774" t="s">
        <v>551</v>
      </c>
      <c r="J2774" t="s">
        <v>2827</v>
      </c>
      <c r="K2774" t="s">
        <v>958</v>
      </c>
      <c r="L2774" t="s">
        <v>216</v>
      </c>
      <c r="M2774" t="s">
        <v>1839</v>
      </c>
      <c r="N2774" t="s">
        <v>222</v>
      </c>
      <c r="O2774" t="s">
        <v>4420</v>
      </c>
      <c r="P2774" t="s">
        <v>299</v>
      </c>
      <c r="Q2774" t="s">
        <v>9713</v>
      </c>
      <c r="R2774" t="s">
        <v>221</v>
      </c>
      <c r="S2774" t="s">
        <v>783</v>
      </c>
      <c r="T2774" t="s">
        <v>550</v>
      </c>
      <c r="U2774" t="s">
        <v>550</v>
      </c>
      <c r="V2774" t="s">
        <v>9849</v>
      </c>
      <c r="W2774" t="s">
        <v>1809</v>
      </c>
      <c r="X2774" t="s">
        <v>272</v>
      </c>
      <c r="Y2774" t="s">
        <v>273</v>
      </c>
      <c r="Z2774" t="s">
        <v>9847</v>
      </c>
    </row>
    <row r="2775" spans="1:26" x14ac:dyDescent="0.3">
      <c r="A2775" t="s">
        <v>525</v>
      </c>
      <c r="B2775" t="s">
        <v>9850</v>
      </c>
      <c r="C2775" t="s">
        <v>9851</v>
      </c>
      <c r="D2775" t="s">
        <v>550</v>
      </c>
      <c r="E2775" t="s">
        <v>664</v>
      </c>
      <c r="F2775" t="s">
        <v>27</v>
      </c>
      <c r="G2775" s="1">
        <v>46097</v>
      </c>
      <c r="H2775" s="1">
        <v>46097</v>
      </c>
      <c r="I2775" t="s">
        <v>780</v>
      </c>
      <c r="J2775" t="s">
        <v>666</v>
      </c>
      <c r="K2775" t="s">
        <v>24</v>
      </c>
      <c r="L2775" t="s">
        <v>217</v>
      </c>
      <c r="M2775" t="s">
        <v>9852</v>
      </c>
      <c r="N2775" t="s">
        <v>9853</v>
      </c>
      <c r="O2775" t="s">
        <v>9852</v>
      </c>
      <c r="P2775" t="s">
        <v>9853</v>
      </c>
      <c r="Q2775" t="s">
        <v>9854</v>
      </c>
      <c r="R2775" t="s">
        <v>229</v>
      </c>
      <c r="S2775" t="s">
        <v>550</v>
      </c>
      <c r="T2775" t="s">
        <v>550</v>
      </c>
      <c r="U2775" t="s">
        <v>550</v>
      </c>
      <c r="V2775" t="s">
        <v>9855</v>
      </c>
      <c r="W2775" t="s">
        <v>6769</v>
      </c>
      <c r="Z2775" t="s">
        <v>9850</v>
      </c>
    </row>
    <row r="2776" spans="1:26" x14ac:dyDescent="0.3">
      <c r="A2776" t="s">
        <v>525</v>
      </c>
      <c r="B2776" t="s">
        <v>9856</v>
      </c>
      <c r="C2776" t="s">
        <v>9857</v>
      </c>
      <c r="D2776" t="s">
        <v>9850</v>
      </c>
      <c r="E2776" t="s">
        <v>664</v>
      </c>
      <c r="F2776" t="s">
        <v>27</v>
      </c>
      <c r="G2776" s="1">
        <v>46097</v>
      </c>
      <c r="H2776" s="1">
        <v>46221</v>
      </c>
      <c r="I2776" t="s">
        <v>551</v>
      </c>
      <c r="J2776" t="s">
        <v>666</v>
      </c>
      <c r="K2776" t="s">
        <v>24</v>
      </c>
      <c r="L2776" t="s">
        <v>217</v>
      </c>
      <c r="M2776" t="s">
        <v>9852</v>
      </c>
      <c r="N2776" t="s">
        <v>9853</v>
      </c>
      <c r="O2776" t="s">
        <v>9852</v>
      </c>
      <c r="P2776" t="s">
        <v>9853</v>
      </c>
      <c r="Q2776" t="s">
        <v>9854</v>
      </c>
      <c r="R2776" t="s">
        <v>229</v>
      </c>
      <c r="S2776" t="s">
        <v>783</v>
      </c>
      <c r="T2776" t="s">
        <v>550</v>
      </c>
      <c r="U2776" t="s">
        <v>550</v>
      </c>
      <c r="V2776" t="s">
        <v>9858</v>
      </c>
      <c r="W2776" t="s">
        <v>6769</v>
      </c>
      <c r="Z2776" t="s">
        <v>9856</v>
      </c>
    </row>
    <row r="2777" spans="1:26" x14ac:dyDescent="0.3">
      <c r="A2777" t="s">
        <v>330</v>
      </c>
      <c r="B2777" t="s">
        <v>9859</v>
      </c>
      <c r="C2777" t="s">
        <v>9860</v>
      </c>
      <c r="D2777" t="s">
        <v>550</v>
      </c>
      <c r="E2777" t="s">
        <v>816</v>
      </c>
      <c r="F2777" t="s">
        <v>817</v>
      </c>
      <c r="G2777" s="1">
        <v>43467</v>
      </c>
      <c r="H2777" s="1">
        <v>43830</v>
      </c>
      <c r="I2777" t="s">
        <v>665</v>
      </c>
      <c r="J2777" t="s">
        <v>816</v>
      </c>
      <c r="K2777" t="s">
        <v>900</v>
      </c>
      <c r="L2777" t="s">
        <v>901</v>
      </c>
      <c r="M2777" t="s">
        <v>913</v>
      </c>
      <c r="N2777" t="s">
        <v>914</v>
      </c>
      <c r="O2777" t="s">
        <v>9861</v>
      </c>
      <c r="P2777" t="s">
        <v>9862</v>
      </c>
      <c r="Q2777" t="s">
        <v>9863</v>
      </c>
      <c r="R2777" t="s">
        <v>9864</v>
      </c>
      <c r="S2777" t="s">
        <v>550</v>
      </c>
      <c r="T2777" t="s">
        <v>550</v>
      </c>
      <c r="U2777" t="s">
        <v>550</v>
      </c>
      <c r="V2777" t="s">
        <v>9865</v>
      </c>
      <c r="W2777" t="s">
        <v>918</v>
      </c>
      <c r="X2777" t="s">
        <v>908</v>
      </c>
      <c r="Y2777" t="s">
        <v>909</v>
      </c>
      <c r="Z2777" t="s">
        <v>9859</v>
      </c>
    </row>
    <row r="2778" spans="1:26" x14ac:dyDescent="0.3">
      <c r="A2778" t="s">
        <v>330</v>
      </c>
      <c r="B2778" t="s">
        <v>9866</v>
      </c>
      <c r="C2778" t="s">
        <v>9867</v>
      </c>
      <c r="D2778" t="s">
        <v>9859</v>
      </c>
      <c r="E2778" t="s">
        <v>816</v>
      </c>
      <c r="F2778" t="s">
        <v>817</v>
      </c>
      <c r="G2778" s="1">
        <v>43466</v>
      </c>
      <c r="H2778" s="1">
        <v>43466</v>
      </c>
      <c r="I2778" t="s">
        <v>665</v>
      </c>
      <c r="J2778" t="s">
        <v>816</v>
      </c>
      <c r="K2778" t="s">
        <v>900</v>
      </c>
      <c r="L2778" t="s">
        <v>901</v>
      </c>
      <c r="M2778" t="s">
        <v>913</v>
      </c>
      <c r="N2778" t="s">
        <v>914</v>
      </c>
      <c r="O2778" t="s">
        <v>9861</v>
      </c>
      <c r="P2778" t="s">
        <v>9862</v>
      </c>
      <c r="Q2778" t="s">
        <v>9863</v>
      </c>
      <c r="R2778" t="s">
        <v>9864</v>
      </c>
      <c r="S2778" t="s">
        <v>550</v>
      </c>
      <c r="T2778" t="s">
        <v>550</v>
      </c>
      <c r="U2778" t="s">
        <v>550</v>
      </c>
      <c r="V2778" t="s">
        <v>9868</v>
      </c>
      <c r="W2778" t="s">
        <v>918</v>
      </c>
      <c r="X2778" t="s">
        <v>908</v>
      </c>
      <c r="Y2778" t="s">
        <v>909</v>
      </c>
      <c r="Z2778" t="s">
        <v>9866</v>
      </c>
    </row>
    <row r="2779" spans="1:26" x14ac:dyDescent="0.3">
      <c r="A2779" t="s">
        <v>330</v>
      </c>
      <c r="B2779" t="s">
        <v>9869</v>
      </c>
      <c r="C2779" t="s">
        <v>9870</v>
      </c>
      <c r="D2779" t="s">
        <v>9859</v>
      </c>
      <c r="E2779" t="s">
        <v>816</v>
      </c>
      <c r="F2779" t="s">
        <v>817</v>
      </c>
      <c r="G2779" s="1">
        <v>43466</v>
      </c>
      <c r="H2779" s="1">
        <v>43466</v>
      </c>
      <c r="I2779" t="s">
        <v>665</v>
      </c>
      <c r="J2779" t="s">
        <v>816</v>
      </c>
      <c r="K2779" t="s">
        <v>900</v>
      </c>
      <c r="L2779" t="s">
        <v>901</v>
      </c>
      <c r="M2779" t="s">
        <v>913</v>
      </c>
      <c r="N2779" t="s">
        <v>914</v>
      </c>
      <c r="O2779" t="s">
        <v>9861</v>
      </c>
      <c r="P2779" t="s">
        <v>9862</v>
      </c>
      <c r="Q2779" t="s">
        <v>9863</v>
      </c>
      <c r="R2779" t="s">
        <v>9864</v>
      </c>
      <c r="S2779" t="s">
        <v>550</v>
      </c>
      <c r="T2779" t="s">
        <v>550</v>
      </c>
      <c r="U2779" t="s">
        <v>550</v>
      </c>
      <c r="V2779" t="s">
        <v>9871</v>
      </c>
      <c r="W2779" t="s">
        <v>918</v>
      </c>
      <c r="X2779" t="s">
        <v>908</v>
      </c>
      <c r="Y2779" t="s">
        <v>909</v>
      </c>
      <c r="Z2779" t="s">
        <v>9869</v>
      </c>
    </row>
    <row r="2780" spans="1:26" x14ac:dyDescent="0.3">
      <c r="A2780" t="s">
        <v>330</v>
      </c>
      <c r="B2780" t="s">
        <v>9872</v>
      </c>
      <c r="C2780" t="s">
        <v>9873</v>
      </c>
      <c r="D2780" t="s">
        <v>9859</v>
      </c>
      <c r="E2780" t="s">
        <v>816</v>
      </c>
      <c r="F2780" t="s">
        <v>817</v>
      </c>
      <c r="G2780" s="1">
        <v>43466</v>
      </c>
      <c r="H2780" s="1">
        <v>43466</v>
      </c>
      <c r="I2780" t="s">
        <v>665</v>
      </c>
      <c r="J2780" t="s">
        <v>816</v>
      </c>
      <c r="K2780" t="s">
        <v>900</v>
      </c>
      <c r="L2780" t="s">
        <v>901</v>
      </c>
      <c r="M2780" t="s">
        <v>913</v>
      </c>
      <c r="N2780" t="s">
        <v>914</v>
      </c>
      <c r="O2780" t="s">
        <v>9861</v>
      </c>
      <c r="P2780" t="s">
        <v>9862</v>
      </c>
      <c r="Q2780" t="s">
        <v>9863</v>
      </c>
      <c r="R2780" t="s">
        <v>9864</v>
      </c>
      <c r="S2780" t="s">
        <v>550</v>
      </c>
      <c r="T2780" t="s">
        <v>550</v>
      </c>
      <c r="U2780" t="s">
        <v>550</v>
      </c>
      <c r="V2780" t="s">
        <v>9874</v>
      </c>
      <c r="W2780" t="s">
        <v>918</v>
      </c>
      <c r="X2780" t="s">
        <v>908</v>
      </c>
      <c r="Y2780" t="s">
        <v>909</v>
      </c>
      <c r="Z2780" t="s">
        <v>9872</v>
      </c>
    </row>
    <row r="2781" spans="1:26" x14ac:dyDescent="0.3">
      <c r="A2781" t="s">
        <v>330</v>
      </c>
      <c r="B2781" t="s">
        <v>9875</v>
      </c>
      <c r="C2781" t="s">
        <v>9876</v>
      </c>
      <c r="D2781" t="s">
        <v>9859</v>
      </c>
      <c r="E2781" t="s">
        <v>816</v>
      </c>
      <c r="F2781" t="s">
        <v>817</v>
      </c>
      <c r="G2781" s="1">
        <v>43466</v>
      </c>
      <c r="H2781" s="1">
        <v>43466</v>
      </c>
      <c r="I2781" t="s">
        <v>665</v>
      </c>
      <c r="J2781" t="s">
        <v>816</v>
      </c>
      <c r="K2781" t="s">
        <v>900</v>
      </c>
      <c r="L2781" t="s">
        <v>901</v>
      </c>
      <c r="M2781" t="s">
        <v>913</v>
      </c>
      <c r="N2781" t="s">
        <v>914</v>
      </c>
      <c r="O2781" t="s">
        <v>9861</v>
      </c>
      <c r="P2781" t="s">
        <v>9862</v>
      </c>
      <c r="Q2781" t="s">
        <v>9863</v>
      </c>
      <c r="R2781" t="s">
        <v>9864</v>
      </c>
      <c r="S2781" t="s">
        <v>550</v>
      </c>
      <c r="T2781" t="s">
        <v>550</v>
      </c>
      <c r="U2781" t="s">
        <v>550</v>
      </c>
      <c r="V2781" t="s">
        <v>9877</v>
      </c>
      <c r="W2781" t="s">
        <v>918</v>
      </c>
      <c r="X2781" t="s">
        <v>908</v>
      </c>
      <c r="Y2781" t="s">
        <v>909</v>
      </c>
      <c r="Z2781" t="s">
        <v>9875</v>
      </c>
    </row>
    <row r="2782" spans="1:26" x14ac:dyDescent="0.3">
      <c r="A2782" t="s">
        <v>330</v>
      </c>
      <c r="B2782" t="s">
        <v>9878</v>
      </c>
      <c r="C2782" t="s">
        <v>9879</v>
      </c>
      <c r="D2782" t="s">
        <v>9859</v>
      </c>
      <c r="E2782" t="s">
        <v>816</v>
      </c>
      <c r="F2782" t="s">
        <v>817</v>
      </c>
      <c r="G2782" s="1">
        <v>43467</v>
      </c>
      <c r="H2782" s="1">
        <v>43467</v>
      </c>
      <c r="I2782" t="s">
        <v>665</v>
      </c>
      <c r="J2782" t="s">
        <v>816</v>
      </c>
      <c r="K2782" t="s">
        <v>900</v>
      </c>
      <c r="L2782" t="s">
        <v>901</v>
      </c>
      <c r="M2782" t="s">
        <v>913</v>
      </c>
      <c r="N2782" t="s">
        <v>914</v>
      </c>
      <c r="O2782" t="s">
        <v>9861</v>
      </c>
      <c r="P2782" t="s">
        <v>9862</v>
      </c>
      <c r="Q2782" t="s">
        <v>9863</v>
      </c>
      <c r="R2782" t="s">
        <v>9864</v>
      </c>
      <c r="S2782" t="s">
        <v>550</v>
      </c>
      <c r="T2782" t="s">
        <v>550</v>
      </c>
      <c r="U2782" t="s">
        <v>550</v>
      </c>
      <c r="V2782" t="s">
        <v>9880</v>
      </c>
      <c r="W2782" t="s">
        <v>918</v>
      </c>
      <c r="X2782" t="s">
        <v>908</v>
      </c>
      <c r="Y2782" t="s">
        <v>909</v>
      </c>
      <c r="Z2782" t="s">
        <v>9878</v>
      </c>
    </row>
    <row r="2783" spans="1:26" x14ac:dyDescent="0.3">
      <c r="A2783" t="s">
        <v>330</v>
      </c>
      <c r="B2783" t="s">
        <v>9881</v>
      </c>
      <c r="C2783" t="s">
        <v>9882</v>
      </c>
      <c r="D2783" t="s">
        <v>550</v>
      </c>
      <c r="E2783" t="s">
        <v>816</v>
      </c>
      <c r="F2783" t="s">
        <v>817</v>
      </c>
      <c r="G2783" s="1">
        <v>43710</v>
      </c>
      <c r="H2783" s="1">
        <v>43710</v>
      </c>
      <c r="I2783" t="s">
        <v>665</v>
      </c>
      <c r="J2783" t="s">
        <v>816</v>
      </c>
      <c r="K2783" t="s">
        <v>900</v>
      </c>
      <c r="L2783" t="s">
        <v>901</v>
      </c>
      <c r="M2783" t="s">
        <v>8247</v>
      </c>
      <c r="N2783" t="s">
        <v>8248</v>
      </c>
      <c r="O2783" t="s">
        <v>8247</v>
      </c>
      <c r="P2783" t="s">
        <v>8248</v>
      </c>
      <c r="Q2783" t="s">
        <v>9863</v>
      </c>
      <c r="R2783" t="s">
        <v>9864</v>
      </c>
      <c r="S2783" t="s">
        <v>550</v>
      </c>
      <c r="T2783" t="s">
        <v>550</v>
      </c>
      <c r="U2783" t="s">
        <v>550</v>
      </c>
      <c r="V2783" t="s">
        <v>9883</v>
      </c>
      <c r="W2783" t="s">
        <v>9884</v>
      </c>
      <c r="X2783" t="s">
        <v>908</v>
      </c>
      <c r="Y2783" t="s">
        <v>909</v>
      </c>
      <c r="Z2783" t="s">
        <v>9881</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F84D2D59ABBA44BA09D021A3CE9786" ma:contentTypeVersion="4" ma:contentTypeDescription="Een nieuw document maken." ma:contentTypeScope="" ma:versionID="7e29823ea7cea361db5f4163da92b5ca">
  <xsd:schema xmlns:xsd="http://www.w3.org/2001/XMLSchema" xmlns:xs="http://www.w3.org/2001/XMLSchema" xmlns:p="http://schemas.microsoft.com/office/2006/metadata/properties" xmlns:ns2="a18127d5-5fcc-4356-9466-e81327298696" targetNamespace="http://schemas.microsoft.com/office/2006/metadata/properties" ma:root="true" ma:fieldsID="025fe6ec4f3245eed4abf69419efdb69" ns2:_="">
    <xsd:import namespace="a18127d5-5fcc-4356-9466-e813272986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127d5-5fcc-4356-9466-e813272986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FF30FEA-D659-4FC0-9A46-12DF6609D75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5BB0321-DD76-415A-AFB8-AE4B4243AE8A}">
  <ds:schemaRefs>
    <ds:schemaRef ds:uri="http://schemas.microsoft.com/sharepoint/v3/contenttype/forms"/>
  </ds:schemaRefs>
</ds:datastoreItem>
</file>

<file path=customXml/itemProps3.xml><?xml version="1.0" encoding="utf-8"?>
<ds:datastoreItem xmlns:ds="http://schemas.openxmlformats.org/officeDocument/2006/customXml" ds:itemID="{AC8D467C-4829-47B5-A823-F7E590EE51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8127d5-5fcc-4356-9466-e813272986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2B171F0-AA2D-48F4-A1AB-4D404CBA386E}">
  <ds:schemaRefs>
    <ds:schemaRef ds:uri="http://schemas.microsoft.com/DataMashup"/>
  </ds:schemaRefs>
</ds:datastoreItem>
</file>

<file path=docMetadata/LabelInfo.xml><?xml version="1.0" encoding="utf-8"?>
<clbl:labelList xmlns:clbl="http://schemas.microsoft.com/office/2020/mipLabelMetadata">
  <clbl:label id="{ddf292db-23df-4367-b11b-bd324b58e5bb}" enabled="0" method="" siteId="{ddf292db-23df-4367-b11b-bd324b58e5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Projectbegroting</vt:lpstr>
      <vt:lpstr>Stamgegevens projecten</vt:lpstr>
      <vt:lpstr>ETC regels projecten</vt:lpstr>
      <vt:lpstr>Probuto</vt:lpstr>
      <vt:lpstr>Lijsten</vt:lpstr>
      <vt:lpstr>report B_CategorieBoekjaar</vt:lpstr>
      <vt:lpstr>report B_Project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Visser</dc:creator>
  <cp:keywords/>
  <dc:description/>
  <cp:lastModifiedBy>George Pavel</cp:lastModifiedBy>
  <cp:revision/>
  <dcterms:created xsi:type="dcterms:W3CDTF">2024-05-30T13:28:21Z</dcterms:created>
  <dcterms:modified xsi:type="dcterms:W3CDTF">2026-08-10T12:40:32Z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0x01010077F84D2D59ABBA44BA09D021A3CE9786</vt:lpwstr>
  </property>
  <property fmtid="{D5CDD505-2E9C-101B-9397-08002B2CF9AE}" pid="3" name="MediaServiceImageTags">
    <vt:lpwstr/>
  </property>
</Properties>
</file>